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C8653B4A-F02C-43DB-8217-8531DCB478F4}" xr6:coauthVersionLast="47" xr6:coauthVersionMax="47" xr10:uidLastSave="{00000000-0000-0000-0000-000000000000}"/>
  <bookViews>
    <workbookView xWindow="-120" yWindow="-120" windowWidth="51840" windowHeight="21840" firstSheet="3" activeTab="13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Employee Overview" sheetId="35" r:id="rId5"/>
    <sheet name="Headcount &amp; Compensation" sheetId="34" r:id="rId6"/>
    <sheet name="Combined P&amp;L" sheetId="2" r:id="rId7"/>
    <sheet name="Tech Stack" sheetId="19" r:id="rId8"/>
    <sheet name="Revenue Analysis" sheetId="9" r:id="rId9"/>
    <sheet name="Revenue Charts" sheetId="10" r:id="rId10"/>
    <sheet name="Expense Analysis" sheetId="17" r:id="rId11"/>
    <sheet name="Expense Charts" sheetId="16" r:id="rId12"/>
    <sheet name="Client Overview" sheetId="31" r:id="rId13"/>
    <sheet name="Client Retention" sheetId="33" r:id="rId14"/>
    <sheet name="Customer Retention Charts" sheetId="37" r:id="rId15"/>
    <sheet name="Client Retention $" sheetId="38" r:id="rId38"/>
    <sheet name="Client Retention Charts $" sheetId="39" r:id="rId39"/>
    <sheet name="Full Customer List" sheetId="30" r:id="rId16"/>
    <sheet name="Client Departures" sheetId="29" r:id="rId17"/>
    <sheet name="Customer Data --&gt;" sheetId="20" r:id="rId18"/>
    <sheet name="Missing End Dates" sheetId="36" r:id="rId19"/>
    <sheet name="Revenue by Customer" sheetId="23" r:id="rId20"/>
    <sheet name="Customer List" sheetId="27" r:id="rId21"/>
    <sheet name="Customer List Mapping" sheetId="32" r:id="rId22"/>
    <sheet name="README" sheetId="21" r:id="rId23"/>
    <sheet name="Summary" sheetId="22" r:id="rId24"/>
    <sheet name="Monthly Trend" sheetId="24" r:id="rId25"/>
    <sheet name="New &amp; Lost Revenue" sheetId="25" r:id="rId26"/>
    <sheet name="Recurring vs Total" sheetId="26" r:id="rId27"/>
    <sheet name="Definitions" sheetId="28" r:id="rId28"/>
    <sheet name="Raw Data --&gt;" sheetId="6" r:id="rId29"/>
    <sheet name="Software" sheetId="12" r:id="rId30"/>
    <sheet name="Raw - 2024 PL" sheetId="3" r:id="rId31"/>
    <sheet name="Raw - 2025 PL" sheetId="4" r:id="rId32"/>
    <sheet name="Raw - 2026 PL" sheetId="5" r:id="rId33"/>
  </sheets>
  <definedNames>
    <definedName name="_xlnm._FilterDatabase" localSheetId="5">'Headcount &amp; Compensation'!A1:L91</definedName>
    <definedName name="_xlnm._FilterDatabase" localSheetId="20" hidden="1">'Missing End Dates'!$B$6:$AA$320</definedName>
    <definedName name="_xlnm._FilterDatabase" localSheetId="31">Software!A5:H67</definedName>
    <definedName name="_xlnm.Print_Area" localSheetId="13">'Client Retention'!$B$2:$AD$42,'Client Retention'!$B$44:$AD$81</definedName>
    <definedName name="_xlnm.Print_Area" localSheetId="0">Cover!$B$2:$Q$39</definedName>
    <definedName name="_xlnm.Print_Area" localSheetId="14">'Customer Retention Charts'!$B$32:$L$56,'Customer Retention Charts'!$B$2:$L$30,'Customer Retention Charts'!$B$58:$L$83,'Customer Retention Charts'!$B$85:$L$109</definedName>
    <definedName name="_xlnm.Print_Area" localSheetId="10">'Expense Analysis'!$B$2:$S$40,'Expense Analysis'!$B$42:$S$83</definedName>
    <definedName name="_xlnm.Print_Area" localSheetId="11">'Expense Charts'!$B$2:$L$84</definedName>
    <definedName name="_xlnm.Print_Area" localSheetId="20">'Missing End Dates'!$B$2:$AA$280</definedName>
    <definedName name="_xlnm.Print_Area" localSheetId="1">'P&amp;L Overview'!$B$2:$N$67</definedName>
    <definedName name="_xlnm.Print_Area" localSheetId="2">'P&amp;L Overview (Target Version)'!$B$2:$N$48</definedName>
    <definedName name="_xlnm.Print_Area" localSheetId="8">'Revenue Analysis'!$B$2:$R$46</definedName>
    <definedName name="_xlnm.Print_Area" localSheetId="9">'Revenue Charts'!$B$2:$L$44</definedName>
    <definedName name="_xlnm.Print_Area" localSheetId="7">'Tech Stack'!$B$2:$H$48</definedName>
    <definedName name="_xlnm.Print_Titles" localSheetId="13">'Client Retention'!$2:$4</definedName>
    <definedName name="_xlnm.Print_Titles" localSheetId="6">'Combined P&amp;L'!$5:$5</definedName>
    <definedName name="_xlnm.Print_Titles" localSheetId="14">'Customer Retention Charts'!$2:$4</definedName>
    <definedName name="_xlnm.Print_Titles" localSheetId="10">'Expense Analysis'!$2:$6</definedName>
    <definedName name="_xlnm.Print_Titles" localSheetId="11">'Expense Charts'!$2:$4</definedName>
    <definedName name="_xlnm.Print_Area" localSheetId="15">'Client Retention $'!$B$2:$AD$42,'Client Retention $'!$B$44:$AD$81</definedName>
    <definedName name="_xlnm.Print_Area" localSheetId="16">'Client Retention Charts $'!$B$32:$L$56,'Client Retention Charts $'!$B$2:$L$30,'Client Retention Charts $'!$B$58:$L$83,'Client Retention Charts $'!$B$85:$L$109</definedName>
    <definedName name="_xlnm.Print_Titles" localSheetId="15">'Client Retention $'!$2:$4</definedName>
    <definedName name="_xlnm.Print_Titles" localSheetId="16">'Client Retention Charts $'!$2:$4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sharedStrings.xml><?xml version="1.0" encoding="utf-8"?>
<sst xmlns="http://schemas.openxmlformats.org/spreadsheetml/2006/main" count="21580" uniqueCount="1574">
  <si>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</si>
  <si>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</si>
  <si>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</si>
  <si>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</si>
  <si>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</si>
  <si>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</si>
  <si>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</si>
  <si>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</si>
  <si>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</si>
  <si>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</si>
  <si>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</si>
  <si>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</si>
  <si>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</si>
  <si>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</si>
  <si>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</si>
  <si>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</si>
  <si>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</si>
  <si>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</si>
  <si>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</si>
  <si>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</si>
  <si>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</si>
  <si>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</si>
  <si>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</si>
  <si>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</si>
  <si>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</si>
  <si>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</si>
  <si>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</si>
  <si>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</si>
  <si>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</si>
  <si>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</si>
  <si>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</si>
  <si>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</si>
  <si>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</si>
  <si>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</si>
  <si>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</si>
  <si>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</si>
  <si>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</si>
  <si>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</si>
  <si>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</si>
  <si>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</si>
  <si>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</si>
  <si>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</si>
  <si>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</si>
  <si>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</si>
  <si>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</si>
  <si>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</si>
  <si>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</si>
  <si>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</si>
  <si>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</si>
  <si>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</si>
  <si>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</si>
  <si>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</si>
  <si>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</si>
  <si>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</si>
  <si>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</si>
  <si>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</si>
  <si>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</si>
  <si>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</si>
  <si>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</si>
  <si>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</si>
  <si>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</si>
  <si>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</si>
  <si>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</si>
  <si>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</si>
  <si>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</si>
  <si>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</si>
  <si>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</si>
  <si>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</si>
  <si>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</si>
  <si>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</si>
  <si>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</si>
  <si>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</si>
  <si>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</si>
  <si>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</si>
  <si>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</si>
  <si>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</si>
  <si>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</si>
  <si>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</si>
  <si>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</si>
  <si>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</si>
  <si>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</si>
  <si>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</si>
  <si>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</si>
  <si>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</si>
  <si>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</si>
  <si>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</si>
  <si>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</si>
  <si>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</si>
  <si>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</si>
  <si>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</si>
  <si>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</si>
  <si>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</si>
  <si>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</si>
  <si>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</si>
  <si>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</si>
  <si>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</si>
  <si>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</si>
  <si>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</si>
  <si>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</si>
  <si>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</si>
  <si>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</si>
  <si>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</si>
  <si>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</si>
  <si>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</si>
  <si>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</si>
  <si>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</si>
  <si>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</si>
  <si>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</si>
  <si>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</si>
  <si>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</si>
  <si>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</si>
  <si>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</si>
  <si>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</si>
  <si>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</si>
  <si>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</si>
  <si>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</si>
  <si>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</si>
  <si>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</si>
  <si>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</si>
  <si>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</si>
  <si>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</si>
  <si>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</si>
  <si>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</si>
  <si>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</si>
  <si>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</si>
  <si>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</si>
  <si>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</si>
  <si>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</si>
  <si>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</si>
  <si>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</si>
  <si>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</si>
  <si>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</si>
  <si>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</si>
  <si>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</si>
  <si>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</si>
  <si>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</si>
  <si>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</si>
  <si>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</si>
  <si>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</si>
  <si>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</si>
  <si>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</si>
  <si>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</si>
  <si>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</si>
  <si>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</si>
  <si>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</si>
  <si>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</si>
  <si>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</si>
  <si>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</si>
  <si>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</si>
  <si>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</si>
  <si>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</si>
  <si>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</si>
  <si>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</si>
  <si>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</si>
  <si>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</si>
  <si>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</si>
  <si>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</si>
  <si>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</si>
  <si>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</si>
  <si>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</si>
  <si>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</si>
  <si>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</si>
  <si>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</si>
  <si>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</si>
  <si>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</si>
  <si>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</si>
  <si>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</si>
  <si>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</si>
  <si>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</si>
  <si>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</si>
  <si>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</si>
  <si>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</si>
  <si>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</si>
  <si>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</si>
  <si>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</si>
  <si>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</si>
  <si>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</si>
  <si>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</si>
  <si>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</si>
  <si>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</si>
  <si>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</si>
  <si>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</si>
  <si>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</si>
  <si>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</si>
  <si>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</si>
  <si>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</si>
  <si>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</si>
  <si>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</si>
  <si>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</si>
  <si>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</si>
  <si>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</si>
  <si>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</si>
  <si>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</si>
  <si>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</si>
  <si>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</si>
  <si>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</si>
  <si>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</si>
  <si>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</si>
  <si>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</si>
  <si>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</si>
  <si>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</si>
  <si>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</si>
  <si>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</si>
  <si>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</si>
  <si>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</si>
  <si>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</si>
  <si>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</si>
  <si>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</si>
  <si>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</si>
  <si>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</si>
  <si>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</si>
  <si>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</si>
  <si>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</si>
  <si>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</si>
  <si>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</si>
  <si>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</si>
  <si>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</si>
  <si>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</si>
  <si>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</si>
  <si>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</si>
  <si>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</si>
  <si>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</si>
  <si>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</si>
  <si>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</si>
  <si>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</si>
  <si>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</si>
  <si>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</si>
  <si>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</si>
  <si>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</si>
  <si>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</si>
  <si>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</si>
  <si>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</si>
  <si>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</si>
  <si>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</si>
  <si>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</si>
  <si>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</si>
  <si>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</si>
  <si>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</si>
  <si>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</si>
  <si>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</si>
  <si>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</si>
  <si>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</si>
  <si>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</si>
  <si>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</si>
  <si>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</si>
  <si>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</si>
  <si>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</si>
  <si>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</si>
  <si>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</si>
  <si>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</si>
  <si>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</si>
  <si>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</si>
  <si>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</si>
  <si>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</si>
  <si>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</si>
  <si>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</si>
  <si>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</si>
  <si>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</si>
  <si>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</si>
  <si>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</si>
  <si>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</si>
  <si>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</si>
  <si>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</si>
  <si>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</si>
  <si>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</si>
  <si>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</si>
  <si>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</si>
  <si>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</si>
  <si>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</si>
  <si>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</si>
  <si>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</si>
  <si>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</si>
  <si>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</si>
  <si>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</si>
  <si>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</si>
  <si>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</si>
  <si>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</si>
  <si>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</si>
  <si>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</si>
  <si>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</si>
  <si>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</si>
  <si>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</si>
  <si>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</si>
  <si>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</si>
  <si>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</si>
  <si>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</si>
  <si>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</si>
  <si>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</si>
  <si>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</si>
  <si>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</si>
  <si>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</si>
  <si>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</si>
  <si>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</si>
  <si>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</si>
  <si>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</si>
  <si>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</si>
  <si>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</si>
  <si>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</si>
  <si>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</si>
  <si>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</si>
  <si>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</si>
  <si>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</si>
  <si>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</si>
  <si>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</si>
  <si>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</si>
  <si>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</si>
  <si>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</si>
  <si>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</si>
  <si>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</si>
  <si>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</si>
  <si>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</si>
  <si>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</si>
  <si>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</si>
  <si>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</si>
  <si>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</si>
  <si>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</si>
  <si>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</si>
  <si>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</si>
  <si>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</si>
  <si>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</si>
  <si>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</si>
  <si>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</si>
  <si>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(+) Software Savings</t>
  </si>
  <si>
    <t>(+) [ ]</t>
  </si>
  <si>
    <t>PF Annualization Assumptions</t>
  </si>
  <si>
    <t>(+) Other Professional Fees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</si>
  <si>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</si>
  <si>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</si>
  <si>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</si>
  <si>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</si>
  <si>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</si>
  <si>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</si>
  <si>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</si>
  <si>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</si>
  <si>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</si>
  <si>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</si>
  <si>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</si>
  <si>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</si>
  <si>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</si>
  <si>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</si>
  <si>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</si>
  <si>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</si>
  <si>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</si>
  <si>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</si>
  <si>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</si>
  <si>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</si>
  <si>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</si>
  <si>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</si>
  <si>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</si>
  <si>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</si>
  <si>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</si>
  <si>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</si>
  <si>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</si>
  <si>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</si>
  <si>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</si>
  <si>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</si>
  <si>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</si>
  <si>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</si>
  <si>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</si>
  <si>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</si>
  <si>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</si>
  <si>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</si>
  <si>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</si>
  <si>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</si>
  <si>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</si>
  <si>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</si>
  <si>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</si>
  <si>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</si>
  <si>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</si>
  <si>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</si>
  <si>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</si>
  <si>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</si>
  <si>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</si>
  <si>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</si>
  <si>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</si>
  <si>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</si>
  <si>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</si>
  <si>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</si>
  <si>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</si>
  <si>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</si>
  <si>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</si>
  <si>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</si>
  <si>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</si>
  <si>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</si>
  <si>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</si>
  <si>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</si>
  <si>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</si>
  <si>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</si>
  <si>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</si>
  <si>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</si>
  <si>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</si>
  <si>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</si>
  <si>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</si>
  <si>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</si>
  <si>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</si>
  <si>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</si>
  <si>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</si>
  <si>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</si>
  <si>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</si>
  <si>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</si>
  <si>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</si>
  <si>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</si>
  <si>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</si>
  <si>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</si>
  <si>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</si>
  <si>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</si>
  <si>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</si>
  <si>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</si>
  <si>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</si>
  <si>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</si>
  <si>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</si>
  <si>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</si>
  <si>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</si>
  <si>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</si>
  <si>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</si>
  <si>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</si>
  <si>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</si>
  <si>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</si>
  <si>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</si>
  <si>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</si>
  <si>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</si>
  <si>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</si>
  <si>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</si>
  <si>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</si>
  <si>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</si>
  <si>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</si>
  <si>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</si>
  <si>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</si>
  <si>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</si>
  <si>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</si>
  <si>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</si>
  <si>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</si>
  <si>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</si>
  <si>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</si>
  <si>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</si>
  <si>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</si>
  <si>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</si>
  <si>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</si>
  <si>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</si>
  <si>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</si>
  <si>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</si>
  <si>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</si>
  <si>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</si>
  <si>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</si>
  <si>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</si>
  <si>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</si>
  <si>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</si>
  <si>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</si>
  <si>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</si>
  <si>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</si>
  <si>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</si>
  <si>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</si>
  <si>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</si>
  <si>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</si>
  <si>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</si>
  <si>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</si>
  <si>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</si>
  <si>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</si>
  <si>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</si>
  <si>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</si>
  <si>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</si>
  <si>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</si>
  <si>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</si>
  <si>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</si>
  <si>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</si>
  <si>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</si>
  <si>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</si>
  <si>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</si>
  <si>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</si>
  <si>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</si>
  <si>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</si>
  <si>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</si>
  <si>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</si>
  <si>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</si>
  <si>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</si>
  <si>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</si>
  <si>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</si>
  <si>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</si>
  <si>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</si>
  <si>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</si>
  <si>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</si>
  <si>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</si>
  <si>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</si>
  <si>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</si>
  <si>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</si>
  <si>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</si>
  <si>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</si>
  <si>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</si>
  <si>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</si>
  <si>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</si>
  <si>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</si>
  <si>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</si>
  <si>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</si>
  <si>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</si>
  <si>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</si>
  <si>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</si>
  <si>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</si>
  <si>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</si>
  <si>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</si>
  <si>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</si>
  <si>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</si>
  <si>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</si>
  <si>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</si>
  <si>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</si>
  <si>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</si>
  <si>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</si>
  <si>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</si>
  <si>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</si>
  <si>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</si>
  <si>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</si>
  <si>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</si>
  <si>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</si>
  <si>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</si>
  <si>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</si>
  <si>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</si>
  <si>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</si>
  <si>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</si>
  <si>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</si>
  <si>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</si>
  <si>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</si>
  <si>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</si>
  <si>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</si>
  <si>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</si>
  <si>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</si>
  <si>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</si>
  <si>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</si>
  <si>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</si>
  <si>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</si>
  <si>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</si>
  <si>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</si>
  <si>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</si>
  <si>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</si>
  <si>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</si>
  <si>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</si>
  <si>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</si>
  <si>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</si>
  <si>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</si>
  <si>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</si>
  <si>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</si>
  <si>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</si>
  <si>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</si>
  <si>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</si>
  <si>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</si>
  <si>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</si>
  <si>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</si>
  <si>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</si>
  <si>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</si>
  <si>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</si>
  <si>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</si>
  <si>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</si>
  <si>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</si>
  <si>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</si>
  <si>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</si>
  <si>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</si>
  <si>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</si>
  <si>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</si>
  <si>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</si>
  <si>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</si>
  <si>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</si>
  <si>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</si>
  <si>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</si>
  <si>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</si>
  <si>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</si>
  <si>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</si>
  <si>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</si>
  <si>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</si>
  <si>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</si>
  <si>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</si>
  <si>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</si>
  <si>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</si>
  <si>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</si>
  <si>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</si>
  <si>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</si>
  <si>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</si>
  <si>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</si>
  <si>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</si>
  <si>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</si>
  <si>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</si>
  <si>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</si>
  <si>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</si>
  <si>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</si>
  <si>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</si>
  <si>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</si>
  <si>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</si>
  <si>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</si>
  <si>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</si>
  <si>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</si>
  <si>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</si>
  <si>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</si>
  <si>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</si>
  <si>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</si>
  <si>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</si>
  <si>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</si>
  <si>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</si>
  <si>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</si>
  <si>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</si>
  <si>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</si>
  <si>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</si>
  <si>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</si>
  <si>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</si>
  <si>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</si>
  <si>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</si>
  <si>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</si>
  <si>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</si>
  <si>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</si>
  <si>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</si>
  <si>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</si>
  <si>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</si>
  <si>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</si>
  <si>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</si>
  <si>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</si>
  <si>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</si>
  <si>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</si>
  <si>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</si>
  <si>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</si>
  <si>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</si>
  <si>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</si>
  <si>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</si>
  <si>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</si>
  <si>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</si>
  <si>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</si>
  <si>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</si>
  <si>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</si>
  <si>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</si>
  <si>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</si>
  <si>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</si>
  <si>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</si>
  <si>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</si>
  <si>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</si>
  <si>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</si>
  <si>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</si>
  <si>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</si>
  <si>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</si>
  <si>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</si>
  <si>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</si>
  <si>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</si>
  <si>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</si>
  <si>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</si>
  <si>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</si>
  <si>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</si>
  <si>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</si>
  <si>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</si>
  <si>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</si>
  <si>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</si>
  <si>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</si>
  <si>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</si>
  <si>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</si>
  <si>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</si>
  <si>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</si>
  <si>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</si>
  <si>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</si>
  <si>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</si>
  <si>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</si>
  <si>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</si>
  <si>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</si>
  <si>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</si>
  <si>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</si>
  <si>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</si>
  <si>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</si>
  <si>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</si>
  <si>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</si>
  <si>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</si>
  <si>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</si>
  <si>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</si>
  <si>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</si>
  <si>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</si>
  <si>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</si>
  <si>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</si>
  <si>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</si>
  <si>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</si>
  <si>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</si>
  <si>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</si>
  <si>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</si>
  <si>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</si>
  <si>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</si>
  <si>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</si>
  <si>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</si>
  <si>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</si>
  <si>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</si>
  <si>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</si>
  <si>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</si>
  <si>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</si>
  <si>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</si>
  <si>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</si>
  <si>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</si>
  <si>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</si>
  <si>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</si>
  <si>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</si>
  <si>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</si>
  <si>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</si>
  <si>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</si>
  <si>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</si>
  <si>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</si>
  <si>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</si>
  <si>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</si>
  <si>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</si>
  <si>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</si>
  <si>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</si>
  <si>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</si>
  <si>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</si>
  <si>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</si>
  <si>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</si>
  <si>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</si>
  <si>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</si>
  <si>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</si>
  <si>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</si>
  <si>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</si>
  <si>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</si>
  <si>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</si>
  <si>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</si>
  <si>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</si>
  <si>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</si>
  <si>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</si>
  <si>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</si>
  <si>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</si>
  <si>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</si>
  <si>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</si>
  <si>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</si>
  <si>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</si>
  <si>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</si>
  <si>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</si>
  <si>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</si>
  <si>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</si>
  <si>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</si>
  <si>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</si>
  <si>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</si>
  <si>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</si>
  <si>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</si>
  <si>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</si>
  <si>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</si>
  <si>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</si>
  <si>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</si>
  <si>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</si>
  <si>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</si>
  <si>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</si>
  <si>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</si>
  <si>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</si>
  <si>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</si>
  <si>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</si>
  <si>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</si>
  <si>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</si>
  <si>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</si>
  <si>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</si>
  <si>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</si>
  <si>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</si>
  <si>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</si>
  <si>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</si>
  <si>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</si>
  <si>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</si>
  <si>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</si>
  <si>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</si>
  <si>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</si>
  <si>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</si>
  <si>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</si>
  <si>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</si>
  <si>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</si>
  <si>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</si>
  <si>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</si>
  <si>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</si>
  <si>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</si>
  <si>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</si>
  <si>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</si>
  <si>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</si>
  <si>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</si>
  <si>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</si>
  <si>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</si>
  <si>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</si>
  <si>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</si>
  <si>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</si>
  <si>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</si>
  <si>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</si>
  <si>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</si>
  <si>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</si>
  <si>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</si>
  <si>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</si>
  <si>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</si>
  <si>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</si>
  <si>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</si>
  <si>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</si>
  <si>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</si>
  <si>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</si>
  <si>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</si>
  <si>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</si>
  <si>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</si>
  <si>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</si>
  <si>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</si>
  <si>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</si>
  <si>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</si>
  <si>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</si>
  <si>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</si>
  <si>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</si>
  <si>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</si>
  <si>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</si>
  <si>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</si>
  <si>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</si>
  <si>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</si>
  <si>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</si>
  <si>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</si>
  <si>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</si>
  <si>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</si>
  <si>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</si>
  <si>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</si>
  <si>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</si>
  <si>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</si>
  <si>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</si>
  <si>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</si>
  <si>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</si>
  <si>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</si>
  <si>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</si>
  <si>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</si>
  <si>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</si>
  <si>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</si>
  <si>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</si>
  <si>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</si>
  <si>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</si>
  <si>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</si>
  <si>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</si>
  <si>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</si>
  <si>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</si>
  <si>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</si>
  <si>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</si>
  <si>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</si>
  <si>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</si>
  <si>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</si>
  <si>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</si>
  <si>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</si>
  <si>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</si>
  <si>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</si>
  <si>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</si>
  <si>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</si>
  <si>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</si>
  <si>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</si>
  <si>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</si>
  <si>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</si>
  <si>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</si>
  <si>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</si>
  <si>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</si>
  <si>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</si>
  <si>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</si>
  <si>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</si>
  <si>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</si>
  <si>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</si>
  <si>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</si>
  <si>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</si>
  <si>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</si>
  <si>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</si>
  <si>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</si>
  <si>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</si>
  <si>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</si>
  <si>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</si>
  <si>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</si>
  <si>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</si>
  <si>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</si>
  <si>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</si>
  <si>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</si>
  <si>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</si>
  <si>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</si>
  <si>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</si>
  <si>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</si>
  <si>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</si>
  <si>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</si>
  <si>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</si>
  <si>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</si>
  <si>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</si>
  <si>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</si>
  <si>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</si>
  <si>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</si>
  <si>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</si>
  <si>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</si>
  <si>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</si>
  <si>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</si>
  <si>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</si>
  <si>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</si>
  <si>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</si>
  <si>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</si>
  <si>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</si>
  <si>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</si>
  <si>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</si>
  <si>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</si>
  <si>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</si>
  <si>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</si>
  <si>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</si>
  <si>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</si>
  <si>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</si>
  <si>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</si>
  <si>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</si>
  <si>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</si>
  <si>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</si>
  <si>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</si>
  <si>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</si>
  <si>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</si>
  <si>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</si>
  <si>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</si>
  <si>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</si>
  <si>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</si>
  <si>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</si>
  <si>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</si>
  <si>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</si>
  <si>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</si>
  <si>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</si>
  <si>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</si>
  <si>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</si>
  <si>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</si>
  <si>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</si>
  <si>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</si>
  <si>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</si>
  <si>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</si>
  <si>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</si>
  <si>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</si>
  <si>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</si>
  <si>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</si>
  <si>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</si>
  <si>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</si>
  <si>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</si>
  <si>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</si>
  <si>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</si>
  <si>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</si>
  <si>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</si>
  <si>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</si>
  <si>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</si>
  <si>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</si>
  <si>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</si>
  <si>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</si>
  <si>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</si>
  <si>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</si>
  <si>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</si>
  <si>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</si>
  <si>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</si>
  <si>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</si>
  <si>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</si>
  <si>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</si>
  <si>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</si>
  <si>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</si>
  <si>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</si>
  <si>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</si>
  <si>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</si>
  <si>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</si>
  <si>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</si>
  <si>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</si>
  <si>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</si>
  <si>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</si>
  <si>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</si>
  <si>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</si>
  <si>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</si>
  <si>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</si>
  <si>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</si>
  <si>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</si>
  <si>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</si>
  <si>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</si>
  <si>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</si>
  <si>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</si>
  <si>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</si>
  <si>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</si>
  <si>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</si>
  <si>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</si>
  <si>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</si>
  <si>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</si>
  <si>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</si>
  <si>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</si>
  <si>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</si>
  <si>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</si>
  <si>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</si>
  <si>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</si>
  <si>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</si>
  <si>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</si>
  <si>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</si>
  <si>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</si>
  <si>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</si>
  <si>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</si>
  <si>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</si>
  <si>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</si>
  <si>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</si>
  <si>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</si>
  <si>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</si>
  <si>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</si>
  <si>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</si>
  <si>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</si>
  <si>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</si>
  <si>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</si>
  <si>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</si>
  <si>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</si>
  <si>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</si>
  <si>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</si>
  <si>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</si>
  <si>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</si>
  <si>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</si>
  <si>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</si>
  <si>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</si>
  <si>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</si>
  <si>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</si>
  <si>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</si>
  <si>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</si>
  <si>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</si>
  <si>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</si>
  <si>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</si>
  <si>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</si>
  <si>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</si>
  <si>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</si>
  <si>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</si>
  <si>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</si>
  <si>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</si>
  <si>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</si>
  <si>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</si>
  <si>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</si>
  <si>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</si>
  <si>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</si>
  <si>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</si>
  <si>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</si>
  <si>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</si>
  <si>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</si>
  <si>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</si>
  <si>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</si>
  <si>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</si>
  <si>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</si>
  <si>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</si>
  <si>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</si>
  <si>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</si>
  <si>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</si>
  <si>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</si>
  <si>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</si>
  <si>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</si>
  <si>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</si>
  <si>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</si>
  <si>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</si>
  <si>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</si>
  <si>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</si>
  <si>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</si>
  <si>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</si>
  <si>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</si>
  <si>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</si>
  <si>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</si>
  <si>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</si>
  <si>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</si>
  <si>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</si>
  <si>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</si>
  <si>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</si>
  <si>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</si>
  <si>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</si>
  <si>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</si>
  <si>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</si>
  <si>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</si>
  <si>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</si>
  <si>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</si>
  <si>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</si>
  <si>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</si>
  <si>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</si>
  <si>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</si>
  <si>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</si>
  <si>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</si>
  <si>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</si>
  <si>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</si>
  <si>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</si>
  <si>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</si>
  <si>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</si>
  <si>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</si>
  <si>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</si>
  <si>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</si>
  <si>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</si>
  <si>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</si>
  <si>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</si>
  <si>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</si>
  <si>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</si>
  <si>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</si>
  <si>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</si>
  <si>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</si>
  <si>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</si>
  <si>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</si>
  <si>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</si>
  <si>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</si>
  <si>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</si>
  <si>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</si>
  <si>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</si>
  <si>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</si>
  <si>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</si>
  <si>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</si>
  <si>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</si>
  <si>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</si>
  <si>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</si>
  <si>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</si>
  <si>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</si>
  <si>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</si>
  <si>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</si>
  <si>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</si>
  <si>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</si>
  <si>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</si>
  <si>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</si>
  <si>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</si>
  <si>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</si>
  <si>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</si>
  <si>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</si>
  <si>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</si>
  <si>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</si>
  <si>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</si>
  <si>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</si>
  <si>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</si>
  <si>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</si>
  <si>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</si>
  <si>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</si>
  <si>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</si>
  <si>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</si>
  <si>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</si>
  <si>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</si>
  <si>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</si>
  <si>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</si>
  <si>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</si>
  <si>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</si>
  <si>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</si>
  <si>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</si>
  <si>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</si>
  <si>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</si>
  <si>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</si>
  <si>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</si>
  <si>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</si>
  <si>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</si>
  <si>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</si>
  <si>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</si>
  <si>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</si>
  <si>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</si>
  <si>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</si>
  <si>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</si>
  <si>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</si>
  <si>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</si>
  <si>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</si>
  <si>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</si>
  <si>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</si>
  <si>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</si>
  <si>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</si>
  <si>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</si>
  <si>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</si>
  <si>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</si>
  <si>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</si>
  <si>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</si>
  <si>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</si>
  <si>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</si>
  <si>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</si>
  <si>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</si>
  <si>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</si>
  <si>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</si>
  <si>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</si>
  <si>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</si>
  <si>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</si>
  <si>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</si>
  <si>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</si>
  <si>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</si>
  <si>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</si>
  <si>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</si>
  <si>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</si>
  <si>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</si>
  <si>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</si>
  <si>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</si>
  <si>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</si>
  <si>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</si>
  <si>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</si>
  <si>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</si>
  <si>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</si>
  <si>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</si>
  <si>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</si>
  <si>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</si>
  <si>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</si>
  <si>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</si>
  <si>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</si>
  <si>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</si>
  <si>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</si>
  <si>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</si>
  <si>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</si>
  <si>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</si>
  <si>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</si>
  <si>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</si>
  <si>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</si>
  <si>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</si>
  <si>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</si>
  <si>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</si>
  <si>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</si>
  <si>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</si>
  <si>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</si>
  <si>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</si>
  <si>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</si>
  <si>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</si>
  <si>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</si>
  <si>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</si>
  <si>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</si>
  <si>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</si>
  <si>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</si>
  <si>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</si>
  <si>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</si>
  <si>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</si>
  <si>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</si>
  <si>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</si>
  <si>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</si>
  <si>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</si>
  <si>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</si>
  <si>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</si>
  <si>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</si>
  <si>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</si>
  <si>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</si>
  <si>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</si>
  <si>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</si>
  <si>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</si>
  <si>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</si>
  <si>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</si>
  <si>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</si>
  <si>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</si>
  <si>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</si>
  <si>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</si>
  <si>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</si>
  <si>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</si>
  <si>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</si>
  <si>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</si>
  <si>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</si>
  <si>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</si>
  <si>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</si>
  <si>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</si>
  <si>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</si>
  <si>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</si>
  <si>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</si>
  <si>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</si>
  <si>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</si>
  <si>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</si>
  <si>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</si>
  <si>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</si>
  <si>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</si>
  <si>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</si>
  <si>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</si>
  <si>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</si>
  <si>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</si>
  <si>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</si>
  <si>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</si>
  <si>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</si>
  <si>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</si>
  <si>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</si>
  <si>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</si>
  <si>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</si>
  <si>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</si>
  <si>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</si>
  <si>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</si>
  <si>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</si>
  <si>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</si>
  <si>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</si>
  <si>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</si>
  <si>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</si>
  <si>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</si>
  <si>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</si>
  <si>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</si>
  <si>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</si>
  <si>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</si>
  <si>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</si>
  <si>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</si>
  <si>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</si>
  <si>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</si>
  <si>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</si>
  <si>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</si>
  <si>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</si>
  <si>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</si>
  <si>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</si>
  <si>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</si>
  <si>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</si>
  <si>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</si>
  <si>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</si>
  <si>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</si>
  <si>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</si>
  <si>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</si>
  <si>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</si>
  <si>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</si>
  <si>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</si>
  <si>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</si>
  <si>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</si>
  <si>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</si>
  <si>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</si>
  <si>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</si>
  <si>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</si>
  <si>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</si>
  <si>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</si>
  <si>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</si>
  <si>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</si>
  <si>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</si>
  <si>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</si>
  <si>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</si>
  <si>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</si>
  <si>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</si>
  <si>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</si>
  <si>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</si>
  <si>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</si>
  <si>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</si>
  <si>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</si>
  <si>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</si>
  <si>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</si>
  <si>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</si>
  <si>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</si>
  <si>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</si>
  <si>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</si>
  <si>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</si>
  <si>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</si>
  <si>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</si>
  <si>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</si>
  <si>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</si>
  <si>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</si>
  <si>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</si>
  <si>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</si>
  <si>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</si>
  <si>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</si>
  <si>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</si>
  <si>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</si>
  <si>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</si>
  <si>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</si>
  <si>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</si>
  <si>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</si>
  <si>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</si>
  <si>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</si>
  <si>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</si>
  <si>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</si>
  <si>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</si>
  <si>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</si>
  <si>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</si>
  <si>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</si>
  <si>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</si>
  <si>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</si>
  <si>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</si>
  <si>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</si>
  <si>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</si>
  <si>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</si>
  <si>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</si>
  <si>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</si>
  <si>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</si>
  <si>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</si>
  <si>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</si>
  <si>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LTM July'26</t>
  </si>
  <si>
    <t>YTD2026</t>
  </si>
  <si>
    <t>Fee</t>
  </si>
  <si>
    <t>Keep sales person and think about seperating marketing person</t>
  </si>
  <si>
    <t>Don't back out - has some level of sales</t>
  </si>
  <si>
    <t>Sold to former employee in August 2026</t>
  </si>
  <si>
    <t>Consistent with client count at the time of 1Q26 service</t>
  </si>
  <si>
    <t>Reconsider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</si>
  <si>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</si>
  <si>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</si>
  <si>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</si>
  <si>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</si>
  <si>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</si>
  <si>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</si>
  <si>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</si>
  <si>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(+) Other Personnel Savings/Expenses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</si>
  <si>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</si>
  <si>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</si>
  <si>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</si>
  <si>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</si>
  <si>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</si>
  <si>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</si>
  <si>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</si>
  <si>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</si>
  <si>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</si>
  <si>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</si>
  <si>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</si>
  <si>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</si>
  <si>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</si>
  <si>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</si>
  <si>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</si>
  <si>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</si>
  <si>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</si>
  <si>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</si>
  <si>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</si>
  <si>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</si>
  <si>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</si>
  <si>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</si>
  <si>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</si>
  <si>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</si>
  <si>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</si>
  <si>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</si>
  <si>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</si>
  <si>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</si>
  <si>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</si>
  <si>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</si>
  <si>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</si>
  <si>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</si>
  <si>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</si>
  <si>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</si>
  <si>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</si>
  <si>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</si>
  <si>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</si>
  <si>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</si>
  <si>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</si>
  <si>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</si>
  <si>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</si>
  <si>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</si>
  <si>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</si>
  <si>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</si>
  <si>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</si>
  <si>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</si>
  <si>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</si>
  <si>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</si>
  <si>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</si>
  <si>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</si>
  <si>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</si>
  <si>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</si>
  <si>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</si>
  <si>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</si>
  <si>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</si>
  <si>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</si>
  <si>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</si>
  <si>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</si>
  <si>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</si>
  <si>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</si>
  <si>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</si>
  <si>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</si>
  <si>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</si>
  <si>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</si>
  <si>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</si>
  <si>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</si>
  <si>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</si>
  <si>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</si>
  <si>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</si>
  <si>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</si>
  <si>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</si>
  <si>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</si>
  <si>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</si>
  <si>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</si>
  <si>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</si>
  <si>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</si>
  <si>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</si>
  <si>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</si>
  <si>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</si>
  <si>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</si>
  <si>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</si>
  <si>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</si>
  <si>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</si>
  <si>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</si>
  <si>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</si>
  <si>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</si>
  <si>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</si>
  <si>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</si>
  <si>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</si>
  <si>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</si>
  <si>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</si>
  <si>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</si>
  <si>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</si>
  <si>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</si>
  <si>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</si>
  <si>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</si>
  <si>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</si>
  <si>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</si>
  <si>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</si>
  <si>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</si>
  <si>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</si>
  <si>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</si>
  <si>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</si>
  <si>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</si>
  <si>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</si>
  <si>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</si>
  <si>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</si>
  <si>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</si>
  <si>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</si>
  <si>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</si>
  <si>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</si>
  <si>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</si>
  <si>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</si>
  <si>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</si>
  <si>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</si>
  <si>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</si>
  <si>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</si>
  <si>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</si>
  <si>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</si>
  <si>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</si>
  <si>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</si>
  <si>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</si>
  <si>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</si>
  <si>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</si>
  <si>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</si>
  <si>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</si>
  <si>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</si>
  <si>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</si>
  <si>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</si>
  <si>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</si>
  <si>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</si>
  <si>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</si>
  <si>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</si>
  <si>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</si>
  <si>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</si>
  <si>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</si>
  <si>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</si>
  <si>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</si>
  <si>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</si>
  <si>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</si>
  <si>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</si>
  <si>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</si>
  <si>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</si>
  <si>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</si>
  <si>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</si>
  <si>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</si>
  <si>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</si>
  <si>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</si>
  <si>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</si>
  <si>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</si>
  <si>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</si>
  <si>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</si>
  <si>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</si>
  <si>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</si>
  <si>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</si>
  <si>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</si>
  <si>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</si>
  <si>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</si>
  <si>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</si>
  <si>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</si>
  <si>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</si>
  <si>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</si>
  <si>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</si>
  <si>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</si>
  <si>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</si>
  <si>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</si>
  <si>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</si>
  <si>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</si>
  <si>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</si>
  <si>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</si>
  <si>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</si>
  <si>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</si>
  <si>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</si>
  <si>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Total — 87 in the 8 Sep extract</t>
  </si>
  <si>
    <t>Excludes the CEO, who has no rate recorded</t>
  </si>
  <si>
    <t>Staffing Overview ($000s)</t>
  </si>
  <si>
    <t>Employee Role</t>
  </si>
  <si>
    <t>Active?</t>
  </si>
  <si>
    <t>Comp Excl. Owner</t>
  </si>
  <si>
    <t>Comp Incl. Owner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</si>
  <si>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</si>
  <si>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</si>
  <si>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</si>
  <si>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</si>
  <si>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</si>
  <si>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</si>
  <si>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</si>
  <si>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Annual Comp</t>
  </si>
  <si>
    <t>Average Comp</t>
  </si>
  <si>
    <t>Bookkeeping Team</t>
  </si>
  <si>
    <t>Onboarding Team</t>
  </si>
  <si>
    <t>Onboarding Total</t>
  </si>
  <si>
    <t>Bookkeeping Total</t>
  </si>
  <si>
    <t>P&amp;L Account Mapping</t>
  </si>
  <si>
    <t>STR Subscription Revenue</t>
  </si>
  <si>
    <t>Remaining Team</t>
  </si>
  <si>
    <t>Remaining Total</t>
  </si>
  <si>
    <t>Total Employees</t>
  </si>
  <si>
    <t>Delta</t>
  </si>
  <si>
    <t>Implied Team Growth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</si>
  <si>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</si>
  <si>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</si>
  <si>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</si>
  <si>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</si>
  <si>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</si>
  <si>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</si>
  <si>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</si>
  <si>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</si>
  <si>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</si>
  <si>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</si>
  <si>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</si>
  <si>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</si>
  <si>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</si>
  <si>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</si>
  <si>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</si>
  <si>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</si>
  <si>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</si>
  <si>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</si>
  <si>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</si>
  <si>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</si>
  <si>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</si>
  <si>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</si>
  <si>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</si>
  <si>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</si>
  <si>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</si>
  <si>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</si>
  <si>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</si>
  <si>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(-) COO Hire</t>
  </si>
  <si>
    <t xml:space="preserve">Starting Monthly Fees</t>
  </si>
  <si>
    <t xml:space="preserve">Ending Monthly Fees</t>
  </si>
  <si>
    <t xml:space="preserve">New Revenue Growth</t>
  </si>
  <si>
    <t xml:space="preserve">Revenue Churn</t>
  </si>
  <si>
    <t xml:space="preserve">Client Retention Charts ($000s)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</si>
</sst>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83" formatCode="0.0"/>
  </numFmts>
  <fonts count="64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</fonts>
  <fills count="15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8" fillId="0" borderId="0"/>
    <xf numFmtId="9" fontId="24" fillId="0" borderId="0" applyFont="0" applyFill="0" applyBorder="0" applyAlignment="0" applyProtection="0"/>
    <xf numFmtId="0" fontId="44" fillId="0" borderId="0"/>
    <xf numFmtId="0" fontId="51" fillId="0" borderId="0"/>
  </cellStyleXfs>
  <cellXfs count="283">
    <xf numFmtId="0" fontId="0" fillId="0" borderId="0" xfId="0"/>
    <xf numFmtId="0" fontId="14" fillId="2" borderId="0" xfId="0" applyFont="1" applyFill="1"/>
    <xf numFmtId="0" fontId="14" fillId="0" borderId="0" xfId="0" applyFont="1"/>
    <xf numFmtId="0" fontId="14" fillId="0" borderId="1" xfId="0" applyFont="1" applyBorder="1"/>
    <xf numFmtId="0" fontId="14" fillId="0" borderId="2" xfId="0" applyFont="1" applyBorder="1"/>
    <xf numFmtId="0" fontId="19" fillId="0" borderId="0" xfId="1" applyFont="1"/>
    <xf numFmtId="0" fontId="13" fillId="0" borderId="0" xfId="1" applyFont="1"/>
    <xf numFmtId="0" fontId="20" fillId="0" borderId="3" xfId="1" applyFont="1" applyBorder="1"/>
    <xf numFmtId="0" fontId="13" fillId="0" borderId="3" xfId="1" applyFont="1" applyBorder="1"/>
    <xf numFmtId="0" fontId="21" fillId="3" borderId="0" xfId="1" applyFont="1" applyFill="1" applyAlignment="1">
      <alignment horizontal="left" vertical="center"/>
    </xf>
    <xf numFmtId="0" fontId="21" fillId="3" borderId="0" xfId="1" applyFont="1" applyFill="1" applyAlignment="1">
      <alignment horizontal="center" vertical="center"/>
    </xf>
    <xf numFmtId="17" fontId="21" fillId="3" borderId="0" xfId="1" applyNumberFormat="1" applyFont="1" applyFill="1" applyAlignment="1">
      <alignment horizontal="center" vertical="center"/>
    </xf>
    <xf numFmtId="0" fontId="22" fillId="4" borderId="0" xfId="1" applyFont="1" applyFill="1"/>
    <xf numFmtId="0" fontId="13" fillId="4" borderId="0" xfId="1" applyFont="1" applyFill="1"/>
    <xf numFmtId="0" fontId="23" fillId="0" borderId="0" xfId="1" applyFont="1"/>
    <xf numFmtId="164" fontId="23" fillId="0" borderId="0" xfId="1" applyNumberFormat="1" applyFont="1"/>
    <xf numFmtId="164" fontId="13" fillId="0" borderId="0" xfId="1" applyNumberFormat="1" applyFont="1"/>
    <xf numFmtId="0" fontId="22" fillId="0" borderId="0" xfId="1" applyFont="1"/>
    <xf numFmtId="164" fontId="22" fillId="0" borderId="2" xfId="1" applyNumberFormat="1" applyFont="1" applyBorder="1"/>
    <xf numFmtId="0" fontId="23" fillId="0" borderId="0" xfId="1" applyFont="1" applyAlignment="1">
      <alignment horizontal="left"/>
    </xf>
    <xf numFmtId="164" fontId="13" fillId="4" borderId="0" xfId="1" applyNumberFormat="1" applyFont="1" applyFill="1"/>
    <xf numFmtId="164" fontId="22" fillId="0" borderId="4" xfId="1" applyNumberFormat="1" applyFont="1" applyBorder="1"/>
    <xf numFmtId="0" fontId="22" fillId="4" borderId="0" xfId="1" applyFont="1" applyFill="1" applyAlignment="1">
      <alignment horizontal="center"/>
    </xf>
    <xf numFmtId="165" fontId="23" fillId="0" borderId="0" xfId="1" applyNumberFormat="1" applyFont="1"/>
    <xf numFmtId="0" fontId="18" fillId="0" borderId="0" xfId="1"/>
    <xf numFmtId="0" fontId="23" fillId="0" borderId="0" xfId="1" applyFont="1" applyAlignment="1">
      <alignment indent="1"/>
    </xf>
    <xf numFmtId="166" fontId="23" fillId="0" borderId="0" xfId="1" applyNumberFormat="1" applyFont="1"/>
    <xf numFmtId="0" fontId="23" fillId="0" borderId="0" xfId="1" applyFont="1" applyAlignment="1">
      <alignment indent="2"/>
    </xf>
    <xf numFmtId="0" fontId="22" fillId="0" borderId="0" xfId="1" applyFont="1" applyAlignment="1">
      <alignment indent="1"/>
    </xf>
    <xf numFmtId="166" fontId="22" fillId="0" borderId="0" xfId="1" applyNumberFormat="1" applyFont="1"/>
    <xf numFmtId="0" fontId="23" fillId="0" borderId="0" xfId="1" applyFont="1" applyAlignment="1">
      <alignment indent="3"/>
    </xf>
    <xf numFmtId="0" fontId="22" fillId="0" borderId="0" xfId="1" applyFont="1" applyAlignment="1">
      <alignment indent="2"/>
    </xf>
    <xf numFmtId="0" fontId="0" fillId="5" borderId="0" xfId="0" applyFill="1"/>
    <xf numFmtId="14" fontId="29" fillId="0" borderId="0" xfId="1" applyNumberFormat="1" applyFont="1"/>
    <xf numFmtId="14" fontId="23" fillId="0" borderId="0" xfId="1" applyNumberFormat="1" applyFont="1"/>
    <xf numFmtId="14" fontId="31" fillId="0" borderId="0" xfId="1" applyNumberFormat="1" applyFont="1"/>
    <xf numFmtId="0" fontId="12" fillId="0" borderId="0" xfId="0" applyFont="1"/>
    <xf numFmtId="0" fontId="32" fillId="0" borderId="0" xfId="0" applyFont="1"/>
    <xf numFmtId="0" fontId="33" fillId="0" borderId="3" xfId="0" applyFont="1" applyBorder="1"/>
    <xf numFmtId="0" fontId="12" fillId="0" borderId="3" xfId="0" applyFont="1" applyBorder="1"/>
    <xf numFmtId="0" fontId="21" fillId="6" borderId="0" xfId="1" applyFont="1" applyFill="1" applyAlignment="1">
      <alignment horizontal="left" vertical="center"/>
    </xf>
    <xf numFmtId="0" fontId="21" fillId="6" borderId="0" xfId="1" applyFont="1" applyFill="1" applyAlignment="1">
      <alignment horizontal="center" vertical="center"/>
    </xf>
    <xf numFmtId="0" fontId="22" fillId="7" borderId="0" xfId="1" applyFont="1" applyFill="1"/>
    <xf numFmtId="0" fontId="13" fillId="7" borderId="0" xfId="1" applyFont="1" applyFill="1"/>
    <xf numFmtId="17" fontId="21" fillId="6" borderId="0" xfId="1" applyNumberFormat="1" applyFont="1" applyFill="1" applyAlignment="1">
      <alignment horizontal="center" vertical="center"/>
    </xf>
    <xf numFmtId="167" fontId="12" fillId="0" borderId="0" xfId="0" applyNumberFormat="1" applyFont="1"/>
    <xf numFmtId="167" fontId="29" fillId="0" borderId="0" xfId="0" applyNumberFormat="1" applyFont="1"/>
    <xf numFmtId="167" fontId="30" fillId="0" borderId="0" xfId="0" applyNumberFormat="1" applyFont="1"/>
    <xf numFmtId="167" fontId="23" fillId="0" borderId="0" xfId="1" applyNumberFormat="1" applyFont="1"/>
    <xf numFmtId="167" fontId="30" fillId="0" borderId="0" xfId="1" applyNumberFormat="1" applyFont="1"/>
    <xf numFmtId="167" fontId="31" fillId="0" borderId="0" xfId="1" applyNumberFormat="1" applyFont="1"/>
    <xf numFmtId="0" fontId="21" fillId="0" borderId="0" xfId="1" applyFont="1" applyAlignment="1">
      <alignment horizontal="center" vertical="center"/>
    </xf>
    <xf numFmtId="165" fontId="12" fillId="0" borderId="0" xfId="0" applyNumberFormat="1" applyFont="1"/>
    <xf numFmtId="165" fontId="30" fillId="0" borderId="0" xfId="0" applyNumberFormat="1" applyFont="1"/>
    <xf numFmtId="0" fontId="34" fillId="0" borderId="0" xfId="1" applyFont="1" applyAlignment="1">
      <alignment horizontal="left"/>
    </xf>
    <xf numFmtId="0" fontId="34" fillId="0" borderId="0" xfId="1" applyFont="1"/>
    <xf numFmtId="0" fontId="23" fillId="0" borderId="0" xfId="1" applyFont="1" applyAlignment="1">
      <alignment horizontal="left" indent="1"/>
    </xf>
    <xf numFmtId="0" fontId="12" fillId="0" borderId="0" xfId="0" applyFont="1" applyAlignment="1">
      <alignment horizontal="left" indent="1"/>
    </xf>
    <xf numFmtId="0" fontId="27" fillId="0" borderId="2" xfId="0" applyFont="1" applyBorder="1"/>
    <xf numFmtId="167" fontId="27" fillId="0" borderId="2" xfId="0" applyNumberFormat="1" applyFont="1" applyBorder="1"/>
    <xf numFmtId="0" fontId="27" fillId="8" borderId="6" xfId="0" applyFont="1" applyFill="1" applyBorder="1"/>
    <xf numFmtId="167" fontId="27" fillId="8" borderId="7" xfId="0" applyNumberFormat="1" applyFont="1" applyFill="1" applyBorder="1"/>
    <xf numFmtId="167" fontId="27" fillId="8" borderId="8" xfId="0" applyNumberFormat="1" applyFont="1" applyFill="1" applyBorder="1"/>
    <xf numFmtId="167" fontId="27" fillId="8" borderId="6" xfId="0" applyNumberFormat="1" applyFont="1" applyFill="1" applyBorder="1"/>
    <xf numFmtId="165" fontId="30" fillId="0" borderId="0" xfId="1" applyNumberFormat="1" applyFont="1"/>
    <xf numFmtId="165" fontId="31" fillId="0" borderId="0" xfId="1" applyNumberFormat="1" applyFont="1"/>
    <xf numFmtId="168" fontId="23" fillId="0" borderId="0" xfId="1" applyNumberFormat="1" applyFont="1"/>
    <xf numFmtId="168" fontId="27" fillId="8" borderId="7" xfId="0" applyNumberFormat="1" applyFont="1" applyFill="1" applyBorder="1"/>
    <xf numFmtId="168" fontId="27" fillId="8" borderId="8" xfId="0" applyNumberFormat="1" applyFont="1" applyFill="1" applyBorder="1"/>
    <xf numFmtId="168" fontId="27" fillId="8" borderId="6" xfId="0" applyNumberFormat="1" applyFont="1" applyFill="1" applyBorder="1"/>
    <xf numFmtId="165" fontId="29" fillId="0" borderId="0" xfId="1" applyNumberFormat="1" applyFont="1"/>
    <xf numFmtId="167" fontId="27" fillId="0" borderId="0" xfId="0" applyNumberFormat="1" applyFont="1"/>
    <xf numFmtId="168" fontId="27" fillId="0" borderId="0" xfId="0" applyNumberFormat="1" applyFont="1"/>
    <xf numFmtId="0" fontId="12" fillId="9" borderId="0" xfId="0" applyFont="1" applyFill="1"/>
    <xf numFmtId="0" fontId="25" fillId="9" borderId="0" xfId="0" applyFont="1" applyFill="1" applyAlignment="1">
      <alignment horizontal="centerContinuous"/>
    </xf>
    <xf numFmtId="0" fontId="28" fillId="9" borderId="0" xfId="0" applyFont="1" applyFill="1" applyAlignment="1">
      <alignment horizontal="centerContinuous"/>
    </xf>
    <xf numFmtId="0" fontId="25" fillId="9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165" fontId="29" fillId="0" borderId="5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34" fillId="0" borderId="0" xfId="1" applyFont="1" applyAlignment="1">
      <alignment horizontal="left" indent="1"/>
    </xf>
    <xf numFmtId="0" fontId="23" fillId="0" borderId="0" xfId="1" applyFont="1" applyAlignment="1">
      <alignment horizontal="left" indent="2"/>
    </xf>
    <xf numFmtId="165" fontId="29" fillId="0" borderId="0" xfId="0" applyNumberFormat="1" applyFont="1"/>
    <xf numFmtId="165" fontId="31" fillId="0" borderId="0" xfId="0" applyNumberFormat="1" applyFont="1"/>
    <xf numFmtId="165" fontId="26" fillId="0" borderId="0" xfId="1" applyNumberFormat="1" applyFont="1"/>
    <xf numFmtId="0" fontId="26" fillId="0" borderId="0" xfId="0" applyFont="1"/>
    <xf numFmtId="167" fontId="31" fillId="0" borderId="0" xfId="0" applyNumberFormat="1" applyFont="1"/>
    <xf numFmtId="168" fontId="22" fillId="8" borderId="8" xfId="1" applyNumberFormat="1" applyFont="1" applyFill="1" applyBorder="1"/>
    <xf numFmtId="168" fontId="37" fillId="0" borderId="0" xfId="1" applyNumberFormat="1" applyFont="1"/>
    <xf numFmtId="168" fontId="38" fillId="0" borderId="9" xfId="2" applyNumberFormat="1" applyFont="1" applyFill="1" applyBorder="1" applyAlignment="1"/>
    <xf numFmtId="168" fontId="22" fillId="0" borderId="2" xfId="2" applyNumberFormat="1" applyFont="1" applyBorder="1"/>
    <xf numFmtId="168" fontId="12" fillId="0" borderId="0" xfId="0" applyNumberFormat="1" applyFont="1"/>
    <xf numFmtId="0" fontId="22" fillId="0" borderId="2" xfId="0" applyFont="1" applyBorder="1"/>
    <xf numFmtId="0" fontId="11" fillId="0" borderId="0" xfId="0" applyFont="1" applyAlignment="1">
      <alignment horizontal="left" indent="1"/>
    </xf>
    <xf numFmtId="165" fontId="26" fillId="0" borderId="5" xfId="1" applyNumberFormat="1" applyFont="1" applyBorder="1"/>
    <xf numFmtId="167" fontId="20" fillId="0" borderId="0" xfId="0" applyNumberFormat="1" applyFont="1" applyAlignment="1">
      <alignment horizontal="left" indent="1"/>
    </xf>
    <xf numFmtId="0" fontId="11" fillId="0" borderId="0" xfId="0" applyFont="1"/>
    <xf numFmtId="0" fontId="33" fillId="0" borderId="0" xfId="0" applyFont="1"/>
    <xf numFmtId="164" fontId="22" fillId="0" borderId="0" xfId="1" applyNumberFormat="1" applyFont="1"/>
    <xf numFmtId="0" fontId="21" fillId="0" borderId="0" xfId="1" applyFont="1"/>
    <xf numFmtId="0" fontId="22" fillId="0" borderId="0" xfId="1" applyFont="1" applyAlignment="1">
      <alignment horizontal="center"/>
    </xf>
    <xf numFmtId="167" fontId="39" fillId="0" borderId="0" xfId="0" applyNumberFormat="1" applyFont="1"/>
    <xf numFmtId="167" fontId="40" fillId="0" borderId="0" xfId="0" applyNumberFormat="1" applyFont="1"/>
    <xf numFmtId="167" fontId="41" fillId="0" borderId="0" xfId="0" applyNumberFormat="1" applyFont="1"/>
    <xf numFmtId="0" fontId="27" fillId="8" borderId="10" xfId="0" applyFont="1" applyFill="1" applyBorder="1"/>
    <xf numFmtId="167" fontId="27" fillId="8" borderId="2" xfId="0" applyNumberFormat="1" applyFont="1" applyFill="1" applyBorder="1"/>
    <xf numFmtId="167" fontId="27" fillId="8" borderId="11" xfId="0" applyNumberFormat="1" applyFont="1" applyFill="1" applyBorder="1"/>
    <xf numFmtId="0" fontId="41" fillId="8" borderId="12" xfId="0" applyFont="1" applyFill="1" applyBorder="1"/>
    <xf numFmtId="169" fontId="41" fillId="8" borderId="3" xfId="0" applyNumberFormat="1" applyFont="1" applyFill="1" applyBorder="1"/>
    <xf numFmtId="169" fontId="41" fillId="8" borderId="13" xfId="0" applyNumberFormat="1" applyFont="1" applyFill="1" applyBorder="1"/>
    <xf numFmtId="167" fontId="27" fillId="8" borderId="10" xfId="0" applyNumberFormat="1" applyFont="1" applyFill="1" applyBorder="1"/>
    <xf numFmtId="169" fontId="41" fillId="8" borderId="12" xfId="0" applyNumberFormat="1" applyFont="1" applyFill="1" applyBorder="1"/>
    <xf numFmtId="168" fontId="22" fillId="8" borderId="11" xfId="1" applyNumberFormat="1" applyFont="1" applyFill="1" applyBorder="1"/>
    <xf numFmtId="168" fontId="42" fillId="8" borderId="13" xfId="1" applyNumberFormat="1" applyFont="1" applyFill="1" applyBorder="1"/>
    <xf numFmtId="165" fontId="43" fillId="0" borderId="0" xfId="0" applyNumberFormat="1" applyFont="1"/>
    <xf numFmtId="0" fontId="43" fillId="0" borderId="0" xfId="0" applyFont="1" applyAlignment="1">
      <alignment horizontal="left" indent="1"/>
    </xf>
    <xf numFmtId="165" fontId="26" fillId="0" borderId="0" xfId="0" applyNumberFormat="1" applyFont="1"/>
    <xf numFmtId="0" fontId="10" fillId="0" borderId="0" xfId="0" applyFont="1"/>
    <xf numFmtId="0" fontId="25" fillId="10" borderId="0" xfId="1" applyFont="1" applyFill="1"/>
    <xf numFmtId="0" fontId="28" fillId="10" borderId="0" xfId="1" applyFont="1" applyFill="1"/>
    <xf numFmtId="0" fontId="25" fillId="10" borderId="0" xfId="1" applyFont="1" applyFill="1" applyAlignment="1">
      <alignment horizontal="centerContinuous"/>
    </xf>
    <xf numFmtId="0" fontId="28" fillId="9" borderId="0" xfId="1" applyFont="1" applyFill="1" applyAlignment="1">
      <alignment horizontal="centerContinuous"/>
    </xf>
    <xf numFmtId="0" fontId="23" fillId="7" borderId="0" xfId="1" applyFont="1" applyFill="1"/>
    <xf numFmtId="0" fontId="10" fillId="0" borderId="0" xfId="0" applyFont="1" applyAlignment="1">
      <alignment horizontal="left" indent="1"/>
    </xf>
    <xf numFmtId="0" fontId="33" fillId="0" borderId="0" xfId="0" applyFont="1" applyAlignment="1">
      <alignment horizontal="left" indent="1"/>
    </xf>
    <xf numFmtId="167" fontId="22" fillId="8" borderId="8" xfId="0" applyNumberFormat="1" applyFont="1" applyFill="1" applyBorder="1"/>
    <xf numFmtId="167" fontId="22" fillId="0" borderId="2" xfId="0" applyNumberFormat="1" applyFont="1" applyBorder="1"/>
    <xf numFmtId="0" fontId="41" fillId="0" borderId="0" xfId="0" applyFont="1"/>
    <xf numFmtId="169" fontId="41" fillId="0" borderId="0" xfId="0" applyNumberFormat="1" applyFont="1"/>
    <xf numFmtId="168" fontId="42" fillId="0" borderId="0" xfId="1" applyNumberFormat="1" applyFont="1"/>
    <xf numFmtId="0" fontId="45" fillId="0" borderId="0" xfId="3" applyFont="1"/>
    <xf numFmtId="0" fontId="44" fillId="0" borderId="0" xfId="3"/>
    <xf numFmtId="0" fontId="46" fillId="0" borderId="0" xfId="3" applyFont="1"/>
    <xf numFmtId="0" fontId="47" fillId="11" borderId="0" xfId="3" applyFont="1" applyFill="1" applyAlignment="1">
      <alignment vertical="center" wrapText="1"/>
    </xf>
    <xf numFmtId="0" fontId="48" fillId="0" borderId="0" xfId="3" applyFont="1" applyAlignment="1">
      <alignment vertical="top" wrapText="1"/>
    </xf>
    <xf numFmtId="0" fontId="44" fillId="0" borderId="0" xfId="3" applyAlignment="1">
      <alignment vertical="top" wrapText="1"/>
    </xf>
    <xf numFmtId="170" fontId="49" fillId="0" borderId="0" xfId="3" applyNumberFormat="1" applyFont="1" applyAlignment="1">
      <alignment horizontal="right"/>
    </xf>
    <xf numFmtId="4" fontId="44" fillId="0" borderId="0" xfId="3" applyNumberFormat="1" applyAlignment="1">
      <alignment horizontal="right"/>
    </xf>
    <xf numFmtId="0" fontId="50" fillId="0" borderId="0" xfId="3" applyFont="1" applyAlignment="1">
      <alignment vertical="top" wrapText="1"/>
    </xf>
    <xf numFmtId="0" fontId="48" fillId="0" borderId="14" xfId="3" applyFont="1" applyBorder="1"/>
    <xf numFmtId="4" fontId="48" fillId="0" borderId="14" xfId="3" applyNumberFormat="1" applyFont="1" applyBorder="1" applyAlignment="1">
      <alignment horizontal="right"/>
    </xf>
    <xf numFmtId="0" fontId="9" fillId="0" borderId="0" xfId="0" applyFont="1"/>
    <xf numFmtId="9" fontId="12" fillId="0" borderId="0" xfId="2" applyFont="1"/>
    <xf numFmtId="0" fontId="21" fillId="6" borderId="0" xfId="1" applyFont="1" applyFill="1" applyAlignment="1">
      <alignment horizontal="centerContinuous" vertical="center"/>
    </xf>
    <xf numFmtId="168" fontId="27" fillId="0" borderId="2" xfId="0" applyNumberFormat="1" applyFont="1" applyBorder="1"/>
    <xf numFmtId="165" fontId="23" fillId="0" borderId="0" xfId="0" applyNumberFormat="1" applyFont="1"/>
    <xf numFmtId="0" fontId="9" fillId="0" borderId="0" xfId="0" applyFont="1" applyAlignment="1">
      <alignment horizontal="left" indent="1"/>
    </xf>
    <xf numFmtId="0" fontId="51" fillId="0" borderId="0" xfId="4"/>
    <xf numFmtId="3" fontId="51" fillId="0" borderId="0" xfId="4" applyNumberFormat="1"/>
    <xf numFmtId="4" fontId="51" fillId="0" borderId="0" xfId="4" applyNumberFormat="1"/>
    <xf numFmtId="0" fontId="52" fillId="0" borderId="0" xfId="0" applyFont="1"/>
    <xf numFmtId="9" fontId="23" fillId="0" borderId="0" xfId="2" applyFont="1"/>
    <xf numFmtId="169" fontId="12" fillId="0" borderId="0" xfId="0" applyNumberFormat="1" applyFont="1"/>
    <xf numFmtId="168" fontId="23" fillId="0" borderId="0" xfId="1" quotePrefix="1" applyNumberFormat="1" applyFont="1" applyAlignment="1">
      <alignment horizontal="right"/>
    </xf>
    <xf numFmtId="0" fontId="21" fillId="3" borderId="0" xfId="1" applyFont="1" applyFill="1" applyAlignment="1">
      <alignment horizontal="centerContinuous"/>
    </xf>
    <xf numFmtId="0" fontId="8" fillId="0" borderId="0" xfId="0" applyFont="1"/>
    <xf numFmtId="165" fontId="37" fillId="0" borderId="0" xfId="0" applyNumberFormat="1" applyFont="1"/>
    <xf numFmtId="171" fontId="12" fillId="0" borderId="0" xfId="0" applyNumberFormat="1" applyFont="1"/>
    <xf numFmtId="4" fontId="44" fillId="0" borderId="0" xfId="3" applyNumberFormat="1" applyAlignment="1">
      <alignment vertical="top" wrapText="1"/>
    </xf>
    <xf numFmtId="0" fontId="7" fillId="0" borderId="0" xfId="0" applyFont="1"/>
    <xf numFmtId="0" fontId="7" fillId="0" borderId="3" xfId="0" applyFont="1" applyBorder="1"/>
    <xf numFmtId="0" fontId="25" fillId="9" borderId="0" xfId="0" applyFont="1" applyFill="1"/>
    <xf numFmtId="4" fontId="48" fillId="0" borderId="14" xfId="3" applyNumberFormat="1" applyFont="1" applyBorder="1"/>
    <xf numFmtId="0" fontId="6" fillId="0" borderId="0" xfId="0" applyFont="1"/>
    <xf numFmtId="165" fontId="7" fillId="0" borderId="0" xfId="0" applyNumberFormat="1" applyFont="1"/>
    <xf numFmtId="9" fontId="7" fillId="0" borderId="0" xfId="2" applyFont="1"/>
    <xf numFmtId="9" fontId="27" fillId="0" borderId="2" xfId="2" applyFont="1" applyBorder="1"/>
    <xf numFmtId="167" fontId="53" fillId="0" borderId="2" xfId="0" applyNumberFormat="1" applyFont="1" applyBorder="1"/>
    <xf numFmtId="167" fontId="23" fillId="0" borderId="0" xfId="0" applyNumberFormat="1" applyFont="1"/>
    <xf numFmtId="0" fontId="6" fillId="0" borderId="5" xfId="0" applyFont="1" applyBorder="1" applyAlignment="1">
      <alignment horizontal="center"/>
    </xf>
    <xf numFmtId="0" fontId="7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172" fontId="51" fillId="0" borderId="0" xfId="4" applyNumberFormat="1"/>
    <xf numFmtId="0" fontId="5" fillId="0" borderId="0" xfId="0" applyFont="1"/>
    <xf numFmtId="0" fontId="5" fillId="0" borderId="3" xfId="0" applyFont="1" applyBorder="1"/>
    <xf numFmtId="0" fontId="54" fillId="0" borderId="0" xfId="0" applyFont="1"/>
    <xf numFmtId="0" fontId="55" fillId="0" borderId="3" xfId="0" applyFont="1" applyBorder="1"/>
    <xf numFmtId="0" fontId="54" fillId="0" borderId="3" xfId="0" applyFont="1" applyBorder="1"/>
    <xf numFmtId="0" fontId="25" fillId="9" borderId="0" xfId="0" applyFont="1" applyFill="1" applyAlignment="1">
      <alignment horizontal="center" wrapText="1"/>
    </xf>
    <xf numFmtId="0" fontId="22" fillId="12" borderId="0" xfId="0" applyFont="1" applyFill="1" applyAlignment="1">
      <alignment horizontal="center"/>
    </xf>
    <xf numFmtId="0" fontId="56" fillId="0" borderId="2" xfId="0" applyFont="1" applyBorder="1"/>
    <xf numFmtId="0" fontId="55" fillId="0" borderId="0" xfId="0" applyFont="1"/>
    <xf numFmtId="0" fontId="56" fillId="0" borderId="0" xfId="0" applyFont="1"/>
    <xf numFmtId="165" fontId="55" fillId="0" borderId="0" xfId="0" applyNumberFormat="1" applyFont="1"/>
    <xf numFmtId="165" fontId="54" fillId="0" borderId="0" xfId="0" applyNumberFormat="1" applyFont="1"/>
    <xf numFmtId="165" fontId="56" fillId="0" borderId="2" xfId="0" applyNumberFormat="1" applyFont="1" applyBorder="1"/>
    <xf numFmtId="165" fontId="56" fillId="0" borderId="0" xfId="0" applyNumberFormat="1" applyFont="1"/>
    <xf numFmtId="0" fontId="57" fillId="0" borderId="0" xfId="0" applyFont="1"/>
    <xf numFmtId="0" fontId="27" fillId="7" borderId="0" xfId="1" applyFont="1" applyFill="1"/>
    <xf numFmtId="17" fontId="21" fillId="0" borderId="0" xfId="1" applyNumberFormat="1" applyFont="1" applyAlignment="1">
      <alignment horizontal="center" vertical="center"/>
    </xf>
    <xf numFmtId="17" fontId="22" fillId="13" borderId="0" xfId="1" applyNumberFormat="1" applyFont="1" applyFill="1" applyAlignment="1">
      <alignment horizontal="center" vertical="center"/>
    </xf>
    <xf numFmtId="0" fontId="22" fillId="14" borderId="0" xfId="0" applyFont="1" applyFill="1" applyAlignment="1">
      <alignment horizontal="center"/>
    </xf>
    <xf numFmtId="165" fontId="5" fillId="0" borderId="0" xfId="0" applyNumberFormat="1" applyFont="1"/>
    <xf numFmtId="0" fontId="54" fillId="0" borderId="0" xfId="0" applyFont="1" applyAlignment="1">
      <alignment horizontal="left" indent="1"/>
    </xf>
    <xf numFmtId="17" fontId="21" fillId="6" borderId="0" xfId="1" applyNumberFormat="1" applyFont="1" applyFill="1" applyAlignment="1">
      <alignment horizontal="center"/>
    </xf>
    <xf numFmtId="0" fontId="25" fillId="0" borderId="0" xfId="0" applyFont="1" applyAlignment="1">
      <alignment horizontal="center" wrapText="1"/>
    </xf>
    <xf numFmtId="173" fontId="29" fillId="0" borderId="0" xfId="0" applyNumberFormat="1" applyFont="1"/>
    <xf numFmtId="165" fontId="58" fillId="0" borderId="0" xfId="0" applyNumberFormat="1" applyFont="1"/>
    <xf numFmtId="14" fontId="54" fillId="0" borderId="0" xfId="0" applyNumberFormat="1" applyFont="1"/>
    <xf numFmtId="165" fontId="59" fillId="0" borderId="0" xfId="0" applyNumberFormat="1" applyFont="1"/>
    <xf numFmtId="14" fontId="57" fillId="0" borderId="0" xfId="0" applyNumberFormat="1" applyFont="1"/>
    <xf numFmtId="14" fontId="60" fillId="0" borderId="0" xfId="0" applyNumberFormat="1" applyFont="1"/>
    <xf numFmtId="14" fontId="59" fillId="0" borderId="0" xfId="0" applyNumberFormat="1" applyFont="1"/>
    <xf numFmtId="0" fontId="28" fillId="9" borderId="15" xfId="0" applyFont="1" applyFill="1" applyBorder="1"/>
    <xf numFmtId="0" fontId="22" fillId="14" borderId="15" xfId="0" applyFont="1" applyFill="1" applyBorder="1" applyAlignment="1">
      <alignment horizontal="center"/>
    </xf>
    <xf numFmtId="0" fontId="28" fillId="9" borderId="15" xfId="0" applyFont="1" applyFill="1" applyBorder="1" applyAlignment="1">
      <alignment horizontal="centerContinuous"/>
    </xf>
    <xf numFmtId="0" fontId="28" fillId="9" borderId="16" xfId="0" applyFont="1" applyFill="1" applyBorder="1"/>
    <xf numFmtId="0" fontId="22" fillId="14" borderId="16" xfId="0" applyFont="1" applyFill="1" applyBorder="1" applyAlignment="1">
      <alignment horizontal="center"/>
    </xf>
    <xf numFmtId="0" fontId="22" fillId="14" borderId="15" xfId="0" applyFont="1" applyFill="1" applyBorder="1"/>
    <xf numFmtId="0" fontId="4" fillId="0" borderId="0" xfId="0" applyFont="1"/>
    <xf numFmtId="0" fontId="3" fillId="0" borderId="0" xfId="0" applyFont="1"/>
    <xf numFmtId="9" fontId="7" fillId="0" borderId="0" xfId="2" applyFont="1" applyFill="1" applyBorder="1"/>
    <xf numFmtId="167" fontId="7" fillId="0" borderId="0" xfId="0" applyNumberFormat="1" applyFont="1"/>
    <xf numFmtId="167" fontId="26" fillId="0" borderId="0" xfId="2" applyNumberFormat="1" applyFont="1" applyFill="1" applyBorder="1"/>
    <xf numFmtId="165" fontId="26" fillId="0" borderId="0" xfId="2" applyNumberFormat="1" applyFont="1" applyFill="1" applyBorder="1" applyAlignment="1"/>
    <xf numFmtId="0" fontId="2" fillId="0" borderId="0" xfId="0" applyFont="1" applyAlignment="1">
      <alignment horizontal="left" indent="1"/>
    </xf>
    <xf numFmtId="0" fontId="23" fillId="0" borderId="0" xfId="0" applyFont="1" applyAlignment="1">
      <alignment horizontal="left" indent="1"/>
    </xf>
    <xf numFmtId="174" fontId="51" fillId="0" borderId="0" xfId="4" applyNumberFormat="1"/>
    <xf numFmtId="0" fontId="2" fillId="0" borderId="0" xfId="0" applyFont="1"/>
    <xf numFmtId="0" fontId="27" fillId="0" borderId="0" xfId="0" applyFont="1"/>
    <xf numFmtId="0" fontId="2" fillId="0" borderId="3" xfId="0" applyFont="1" applyBorder="1"/>
    <xf numFmtId="167" fontId="51" fillId="0" borderId="0" xfId="4" applyNumberFormat="1"/>
    <xf numFmtId="0" fontId="29" fillId="0" borderId="0" xfId="0" applyFont="1"/>
    <xf numFmtId="0" fontId="2" fillId="7" borderId="0" xfId="1" applyFont="1" applyFill="1"/>
    <xf numFmtId="165" fontId="2" fillId="0" borderId="0" xfId="0" applyNumberFormat="1" applyFont="1"/>
    <xf numFmtId="165" fontId="27" fillId="0" borderId="2" xfId="0" applyNumberFormat="1" applyFont="1" applyBorder="1"/>
    <xf numFmtId="165" fontId="27" fillId="0" borderId="0" xfId="0" applyNumberFormat="1" applyFont="1"/>
    <xf numFmtId="165" fontId="33" fillId="0" borderId="0" xfId="0" applyNumberFormat="1" applyFont="1"/>
    <xf numFmtId="167" fontId="2" fillId="0" borderId="0" xfId="0" applyNumberFormat="1" applyFont="1"/>
    <xf numFmtId="167" fontId="33" fillId="0" borderId="0" xfId="0" applyNumberFormat="1" applyFont="1"/>
    <xf numFmtId="0" fontId="2" fillId="0" borderId="0" xfId="4" applyFont="1"/>
    <xf numFmtId="174" fontId="2" fillId="0" borderId="0" xfId="4" applyNumberFormat="1" applyFont="1"/>
    <xf numFmtId="167" fontId="26" fillId="0" borderId="0" xfId="4" applyNumberFormat="1" applyFont="1"/>
    <xf numFmtId="165" fontId="27" fillId="8" borderId="7" xfId="0" applyNumberFormat="1" applyFont="1" applyFill="1" applyBorder="1"/>
    <xf numFmtId="164" fontId="2" fillId="0" borderId="0" xfId="0" applyNumberFormat="1" applyFont="1"/>
    <xf numFmtId="164" fontId="27" fillId="8" borderId="8" xfId="0" applyNumberFormat="1" applyFont="1" applyFill="1" applyBorder="1"/>
    <xf numFmtId="165" fontId="61" fillId="0" borderId="0" xfId="0" applyNumberFormat="1" applyFont="1"/>
    <xf numFmtId="0" fontId="61" fillId="0" borderId="0" xfId="0" applyFont="1"/>
    <xf numFmtId="0" fontId="56" fillId="8" borderId="10" xfId="0" applyFont="1" applyFill="1" applyBorder="1"/>
    <xf numFmtId="165" fontId="61" fillId="8" borderId="2" xfId="0" applyNumberFormat="1" applyFont="1" applyFill="1" applyBorder="1"/>
    <xf numFmtId="168" fontId="62" fillId="8" borderId="2" xfId="2" applyNumberFormat="1" applyFont="1" applyFill="1" applyBorder="1"/>
    <xf numFmtId="0" fontId="56" fillId="8" borderId="12" xfId="0" applyFont="1" applyFill="1" applyBorder="1"/>
    <xf numFmtId="165" fontId="61" fillId="8" borderId="3" xfId="0" applyNumberFormat="1" applyFont="1" applyFill="1" applyBorder="1"/>
    <xf numFmtId="168" fontId="62" fillId="8" borderId="3" xfId="2" applyNumberFormat="1" applyFont="1" applyFill="1" applyBorder="1"/>
    <xf numFmtId="168" fontId="62" fillId="8" borderId="13" xfId="2" applyNumberFormat="1" applyFont="1" applyFill="1" applyBorder="1"/>
    <xf numFmtId="168" fontId="62" fillId="8" borderId="12" xfId="2" applyNumberFormat="1" applyFont="1" applyFill="1" applyBorder="1"/>
    <xf numFmtId="168" fontId="62" fillId="8" borderId="18" xfId="2" applyNumberFormat="1" applyFont="1" applyFill="1" applyBorder="1"/>
    <xf numFmtId="0" fontId="63" fillId="0" borderId="0" xfId="0" applyFont="1"/>
    <xf numFmtId="165" fontId="57" fillId="0" borderId="5" xfId="0" applyNumberFormat="1" applyFont="1" applyBorder="1" applyAlignment="1">
      <alignment horizontal="center"/>
    </xf>
    <xf numFmtId="14" fontId="29" fillId="0" borderId="0" xfId="0" applyNumberFormat="1" applyFont="1"/>
    <xf numFmtId="168" fontId="62" fillId="8" borderId="10" xfId="2" applyNumberFormat="1" applyFont="1" applyFill="1" applyBorder="1"/>
    <xf numFmtId="168" fontId="62" fillId="8" borderId="11" xfId="2" applyNumberFormat="1" applyFont="1" applyFill="1" applyBorder="1"/>
    <xf numFmtId="168" fontId="54" fillId="0" borderId="0" xfId="0" applyNumberFormat="1" applyFont="1"/>
    <xf numFmtId="168" fontId="62" fillId="8" borderId="17" xfId="2" applyNumberFormat="1" applyFont="1" applyFill="1" applyBorder="1"/>
    <xf numFmtId="14" fontId="23" fillId="13" borderId="0" xfId="1" applyNumberFormat="1" applyFont="1" applyFill="1" applyAlignment="1">
      <alignment horizontal="center" vertical="center"/>
    </xf>
    <xf numFmtId="173" fontId="29" fillId="8" borderId="5" xfId="0" applyNumberFormat="1" applyFont="1" applyFill="1" applyBorder="1"/>
    <xf numFmtId="0" fontId="26" fillId="8" borderId="5" xfId="0" applyFont="1" applyFill="1" applyBorder="1"/>
    <xf numFmtId="167" fontId="5" fillId="0" borderId="0" xfId="0" applyNumberFormat="1" applyFont="1"/>
    <xf numFmtId="0" fontId="28" fillId="9" borderId="0" xfId="0" applyFont="1" applyFill="1"/>
    <xf numFmtId="0" fontId="54" fillId="0" borderId="2" xfId="0" applyFont="1" applyBorder="1" applyAlignment="1">
      <alignment horizontal="left" indent="1"/>
    </xf>
    <xf numFmtId="165" fontId="59" fillId="0" borderId="2" xfId="0" applyNumberFormat="1" applyFont="1" applyBorder="1"/>
    <xf numFmtId="0" fontId="54" fillId="0" borderId="2" xfId="0" applyFont="1" applyBorder="1"/>
    <xf numFmtId="165" fontId="58" fillId="0" borderId="2" xfId="0" applyNumberFormat="1" applyFont="1" applyBorder="1"/>
    <xf numFmtId="0" fontId="56" fillId="8" borderId="6" xfId="0" applyFont="1" applyFill="1" applyBorder="1"/>
    <xf numFmtId="165" fontId="61" fillId="8" borderId="7" xfId="0" applyNumberFormat="1" applyFont="1" applyFill="1" applyBorder="1"/>
    <xf numFmtId="165" fontId="61" fillId="8" borderId="8" xfId="0" applyNumberFormat="1" applyFont="1" applyFill="1" applyBorder="1"/>
    <xf numFmtId="165" fontId="61" fillId="8" borderId="6" xfId="0" applyNumberFormat="1" applyFont="1" applyFill="1" applyBorder="1"/>
    <xf numFmtId="0" fontId="61" fillId="8" borderId="8" xfId="0" applyFont="1" applyFill="1" applyBorder="1"/>
    <xf numFmtId="165" fontId="61" fillId="8" borderId="5" xfId="0" applyNumberFormat="1" applyFont="1" applyFill="1" applyBorder="1"/>
    <xf numFmtId="0" fontId="54" fillId="0" borderId="0" xfId="0" applyFont="1" applyAlignment="1">
      <alignment horizontal="left" indent="2"/>
    </xf>
    <xf numFmtId="0" fontId="15" fillId="0" borderId="0" xfId="0" applyFont="1" applyAlignment="1">
      <alignment horizontal="center"/>
    </xf>
    <xf numFmtId="0" fontId="0" fillId="0" borderId="0" xfId="0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21" fillId="3" borderId="0" xfId="1" applyFont="1" applyFill="1"/>
    <xf numFmtId="0" fontId="1" fillId="0" borderId="0" xfId="0" applyFont="1"/>
    <xf numFmtId="17" fontId="21" fillId="6" borderId="0" xfId="1" applyNumberFormat="1" applyFont="1" applyFill="1" applyAlignment="1">
      <alignment horizontal="left"/>
    </xf>
    <xf numFmtId="0" fontId="1" fillId="0" borderId="3" xfId="0" applyFont="1" applyBorder="1"/>
    <xf numFmtId="0" fontId="1" fillId="0" borderId="0" xfId="0" applyFont="1" applyBorder="1"/>
    <xf numFmtId="0" fontId="54" fillId="0" borderId="0" xfId="0" applyFont="1" applyFill="1"/>
    <xf numFmtId="0" fontId="54" fillId="0" borderId="3" xfId="0" applyFont="1" applyFill="1" applyBorder="1"/>
    <xf numFmtId="0" fontId="54" fillId="0" borderId="2" xfId="0" applyFont="1" applyFill="1" applyBorder="1"/>
    <xf numFmtId="183" fontId="12" fillId="0" borderId="0" xfId="0" applyNumberFormat="1" applyFont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36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7B0000"/>
      <color rgb="FFFFC1C1"/>
      <color rgb="FFFFFFCC"/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38" Type="http://schemas.openxmlformats.org/officeDocument/2006/relationships/worksheet" Target="worksheets/sheet34.xml"/><Relationship Id="rId39" Type="http://schemas.openxmlformats.org/officeDocument/2006/relationships/worksheet" Target="worksheets/sheet3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90.485559999999992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17.234999999999999</c:v>
                </c:pt>
                <c:pt idx="5">
                  <c:v>16.908709999999999</c:v>
                </c:pt>
                <c:pt idx="6">
                  <c:v>14.48771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'Client Retention Charts $'!$C$111:$W$111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$'!$C$112:$W$112</c:f>
              <c:numCache>
                <c:formatCode>#,##0;\(#,##0\);"–";@</c:formatCode>
                <c:ptCount val="21"/>
                <c:pt idx="0">
                  <c:v>11.66733</c:v>
                </c:pt>
                <c:pt idx="1">
                  <c:v>4.553</c:v>
                </c:pt>
                <c:pt idx="2">
                  <c:v>14.48133333</c:v>
                </c:pt>
                <c:pt idx="3">
                  <c:v>5.173833333</c:v>
                </c:pt>
                <c:pt idx="4">
                  <c:v>9.652666667</c:v>
                </c:pt>
                <c:pt idx="5">
                  <c:v>3.917633333</c:v>
                </c:pt>
                <c:pt idx="6">
                  <c:v>5.575633333</c:v>
                </c:pt>
                <c:pt idx="7">
                  <c:v>6.334953333</c:v>
                </c:pt>
                <c:pt idx="8">
                  <c:v>7.290456667</c:v>
                </c:pt>
                <c:pt idx="9">
                  <c:v>10.80183333</c:v>
                </c:pt>
                <c:pt idx="10">
                  <c:v>8.983333333</c:v>
                </c:pt>
                <c:pt idx="11">
                  <c:v>11.77681667</c:v>
                </c:pt>
                <c:pt idx="12">
                  <c:v>10.02666667</c:v>
                </c:pt>
                <c:pt idx="13">
                  <c:v>7.198833333</c:v>
                </c:pt>
                <c:pt idx="14">
                  <c:v>7.378466667</c:v>
                </c:pt>
                <c:pt idx="15">
                  <c:v>12.93333333</c:v>
                </c:pt>
                <c:pt idx="16">
                  <c:v>15.05733333</c:v>
                </c:pt>
                <c:pt idx="17">
                  <c:v>4.86625</c:v>
                </c:pt>
                <c:pt idx="18">
                  <c:v>12.429</c:v>
                </c:pt>
                <c:pt idx="19">
                  <c:v>4.878</c:v>
                </c:pt>
                <c:pt idx="20">
                  <c:v>5.895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'Client Retention Charts $'!$B$113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'Client Retention Charts $'!$C$111:$W$111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0.825</c:v>
                </c:pt>
                <c:pt idx="2">
                  <c:v>0.395</c:v>
                </c:pt>
                <c:pt idx="3">
                  <c:v>1.938333333</c:v>
                </c:pt>
                <c:pt idx="4">
                  <c:v>0</c:v>
                </c:pt>
                <c:pt idx="5">
                  <c:v>2.485166667</c:v>
                </c:pt>
                <c:pt idx="6">
                  <c:v>3.299666667</c:v>
                </c:pt>
                <c:pt idx="7">
                  <c:v>0.5783333333</c:v>
                </c:pt>
                <c:pt idx="8">
                  <c:v>1.65</c:v>
                </c:pt>
                <c:pt idx="9">
                  <c:v>0.63</c:v>
                </c:pt>
                <c:pt idx="10">
                  <c:v>2.178333333</c:v>
                </c:pt>
                <c:pt idx="11">
                  <c:v>3.852613333</c:v>
                </c:pt>
                <c:pt idx="12">
                  <c:v>0.11</c:v>
                </c:pt>
                <c:pt idx="13">
                  <c:v>0.425</c:v>
                </c:pt>
                <c:pt idx="14">
                  <c:v>0.9233333333</c:v>
                </c:pt>
                <c:pt idx="15">
                  <c:v>3.97</c:v>
                </c:pt>
                <c:pt idx="16">
                  <c:v>4.690833333</c:v>
                </c:pt>
                <c:pt idx="17">
                  <c:v>1.790333333</c:v>
                </c:pt>
                <c:pt idx="18">
                  <c:v>2.906666667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'Client Retention Charts $'!$B$114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$'!$C$114:$W$114</c:f>
              <c:numCache>
                <c:formatCode>#,##0;\(#,##0\);"–";@</c:formatCode>
                <c:ptCount val="21"/>
                <c:pt idx="0">
                  <c:v>1.525625</c:v>
                </c:pt>
                <c:pt idx="1">
                  <c:v>0.085</c:v>
                </c:pt>
                <c:pt idx="2">
                  <c:v>0.37525</c:v>
                </c:pt>
                <c:pt idx="3">
                  <c:v>0.395</c:v>
                </c:pt>
                <c:pt idx="4">
                  <c:v>0.47</c:v>
                </c:pt>
                <c:pt idx="5">
                  <c:v>0.3366666667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</c:v>
                </c:pt>
                <c:pt idx="11">
                  <c:v>1.458333333</c:v>
                </c:pt>
                <c:pt idx="12">
                  <c:v>3.228333333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1.683666667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'Client Retention Charts $'!$B$115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'Client Retention Charts $'!$C$111:$W$111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</c:v>
                </c:pt>
                <c:pt idx="15">
                  <c:v>2.735333333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'Client Retention Charts $'!$C$117:$W$117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$'!$C$118:$W$118</c:f>
              <c:numCache>
                <c:formatCode>#,##0;\(#,##0\);"–";@</c:formatCode>
                <c:ptCount val="21"/>
                <c:pt idx="0">
                  <c:v>11.66733</c:v>
                </c:pt>
                <c:pt idx="1">
                  <c:v>4.553</c:v>
                </c:pt>
                <c:pt idx="2">
                  <c:v>14.48133333</c:v>
                </c:pt>
                <c:pt idx="3">
                  <c:v>5.173833333</c:v>
                </c:pt>
                <c:pt idx="4">
                  <c:v>9.652666667</c:v>
                </c:pt>
                <c:pt idx="5">
                  <c:v>3.917633333</c:v>
                </c:pt>
                <c:pt idx="6">
                  <c:v>5.575633333</c:v>
                </c:pt>
                <c:pt idx="7">
                  <c:v>6.334953333</c:v>
                </c:pt>
                <c:pt idx="8">
                  <c:v>7.290456667</c:v>
                </c:pt>
                <c:pt idx="9">
                  <c:v>10.80183333</c:v>
                </c:pt>
                <c:pt idx="10">
                  <c:v>8.983333333</c:v>
                </c:pt>
                <c:pt idx="11">
                  <c:v>11.77681667</c:v>
                </c:pt>
                <c:pt idx="12">
                  <c:v>10.02666667</c:v>
                </c:pt>
                <c:pt idx="13">
                  <c:v>7.198833333</c:v>
                </c:pt>
                <c:pt idx="14">
                  <c:v>7.378466667</c:v>
                </c:pt>
                <c:pt idx="15">
                  <c:v>12.93333333</c:v>
                </c:pt>
                <c:pt idx="16">
                  <c:v>15.05733333</c:v>
                </c:pt>
                <c:pt idx="17">
                  <c:v>4.86625</c:v>
                </c:pt>
                <c:pt idx="18">
                  <c:v>12.429</c:v>
                </c:pt>
                <c:pt idx="19">
                  <c:v>4.878</c:v>
                </c:pt>
                <c:pt idx="20">
                  <c:v>5.895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'Client Retention Charts $'!$C$117:$W$117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$'!$C$119:$W$119</c:f>
              <c:numCache>
                <c:formatCode>#,##0;\(#,##0\);"–";@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0.77025</c:v>
                </c:pt>
                <c:pt idx="3">
                  <c:v>2.333333333</c:v>
                </c:pt>
                <c:pt idx="4">
                  <c:v>0.47</c:v>
                </c:pt>
                <c:pt idx="5">
                  <c:v>2.821833333</c:v>
                </c:pt>
                <c:pt idx="6">
                  <c:v>3.299666667</c:v>
                </c:pt>
                <c:pt idx="7">
                  <c:v>0.5783333333</c:v>
                </c:pt>
                <c:pt idx="8">
                  <c:v>2.14</c:v>
                </c:pt>
                <c:pt idx="9">
                  <c:v>0.63</c:v>
                </c:pt>
                <c:pt idx="10">
                  <c:v>6.439166667</c:v>
                </c:pt>
                <c:pt idx="11">
                  <c:v>5.310946667</c:v>
                </c:pt>
                <c:pt idx="12">
                  <c:v>3.338333333</c:v>
                </c:pt>
                <c:pt idx="13">
                  <c:v>0.425</c:v>
                </c:pt>
                <c:pt idx="14">
                  <c:v>3.688333333</c:v>
                </c:pt>
                <c:pt idx="15">
                  <c:v>7.245333333</c:v>
                </c:pt>
                <c:pt idx="16">
                  <c:v>8.6935</c:v>
                </c:pt>
                <c:pt idx="17">
                  <c:v>1.790333333</c:v>
                </c:pt>
                <c:pt idx="18">
                  <c:v>5.503666667</c:v>
                </c:pt>
                <c:pt idx="19">
                  <c:v>2.741666667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'Client Retention Charts $'!$C$121:$W$121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$'!$C$122:$W$122</c:f>
              <c:numCache>
                <c:formatCode>#,##0;\(#,##0\);"–";@</c:formatCode>
                <c:ptCount val="21"/>
                <c:pt idx="0">
                  <c:v>10.43199667</c:v>
                </c:pt>
                <c:pt idx="1">
                  <c:v>3.726333333</c:v>
                </c:pt>
                <c:pt idx="2">
                  <c:v>13.46633333</c:v>
                </c:pt>
                <c:pt idx="3">
                  <c:v>4.098</c:v>
                </c:pt>
                <c:pt idx="4">
                  <c:v>7.773</c:v>
                </c:pt>
                <c:pt idx="5">
                  <c:v>1.624966667</c:v>
                </c:pt>
                <c:pt idx="6">
                  <c:v>5.059633333</c:v>
                </c:pt>
                <c:pt idx="7">
                  <c:v>5.034953333</c:v>
                </c:pt>
                <c:pt idx="8">
                  <c:v>4.800456667</c:v>
                </c:pt>
                <c:pt idx="9">
                  <c:v>10.01933333</c:v>
                </c:pt>
                <c:pt idx="10">
                  <c:v>8.183333333</c:v>
                </c:pt>
                <c:pt idx="11">
                  <c:v>10.14181667</c:v>
                </c:pt>
                <c:pt idx="12">
                  <c:v>9.406666667</c:v>
                </c:pt>
                <c:pt idx="13">
                  <c:v>5.535666667</c:v>
                </c:pt>
                <c:pt idx="14">
                  <c:v>6.9768</c:v>
                </c:pt>
                <c:pt idx="15">
                  <c:v>10.86333333</c:v>
                </c:pt>
                <c:pt idx="16">
                  <c:v>15.05733333</c:v>
                </c:pt>
                <c:pt idx="17">
                  <c:v>4.86625</c:v>
                </c:pt>
                <c:pt idx="18">
                  <c:v>12.011</c:v>
                </c:pt>
                <c:pt idx="19">
                  <c:v>4.878</c:v>
                </c:pt>
                <c:pt idx="20">
                  <c:v>5.895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'Client Retention Charts $'!$C$121:$W$121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</c:v>
                </c:pt>
                <c:pt idx="13">
                  <c:v>0.425</c:v>
                </c:pt>
                <c:pt idx="14">
                  <c:v>3.04</c:v>
                </c:pt>
                <c:pt idx="15">
                  <c:v>6.845333333</c:v>
                </c:pt>
                <c:pt idx="16">
                  <c:v>6.336666667</c:v>
                </c:pt>
                <c:pt idx="17">
                  <c:v>1.390333333</c:v>
                </c:pt>
                <c:pt idx="18">
                  <c:v>4.003666667</c:v>
                </c:pt>
                <c:pt idx="19">
                  <c:v>2.741666667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'Client Retention Charts $'!$C$125:$W$125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$'!$C$126:$W$126</c:f>
              <c:numCache>
                <c:formatCode>#,##0;\(#,##0\);"–";@</c:formatCode>
                <c:ptCount val="21"/>
                <c:pt idx="0">
                  <c:v>1.235333333</c:v>
                </c:pt>
                <c:pt idx="1">
                  <c:v>0</c:v>
                </c:pt>
                <c:pt idx="2">
                  <c:v>0</c:v>
                </c:pt>
                <c:pt idx="3">
                  <c:v>0.6483333333</c:v>
                </c:pt>
                <c:pt idx="4">
                  <c:v>0.913</c:v>
                </c:pt>
                <c:pt idx="5">
                  <c:v>0.7186666667</c:v>
                </c:pt>
                <c:pt idx="6">
                  <c:v>0.406</c:v>
                </c:pt>
                <c:pt idx="7">
                  <c:v>0.81</c:v>
                </c:pt>
                <c:pt idx="8">
                  <c:v>0</c:v>
                </c:pt>
                <c:pt idx="9">
                  <c:v>0.42</c:v>
                </c:pt>
                <c:pt idx="10">
                  <c:v>0.4</c:v>
                </c:pt>
                <c:pt idx="11">
                  <c:v>1.435</c:v>
                </c:pt>
                <c:pt idx="12">
                  <c:v>0.62</c:v>
                </c:pt>
                <c:pt idx="13">
                  <c:v>1.663166667</c:v>
                </c:pt>
                <c:pt idx="14">
                  <c:v>0.4016666667</c:v>
                </c:pt>
                <c:pt idx="15">
                  <c:v>0.57</c:v>
                </c:pt>
                <c:pt idx="16">
                  <c:v>0</c:v>
                </c:pt>
                <c:pt idx="17">
                  <c:v>0</c:v>
                </c:pt>
                <c:pt idx="18">
                  <c:v>0.418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'Client Retention Charts $'!$C$125:$W$125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0.6483333333</c:v>
                </c:pt>
                <c:pt idx="15">
                  <c:v>0.4</c:v>
                </c:pt>
                <c:pt idx="16">
                  <c:v>2.156833333</c:v>
                </c:pt>
                <c:pt idx="17">
                  <c:v>0.4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270" t="s">
        <v>0</v>
      </c>
      <c r="C24" s="271"/>
      <c r="D24" s="271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</row>
    <row r="25" spans="2:17" ht="25.5">
      <c r="B25" s="272" t="s">
        <v>326</v>
      </c>
      <c r="C25" s="271"/>
      <c r="D25" s="271"/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</row>
    <row r="26" spans="2:17" ht="23.25">
      <c r="B26" s="273" t="str">
        <f ca="1">"As of "&amp;TEXT(TODAY(),"mm/dd/yy")</f>
        <v>As of 09/10/26</v>
      </c>
      <c r="C26" s="271"/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2"/>
  <sheetViews>
    <sheetView showGridLines="0" view="pageBreakPreview" topLeftCell="A52" zoomScale="295" zoomScaleNormal="100" zoomScaleSheetLayoutView="295" workbookViewId="0">
      <selection activeCell="K70" sqref="K1:K1048576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4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3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1">
        <f t="shared" ref="P20:P27" si="6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1">
        <f t="shared" si="6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1">
        <f t="shared" si="6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1">
        <f t="shared" si="6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1">
        <f t="shared" si="6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1">
        <f t="shared" si="6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1">
        <f t="shared" si="6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1">
        <f t="shared" si="6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9"/>
        <v>6.6584999999999965</v>
      </c>
      <c r="N42" s="66">
        <f t="shared" si="10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9"/>
        <v>0.7595500000000186</v>
      </c>
      <c r="N44" s="66">
        <f t="shared" si="10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11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  <row r="49" spans="2:46" ht="3.95" customHeight="1"/>
    <row r="50" spans="2:46">
      <c r="B50" s="42" t="s">
        <v>465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6" t="s">
        <v>67</v>
      </c>
      <c r="C51" s="53">
        <f>+'P&amp;L Forecast'!C86</f>
        <v>18.234249999999999</v>
      </c>
      <c r="D51" s="53">
        <f>+'P&amp;L Forecast'!D86</f>
        <v>27.040950000000002</v>
      </c>
      <c r="F51" s="53">
        <f>+'P&amp;L Forecast'!F86</f>
        <v>12.014000000000001</v>
      </c>
      <c r="G51" s="53">
        <f>+'P&amp;L Forecast'!G86</f>
        <v>57.55</v>
      </c>
      <c r="I51" s="53">
        <f>+'P&amp;L Forecast'!I86</f>
        <v>21.74858</v>
      </c>
      <c r="J51" s="53">
        <f>+'P&amp;L Forecast'!J86</f>
        <v>72.576949999999997</v>
      </c>
      <c r="K51" s="53">
        <f>+'P&amp;L Forecast'!K86</f>
        <v>72.576949999999997</v>
      </c>
      <c r="M51" s="23">
        <f>K51-J51</f>
        <v>0</v>
      </c>
      <c r="N51" s="66">
        <f>IFERROR(K51/J51-1,0)</f>
        <v>0</v>
      </c>
    </row>
    <row r="52" spans="2:46">
      <c r="B52" s="146" t="s">
        <v>466</v>
      </c>
      <c r="C52" s="53">
        <f>SUM('P&amp;L Forecast'!C71:C73)</f>
        <v>14.249639999999999</v>
      </c>
      <c r="D52" s="53">
        <f>SUM('P&amp;L Forecast'!D71:D73)</f>
        <v>18.07948</v>
      </c>
      <c r="F52" s="53">
        <f>SUM('P&amp;L Forecast'!F71:F73)</f>
        <v>6.9710400000000003</v>
      </c>
      <c r="G52" s="53">
        <f>SUM('P&amp;L Forecast'!G71:G73)</f>
        <v>1.9830299999999998</v>
      </c>
      <c r="I52" s="53">
        <f>SUM('P&amp;L Forecast'!I71:I73)</f>
        <v>12.50268</v>
      </c>
      <c r="J52" s="53">
        <f>SUM('P&amp;L Forecast'!J71:J73)</f>
        <v>13.091469999999999</v>
      </c>
      <c r="K52" s="53">
        <f>SUM('P&amp;L Forecast'!K71:K73)</f>
        <v>13.091469999999999</v>
      </c>
      <c r="M52" s="23">
        <f t="shared" ref="M52" si="12">K52-J52</f>
        <v>0</v>
      </c>
      <c r="N52" s="66">
        <f t="shared" ref="N52" si="13">IFERROR(K52/J52-1,0)</f>
        <v>0</v>
      </c>
    </row>
    <row r="53" spans="2:46">
      <c r="B53" s="146" t="s">
        <v>306</v>
      </c>
      <c r="C53" s="53">
        <f>+'P&amp;L Forecast'!C78+'P&amp;L Forecast'!C79</f>
        <v>1.0598299999999998</v>
      </c>
      <c r="D53" s="53">
        <f>+'P&amp;L Forecast'!D78+'P&amp;L Forecast'!D79</f>
        <v>5.9953300000000009</v>
      </c>
      <c r="F53" s="53">
        <f>+'P&amp;L Forecast'!F78+'P&amp;L Forecast'!F79</f>
        <v>2.0263300000000002</v>
      </c>
      <c r="G53" s="53">
        <f>+'P&amp;L Forecast'!G78+'P&amp;L Forecast'!G79</f>
        <v>1.9429999999999996</v>
      </c>
      <c r="I53" s="53">
        <f>+'P&amp;L Forecast'!I78+'P&amp;L Forecast'!I79</f>
        <v>2.4513300000000005</v>
      </c>
      <c r="J53" s="53">
        <f>+'P&amp;L Forecast'!J78+'P&amp;L Forecast'!J79</f>
        <v>5.9120000000000008</v>
      </c>
      <c r="K53" s="53">
        <f>+'P&amp;L Forecast'!K78+'P&amp;L Forecast'!K79</f>
        <v>5.9120000000000008</v>
      </c>
      <c r="M53" s="23">
        <f>K53-J53</f>
        <v>0</v>
      </c>
      <c r="N53" s="66">
        <f>IFERROR(K53/J53-1,0)</f>
        <v>0</v>
      </c>
    </row>
    <row r="54" spans="2:46">
      <c r="B54" s="146" t="s">
        <v>467</v>
      </c>
      <c r="C54" s="53">
        <f>+'P&amp;L Forecast'!C84</f>
        <v>-200</v>
      </c>
      <c r="D54" s="53">
        <f>+'P&amp;L Forecast'!D84</f>
        <v>-109.33296</v>
      </c>
      <c r="F54" s="53">
        <f>+'P&amp;L Forecast'!F84</f>
        <v>-71.200546666666668</v>
      </c>
      <c r="G54" s="53">
        <f>+'P&amp;L Forecast'!G84</f>
        <v>-53.523646666666679</v>
      </c>
      <c r="I54" s="53">
        <f>+'P&amp;L Forecast'!I84</f>
        <v>-154.53388000000001</v>
      </c>
      <c r="J54" s="53">
        <f>+'P&amp;L Forecast'!J84</f>
        <v>-91.656059999999997</v>
      </c>
      <c r="K54" s="53">
        <f>+'P&amp;L Forecast'!K84</f>
        <v>-91.656059999999997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329</v>
      </c>
      <c r="C55" s="59">
        <f>SUM(C51:C54)</f>
        <v>-166.45627999999999</v>
      </c>
      <c r="D55" s="59">
        <f>SUM(D51:D54)</f>
        <v>-58.217199999999998</v>
      </c>
      <c r="F55" s="59">
        <f>SUM(F51:F54)</f>
        <v>-50.189176666666668</v>
      </c>
      <c r="G55" s="59">
        <f>SUM(G51:G54)</f>
        <v>7.9523833333333158</v>
      </c>
      <c r="I55" s="59">
        <f>SUM(I51:I54)</f>
        <v>-117.83129000000001</v>
      </c>
      <c r="J55" s="59">
        <f>SUM(J51:J54)</f>
        <v>-7.5639999999992824E-2</v>
      </c>
      <c r="K55" s="59">
        <f>SUM(K51:K54)</f>
        <v>-7.5639999999992824E-2</v>
      </c>
      <c r="L55" s="71"/>
      <c r="M55" s="59">
        <f>SUM(M51:M54)</f>
        <v>0</v>
      </c>
      <c r="N55" s="144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Forecast'!B93</f>
        <v>Near-Term Adj. EBITDA</v>
      </c>
      <c r="C57" s="105">
        <f>+C47+C55</f>
        <v>-20.98442999999989</v>
      </c>
      <c r="D57" s="106">
        <f>+D47+D55</f>
        <v>72.763099999999838</v>
      </c>
      <c r="F57" s="110">
        <f>+F47+F55</f>
        <v>53.646803333333054</v>
      </c>
      <c r="G57" s="106">
        <f>+G47+G55</f>
        <v>84.095883333333646</v>
      </c>
      <c r="I57" s="110">
        <f>+I47+I55</f>
        <v>17.18170999999991</v>
      </c>
      <c r="J57" s="105">
        <f>+J47+J55</f>
        <v>103.21217999999996</v>
      </c>
      <c r="K57" s="106">
        <f>+K47+K55</f>
        <v>-25.245329999999711</v>
      </c>
      <c r="L57" s="71"/>
      <c r="M57" s="110">
        <f>+M47+M55</f>
        <v>-128.45750999999942</v>
      </c>
      <c r="N57" s="112">
        <f t="shared" ref="N57" si="16">IFERROR(K57/J57-1,0)</f>
        <v>-1.2445964226315123</v>
      </c>
    </row>
    <row r="58" spans="2:46">
      <c r="B58" s="107" t="s">
        <v>305</v>
      </c>
      <c r="C58" s="108">
        <f>C57/C$16</f>
        <v>-1.8489040881714536E-2</v>
      </c>
      <c r="D58" s="109">
        <f>D57/D$16</f>
        <v>3.8716480337886106E-2</v>
      </c>
      <c r="E58" s="97"/>
      <c r="F58" s="111">
        <f>F57/F$16</f>
        <v>5.3761147918841644E-2</v>
      </c>
      <c r="G58" s="109">
        <f>G57/G$16</f>
        <v>5.0326042143171885E-2</v>
      </c>
      <c r="H58" s="97"/>
      <c r="I58" s="111">
        <f>I57/I$16</f>
        <v>1.1271050881204425E-2</v>
      </c>
      <c r="J58" s="108">
        <f>J57/J$16</f>
        <v>4.0435227113754045E-2</v>
      </c>
      <c r="K58" s="109">
        <f>K57/K$16</f>
        <v>-8.4649373866707272E-3</v>
      </c>
      <c r="L58" s="103"/>
      <c r="M58" s="111">
        <f>M57/M$16</f>
        <v>-0.29887060041140345</v>
      </c>
      <c r="N58" s="113">
        <v>0</v>
      </c>
    </row>
    <row r="59" spans="2:46" ht="3.95" customHeight="1"/>
    <row r="60" spans="2:46">
      <c r="B60" s="146" t="s">
        <v>17</v>
      </c>
      <c r="C60" s="53">
        <f>+'P&amp;L Forecast'!C98</f>
        <v>-44.058500000000002</v>
      </c>
      <c r="D60" s="53">
        <f>+'P&amp;L Forecast'!D98</f>
        <v>-74.519299999999987</v>
      </c>
      <c r="F60" s="53">
        <f>+'P&amp;L Forecast'!F98</f>
        <v>-42.254049999999999</v>
      </c>
      <c r="G60" s="53">
        <f>+'P&amp;L Forecast'!G98</f>
        <v>-59.055000000000007</v>
      </c>
      <c r="I60" s="53">
        <f>+'P&amp;L Forecast'!I98</f>
        <v>-57.492550000000001</v>
      </c>
      <c r="J60" s="53">
        <f>+'P&amp;L Forecast'!J98</f>
        <v>-91.320250000000001</v>
      </c>
      <c r="K60" s="53">
        <f>+'P&amp;L Forecast'!K98</f>
        <v>-103.5675</v>
      </c>
      <c r="M60" s="23">
        <f>K60-J60</f>
        <v>-12.247249999999994</v>
      </c>
      <c r="N60" s="66">
        <f>IFERROR(K60/J60-1,0)</f>
        <v>0.13411318957186369</v>
      </c>
      <c r="P60" s="210" t="s">
        <v>1332</v>
      </c>
    </row>
    <row r="61" spans="2:46">
      <c r="B61" s="146" t="s">
        <v>37</v>
      </c>
      <c r="C61" s="53">
        <f>+'P&amp;L Forecast'!C99</f>
        <v>122.81254999999999</v>
      </c>
      <c r="D61" s="53">
        <f>+'P&amp;L Forecast'!D99</f>
        <v>152.16972000000001</v>
      </c>
      <c r="F61" s="53">
        <f>+'P&amp;L Forecast'!F99</f>
        <v>73.949619999999996</v>
      </c>
      <c r="G61" s="53">
        <f>+'P&amp;L Forecast'!G99</f>
        <v>111.27999</v>
      </c>
      <c r="I61" s="53">
        <f>+'P&amp;L Forecast'!I99</f>
        <v>121.30735</v>
      </c>
      <c r="J61" s="53">
        <f>+'P&amp;L Forecast'!J99</f>
        <v>189.50009</v>
      </c>
      <c r="K61" s="53">
        <f>+'P&amp;L Forecast'!K99</f>
        <v>197.14943999999997</v>
      </c>
      <c r="M61" s="23">
        <f>K61-J61</f>
        <v>7.6493499999999699</v>
      </c>
      <c r="N61" s="66">
        <f>IFERROR(K61/J61-1,0)</f>
        <v>4.0365943889525191E-2</v>
      </c>
      <c r="P61" s="210" t="s">
        <v>1332</v>
      </c>
    </row>
    <row r="62" spans="2:46">
      <c r="B62" s="146" t="s">
        <v>278</v>
      </c>
      <c r="C62" s="53">
        <f>+'P&amp;L Forecast'!C100</f>
        <v>0</v>
      </c>
      <c r="D62" s="53">
        <f>+'P&amp;L Forecast'!D100</f>
        <v>19.149630000000002</v>
      </c>
      <c r="F62" s="53">
        <f>+'P&amp;L Forecast'!F100</f>
        <v>3.09945</v>
      </c>
      <c r="G62" s="53">
        <f>+'P&amp;L Forecast'!G100</f>
        <v>51.941310000000001</v>
      </c>
      <c r="I62" s="53">
        <f>+'P&amp;L Forecast'!I100</f>
        <v>3.09945</v>
      </c>
      <c r="J62" s="53">
        <f>+'P&amp;L Forecast'!J100</f>
        <v>67.991489999999999</v>
      </c>
      <c r="K62" s="53">
        <f>+'P&amp;L Forecast'!K100</f>
        <v>98.349119999999999</v>
      </c>
      <c r="M62" s="23">
        <f>K62-J62</f>
        <v>30.35763</v>
      </c>
      <c r="N62" s="66">
        <f>IFERROR(K62/J62-1,0)</f>
        <v>0.44649161240619972</v>
      </c>
      <c r="P62" s="209" t="s">
        <v>1328</v>
      </c>
    </row>
    <row r="63" spans="2:46">
      <c r="B63" s="146" t="s">
        <v>42</v>
      </c>
      <c r="C63" s="53">
        <f>+'P&amp;L Forecast'!C101</f>
        <v>24.819999999999997</v>
      </c>
      <c r="D63" s="53">
        <f>+'P&amp;L Forecast'!D101</f>
        <v>27.153739999999999</v>
      </c>
      <c r="F63" s="53">
        <f>+'P&amp;L Forecast'!F101</f>
        <v>17.089500000000001</v>
      </c>
      <c r="G63" s="53">
        <f>+'P&amp;L Forecast'!G101</f>
        <v>20.62969</v>
      </c>
      <c r="I63" s="53">
        <f>+'P&amp;L Forecast'!I101</f>
        <v>26.209499999999998</v>
      </c>
      <c r="J63" s="53">
        <f>+'P&amp;L Forecast'!J101</f>
        <v>30.693929999999998</v>
      </c>
      <c r="K63" s="53">
        <f>+'P&amp;L Forecast'!K101</f>
        <v>30.693929999999998</v>
      </c>
      <c r="M63" s="23">
        <f t="shared" ref="M63" si="17">K63-J63</f>
        <v>0</v>
      </c>
      <c r="N63" s="66">
        <f t="shared" ref="N63" si="18">IFERROR(K63/J63-1,0)</f>
        <v>0</v>
      </c>
      <c r="P63" s="209" t="s">
        <v>1329</v>
      </c>
    </row>
    <row r="64" spans="2:46">
      <c r="B64" s="58" t="s">
        <v>315</v>
      </c>
      <c r="C64" s="59">
        <f>SUM(C60:C63)</f>
        <v>103.57404999999997</v>
      </c>
      <c r="D64" s="59">
        <f>SUM(D60:D63)</f>
        <v>123.95379000000003</v>
      </c>
      <c r="F64" s="59">
        <f>SUM(F60:F63)</f>
        <v>51.884519999999995</v>
      </c>
      <c r="G64" s="59">
        <f>SUM(G60:G63)</f>
        <v>124.79598999999999</v>
      </c>
      <c r="I64" s="59">
        <f>SUM(I60:I63)</f>
        <v>93.123750000000001</v>
      </c>
      <c r="J64" s="59">
        <f>SUM(J60:J63)</f>
        <v>196.86526000000001</v>
      </c>
      <c r="K64" s="59">
        <f>SUM(K60:K63)</f>
        <v>222.62498999999997</v>
      </c>
      <c r="M64" s="59">
        <f>SUM(M60:M63)</f>
        <v>25.759729999999976</v>
      </c>
      <c r="N64" s="144">
        <f>K64/J64-1</f>
        <v>0.13084954653756564</v>
      </c>
    </row>
    <row r="65" spans="2:14" ht="3.95" customHeight="1"/>
    <row r="66" spans="2:14">
      <c r="B66" s="104" t="str">
        <f>+'P&amp;L Forecast'!B104</f>
        <v>Steady-State Adj. EBITDA</v>
      </c>
      <c r="C66" s="105">
        <f>+C64+C57</f>
        <v>82.589620000000082</v>
      </c>
      <c r="D66" s="106">
        <f>+D64+D57</f>
        <v>196.71688999999986</v>
      </c>
      <c r="F66" s="110">
        <f>+F64+F57</f>
        <v>105.53132333333305</v>
      </c>
      <c r="G66" s="106">
        <f>+G64+G57</f>
        <v>208.89187333333365</v>
      </c>
      <c r="I66" s="110">
        <f>+I64+I57</f>
        <v>110.30545999999991</v>
      </c>
      <c r="J66" s="105">
        <f>+J64+J57</f>
        <v>300.07743999999997</v>
      </c>
      <c r="K66" s="106">
        <f>+K64+K57</f>
        <v>197.37966000000026</v>
      </c>
      <c r="L66" s="71"/>
      <c r="M66" s="110">
        <f>+M64+M57</f>
        <v>-102.69777999999944</v>
      </c>
      <c r="N66" s="112">
        <f t="shared" ref="N66" si="19">IFERROR(K66/J66-1,0)</f>
        <v>-0.34223759040332957</v>
      </c>
    </row>
    <row r="67" spans="2:14">
      <c r="B67" s="107" t="s">
        <v>305</v>
      </c>
      <c r="C67" s="108">
        <f>C66/C$16</f>
        <v>7.276837448457156E-2</v>
      </c>
      <c r="D67" s="109">
        <f>D66/D$16</f>
        <v>0.10467098850674469</v>
      </c>
      <c r="E67" s="97"/>
      <c r="F67" s="111">
        <f>F66/F$16</f>
        <v>0.10575625631488919</v>
      </c>
      <c r="G67" s="109">
        <f>G66/G$16</f>
        <v>0.1250085117611516</v>
      </c>
      <c r="H67" s="97"/>
      <c r="I67" s="111">
        <f>I66/I$16</f>
        <v>7.2359413127952049E-2</v>
      </c>
      <c r="J67" s="108">
        <f>J66/J$16</f>
        <v>0.11756073205811471</v>
      </c>
      <c r="K67" s="109">
        <f>K66/K$16</f>
        <v>6.6182793542503809E-2</v>
      </c>
      <c r="L67" s="103"/>
      <c r="M67" s="111">
        <f>M66/M$16</f>
        <v>-0.23893774034323254</v>
      </c>
      <c r="N67" s="113">
        <v>0</v>
      </c>
    </row>
    <row r="69" spans="2:14">
      <c r="K69" s="282">
        <f>3000/450</f>
        <v>6.666666666666667</v>
      </c>
    </row>
    <row r="70" spans="2:14">
      <c r="K70" s="142">
        <f>450/3000</f>
        <v>0.15</v>
      </c>
    </row>
    <row r="71" spans="2:14">
      <c r="K71" s="157"/>
    </row>
    <row r="72" spans="2:14">
      <c r="K72" s="157"/>
    </row>
  </sheetData>
  <conditionalFormatting sqref="A7:XFD52 A53 C53:XFD53 C54:N54 A55:XFD59 A60:O64 Q60:XFD64 P62 A65:XFD72">
    <cfRule type="expression" dxfId="35" priority="1">
      <formula>$Q$3=1</formula>
    </cfRule>
  </conditionalFormatting>
  <pageMargins left="0.7" right="0.7" top="0.75" bottom="0.75" header="0.3" footer="0.3"/>
  <pageSetup scale="9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="130" zoomScaleNormal="100" zoomScaleSheetLayoutView="130" workbookViewId="0">
      <selection activeCell="B21" sqref="B21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6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1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/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51"/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51"/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51"/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51"/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51"/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51"/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51"/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51"/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6"/>
        <v>0</v>
      </c>
      <c r="N43" s="66">
        <f t="shared" si="7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6"/>
        <v>0.7595500000000186</v>
      </c>
      <c r="N44" s="66">
        <f t="shared" si="7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8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</sheetData>
  <conditionalFormatting sqref="A7:XFD53">
    <cfRule type="expression" dxfId="34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72"/>
  <sheetViews>
    <sheetView showGridLines="0" zoomScale="130" zoomScaleNormal="130" workbookViewId="0">
      <pane ySplit="5" topLeftCell="A67" activePane="bottomLeft" state="frozen"/>
      <selection pane="bottomLeft" activeCell="K78" sqref="K78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456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41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>SUMIFS($P7:$AT7,$P$5:$AT$5,"&gt;"&amp;C$171,$P$5:$AT$5,"&lt;"&amp;C$172)</f>
        <v>793.47225000000003</v>
      </c>
      <c r="D7" s="48">
        <f>SUMIFS($P7:$AT7,$P$5:$AT$5,"&gt;"&amp;D$171,$P$5:$AT$5,"&lt;"&amp;D$172)</f>
        <v>1450.4923499999998</v>
      </c>
      <c r="E7" s="48"/>
      <c r="F7" s="48">
        <f>SUMIFS($P7:$AT7,$P$5:$AT$5,"&gt;"&amp;F$171,$P$5:$AT$5,"&lt;"&amp;F$172)</f>
        <v>751.52859999999987</v>
      </c>
      <c r="G7" s="48">
        <f>SUMIFS($P7:$AT7,$P$5:$AT$5,"&gt;"&amp;G$171,$P$5:$AT$5,"&lt;"&amp;G$172)</f>
        <v>1261.47685</v>
      </c>
      <c r="H7" s="48"/>
      <c r="I7" s="48">
        <f>SUMIFS($P7:$AT7,$P$5:$AT$5,"&gt;"&amp;I$171,$P$5:$AT$5,"&lt;"&amp;I$172)</f>
        <v>1152.3202500000002</v>
      </c>
      <c r="J7" s="48">
        <f>SUMIFS($P7:$AT7,$P$5:$AT$5,"&gt;"&amp;J$171,$P$5:$AT$5,"&lt;"&amp;J$172)</f>
        <v>1960.4406000000001</v>
      </c>
      <c r="K7" s="50">
        <f>+C109</f>
        <v>2410.0500000000002</v>
      </c>
      <c r="L7" s="50"/>
      <c r="M7" s="48">
        <f t="shared" ref="M7:M14" si="1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>SUMIFS($P8:$AT8,$P$5:$AT$5,"&gt;"&amp;C$171,$P$5:$AT$5,"&lt;"&amp;C$172)</f>
        <v>0.55999999999999994</v>
      </c>
      <c r="D8" s="23">
        <f>SUMIFS($P8:$AT8,$P$5:$AT$5,"&gt;"&amp;D$171,$P$5:$AT$5,"&lt;"&amp;D$172)</f>
        <v>55.080500000000008</v>
      </c>
      <c r="E8" s="23"/>
      <c r="F8" s="23">
        <f>SUMIFS($P8:$AT8,$P$5:$AT$5,"&gt;"&amp;F$171,$P$5:$AT$5,"&lt;"&amp;F$172)</f>
        <v>23.225500000000004</v>
      </c>
      <c r="G8" s="23">
        <f>SUMIFS($P8:$AT8,$P$5:$AT$5,"&gt;"&amp;G$171,$P$5:$AT$5,"&lt;"&amp;G$172)</f>
        <v>91.651139999999998</v>
      </c>
      <c r="H8" s="23"/>
      <c r="I8" s="23">
        <f>SUMIFS($P8:$AT8,$P$5:$AT$5,"&gt;"&amp;I$171,$P$5:$AT$5,"&lt;"&amp;I$172)</f>
        <v>23.785500000000006</v>
      </c>
      <c r="J8" s="23">
        <f>SUMIFS($P8:$AT8,$P$5:$AT$5,"&gt;"&amp;J$171,$P$5:$AT$5,"&lt;"&amp;J$172)</f>
        <v>123.50614000000002</v>
      </c>
      <c r="K8" s="65">
        <f>+C111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>SUMIFS($P9:$AT9,$P$5:$AT$5,"&gt;"&amp;C$171,$P$5:$AT$5,"&lt;"&amp;C$172)</f>
        <v>224.79100000000003</v>
      </c>
      <c r="D9" s="23">
        <f>SUMIFS($P9:$AT9,$P$5:$AT$5,"&gt;"&amp;D$171,$P$5:$AT$5,"&lt;"&amp;D$172)</f>
        <v>149.76999999999998</v>
      </c>
      <c r="E9" s="23"/>
      <c r="F9" s="23">
        <f>SUMIFS($P9:$AT9,$P$5:$AT$5,"&gt;"&amp;F$171,$P$5:$AT$5,"&lt;"&amp;F$172)</f>
        <v>90.452500000000001</v>
      </c>
      <c r="G9" s="23">
        <f>SUMIFS($P9:$AT9,$P$5:$AT$5,"&gt;"&amp;G$171,$P$5:$AT$5,"&lt;"&amp;G$172)</f>
        <v>73.418499999999995</v>
      </c>
      <c r="H9" s="23"/>
      <c r="I9" s="23">
        <f>SUMIFS($P9:$AT9,$P$5:$AT$5,"&gt;"&amp;I$171,$P$5:$AT$5,"&lt;"&amp;I$172)</f>
        <v>169.54649999999998</v>
      </c>
      <c r="J9" s="23">
        <f>SUMIFS($P9:$AT9,$P$5:$AT$5,"&gt;"&amp;J$171,$P$5:$AT$5,"&lt;"&amp;J$172)</f>
        <v>132.73599999999999</v>
      </c>
      <c r="K9" s="65">
        <f>+C110</f>
        <v>0</v>
      </c>
      <c r="L9" s="65"/>
      <c r="M9" s="23">
        <f t="shared" si="1"/>
        <v>-132.73599999999999</v>
      </c>
      <c r="N9" s="66">
        <f t="shared" ref="N9:N15" si="2">IFERROR(K9/J9-1,0)</f>
        <v>-1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>SUMIFS($P10:$AT10,$P$5:$AT$5,"&gt;"&amp;C$171,$P$5:$AT$5,"&lt;"&amp;C$172)</f>
        <v>44.058500000000002</v>
      </c>
      <c r="D10" s="23">
        <f>SUMIFS($P10:$AT10,$P$5:$AT$5,"&gt;"&amp;D$171,$P$5:$AT$5,"&lt;"&amp;D$172)</f>
        <v>74.519299999999987</v>
      </c>
      <c r="E10" s="23"/>
      <c r="F10" s="23">
        <f>SUMIFS($P10:$AT10,$P$5:$AT$5,"&gt;"&amp;F$171,$P$5:$AT$5,"&lt;"&amp;F$172)</f>
        <v>42.254049999999999</v>
      </c>
      <c r="G10" s="23">
        <f>SUMIFS($P10:$AT10,$P$5:$AT$5,"&gt;"&amp;G$171,$P$5:$AT$5,"&lt;"&amp;G$172)</f>
        <v>59.055000000000007</v>
      </c>
      <c r="H10" s="23"/>
      <c r="I10" s="23">
        <f>SUMIFS($P10:$AT10,$P$5:$AT$5,"&gt;"&amp;I$171,$P$5:$AT$5,"&lt;"&amp;I$172)</f>
        <v>57.492550000000001</v>
      </c>
      <c r="J10" s="23">
        <f>SUMIFS($P10:$AT10,$P$5:$AT$5,"&gt;"&amp;J$171,$P$5:$AT$5,"&lt;"&amp;J$172)</f>
        <v>91.320250000000001</v>
      </c>
      <c r="K10" s="94">
        <f>+C112</f>
        <v>103.5675</v>
      </c>
      <c r="L10" s="84"/>
      <c r="M10" s="23">
        <f t="shared" si="1"/>
        <v>12.247249999999994</v>
      </c>
      <c r="N10" s="66">
        <f t="shared" si="2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>SUMIFS($P11:$AT11,$P$5:$AT$5,"&gt;"&amp;C$171,$P$5:$AT$5,"&lt;"&amp;C$172)</f>
        <v>0</v>
      </c>
      <c r="D11" s="23">
        <f>SUMIFS($P11:$AT11,$P$5:$AT$5,"&gt;"&amp;D$171,$P$5:$AT$5,"&lt;"&amp;D$172)</f>
        <v>9.947000000000001</v>
      </c>
      <c r="E11" s="23"/>
      <c r="F11" s="23">
        <f>SUMIFS($P11:$AT11,$P$5:$AT$5,"&gt;"&amp;F$171,$P$5:$AT$5,"&lt;"&amp;F$172)</f>
        <v>0</v>
      </c>
      <c r="G11" s="23">
        <f>SUMIFS($P11:$AT11,$P$5:$AT$5,"&gt;"&amp;G$171,$P$5:$AT$5,"&lt;"&amp;G$172)</f>
        <v>45.085999999999991</v>
      </c>
      <c r="H11" s="23"/>
      <c r="I11" s="23">
        <f>SUMIFS($P11:$AT11,$P$5:$AT$5,"&gt;"&amp;I$171,$P$5:$AT$5,"&lt;"&amp;I$172)</f>
        <v>0</v>
      </c>
      <c r="J11" s="23">
        <f>SUMIFS($P11:$AT11,$P$5:$AT$5,"&gt;"&amp;J$171,$P$5:$AT$5,"&lt;"&amp;J$172)</f>
        <v>55.032999999999994</v>
      </c>
      <c r="K11" s="65">
        <f>+C114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>SUMIFS($P12:$AT12,$P$5:$AT$5,"&gt;"&amp;C$171,$P$5:$AT$5,"&lt;"&amp;C$172)</f>
        <v>0.06</v>
      </c>
      <c r="D12" s="23">
        <f>SUMIFS($P12:$AT12,$P$5:$AT$5,"&gt;"&amp;D$171,$P$5:$AT$5,"&lt;"&amp;D$172)</f>
        <v>36.606499999999997</v>
      </c>
      <c r="E12" s="23"/>
      <c r="F12" s="23">
        <f>SUMIFS($P12:$AT12,$P$5:$AT$5,"&gt;"&amp;F$171,$P$5:$AT$5,"&lt;"&amp;F$172)</f>
        <v>15.4915</v>
      </c>
      <c r="G12" s="23">
        <f>SUMIFS($P12:$AT12,$P$5:$AT$5,"&gt;"&amp;G$171,$P$5:$AT$5,"&lt;"&amp;G$172)</f>
        <v>45.129999999999995</v>
      </c>
      <c r="H12" s="23"/>
      <c r="I12" s="23">
        <f>SUMIFS($P12:$AT12,$P$5:$AT$5,"&gt;"&amp;I$171,$P$5:$AT$5,"&lt;"&amp;I$172)</f>
        <v>15.551500000000001</v>
      </c>
      <c r="J12" s="23">
        <f>SUMIFS($P12:$AT12,$P$5:$AT$5,"&gt;"&amp;J$171,$P$5:$AT$5,"&lt;"&amp;J$172)</f>
        <v>66.245000000000005</v>
      </c>
      <c r="K12" s="65">
        <f>+C113</f>
        <v>83.460000000000008</v>
      </c>
      <c r="L12" s="65"/>
      <c r="M12" s="23">
        <f t="shared" si="1"/>
        <v>17.215000000000003</v>
      </c>
      <c r="N12" s="66">
        <f t="shared" si="2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>SUMIFS($P13:$AT13,$P$5:$AT$5,"&gt;"&amp;C$171,$P$5:$AT$5,"&lt;"&amp;C$172)</f>
        <v>13.75</v>
      </c>
      <c r="D13" s="23">
        <f>SUMIFS($P13:$AT13,$P$5:$AT$5,"&gt;"&amp;D$171,$P$5:$AT$5,"&lt;"&amp;D$172)</f>
        <v>46.400000000000006</v>
      </c>
      <c r="E13" s="23"/>
      <c r="F13" s="23">
        <f>SUMIFS($P13:$AT13,$P$5:$AT$5,"&gt;"&amp;F$171,$P$5:$AT$5,"&lt;"&amp;F$172)</f>
        <v>31.5</v>
      </c>
      <c r="G13" s="23">
        <f>SUMIFS($P13:$AT13,$P$5:$AT$5,"&gt;"&amp;G$171,$P$5:$AT$5,"&lt;"&amp;G$172)</f>
        <v>24.25</v>
      </c>
      <c r="H13" s="23"/>
      <c r="I13" s="23">
        <f>SUMIFS($P13:$AT13,$P$5:$AT$5,"&gt;"&amp;I$171,$P$5:$AT$5,"&lt;"&amp;I$172)</f>
        <v>44</v>
      </c>
      <c r="J13" s="23">
        <f>SUMIFS($P13:$AT13,$P$5:$AT$5,"&gt;"&amp;J$171,$P$5:$AT$5,"&lt;"&amp;J$172)</f>
        <v>39.15</v>
      </c>
      <c r="K13" s="65">
        <f>+C115</f>
        <v>42</v>
      </c>
      <c r="L13" s="65"/>
      <c r="M13" s="23">
        <f t="shared" si="1"/>
        <v>2.8500000000000014</v>
      </c>
      <c r="N13" s="66">
        <f t="shared" si="2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>SUMIFS($P14:$AT14,$P$5:$AT$5,"&gt;"&amp;C$171,$P$5:$AT$5,"&lt;"&amp;C$172)</f>
        <v>17.624000000000002</v>
      </c>
      <c r="D14" s="23">
        <f>SUMIFS($P14:$AT14,$P$5:$AT$5,"&gt;"&amp;D$171,$P$5:$AT$5,"&lt;"&amp;D$172)</f>
        <v>5.0337500000000004</v>
      </c>
      <c r="E14" s="23"/>
      <c r="F14" s="23">
        <f>SUMIFS($P14:$AT14,$P$5:$AT$5,"&gt;"&amp;F$171,$P$5:$AT$5,"&lt;"&amp;F$172)</f>
        <v>4.4387500000000006</v>
      </c>
      <c r="G14" s="23">
        <f>SUMIFS($P14:$AT14,$P$5:$AT$5,"&gt;"&amp;G$171,$P$5:$AT$5,"&lt;"&amp;G$172)</f>
        <v>0</v>
      </c>
      <c r="H14" s="23"/>
      <c r="I14" s="23">
        <f>SUMIFS($P14:$AT14,$P$5:$AT$5,"&gt;"&amp;I$171,$P$5:$AT$5,"&lt;"&amp;I$172)</f>
        <v>12.842750000000001</v>
      </c>
      <c r="J14" s="23">
        <f>SUMIFS($P14:$AT14,$P$5:$AT$5,"&gt;"&amp;J$171,$P$5:$AT$5,"&lt;"&amp;J$172)</f>
        <v>0.59499999999999997</v>
      </c>
      <c r="K14" s="65">
        <f>+C116</f>
        <v>0</v>
      </c>
      <c r="L14" s="65"/>
      <c r="M14" s="23">
        <f t="shared" si="1"/>
        <v>-0.59499999999999997</v>
      </c>
      <c r="N14" s="66">
        <f t="shared" si="2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2926.7433000000001</v>
      </c>
      <c r="L15" s="71"/>
      <c r="M15" s="63">
        <f>SUM(M7:M14)</f>
        <v>457.71731000000011</v>
      </c>
      <c r="N15" s="87">
        <f t="shared" si="2"/>
        <v>0.18538375531640305</v>
      </c>
      <c r="P15" s="63">
        <f t="shared" ref="P15:AT15" si="3">SUM(P7:P14)</f>
        <v>73.349500000000006</v>
      </c>
      <c r="Q15" s="61">
        <f t="shared" si="3"/>
        <v>74.744500000000002</v>
      </c>
      <c r="R15" s="61">
        <f t="shared" si="3"/>
        <v>77.995999999999995</v>
      </c>
      <c r="S15" s="61">
        <f t="shared" si="3"/>
        <v>83.212699999999984</v>
      </c>
      <c r="T15" s="61">
        <f t="shared" si="3"/>
        <v>86.604150000000018</v>
      </c>
      <c r="U15" s="61">
        <f t="shared" si="3"/>
        <v>88.544000000000011</v>
      </c>
      <c r="V15" s="61">
        <f t="shared" si="3"/>
        <v>93.216750000000005</v>
      </c>
      <c r="W15" s="61">
        <f t="shared" si="3"/>
        <v>96.775350000000003</v>
      </c>
      <c r="X15" s="61">
        <f t="shared" si="3"/>
        <v>96.491950000000003</v>
      </c>
      <c r="Y15" s="61">
        <f t="shared" si="3"/>
        <v>99.163499999999985</v>
      </c>
      <c r="Z15" s="61">
        <f t="shared" si="3"/>
        <v>108.7123</v>
      </c>
      <c r="AA15" s="61">
        <f t="shared" si="3"/>
        <v>115.50505000000003</v>
      </c>
      <c r="AB15" s="61">
        <f t="shared" si="3"/>
        <v>117.69414999999998</v>
      </c>
      <c r="AC15" s="61">
        <f t="shared" si="3"/>
        <v>116.19465</v>
      </c>
      <c r="AD15" s="61">
        <f t="shared" si="3"/>
        <v>133.5471</v>
      </c>
      <c r="AE15" s="61">
        <f t="shared" si="3"/>
        <v>134.78</v>
      </c>
      <c r="AF15" s="61">
        <f t="shared" si="3"/>
        <v>151.01724999999999</v>
      </c>
      <c r="AG15" s="61">
        <f t="shared" si="3"/>
        <v>151.61374999999998</v>
      </c>
      <c r="AH15" s="61">
        <f t="shared" si="3"/>
        <v>154.04399999999998</v>
      </c>
      <c r="AI15" s="61">
        <f t="shared" si="3"/>
        <v>157.49274999999997</v>
      </c>
      <c r="AJ15" s="61">
        <f t="shared" si="3"/>
        <v>161.958</v>
      </c>
      <c r="AK15" s="61">
        <f t="shared" si="3"/>
        <v>175.58</v>
      </c>
      <c r="AL15" s="61">
        <f t="shared" si="3"/>
        <v>180.39300000000003</v>
      </c>
      <c r="AM15" s="61">
        <f t="shared" si="3"/>
        <v>193.53474999999997</v>
      </c>
      <c r="AN15" s="61">
        <f t="shared" si="3"/>
        <v>203.24331999999995</v>
      </c>
      <c r="AO15" s="61">
        <f t="shared" si="3"/>
        <v>208.38586999999998</v>
      </c>
      <c r="AP15" s="61">
        <f t="shared" si="3"/>
        <v>215.74275</v>
      </c>
      <c r="AQ15" s="61">
        <f t="shared" si="3"/>
        <v>232.03611000000001</v>
      </c>
      <c r="AR15" s="61">
        <f t="shared" si="3"/>
        <v>245.53060999999997</v>
      </c>
      <c r="AS15" s="61">
        <f t="shared" si="3"/>
        <v>243.79017999999999</v>
      </c>
      <c r="AT15" s="62">
        <f t="shared" si="3"/>
        <v>251.33865000000003</v>
      </c>
    </row>
    <row r="16" spans="1:46" ht="3.95" customHeight="1"/>
    <row r="17" spans="2:46" ht="12" customHeight="1">
      <c r="B17" s="57" t="s">
        <v>15</v>
      </c>
      <c r="C17" s="23">
        <f>SUMIFS($P17:$AT17,$P$5:$AT$5,"&gt;"&amp;C$171,$P$5:$AT$5,"&lt;"&amp;C$172)</f>
        <v>6.2004000000000001</v>
      </c>
      <c r="D17" s="23">
        <f>SUMIFS($P17:$AT17,$P$5:$AT$5,"&gt;"&amp;D$171,$P$5:$AT$5,"&lt;"&amp;D$172)</f>
        <v>23.261789999999998</v>
      </c>
      <c r="E17" s="23"/>
      <c r="F17" s="23">
        <f>SUMIFS($P17:$AT17,$P$5:$AT$5,"&gt;"&amp;F$171,$P$5:$AT$5,"&lt;"&amp;F$172)</f>
        <v>14.504949999999999</v>
      </c>
      <c r="G17" s="23">
        <f>SUMIFS($P17:$AT17,$P$5:$AT$5,"&gt;"&amp;G$171,$P$5:$AT$5,"&lt;"&amp;G$172)</f>
        <v>8.0793799999999987</v>
      </c>
      <c r="H17" s="23"/>
      <c r="I17" s="23">
        <f>SUMIFS($P17:$AT17,$P$5:$AT$5,"&gt;"&amp;I$171,$P$5:$AT$5,"&lt;"&amp;I$172)</f>
        <v>18.329350000000002</v>
      </c>
      <c r="J17" s="23">
        <f>SUMIFS($P17:$AT17,$P$5:$AT$5,"&gt;"&amp;J$171,$P$5:$AT$5,"&lt;"&amp;J$172)</f>
        <v>16.836220000000001</v>
      </c>
      <c r="K17" s="65">
        <f>+C121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>SUMIFS($P18:$AT18,$P$5:$AT$5,"&gt;"&amp;C$171,$P$5:$AT$5,"&lt;"&amp;C$172)</f>
        <v>10.475000000000001</v>
      </c>
      <c r="D18" s="23">
        <f>SUMIFS($P18:$AT18,$P$5:$AT$5,"&gt;"&amp;D$171,$P$5:$AT$5,"&lt;"&amp;D$172)</f>
        <v>23.55</v>
      </c>
      <c r="E18" s="23"/>
      <c r="F18" s="23">
        <f>SUMIFS($P18:$AT18,$P$5:$AT$5,"&gt;"&amp;F$171,$P$5:$AT$5,"&lt;"&amp;F$172)</f>
        <v>23.49</v>
      </c>
      <c r="G18" s="23">
        <f>SUMIFS($P18:$AT18,$P$5:$AT$5,"&gt;"&amp;G$171,$P$5:$AT$5,"&lt;"&amp;G$172)</f>
        <v>38.701499999999996</v>
      </c>
      <c r="H18" s="23"/>
      <c r="I18" s="23">
        <f>SUMIFS($P18:$AT18,$P$5:$AT$5,"&gt;"&amp;I$171,$P$5:$AT$5,"&lt;"&amp;I$172)</f>
        <v>23.52</v>
      </c>
      <c r="J18" s="23">
        <f>SUMIFS($P18:$AT18,$P$5:$AT$5,"&gt;"&amp;J$171,$P$5:$AT$5,"&lt;"&amp;J$172)</f>
        <v>38.761499999999998</v>
      </c>
      <c r="K18" s="65">
        <f>+C119</f>
        <v>38.761499999999998</v>
      </c>
      <c r="L18" s="65"/>
      <c r="M18" s="23">
        <f>K18-J18</f>
        <v>0</v>
      </c>
      <c r="N18" s="88">
        <f t="shared" ref="N18:N22" si="4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>SUMIFS($P19:$AT19,$P$5:$AT$5,"&gt;"&amp;C$171,$P$5:$AT$5,"&lt;"&amp;C$172)</f>
        <v>0</v>
      </c>
      <c r="D19" s="23">
        <f>SUMIFS($P19:$AT19,$P$5:$AT$5,"&gt;"&amp;D$171,$P$5:$AT$5,"&lt;"&amp;D$172)</f>
        <v>3.4</v>
      </c>
      <c r="E19" s="23"/>
      <c r="F19" s="23">
        <f>SUMIFS($P19:$AT19,$P$5:$AT$5,"&gt;"&amp;F$171,$P$5:$AT$5,"&lt;"&amp;F$172)</f>
        <v>0</v>
      </c>
      <c r="G19" s="23">
        <f>SUMIFS($P19:$AT19,$P$5:$AT$5,"&gt;"&amp;G$171,$P$5:$AT$5,"&lt;"&amp;G$172)</f>
        <v>23.914999999999999</v>
      </c>
      <c r="H19" s="23"/>
      <c r="I19" s="23">
        <f>SUMIFS($P19:$AT19,$P$5:$AT$5,"&gt;"&amp;I$171,$P$5:$AT$5,"&lt;"&amp;I$172)</f>
        <v>0</v>
      </c>
      <c r="J19" s="23">
        <f>SUMIFS($P19:$AT19,$P$5:$AT$5,"&gt;"&amp;J$171,$P$5:$AT$5,"&lt;"&amp;J$172)</f>
        <v>27.315000000000001</v>
      </c>
      <c r="K19" s="65">
        <f>+C120</f>
        <v>0</v>
      </c>
      <c r="L19" s="65"/>
      <c r="M19" s="23">
        <f>K19-J19</f>
        <v>-27.315000000000001</v>
      </c>
      <c r="N19" s="88">
        <f t="shared" si="4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>SUMIFS($P20:$AT20,$P$5:$AT$5,"&gt;"&amp;C$171,$P$5:$AT$5,"&lt;"&amp;C$172)</f>
        <v>0.37469999999999998</v>
      </c>
      <c r="D20" s="23">
        <f>SUMIFS($P20:$AT20,$P$5:$AT$5,"&gt;"&amp;D$171,$P$5:$AT$5,"&lt;"&amp;D$172)</f>
        <v>1.1219399999999999</v>
      </c>
      <c r="E20" s="23"/>
      <c r="F20" s="23">
        <f>SUMIFS($P20:$AT20,$P$5:$AT$5,"&gt;"&amp;F$171,$P$5:$AT$5,"&lt;"&amp;F$172)</f>
        <v>0.78725000000000001</v>
      </c>
      <c r="G20" s="23">
        <f>SUMIFS($P20:$AT20,$P$5:$AT$5,"&gt;"&amp;G$171,$P$5:$AT$5,"&lt;"&amp;G$172)</f>
        <v>0.25783</v>
      </c>
      <c r="H20" s="23"/>
      <c r="I20" s="23">
        <f>SUMIFS($P20:$AT20,$P$5:$AT$5,"&gt;"&amp;I$171,$P$5:$AT$5,"&lt;"&amp;I$172)</f>
        <v>0.78725000000000001</v>
      </c>
      <c r="J20" s="23">
        <f>SUMIFS($P20:$AT20,$P$5:$AT$5,"&gt;"&amp;J$171,$P$5:$AT$5,"&lt;"&amp;J$172)</f>
        <v>0.59251999999999994</v>
      </c>
      <c r="K20" s="65">
        <f>+C122</f>
        <v>0</v>
      </c>
      <c r="L20" s="65"/>
      <c r="M20" s="23">
        <f>K20-J20</f>
        <v>-0.59251999999999994</v>
      </c>
      <c r="N20" s="88">
        <f t="shared" si="4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>SUMIFS($P21:$AT21,$P$5:$AT$5,"&gt;"&amp;C$171,$P$5:$AT$5,"&lt;"&amp;C$172)</f>
        <v>23.599999999999998</v>
      </c>
      <c r="D21" s="23">
        <f>SUMIFS($P21:$AT21,$P$5:$AT$5,"&gt;"&amp;D$171,$P$5:$AT$5,"&lt;"&amp;D$172)</f>
        <v>0.2</v>
      </c>
      <c r="E21" s="23"/>
      <c r="F21" s="23">
        <f>SUMIFS($P21:$AT21,$P$5:$AT$5,"&gt;"&amp;F$171,$P$5:$AT$5,"&lt;"&amp;F$172)</f>
        <v>0.2</v>
      </c>
      <c r="G21" s="23">
        <f>SUMIFS($P21:$AT21,$P$5:$AT$5,"&gt;"&amp;G$171,$P$5:$AT$5,"&lt;"&amp;G$172)</f>
        <v>0</v>
      </c>
      <c r="H21" s="23"/>
      <c r="I21" s="23">
        <f>SUMIFS($P21:$AT21,$P$5:$AT$5,"&gt;"&amp;I$171,$P$5:$AT$5,"&lt;"&amp;I$172)</f>
        <v>6.2349999999999994</v>
      </c>
      <c r="J21" s="23">
        <f>SUMIFS($P21:$AT21,$P$5:$AT$5,"&gt;"&amp;J$171,$P$5:$AT$5,"&lt;"&amp;J$172)</f>
        <v>0</v>
      </c>
      <c r="K21" s="65">
        <f>+C123</f>
        <v>0</v>
      </c>
      <c r="L21" s="65"/>
      <c r="M21" s="23">
        <f>K21-J21</f>
        <v>0</v>
      </c>
      <c r="N21" s="88">
        <f t="shared" si="4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5">SUM(F17:F21)</f>
        <v>38.982199999999999</v>
      </c>
      <c r="G22" s="59">
        <f t="shared" si="5"/>
        <v>70.953709999999987</v>
      </c>
      <c r="I22" s="59">
        <f t="shared" ref="I22:M22" si="6">SUM(I17:I21)</f>
        <v>48.871600000000001</v>
      </c>
      <c r="J22" s="59">
        <f t="shared" si="6"/>
        <v>83.505239999999986</v>
      </c>
      <c r="K22" s="59">
        <f t="shared" si="6"/>
        <v>55.597719999999995</v>
      </c>
      <c r="L22" s="71"/>
      <c r="M22" s="59">
        <f t="shared" si="6"/>
        <v>-27.907520000000002</v>
      </c>
      <c r="N22" s="89">
        <f t="shared" si="4"/>
        <v>-0.33420082380458993</v>
      </c>
      <c r="P22" s="59">
        <f t="shared" ref="P22" si="7">SUM(P17:P21)</f>
        <v>7.5636000000000001</v>
      </c>
      <c r="Q22" s="59">
        <f t="shared" ref="Q22" si="8">SUM(Q17:Q21)</f>
        <v>6.5111999999999997</v>
      </c>
      <c r="R22" s="59">
        <f t="shared" ref="R22" si="9">SUM(R17:R21)</f>
        <v>0.1162</v>
      </c>
      <c r="S22" s="59">
        <f t="shared" ref="S22" si="10">SUM(S17:S21)</f>
        <v>0.1406</v>
      </c>
      <c r="T22" s="59">
        <f t="shared" ref="T22" si="11">SUM(T17:T21)</f>
        <v>3.5920000000000001</v>
      </c>
      <c r="U22" s="59">
        <f t="shared" ref="U22" si="12">SUM(U17:U21)</f>
        <v>1.3717999999999999</v>
      </c>
      <c r="V22" s="59">
        <f t="shared" ref="V22" si="13">SUM(V17:V21)</f>
        <v>11.465299999999999</v>
      </c>
      <c r="W22" s="59">
        <f t="shared" ref="W22" si="14">SUM(W17:W21)</f>
        <v>7.3414000000000001</v>
      </c>
      <c r="X22" s="59">
        <f t="shared" ref="X22" si="15">SUM(X17:X21)</f>
        <v>1.8808</v>
      </c>
      <c r="Y22" s="59">
        <f t="shared" ref="Y22" si="16">SUM(Y17:Y21)</f>
        <v>-0.10460000000000003</v>
      </c>
      <c r="Z22" s="59">
        <f t="shared" ref="Z22" si="17">SUM(Z17:Z21)</f>
        <v>0.52500000000000002</v>
      </c>
      <c r="AA22" s="59">
        <f t="shared" ref="AA22" si="18">SUM(AA17:AA21)</f>
        <v>0.24680000000000002</v>
      </c>
      <c r="AB22" s="59">
        <f t="shared" ref="AB22" si="19">SUM(AB17:AB21)</f>
        <v>20.968399999999999</v>
      </c>
      <c r="AC22" s="59">
        <f t="shared" ref="AC22" si="20">SUM(AC17:AC21)</f>
        <v>11.607949999999999</v>
      </c>
      <c r="AD22" s="59">
        <f t="shared" ref="AD22" si="21">SUM(AD17:AD21)</f>
        <v>1.1283300000000001</v>
      </c>
      <c r="AE22" s="59">
        <f t="shared" ref="AE22" si="22">SUM(AE17:AE21)</f>
        <v>1.1956</v>
      </c>
      <c r="AF22" s="59">
        <f t="shared" ref="AF22" si="23">SUM(AF17:AF21)</f>
        <v>1.0338699999999998</v>
      </c>
      <c r="AG22" s="59">
        <f t="shared" ref="AG22" si="24">SUM(AG17:AG21)</f>
        <v>1.7112700000000001</v>
      </c>
      <c r="AH22" s="59">
        <f t="shared" ref="AH22" si="25">SUM(AH17:AH21)</f>
        <v>1.3367799999999999</v>
      </c>
      <c r="AI22" s="59">
        <f t="shared" ref="AI22" si="26">SUM(AI17:AI21)</f>
        <v>2.3805699999999996</v>
      </c>
      <c r="AJ22" s="59">
        <f t="shared" ref="AJ22" si="27">SUM(AJ17:AJ21)</f>
        <v>2.04121</v>
      </c>
      <c r="AK22" s="59">
        <f t="shared" ref="AK22" si="28">SUM(AK17:AK21)</f>
        <v>3.6642399999999999</v>
      </c>
      <c r="AL22" s="59">
        <f t="shared" ref="AL22" si="29">SUM(AL17:AL21)</f>
        <v>1.29758</v>
      </c>
      <c r="AM22" s="59">
        <f t="shared" ref="AM22" si="30">SUM(AM17:AM21)</f>
        <v>3.1679299999999997</v>
      </c>
      <c r="AN22" s="59">
        <f t="shared" ref="AN22" si="31">SUM(AN17:AN21)</f>
        <v>8.9426800000000011</v>
      </c>
      <c r="AO22" s="59">
        <f t="shared" ref="AO22" si="32">SUM(AO17:AO21)</f>
        <v>33.510510000000004</v>
      </c>
      <c r="AP22" s="59">
        <f t="shared" ref="AP22" si="33">SUM(AP17:AP21)</f>
        <v>15.752599999999999</v>
      </c>
      <c r="AQ22" s="59">
        <f t="shared" ref="AQ22" si="34">SUM(AQ17:AQ21)</f>
        <v>8.2833600000000001</v>
      </c>
      <c r="AR22" s="59">
        <f t="shared" ref="AR22" si="35">SUM(AR17:AR21)</f>
        <v>0.66824000000000006</v>
      </c>
      <c r="AS22" s="59">
        <f t="shared" ref="AS22" si="36">SUM(AS17:AS21)</f>
        <v>3.7091200000000004</v>
      </c>
      <c r="AT22" s="59">
        <f t="shared" ref="AT22" si="37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2982.3410200000003</v>
      </c>
      <c r="L24" s="71"/>
      <c r="M24" s="63">
        <f>+M22+M15</f>
        <v>429.80979000000013</v>
      </c>
      <c r="N24" s="87">
        <f>IFERROR(K24/J24-1,0)</f>
        <v>0.16838571256187929</v>
      </c>
      <c r="P24" s="63">
        <f t="shared" ref="P24:AT24" si="38">+P22+P15</f>
        <v>80.9131</v>
      </c>
      <c r="Q24" s="61">
        <f t="shared" si="38"/>
        <v>81.255700000000004</v>
      </c>
      <c r="R24" s="61">
        <f t="shared" si="38"/>
        <v>78.112200000000001</v>
      </c>
      <c r="S24" s="61">
        <f t="shared" si="38"/>
        <v>83.35329999999999</v>
      </c>
      <c r="T24" s="61">
        <f t="shared" si="38"/>
        <v>90.196150000000017</v>
      </c>
      <c r="U24" s="61">
        <f t="shared" si="38"/>
        <v>89.915800000000004</v>
      </c>
      <c r="V24" s="61">
        <f t="shared" si="38"/>
        <v>104.68205</v>
      </c>
      <c r="W24" s="61">
        <f t="shared" si="38"/>
        <v>104.11675</v>
      </c>
      <c r="X24" s="61">
        <f t="shared" si="38"/>
        <v>98.372749999999996</v>
      </c>
      <c r="Y24" s="61">
        <f t="shared" si="38"/>
        <v>99.05889999999998</v>
      </c>
      <c r="Z24" s="61">
        <f t="shared" si="38"/>
        <v>109.2373</v>
      </c>
      <c r="AA24" s="61">
        <f t="shared" si="38"/>
        <v>115.75185000000002</v>
      </c>
      <c r="AB24" s="61">
        <f t="shared" si="38"/>
        <v>138.66254999999998</v>
      </c>
      <c r="AC24" s="61">
        <f t="shared" si="38"/>
        <v>127.8026</v>
      </c>
      <c r="AD24" s="61">
        <f t="shared" si="38"/>
        <v>134.67543000000001</v>
      </c>
      <c r="AE24" s="61">
        <f t="shared" si="38"/>
        <v>135.97560000000001</v>
      </c>
      <c r="AF24" s="61">
        <f t="shared" si="38"/>
        <v>152.05112</v>
      </c>
      <c r="AG24" s="61">
        <f t="shared" si="38"/>
        <v>153.32501999999999</v>
      </c>
      <c r="AH24" s="61">
        <f t="shared" si="38"/>
        <v>155.38077999999999</v>
      </c>
      <c r="AI24" s="61">
        <f t="shared" si="38"/>
        <v>159.87331999999998</v>
      </c>
      <c r="AJ24" s="61">
        <f t="shared" si="38"/>
        <v>163.99921000000001</v>
      </c>
      <c r="AK24" s="61">
        <f t="shared" si="38"/>
        <v>179.24424000000002</v>
      </c>
      <c r="AL24" s="61">
        <f t="shared" si="38"/>
        <v>181.69058000000004</v>
      </c>
      <c r="AM24" s="61">
        <f t="shared" si="38"/>
        <v>196.70267999999999</v>
      </c>
      <c r="AN24" s="61">
        <f t="shared" si="38"/>
        <v>212.18599999999995</v>
      </c>
      <c r="AO24" s="61">
        <f t="shared" si="38"/>
        <v>241.89637999999999</v>
      </c>
      <c r="AP24" s="61">
        <f t="shared" si="38"/>
        <v>231.49535</v>
      </c>
      <c r="AQ24" s="61">
        <f t="shared" si="38"/>
        <v>240.31947</v>
      </c>
      <c r="AR24" s="61">
        <f t="shared" si="38"/>
        <v>246.19884999999996</v>
      </c>
      <c r="AS24" s="61">
        <f t="shared" si="38"/>
        <v>247.49930000000001</v>
      </c>
      <c r="AT24" s="62">
        <f t="shared" si="38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>SUMIFS($P27:$AT27,$P$5:$AT$5,"&gt;"&amp;C$171,$P$5:$AT$5,"&lt;"&amp;C$172)</f>
        <v>101.37520000000001</v>
      </c>
      <c r="D27" s="23">
        <f>SUMIFS($P27:$AT27,$P$5:$AT$5,"&gt;"&amp;D$171,$P$5:$AT$5,"&lt;"&amp;D$172)</f>
        <v>281.24054000000001</v>
      </c>
      <c r="E27" s="23"/>
      <c r="F27" s="23">
        <f>SUMIFS($P27:$AT27,$P$5:$AT$5,"&gt;"&amp;F$171,$P$5:$AT$5,"&lt;"&amp;F$172)</f>
        <v>136.29648</v>
      </c>
      <c r="G27" s="23">
        <f>SUMIFS($P27:$AT27,$P$5:$AT$5,"&gt;"&amp;G$171,$P$5:$AT$5,"&lt;"&amp;G$172)</f>
        <v>357.27472</v>
      </c>
      <c r="H27" s="23"/>
      <c r="I27" s="23">
        <f>SUMIFS($P27:$AT27,$P$5:$AT$5,"&gt;"&amp;I$171,$P$5:$AT$5,"&lt;"&amp;I$172)</f>
        <v>202.41598000000002</v>
      </c>
      <c r="J27" s="23">
        <f>SUMIFS($P27:$AT27,$P$5:$AT$5,"&gt;"&amp;J$171,$P$5:$AT$5,"&lt;"&amp;J$172)</f>
        <v>502.21877999999998</v>
      </c>
      <c r="K27" s="65">
        <f>+C127</f>
        <v>694.74455999999998</v>
      </c>
      <c r="L27" s="65"/>
      <c r="M27" s="23">
        <f>K27-J27</f>
        <v>192.52578</v>
      </c>
      <c r="N27" s="66">
        <f t="shared" ref="N27:N36" si="39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>SUMIFS($P28:$AT28,$P$5:$AT$5,"&gt;"&amp;C$171,$P$5:$AT$5,"&lt;"&amp;C$172)</f>
        <v>183.36902999999998</v>
      </c>
      <c r="D28" s="23">
        <f>SUMIFS($P28:$AT28,$P$5:$AT$5,"&gt;"&amp;D$171,$P$5:$AT$5,"&lt;"&amp;D$172)</f>
        <v>316.18462</v>
      </c>
      <c r="E28" s="23"/>
      <c r="F28" s="23">
        <f>SUMIFS($P28:$AT28,$P$5:$AT$5,"&gt;"&amp;F$171,$P$5:$AT$5,"&lt;"&amp;F$172)</f>
        <v>147.26813000000001</v>
      </c>
      <c r="G28" s="23">
        <f>SUMIFS($P28:$AT28,$P$5:$AT$5,"&gt;"&amp;G$171,$P$5:$AT$5,"&lt;"&amp;G$172)</f>
        <v>267.75739999999996</v>
      </c>
      <c r="H28" s="23"/>
      <c r="I28" s="23">
        <f>SUMIFS($P28:$AT28,$P$5:$AT$5,"&gt;"&amp;I$171,$P$5:$AT$5,"&lt;"&amp;I$172)</f>
        <v>240.18097999999998</v>
      </c>
      <c r="J28" s="23">
        <f>SUMIFS($P28:$AT28,$P$5:$AT$5,"&gt;"&amp;J$171,$P$5:$AT$5,"&lt;"&amp;J$172)</f>
        <v>436.67388999999997</v>
      </c>
      <c r="K28" s="65">
        <f>+C128</f>
        <v>533.85120000000006</v>
      </c>
      <c r="L28" s="65"/>
      <c r="M28" s="23">
        <f t="shared" ref="M28:M35" si="40">K28-J28</f>
        <v>97.177310000000091</v>
      </c>
      <c r="N28" s="66">
        <f t="shared" si="39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>SUMIFS($P29:$AT29,$P$5:$AT$5,"&gt;"&amp;C$171,$P$5:$AT$5,"&lt;"&amp;C$172)</f>
        <v>286.16129000000001</v>
      </c>
      <c r="D29" s="23">
        <f>SUMIFS($P29:$AT29,$P$5:$AT$5,"&gt;"&amp;D$171,$P$5:$AT$5,"&lt;"&amp;D$172)</f>
        <v>352.95844</v>
      </c>
      <c r="E29" s="23"/>
      <c r="F29" s="23">
        <f>SUMIFS($P29:$AT29,$P$5:$AT$5,"&gt;"&amp;F$171,$P$5:$AT$5,"&lt;"&amp;F$172)</f>
        <v>201.27983</v>
      </c>
      <c r="G29" s="23">
        <f>SUMIFS($P29:$AT29,$P$5:$AT$5,"&gt;"&amp;G$171,$P$5:$AT$5,"&lt;"&amp;G$172)</f>
        <v>202.05309</v>
      </c>
      <c r="H29" s="23"/>
      <c r="I29" s="23">
        <f>SUMIFS($P29:$AT29,$P$5:$AT$5,"&gt;"&amp;I$171,$P$5:$AT$5,"&lt;"&amp;I$172)</f>
        <v>353.12842999999998</v>
      </c>
      <c r="J29" s="23">
        <f>SUMIFS($P29:$AT29,$P$5:$AT$5,"&gt;"&amp;J$171,$P$5:$AT$5,"&lt;"&amp;J$172)</f>
        <v>353.7317000000001</v>
      </c>
      <c r="K29" s="65">
        <f>+C130</f>
        <v>392.92452000000003</v>
      </c>
      <c r="L29" s="65"/>
      <c r="M29" s="23">
        <f t="shared" si="40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>SUMIFS($P30:$AT30,$P$5:$AT$5,"&gt;"&amp;C$171,$P$5:$AT$5,"&lt;"&amp;C$172)</f>
        <v>122.81254999999999</v>
      </c>
      <c r="D30" s="23">
        <f>SUMIFS($P30:$AT30,$P$5:$AT$5,"&gt;"&amp;D$171,$P$5:$AT$5,"&lt;"&amp;D$172)</f>
        <v>152.16972000000001</v>
      </c>
      <c r="E30" s="23"/>
      <c r="F30" s="23">
        <f>SUMIFS($P30:$AT30,$P$5:$AT$5,"&gt;"&amp;F$171,$P$5:$AT$5,"&lt;"&amp;F$172)</f>
        <v>73.949619999999996</v>
      </c>
      <c r="G30" s="23">
        <f>SUMIFS($P30:$AT30,$P$5:$AT$5,"&gt;"&amp;G$171,$P$5:$AT$5,"&lt;"&amp;G$172)</f>
        <v>111.27999</v>
      </c>
      <c r="H30" s="23"/>
      <c r="I30" s="23">
        <f>SUMIFS($P30:$AT30,$P$5:$AT$5,"&gt;"&amp;I$171,$P$5:$AT$5,"&lt;"&amp;I$172)</f>
        <v>121.30735</v>
      </c>
      <c r="J30" s="23">
        <f>SUMIFS($P30:$AT30,$P$5:$AT$5,"&gt;"&amp;J$171,$P$5:$AT$5,"&lt;"&amp;J$172)</f>
        <v>189.50009</v>
      </c>
      <c r="K30" s="65">
        <f>+C134</f>
        <v>197.14943999999997</v>
      </c>
      <c r="L30" s="65"/>
      <c r="M30" s="23">
        <f t="shared" si="40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>SUMIFS($P31:$AT31,$P$5:$AT$5,"&gt;"&amp;C$171,$P$5:$AT$5,"&lt;"&amp;C$172)</f>
        <v>0</v>
      </c>
      <c r="D31" s="23">
        <f>SUMIFS($P31:$AT31,$P$5:$AT$5,"&gt;"&amp;D$171,$P$5:$AT$5,"&lt;"&amp;D$172)</f>
        <v>90.66704</v>
      </c>
      <c r="E31" s="23"/>
      <c r="F31" s="23">
        <f>SUMIFS($P31:$AT31,$P$5:$AT$5,"&gt;"&amp;F$171,$P$5:$AT$5,"&lt;"&amp;F$172)</f>
        <v>45.466120000000004</v>
      </c>
      <c r="G31" s="23">
        <f>SUMIFS($P31:$AT31,$P$5:$AT$5,"&gt;"&amp;G$171,$P$5:$AT$5,"&lt;"&amp;G$172)</f>
        <v>63.143019999999993</v>
      </c>
      <c r="H31" s="23"/>
      <c r="I31" s="23">
        <f>SUMIFS($P31:$AT31,$P$5:$AT$5,"&gt;"&amp;I$171,$P$5:$AT$5,"&lt;"&amp;I$172)</f>
        <v>45.466120000000004</v>
      </c>
      <c r="J31" s="23">
        <f>SUMIFS($P31:$AT31,$P$5:$AT$5,"&gt;"&amp;J$171,$P$5:$AT$5,"&lt;"&amp;J$172)</f>
        <v>108.34394</v>
      </c>
      <c r="K31" s="65">
        <f>+C129</f>
        <v>108.34394</v>
      </c>
      <c r="L31" s="65"/>
      <c r="M31" s="23">
        <f t="shared" si="40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>SUMIFS($P32:$AT32,$P$5:$AT$5,"&gt;"&amp;C$171,$P$5:$AT$5,"&lt;"&amp;C$172)</f>
        <v>0</v>
      </c>
      <c r="D32" s="23">
        <f>SUMIFS($P32:$AT32,$P$5:$AT$5,"&gt;"&amp;D$171,$P$5:$AT$5,"&lt;"&amp;D$172)</f>
        <v>19.149630000000002</v>
      </c>
      <c r="E32" s="23"/>
      <c r="F32" s="23">
        <f>SUMIFS($P32:$AT32,$P$5:$AT$5,"&gt;"&amp;F$171,$P$5:$AT$5,"&lt;"&amp;F$172)</f>
        <v>3.09945</v>
      </c>
      <c r="G32" s="23">
        <f>SUMIFS($P32:$AT32,$P$5:$AT$5,"&gt;"&amp;G$171,$P$5:$AT$5,"&lt;"&amp;G$172)</f>
        <v>51.941310000000001</v>
      </c>
      <c r="H32" s="23"/>
      <c r="I32" s="23">
        <f>SUMIFS($P32:$AT32,$P$5:$AT$5,"&gt;"&amp;I$171,$P$5:$AT$5,"&lt;"&amp;I$172)</f>
        <v>3.09945</v>
      </c>
      <c r="J32" s="23">
        <f>SUMIFS($P32:$AT32,$P$5:$AT$5,"&gt;"&amp;J$171,$P$5:$AT$5,"&lt;"&amp;J$172)</f>
        <v>67.991489999999999</v>
      </c>
      <c r="K32" s="65">
        <f>+C131</f>
        <v>98.349119999999999</v>
      </c>
      <c r="L32" s="65"/>
      <c r="M32" s="23">
        <f t="shared" si="40"/>
        <v>30.35763</v>
      </c>
      <c r="N32" s="66">
        <f t="shared" si="39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>SUMIFS($P33:$AT33,$P$5:$AT$5,"&gt;"&amp;C$171,$P$5:$AT$5,"&lt;"&amp;C$172)</f>
        <v>1.1133499999999998</v>
      </c>
      <c r="D33" s="23">
        <f>SUMIFS($P33:$AT33,$P$5:$AT$5,"&gt;"&amp;D$171,$P$5:$AT$5,"&lt;"&amp;D$172)</f>
        <v>29.564150000000001</v>
      </c>
      <c r="E33" s="23"/>
      <c r="F33" s="23">
        <f>SUMIFS($P33:$AT33,$P$5:$AT$5,"&gt;"&amp;F$171,$P$5:$AT$5,"&lt;"&amp;F$172)</f>
        <v>14.275850000000002</v>
      </c>
      <c r="G33" s="23">
        <f>SUMIFS($P33:$AT33,$P$5:$AT$5,"&gt;"&amp;G$171,$P$5:$AT$5,"&lt;"&amp;G$172)</f>
        <v>42.085049999999995</v>
      </c>
      <c r="H33" s="23"/>
      <c r="I33" s="23">
        <f>SUMIFS($P33:$AT33,$P$5:$AT$5,"&gt;"&amp;I$171,$P$5:$AT$5,"&lt;"&amp;I$172)</f>
        <v>15.389199999999999</v>
      </c>
      <c r="J33" s="23">
        <f>SUMIFS($P33:$AT33,$P$5:$AT$5,"&gt;"&amp;J$171,$P$5:$AT$5,"&lt;"&amp;J$172)</f>
        <v>57.373349999999995</v>
      </c>
      <c r="K33" s="65">
        <f>+C132</f>
        <v>68.113200000000006</v>
      </c>
      <c r="L33" s="65"/>
      <c r="M33" s="23">
        <f t="shared" si="40"/>
        <v>10.739850000000011</v>
      </c>
      <c r="N33" s="66">
        <f t="shared" si="39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>SUMIFS($P34:$AT34,$P$5:$AT$5,"&gt;"&amp;C$171,$P$5:$AT$5,"&lt;"&amp;C$172)</f>
        <v>0</v>
      </c>
      <c r="D34" s="23">
        <f>SUMIFS($P34:$AT34,$P$5:$AT$5,"&gt;"&amp;D$171,$P$5:$AT$5,"&lt;"&amp;D$172)</f>
        <v>0</v>
      </c>
      <c r="E34" s="23"/>
      <c r="F34" s="23">
        <f>SUMIFS($P34:$AT34,$P$5:$AT$5,"&gt;"&amp;F$171,$P$5:$AT$5,"&lt;"&amp;F$172)</f>
        <v>0</v>
      </c>
      <c r="G34" s="23">
        <f>SUMIFS($P34:$AT34,$P$5:$AT$5,"&gt;"&amp;G$171,$P$5:$AT$5,"&lt;"&amp;G$172)</f>
        <v>7.9949999999999992</v>
      </c>
      <c r="H34" s="23"/>
      <c r="I34" s="23">
        <f>SUMIFS($P34:$AT34,$P$5:$AT$5,"&gt;"&amp;I$171,$P$5:$AT$5,"&lt;"&amp;I$172)</f>
        <v>0</v>
      </c>
      <c r="J34" s="23">
        <f>SUMIFS($P34:$AT34,$P$5:$AT$5,"&gt;"&amp;J$171,$P$5:$AT$5,"&lt;"&amp;J$172)</f>
        <v>7.9949999999999992</v>
      </c>
      <c r="K34" s="65">
        <f>+C133</f>
        <v>33.081240000000001</v>
      </c>
      <c r="L34" s="65"/>
      <c r="M34" s="23">
        <f t="shared" si="40"/>
        <v>25.086240000000004</v>
      </c>
      <c r="N34" s="66">
        <f t="shared" si="39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>SUMIFS($P35:$AT35,$P$5:$AT$5,"&gt;"&amp;C$171,$P$5:$AT$5,"&lt;"&amp;C$172)</f>
        <v>5.3740499999999995</v>
      </c>
      <c r="D35" s="23">
        <f>SUMIFS($P35:$AT35,$P$5:$AT$5,"&gt;"&amp;D$171,$P$5:$AT$5,"&lt;"&amp;D$172)</f>
        <v>19.23245</v>
      </c>
      <c r="E35" s="23"/>
      <c r="F35" s="23">
        <f>SUMIFS($P35:$AT35,$P$5:$AT$5,"&gt;"&amp;F$171,$P$5:$AT$5,"&lt;"&amp;F$172)</f>
        <v>9.0216600000000007</v>
      </c>
      <c r="G35" s="23">
        <f>SUMIFS($P35:$AT35,$P$5:$AT$5,"&gt;"&amp;G$171,$P$5:$AT$5,"&lt;"&amp;G$172)</f>
        <v>17.36251</v>
      </c>
      <c r="H35" s="23"/>
      <c r="I35" s="23">
        <f>SUMIFS($P35:$AT35,$P$5:$AT$5,"&gt;"&amp;I$171,$P$5:$AT$5,"&lt;"&amp;I$172)</f>
        <v>12.16686</v>
      </c>
      <c r="J35" s="23">
        <f>SUMIFS($P35:$AT35,$P$5:$AT$5,"&gt;"&amp;J$171,$P$5:$AT$5,"&lt;"&amp;J$172)</f>
        <v>27.573299999999996</v>
      </c>
      <c r="K35" s="65">
        <f>+C135</f>
        <v>32.178359999999998</v>
      </c>
      <c r="L35" s="65"/>
      <c r="M35" s="23">
        <f t="shared" si="40"/>
        <v>4.6050600000000017</v>
      </c>
      <c r="N35" s="66">
        <f t="shared" ref="N35" si="41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39"/>
        <v>0.23257604307005453</v>
      </c>
      <c r="P36" s="59">
        <f t="shared" ref="P36:AT36" si="42">SUM(P27:P35)</f>
        <v>31.74682</v>
      </c>
      <c r="Q36" s="59">
        <f t="shared" si="42"/>
        <v>37.626089999999998</v>
      </c>
      <c r="R36" s="59">
        <f t="shared" si="42"/>
        <v>37.778649999999999</v>
      </c>
      <c r="S36" s="59">
        <f t="shared" si="42"/>
        <v>50.818180000000005</v>
      </c>
      <c r="T36" s="59">
        <f t="shared" si="42"/>
        <v>70.644099999999995</v>
      </c>
      <c r="U36" s="59">
        <f t="shared" si="42"/>
        <v>52.940650000000005</v>
      </c>
      <c r="V36" s="59">
        <f t="shared" si="42"/>
        <v>56.153749999999995</v>
      </c>
      <c r="W36" s="59">
        <f t="shared" si="42"/>
        <v>52.541019999999996</v>
      </c>
      <c r="X36" s="59">
        <f t="shared" si="42"/>
        <v>58.642799999999994</v>
      </c>
      <c r="Y36" s="59">
        <f t="shared" si="42"/>
        <v>62.41675</v>
      </c>
      <c r="Z36" s="59">
        <f t="shared" si="42"/>
        <v>95.206890000000001</v>
      </c>
      <c r="AA36" s="59">
        <f t="shared" si="42"/>
        <v>93.689769999999996</v>
      </c>
      <c r="AB36" s="59">
        <f t="shared" si="42"/>
        <v>86.697400000000016</v>
      </c>
      <c r="AC36" s="59">
        <f t="shared" si="42"/>
        <v>70.622489999999999</v>
      </c>
      <c r="AD36" s="59">
        <f t="shared" si="42"/>
        <v>79.527290000000008</v>
      </c>
      <c r="AE36" s="59">
        <f t="shared" si="42"/>
        <v>92.874989999999997</v>
      </c>
      <c r="AF36" s="59">
        <f t="shared" si="42"/>
        <v>96.682289999999995</v>
      </c>
      <c r="AG36" s="59">
        <f t="shared" si="42"/>
        <v>95.893410000000017</v>
      </c>
      <c r="AH36" s="59">
        <f t="shared" si="42"/>
        <v>108.35927</v>
      </c>
      <c r="AI36" s="59">
        <f t="shared" si="42"/>
        <v>103.32645000000001</v>
      </c>
      <c r="AJ36" s="59">
        <f t="shared" si="42"/>
        <v>120.57245999999999</v>
      </c>
      <c r="AK36" s="59">
        <f t="shared" si="42"/>
        <v>138.08331000000001</v>
      </c>
      <c r="AL36" s="59">
        <f t="shared" si="42"/>
        <v>122.83484</v>
      </c>
      <c r="AM36" s="59">
        <f t="shared" si="42"/>
        <v>145.69238999999999</v>
      </c>
      <c r="AN36" s="59">
        <f t="shared" si="42"/>
        <v>135.50082</v>
      </c>
      <c r="AO36" s="59">
        <f t="shared" si="42"/>
        <v>117.71538000000001</v>
      </c>
      <c r="AP36" s="59">
        <f t="shared" si="42"/>
        <v>169.54907000000003</v>
      </c>
      <c r="AQ36" s="59">
        <f t="shared" si="42"/>
        <v>171.55422000000002</v>
      </c>
      <c r="AR36" s="59">
        <f t="shared" si="42"/>
        <v>168.43431999999996</v>
      </c>
      <c r="AS36" s="59">
        <f t="shared" si="42"/>
        <v>177.74943999999994</v>
      </c>
      <c r="AT36" s="59">
        <f t="shared" si="42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>SUMIFS($P38:$AT38,$P$5:$AT$5,"&gt;"&amp;C$171,$P$5:$AT$5,"&lt;"&amp;C$172)</f>
        <v>114.42268999999999</v>
      </c>
      <c r="D38" s="23">
        <f>SUMIFS($P38:$AT38,$P$5:$AT$5,"&gt;"&amp;D$171,$P$5:$AT$5,"&lt;"&amp;D$172)</f>
        <v>157.49471000000003</v>
      </c>
      <c r="E38" s="23"/>
      <c r="F38" s="23">
        <f>SUMIFS($P38:$AT38,$P$5:$AT$5,"&gt;"&amp;F$171,$P$5:$AT$5,"&lt;"&amp;F$172)</f>
        <v>84.968590000000006</v>
      </c>
      <c r="G38" s="23">
        <f>SUMIFS($P38:$AT38,$P$5:$AT$5,"&gt;"&amp;G$171,$P$5:$AT$5,"&lt;"&amp;G$172)</f>
        <v>152.28157000000002</v>
      </c>
      <c r="H38" s="23"/>
      <c r="I38" s="23">
        <f>SUMIFS($P38:$AT38,$P$5:$AT$5,"&gt;"&amp;I$171,$P$5:$AT$5,"&lt;"&amp;I$172)</f>
        <v>142.28344999999999</v>
      </c>
      <c r="J38" s="23">
        <f>SUMIFS($P38:$AT38,$P$5:$AT$5,"&gt;"&amp;J$171,$P$5:$AT$5,"&lt;"&amp;J$172)</f>
        <v>224.80769000000001</v>
      </c>
      <c r="K38" s="65">
        <f>+C139</f>
        <v>335.70816000000002</v>
      </c>
      <c r="L38" s="65"/>
      <c r="M38" s="23">
        <f t="shared" ref="M38:M41" si="43">K38-J38</f>
        <v>110.90047000000001</v>
      </c>
      <c r="N38" s="66">
        <f t="shared" ref="N38:N44" si="44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>SUMIFS($P39:$AT39,$P$5:$AT$5,"&gt;"&amp;C$171,$P$5:$AT$5,"&lt;"&amp;C$172)</f>
        <v>60.915939999999999</v>
      </c>
      <c r="D39" s="23">
        <f>SUMIFS($P39:$AT39,$P$5:$AT$5,"&gt;"&amp;D$171,$P$5:$AT$5,"&lt;"&amp;D$172)</f>
        <v>117.05866</v>
      </c>
      <c r="E39" s="23"/>
      <c r="F39" s="23">
        <f>SUMIFS($P39:$AT39,$P$5:$AT$5,"&gt;"&amp;F$171,$P$5:$AT$5,"&lt;"&amp;F$172)</f>
        <v>56.811500000000009</v>
      </c>
      <c r="G39" s="23">
        <f>SUMIFS($P39:$AT39,$P$5:$AT$5,"&gt;"&amp;G$171,$P$5:$AT$5,"&lt;"&amp;G$172)</f>
        <v>97.04798000000001</v>
      </c>
      <c r="H39" s="23"/>
      <c r="I39" s="23">
        <f>SUMIFS($P39:$AT39,$P$5:$AT$5,"&gt;"&amp;I$171,$P$5:$AT$5,"&lt;"&amp;I$172)</f>
        <v>86.514889999999994</v>
      </c>
      <c r="J39" s="23">
        <f>SUMIFS($P39:$AT39,$P$5:$AT$5,"&gt;"&amp;J$171,$P$5:$AT$5,"&lt;"&amp;J$172)</f>
        <v>157.29514</v>
      </c>
      <c r="K39" s="65">
        <f>+C140</f>
        <v>155.82264000000001</v>
      </c>
      <c r="L39" s="65"/>
      <c r="M39" s="23">
        <f t="shared" si="43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>SUMIFS($P40:$AT40,$P$5:$AT$5,"&gt;"&amp;C$171,$P$5:$AT$5,"&lt;"&amp;C$172)</f>
        <v>0</v>
      </c>
      <c r="D40" s="23">
        <f>SUMIFS($P40:$AT40,$P$5:$AT$5,"&gt;"&amp;D$171,$P$5:$AT$5,"&lt;"&amp;D$172)</f>
        <v>7.1412499999999994</v>
      </c>
      <c r="E40" s="23"/>
      <c r="F40" s="23">
        <f>SUMIFS($P40:$AT40,$P$5:$AT$5,"&gt;"&amp;F$171,$P$5:$AT$5,"&lt;"&amp;F$172)</f>
        <v>0</v>
      </c>
      <c r="G40" s="23">
        <f>SUMIFS($P40:$AT40,$P$5:$AT$5,"&gt;"&amp;G$171,$P$5:$AT$5,"&lt;"&amp;G$172)</f>
        <v>28.827750000000002</v>
      </c>
      <c r="H40" s="23"/>
      <c r="I40" s="23">
        <f>SUMIFS($P40:$AT40,$P$5:$AT$5,"&gt;"&amp;I$171,$P$5:$AT$5,"&lt;"&amp;I$172)</f>
        <v>0</v>
      </c>
      <c r="J40" s="23">
        <f>SUMIFS($P40:$AT40,$P$5:$AT$5,"&gt;"&amp;J$171,$P$5:$AT$5,"&lt;"&amp;J$172)</f>
        <v>35.969000000000001</v>
      </c>
      <c r="K40" s="65">
        <f>+C141</f>
        <v>60.84</v>
      </c>
      <c r="L40" s="65"/>
      <c r="M40" s="23">
        <f t="shared" si="43"/>
        <v>24.871000000000002</v>
      </c>
      <c r="N40" s="66">
        <f t="shared" ref="N40" si="45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>SUMIFS($P41:$AT41,$P$5:$AT$5,"&gt;"&amp;C$171,$P$5:$AT$5,"&lt;"&amp;C$172)</f>
        <v>0</v>
      </c>
      <c r="D41" s="23">
        <f>SUMIFS($P41:$AT41,$P$5:$AT$5,"&gt;"&amp;D$171,$P$5:$AT$5,"&lt;"&amp;D$172)</f>
        <v>0</v>
      </c>
      <c r="E41" s="23"/>
      <c r="F41" s="23">
        <f>SUMIFS($P41:$AT41,$P$5:$AT$5,"&gt;"&amp;F$171,$P$5:$AT$5,"&lt;"&amp;F$172)</f>
        <v>0</v>
      </c>
      <c r="G41" s="23">
        <f>SUMIFS($P41:$AT41,$P$5:$AT$5,"&gt;"&amp;G$171,$P$5:$AT$5,"&lt;"&amp;G$172)</f>
        <v>6.52752</v>
      </c>
      <c r="H41" s="23"/>
      <c r="I41" s="23">
        <f>SUMIFS($P41:$AT41,$P$5:$AT$5,"&gt;"&amp;I$171,$P$5:$AT$5,"&lt;"&amp;I$172)</f>
        <v>0</v>
      </c>
      <c r="J41" s="23">
        <f>SUMIFS($P41:$AT41,$P$5:$AT$5,"&gt;"&amp;J$171,$P$5:$AT$5,"&lt;"&amp;J$172)</f>
        <v>6.52752</v>
      </c>
      <c r="K41" s="65">
        <f>+C142</f>
        <v>15.743759999999998</v>
      </c>
      <c r="L41" s="65"/>
      <c r="M41" s="23">
        <f t="shared" si="43"/>
        <v>9.2162399999999991</v>
      </c>
      <c r="N41" s="66">
        <f t="shared" ref="N41" si="46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47">SUM(F38:F41)</f>
        <v>141.78009000000003</v>
      </c>
      <c r="G42" s="59">
        <f t="shared" si="47"/>
        <v>284.68482</v>
      </c>
      <c r="I42" s="59">
        <f t="shared" ref="I42:K42" si="48">SUM(I38:I41)</f>
        <v>228.79834</v>
      </c>
      <c r="J42" s="59">
        <f t="shared" si="48"/>
        <v>424.59935000000002</v>
      </c>
      <c r="K42" s="59">
        <f t="shared" si="48"/>
        <v>568.11455999999998</v>
      </c>
      <c r="L42" s="71"/>
      <c r="M42" s="59">
        <f>SUM(M38:M41)</f>
        <v>143.51521000000002</v>
      </c>
      <c r="N42" s="89">
        <f t="shared" si="44"/>
        <v>0.33800148304513411</v>
      </c>
      <c r="P42" s="59">
        <f t="shared" ref="P42:AT42" si="49">SUM(P38:P41)</f>
        <v>10.52585</v>
      </c>
      <c r="Q42" s="59">
        <f t="shared" si="49"/>
        <v>10.63571</v>
      </c>
      <c r="R42" s="59">
        <f t="shared" si="49"/>
        <v>11.751950000000001</v>
      </c>
      <c r="S42" s="59">
        <f t="shared" si="49"/>
        <v>11.98489</v>
      </c>
      <c r="T42" s="59">
        <f t="shared" si="49"/>
        <v>12.81546</v>
      </c>
      <c r="U42" s="59">
        <f t="shared" si="49"/>
        <v>14.24615</v>
      </c>
      <c r="V42" s="59">
        <f t="shared" si="49"/>
        <v>16.36037</v>
      </c>
      <c r="W42" s="59">
        <f t="shared" si="49"/>
        <v>16.36683</v>
      </c>
      <c r="X42" s="59">
        <f t="shared" si="49"/>
        <v>16.550719999999998</v>
      </c>
      <c r="Y42" s="59">
        <f t="shared" si="49"/>
        <v>17.8567</v>
      </c>
      <c r="Z42" s="59">
        <f t="shared" si="49"/>
        <v>17.59788</v>
      </c>
      <c r="AA42" s="59">
        <f t="shared" si="49"/>
        <v>18.64612</v>
      </c>
      <c r="AB42" s="59">
        <f t="shared" si="49"/>
        <v>18.594989999999999</v>
      </c>
      <c r="AC42" s="59">
        <f t="shared" si="49"/>
        <v>20.10492</v>
      </c>
      <c r="AD42" s="59">
        <f t="shared" si="49"/>
        <v>19.462519999999998</v>
      </c>
      <c r="AE42" s="59">
        <f t="shared" si="49"/>
        <v>19.645500000000002</v>
      </c>
      <c r="AF42" s="59">
        <f t="shared" si="49"/>
        <v>20.642859999999999</v>
      </c>
      <c r="AG42" s="59">
        <f t="shared" si="49"/>
        <v>21.20917</v>
      </c>
      <c r="AH42" s="59">
        <f t="shared" si="49"/>
        <v>22.120130000000003</v>
      </c>
      <c r="AI42" s="59">
        <f t="shared" si="49"/>
        <v>24.11375</v>
      </c>
      <c r="AJ42" s="59">
        <f t="shared" si="49"/>
        <v>25.266280000000002</v>
      </c>
      <c r="AK42" s="59">
        <f t="shared" si="49"/>
        <v>25.829260000000001</v>
      </c>
      <c r="AL42" s="59">
        <f t="shared" si="49"/>
        <v>30.724890000000002</v>
      </c>
      <c r="AM42" s="59">
        <f t="shared" si="49"/>
        <v>33.980350000000001</v>
      </c>
      <c r="AN42" s="59">
        <f t="shared" si="49"/>
        <v>34.801209999999998</v>
      </c>
      <c r="AO42" s="59">
        <f t="shared" si="49"/>
        <v>36.180370000000003</v>
      </c>
      <c r="AP42" s="59">
        <f t="shared" si="49"/>
        <v>37.779439999999994</v>
      </c>
      <c r="AQ42" s="59">
        <f t="shared" si="49"/>
        <v>42.557700000000004</v>
      </c>
      <c r="AR42" s="59">
        <f t="shared" si="49"/>
        <v>41.873910000000002</v>
      </c>
      <c r="AS42" s="59">
        <f t="shared" si="49"/>
        <v>44.14931</v>
      </c>
      <c r="AT42" s="59">
        <f t="shared" si="49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>SUMIFS($P44:$AT44,$P$5:$AT$5,"&gt;"&amp;C$171,$P$5:$AT$5,"&lt;"&amp;C$172)</f>
        <v>18.234249999999999</v>
      </c>
      <c r="D44" s="23">
        <f>SUMIFS($P44:$AT44,$P$5:$AT$5,"&gt;"&amp;D$171,$P$5:$AT$5,"&lt;"&amp;D$172)</f>
        <v>27.040950000000002</v>
      </c>
      <c r="E44" s="23"/>
      <c r="F44" s="23">
        <f>SUMIFS($P44:$AT44,$P$5:$AT$5,"&gt;"&amp;F$171,$P$5:$AT$5,"&lt;"&amp;F$172)</f>
        <v>12.014000000000001</v>
      </c>
      <c r="G44" s="23">
        <f>SUMIFS($P44:$AT44,$P$5:$AT$5,"&gt;"&amp;G$171,$P$5:$AT$5,"&lt;"&amp;G$172)</f>
        <v>57.55</v>
      </c>
      <c r="H44" s="23"/>
      <c r="I44" s="23">
        <f>SUMIFS($P44:$AT44,$P$5:$AT$5,"&gt;"&amp;I$171,$P$5:$AT$5,"&lt;"&amp;I$172)</f>
        <v>21.74858</v>
      </c>
      <c r="J44" s="23">
        <f>SUMIFS($P44:$AT44,$P$5:$AT$5,"&gt;"&amp;J$171,$P$5:$AT$5,"&lt;"&amp;J$172)</f>
        <v>72.576949999999997</v>
      </c>
      <c r="K44" s="65">
        <f t="shared" ref="K44:K49" si="50">+C146</f>
        <v>72.576949999999997</v>
      </c>
      <c r="L44" s="65"/>
      <c r="M44" s="23">
        <f t="shared" ref="M44:M61" si="51">K44-J44</f>
        <v>0</v>
      </c>
      <c r="N44" s="66">
        <f t="shared" si="44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>SUMIFS($P45:$AT45,$P$5:$AT$5,"&gt;"&amp;C$171,$P$5:$AT$5,"&lt;"&amp;C$172)</f>
        <v>24.819999999999997</v>
      </c>
      <c r="D45" s="23">
        <f>SUMIFS($P45:$AT45,$P$5:$AT$5,"&gt;"&amp;D$171,$P$5:$AT$5,"&lt;"&amp;D$172)</f>
        <v>27.153739999999999</v>
      </c>
      <c r="E45" s="23"/>
      <c r="F45" s="23">
        <f>SUMIFS($P45:$AT45,$P$5:$AT$5,"&gt;"&amp;F$171,$P$5:$AT$5,"&lt;"&amp;F$172)</f>
        <v>17.089500000000001</v>
      </c>
      <c r="G45" s="23">
        <f>SUMIFS($P45:$AT45,$P$5:$AT$5,"&gt;"&amp;G$171,$P$5:$AT$5,"&lt;"&amp;G$172)</f>
        <v>20.62969</v>
      </c>
      <c r="H45" s="23"/>
      <c r="I45" s="23">
        <f>SUMIFS($P45:$AT45,$P$5:$AT$5,"&gt;"&amp;I$171,$P$5:$AT$5,"&lt;"&amp;I$172)</f>
        <v>26.209499999999998</v>
      </c>
      <c r="J45" s="23">
        <f>SUMIFS($P45:$AT45,$P$5:$AT$5,"&gt;"&amp;J$171,$P$5:$AT$5,"&lt;"&amp;J$172)</f>
        <v>30.693929999999998</v>
      </c>
      <c r="K45" s="65">
        <f t="shared" si="50"/>
        <v>30.693929999999998</v>
      </c>
      <c r="L45" s="65"/>
      <c r="M45" s="23">
        <f t="shared" si="51"/>
        <v>0</v>
      </c>
      <c r="N45" s="66">
        <f t="shared" ref="N45" si="52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>SUMIFS($P46:$AT46,$P$5:$AT$5,"&gt;"&amp;C$171,$P$5:$AT$5,"&lt;"&amp;C$172)</f>
        <v>0</v>
      </c>
      <c r="D46" s="23">
        <f>SUMIFS($P46:$AT46,$P$5:$AT$5,"&gt;"&amp;D$171,$P$5:$AT$5,"&lt;"&amp;D$172)</f>
        <v>29.761219999999998</v>
      </c>
      <c r="E46" s="23"/>
      <c r="F46" s="23">
        <f>SUMIFS($P46:$AT46,$P$5:$AT$5,"&gt;"&amp;F$171,$P$5:$AT$5,"&lt;"&amp;F$172)</f>
        <v>22.295579999999998</v>
      </c>
      <c r="G46" s="23">
        <f>SUMIFS($P46:$AT46,$P$5:$AT$5,"&gt;"&amp;G$171,$P$5:$AT$5,"&lt;"&amp;G$172)</f>
        <v>20.685420000000001</v>
      </c>
      <c r="H46" s="23"/>
      <c r="I46" s="23">
        <f>SUMIFS($P46:$AT46,$P$5:$AT$5,"&gt;"&amp;I$171,$P$5:$AT$5,"&lt;"&amp;I$172)</f>
        <v>22.295579999999998</v>
      </c>
      <c r="J46" s="23">
        <f>SUMIFS($P46:$AT46,$P$5:$AT$5,"&gt;"&amp;J$171,$P$5:$AT$5,"&lt;"&amp;J$172)</f>
        <v>28.151060000000001</v>
      </c>
      <c r="K46" s="65">
        <f t="shared" si="50"/>
        <v>28.151060000000001</v>
      </c>
      <c r="L46" s="65"/>
      <c r="M46" s="23">
        <f t="shared" si="51"/>
        <v>0</v>
      </c>
      <c r="N46" s="66">
        <f t="shared" ref="N46" si="53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>SUMIFS($P47:$AT47,$P$5:$AT$5,"&gt;"&amp;C$171,$P$5:$AT$5,"&lt;"&amp;C$172)</f>
        <v>8.670989999999998</v>
      </c>
      <c r="D47" s="23">
        <f>SUMIFS($P47:$AT47,$P$5:$AT$5,"&gt;"&amp;D$171,$P$5:$AT$5,"&lt;"&amp;D$172)</f>
        <v>13.35153</v>
      </c>
      <c r="E47" s="23"/>
      <c r="F47" s="23">
        <f>SUMIFS($P47:$AT47,$P$5:$AT$5,"&gt;"&amp;F$171,$P$5:$AT$5,"&lt;"&amp;F$172)</f>
        <v>6.8044500000000001</v>
      </c>
      <c r="G47" s="23">
        <f>SUMIFS($P47:$AT47,$P$5:$AT$5,"&gt;"&amp;G$171,$P$5:$AT$5,"&lt;"&amp;G$172)</f>
        <v>9.02684</v>
      </c>
      <c r="H47" s="23"/>
      <c r="I47" s="23">
        <f>SUMIFS($P47:$AT47,$P$5:$AT$5,"&gt;"&amp;I$171,$P$5:$AT$5,"&lt;"&amp;I$172)</f>
        <v>10.54373</v>
      </c>
      <c r="J47" s="23">
        <f>SUMIFS($P47:$AT47,$P$5:$AT$5,"&gt;"&amp;J$171,$P$5:$AT$5,"&lt;"&amp;J$172)</f>
        <v>15.573919999999999</v>
      </c>
      <c r="K47" s="65">
        <f t="shared" si="50"/>
        <v>15.573919999999999</v>
      </c>
      <c r="L47" s="65"/>
      <c r="M47" s="23">
        <f t="shared" si="51"/>
        <v>0</v>
      </c>
      <c r="N47" s="66">
        <f t="shared" ref="N47" si="54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>SUMIFS($P48:$AT48,$P$5:$AT$5,"&gt;"&amp;C$171,$P$5:$AT$5,"&lt;"&amp;C$172)</f>
        <v>5.4433199999999999</v>
      </c>
      <c r="D48" s="23">
        <f>SUMIFS($P48:$AT48,$P$5:$AT$5,"&gt;"&amp;D$171,$P$5:$AT$5,"&lt;"&amp;D$172)</f>
        <v>11.22296</v>
      </c>
      <c r="E48" s="23"/>
      <c r="F48" s="23">
        <f>SUMIFS($P48:$AT48,$P$5:$AT$5,"&gt;"&amp;F$171,$P$5:$AT$5,"&lt;"&amp;F$172)</f>
        <v>6.1909999999999989</v>
      </c>
      <c r="G48" s="23">
        <f>SUMIFS($P48:$AT48,$P$5:$AT$5,"&gt;"&amp;G$171,$P$5:$AT$5,"&lt;"&amp;G$172)</f>
        <v>6.5788099999999998</v>
      </c>
      <c r="H48" s="23"/>
      <c r="I48" s="23">
        <f>SUMIFS($P48:$AT48,$P$5:$AT$5,"&gt;"&amp;I$171,$P$5:$AT$5,"&lt;"&amp;I$172)</f>
        <v>9.5326799999999974</v>
      </c>
      <c r="J48" s="23">
        <f>SUMIFS($P48:$AT48,$P$5:$AT$5,"&gt;"&amp;J$171,$P$5:$AT$5,"&lt;"&amp;J$172)</f>
        <v>11.61077</v>
      </c>
      <c r="K48" s="65">
        <f t="shared" si="50"/>
        <v>11.61077</v>
      </c>
      <c r="L48" s="65"/>
      <c r="M48" s="23">
        <f t="shared" si="51"/>
        <v>0</v>
      </c>
      <c r="N48" s="66">
        <f t="shared" ref="N48" si="55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>SUMIFS($P49:$AT49,$P$5:$AT$5,"&gt;"&amp;C$171,$P$5:$AT$5,"&lt;"&amp;C$172)</f>
        <v>0</v>
      </c>
      <c r="D49" s="23">
        <f>SUMIFS($P49:$AT49,$P$5:$AT$5,"&gt;"&amp;D$171,$P$5:$AT$5,"&lt;"&amp;D$172)</f>
        <v>11.4983</v>
      </c>
      <c r="E49" s="23"/>
      <c r="F49" s="23">
        <f>SUMIFS($P49:$AT49,$P$5:$AT$5,"&gt;"&amp;F$171,$P$5:$AT$5,"&lt;"&amp;F$172)</f>
        <v>0</v>
      </c>
      <c r="G49" s="23">
        <f>SUMIFS($P49:$AT49,$P$5:$AT$5,"&gt;"&amp;G$171,$P$5:$AT$5,"&lt;"&amp;G$172)</f>
        <v>11.84548</v>
      </c>
      <c r="H49" s="23"/>
      <c r="I49" s="23">
        <f>SUMIFS($P49:$AT49,$P$5:$AT$5,"&gt;"&amp;I$171,$P$5:$AT$5,"&lt;"&amp;I$172)</f>
        <v>0</v>
      </c>
      <c r="J49" s="23">
        <f>SUMIFS($P49:$AT49,$P$5:$AT$5,"&gt;"&amp;J$171,$P$5:$AT$5,"&lt;"&amp;J$172)</f>
        <v>23.343780000000002</v>
      </c>
      <c r="K49" s="65">
        <f t="shared" si="50"/>
        <v>23.343780000000002</v>
      </c>
      <c r="L49" s="65"/>
      <c r="M49" s="23">
        <f t="shared" si="51"/>
        <v>0</v>
      </c>
      <c r="N49" s="66">
        <f t="shared" ref="N49" si="56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>SUMIFS($P50:$AT50,$P$5:$AT$5,"&gt;"&amp;C$171,$P$5:$AT$5,"&lt;"&amp;C$172)</f>
        <v>0</v>
      </c>
      <c r="D50" s="23">
        <f>SUMIFS($P50:$AT50,$P$5:$AT$5,"&gt;"&amp;D$171,$P$5:$AT$5,"&lt;"&amp;D$172)</f>
        <v>1.5874999999999999</v>
      </c>
      <c r="E50" s="23"/>
      <c r="F50" s="23">
        <f>SUMIFS($P50:$AT50,$P$5:$AT$5,"&gt;"&amp;F$171,$P$5:$AT$5,"&lt;"&amp;F$172)</f>
        <v>0</v>
      </c>
      <c r="G50" s="23">
        <f>SUMIFS($P50:$AT50,$P$5:$AT$5,"&gt;"&amp;G$171,$P$5:$AT$5,"&lt;"&amp;G$172)</f>
        <v>30.515499999999999</v>
      </c>
      <c r="H50" s="23"/>
      <c r="I50" s="23">
        <f>SUMIFS($P50:$AT50,$P$5:$AT$5,"&gt;"&amp;I$171,$P$5:$AT$5,"&lt;"&amp;I$172)</f>
        <v>0</v>
      </c>
      <c r="J50" s="23">
        <f>SUMIFS($P50:$AT50,$P$5:$AT$5,"&gt;"&amp;J$171,$P$5:$AT$5,"&lt;"&amp;J$172)</f>
        <v>32.103000000000002</v>
      </c>
      <c r="K50" s="65">
        <f>+C152</f>
        <v>38.761499999999998</v>
      </c>
      <c r="L50" s="65"/>
      <c r="M50" s="23">
        <f>K50-J50</f>
        <v>6.6584999999999965</v>
      </c>
      <c r="N50" s="66">
        <f>IFERROR(K50/J50-1,0)</f>
        <v>0.20741052238108582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>SUMIFS($P51:$AT51,$P$5:$AT$5,"&gt;"&amp;C$171,$P$5:$AT$5,"&lt;"&amp;C$172)</f>
        <v>14.902050000000003</v>
      </c>
      <c r="D51" s="23">
        <f>SUMIFS($P51:$AT51,$P$5:$AT$5,"&gt;"&amp;D$171,$P$5:$AT$5,"&lt;"&amp;D$172)</f>
        <v>31.604100000000003</v>
      </c>
      <c r="E51" s="23"/>
      <c r="F51" s="23">
        <f>SUMIFS($P51:$AT51,$P$5:$AT$5,"&gt;"&amp;F$171,$P$5:$AT$5,"&lt;"&amp;F$172)</f>
        <v>28.299939999999999</v>
      </c>
      <c r="G51" s="23">
        <f>SUMIFS($P51:$AT51,$P$5:$AT$5,"&gt;"&amp;G$171,$P$5:$AT$5,"&lt;"&amp;G$172)</f>
        <v>5.5646000000000004</v>
      </c>
      <c r="H51" s="23"/>
      <c r="I51" s="23">
        <f>SUMIFS($P51:$AT51,$P$5:$AT$5,"&gt;"&amp;I$171,$P$5:$AT$5,"&lt;"&amp;I$172)</f>
        <v>35.346060000000008</v>
      </c>
      <c r="J51" s="23">
        <f>SUMIFS($P51:$AT51,$P$5:$AT$5,"&gt;"&amp;J$171,$P$5:$AT$5,"&lt;"&amp;J$172)</f>
        <v>8.86876</v>
      </c>
      <c r="K51" s="65">
        <f>+C153</f>
        <v>8.86876</v>
      </c>
      <c r="L51" s="65"/>
      <c r="M51" s="23">
        <f t="shared" si="51"/>
        <v>0</v>
      </c>
      <c r="N51" s="66">
        <f t="shared" ref="N51" si="57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>SUMIFS($P52:$AT52,$P$5:$AT$5,"&gt;"&amp;C$171,$P$5:$AT$5,"&lt;"&amp;C$172)</f>
        <v>6.673</v>
      </c>
      <c r="D52" s="23">
        <f>SUMIFS($P52:$AT52,$P$5:$AT$5,"&gt;"&amp;D$171,$P$5:$AT$5,"&lt;"&amp;D$172)</f>
        <v>6.673</v>
      </c>
      <c r="E52" s="23"/>
      <c r="F52" s="23">
        <f>SUMIFS($P52:$AT52,$P$5:$AT$5,"&gt;"&amp;F$171,$P$5:$AT$5,"&lt;"&amp;F$172)</f>
        <v>0</v>
      </c>
      <c r="G52" s="23">
        <f>SUMIFS($P52:$AT52,$P$5:$AT$5,"&gt;"&amp;G$171,$P$5:$AT$5,"&lt;"&amp;G$172)</f>
        <v>0</v>
      </c>
      <c r="H52" s="23"/>
      <c r="I52" s="23">
        <f>SUMIFS($P52:$AT52,$P$5:$AT$5,"&gt;"&amp;I$171,$P$5:$AT$5,"&lt;"&amp;I$172)</f>
        <v>6.673</v>
      </c>
      <c r="J52" s="23">
        <f>SUMIFS($P52:$AT52,$P$5:$AT$5,"&gt;"&amp;J$171,$P$5:$AT$5,"&lt;"&amp;J$172)</f>
        <v>6.673</v>
      </c>
      <c r="K52" s="65">
        <f t="shared" ref="K52:K57" si="58">+C154</f>
        <v>6.673</v>
      </c>
      <c r="L52" s="65"/>
      <c r="M52" s="23">
        <f t="shared" si="51"/>
        <v>0</v>
      </c>
      <c r="N52" s="66">
        <f t="shared" ref="N52" si="59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>SUMIFS($P53:$AT53,$P$5:$AT$5,"&gt;"&amp;C$171,$P$5:$AT$5,"&lt;"&amp;C$172)</f>
        <v>7.2617299999999982</v>
      </c>
      <c r="D53" s="23">
        <f>SUMIFS($P53:$AT53,$P$5:$AT$5,"&gt;"&amp;D$171,$P$5:$AT$5,"&lt;"&amp;D$172)</f>
        <v>4.91967</v>
      </c>
      <c r="E53" s="23"/>
      <c r="F53" s="23">
        <f>SUMIFS($P53:$AT53,$P$5:$AT$5,"&gt;"&amp;F$171,$P$5:$AT$5,"&lt;"&amp;F$172)</f>
        <v>2.9246699999999999</v>
      </c>
      <c r="G53" s="23">
        <f>SUMIFS($P53:$AT53,$P$5:$AT$5,"&gt;"&amp;G$171,$P$5:$AT$5,"&lt;"&amp;G$172)</f>
        <v>2.9085700000000001</v>
      </c>
      <c r="H53" s="23"/>
      <c r="I53" s="23">
        <f>SUMIFS($P53:$AT53,$P$5:$AT$5,"&gt;"&amp;I$171,$P$5:$AT$5,"&lt;"&amp;I$172)</f>
        <v>5.7418700000000005</v>
      </c>
      <c r="J53" s="23">
        <f>SUMIFS($P53:$AT53,$P$5:$AT$5,"&gt;"&amp;J$171,$P$5:$AT$5,"&lt;"&amp;J$172)</f>
        <v>4.9035700000000002</v>
      </c>
      <c r="K53" s="65">
        <f t="shared" si="58"/>
        <v>4.9035700000000002</v>
      </c>
      <c r="L53" s="65"/>
      <c r="M53" s="23">
        <f t="shared" si="51"/>
        <v>0</v>
      </c>
      <c r="N53" s="66">
        <f t="shared" ref="N53" si="60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>SUMIFS($P54:$AT54,$P$5:$AT$5,"&gt;"&amp;C$171,$P$5:$AT$5,"&lt;"&amp;C$172)</f>
        <v>7.4969999999999999</v>
      </c>
      <c r="D54" s="23">
        <f>SUMIFS($P54:$AT54,$P$5:$AT$5,"&gt;"&amp;D$171,$P$5:$AT$5,"&lt;"&amp;D$172)</f>
        <v>9.984</v>
      </c>
      <c r="E54" s="23"/>
      <c r="F54" s="23">
        <f>SUMIFS($P54:$AT54,$P$5:$AT$5,"&gt;"&amp;F$171,$P$5:$AT$5,"&lt;"&amp;F$172)</f>
        <v>5.8940000000000001</v>
      </c>
      <c r="G54" s="23">
        <f>SUMIFS($P54:$AT54,$P$5:$AT$5,"&gt;"&amp;G$171,$P$5:$AT$5,"&lt;"&amp;G$172)</f>
        <v>1.1719999999999997</v>
      </c>
      <c r="H54" s="23"/>
      <c r="I54" s="23">
        <f>SUMIFS($P54:$AT54,$P$5:$AT$5,"&gt;"&amp;I$171,$P$5:$AT$5,"&lt;"&amp;I$172)</f>
        <v>4.673</v>
      </c>
      <c r="J54" s="23">
        <f>SUMIFS($P54:$AT54,$P$5:$AT$5,"&gt;"&amp;J$171,$P$5:$AT$5,"&lt;"&amp;J$172)</f>
        <v>5.2619999999999996</v>
      </c>
      <c r="K54" s="65">
        <f t="shared" si="58"/>
        <v>5.2619999999999996</v>
      </c>
      <c r="L54" s="65"/>
      <c r="M54" s="23">
        <f t="shared" si="51"/>
        <v>0</v>
      </c>
      <c r="N54" s="66">
        <f t="shared" ref="N54" si="61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>SUMIFS($P55:$AT55,$P$5:$AT$5,"&gt;"&amp;C$171,$P$5:$AT$5,"&lt;"&amp;C$172)</f>
        <v>2.0899399999999999</v>
      </c>
      <c r="D55" s="23">
        <f>SUMIFS($P55:$AT55,$P$5:$AT$5,"&gt;"&amp;D$171,$P$5:$AT$5,"&lt;"&amp;D$172)</f>
        <v>2.6198199999999998</v>
      </c>
      <c r="E55" s="23"/>
      <c r="F55" s="23">
        <f>SUMIFS($P55:$AT55,$P$5:$AT$5,"&gt;"&amp;F$171,$P$5:$AT$5,"&lt;"&amp;F$172)</f>
        <v>1.44049</v>
      </c>
      <c r="G55" s="23">
        <f>SUMIFS($P55:$AT55,$P$5:$AT$5,"&gt;"&amp;G$171,$P$5:$AT$5,"&lt;"&amp;G$172)</f>
        <v>3.7097100000000003</v>
      </c>
      <c r="H55" s="23"/>
      <c r="I55" s="23">
        <f>SUMIFS($P55:$AT55,$P$5:$AT$5,"&gt;"&amp;I$171,$P$5:$AT$5,"&lt;"&amp;I$172)</f>
        <v>2.33371</v>
      </c>
      <c r="J55" s="23">
        <f>SUMIFS($P55:$AT55,$P$5:$AT$5,"&gt;"&amp;J$171,$P$5:$AT$5,"&lt;"&amp;J$172)</f>
        <v>4.8890399999999996</v>
      </c>
      <c r="K55" s="65">
        <f t="shared" si="58"/>
        <v>4.8890399999999996</v>
      </c>
      <c r="L55" s="65"/>
      <c r="M55" s="23">
        <f t="shared" si="51"/>
        <v>0</v>
      </c>
      <c r="N55" s="66">
        <f t="shared" ref="N55" si="62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>SUMIFS($P56:$AT56,$P$5:$AT$5,"&gt;"&amp;C$171,$P$5:$AT$5,"&lt;"&amp;C$172)</f>
        <v>0</v>
      </c>
      <c r="D56" s="23">
        <f>SUMIFS($P56:$AT56,$P$5:$AT$5,"&gt;"&amp;D$171,$P$5:$AT$5,"&lt;"&amp;D$172)</f>
        <v>1.7559100000000001</v>
      </c>
      <c r="E56" s="23"/>
      <c r="F56" s="23">
        <f>SUMIFS($P56:$AT56,$P$5:$AT$5,"&gt;"&amp;F$171,$P$5:$AT$5,"&lt;"&amp;F$172)</f>
        <v>0.53894999999999993</v>
      </c>
      <c r="G56" s="23">
        <f>SUMIFS($P56:$AT56,$P$5:$AT$5,"&gt;"&amp;G$171,$P$5:$AT$5,"&lt;"&amp;G$172)</f>
        <v>1.5394899999999998</v>
      </c>
      <c r="H56" s="23"/>
      <c r="I56" s="23">
        <f>SUMIFS($P56:$AT56,$P$5:$AT$5,"&gt;"&amp;I$171,$P$5:$AT$5,"&lt;"&amp;I$172)</f>
        <v>0.53894999999999993</v>
      </c>
      <c r="J56" s="23">
        <f>SUMIFS($P56:$AT56,$P$5:$AT$5,"&gt;"&amp;J$171,$P$5:$AT$5,"&lt;"&amp;J$172)</f>
        <v>2.7564499999999996</v>
      </c>
      <c r="K56" s="65">
        <f t="shared" si="58"/>
        <v>3.516</v>
      </c>
      <c r="L56" s="65"/>
      <c r="M56" s="23">
        <f t="shared" si="51"/>
        <v>0.75955000000000039</v>
      </c>
      <c r="N56" s="66">
        <f t="shared" ref="N56" si="63">IFERROR(K56/J56-1,0)</f>
        <v>0.27555370131872525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>SUMIFS($P57:$AT57,$P$5:$AT$5,"&gt;"&amp;C$171,$P$5:$AT$5,"&lt;"&amp;C$172)</f>
        <v>1.0598299999999998</v>
      </c>
      <c r="D57" s="23">
        <f>SUMIFS($P57:$AT57,$P$5:$AT$5,"&gt;"&amp;D$171,$P$5:$AT$5,"&lt;"&amp;D$172)</f>
        <v>3.2913300000000008</v>
      </c>
      <c r="E57" s="23"/>
      <c r="F57" s="23">
        <f>SUMIFS($P57:$AT57,$P$5:$AT$5,"&gt;"&amp;F$171,$P$5:$AT$5,"&lt;"&amp;F$172)</f>
        <v>2.0263300000000002</v>
      </c>
      <c r="G57" s="23">
        <f>SUMIFS($P57:$AT57,$P$5:$AT$5,"&gt;"&amp;G$171,$P$5:$AT$5,"&lt;"&amp;G$172)</f>
        <v>1.9429999999999996</v>
      </c>
      <c r="H57" s="23"/>
      <c r="I57" s="23">
        <f>SUMIFS($P57:$AT57,$P$5:$AT$5,"&gt;"&amp;I$171,$P$5:$AT$5,"&lt;"&amp;I$172)</f>
        <v>2.4513300000000005</v>
      </c>
      <c r="J57" s="23">
        <f>SUMIFS($P57:$AT57,$P$5:$AT$5,"&gt;"&amp;J$171,$P$5:$AT$5,"&lt;"&amp;J$172)</f>
        <v>3.2080000000000002</v>
      </c>
      <c r="K57" s="65">
        <f t="shared" si="58"/>
        <v>3.2080000000000002</v>
      </c>
      <c r="L57" s="65"/>
      <c r="M57" s="23">
        <f t="shared" si="51"/>
        <v>0</v>
      </c>
      <c r="N57" s="66">
        <f t="shared" ref="N57" si="64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>SUMIFS($P58:$AT58,$P$5:$AT$5,"&gt;"&amp;C$171,$P$5:$AT$5,"&lt;"&amp;C$172)</f>
        <v>7.9639999999999989E-2</v>
      </c>
      <c r="D58" s="23">
        <f>SUMIFS($P58:$AT58,$P$5:$AT$5,"&gt;"&amp;D$171,$P$5:$AT$5,"&lt;"&amp;D$172)</f>
        <v>1.4224800000000002</v>
      </c>
      <c r="E58" s="23"/>
      <c r="F58" s="23">
        <f>SUMIFS($P58:$AT58,$P$5:$AT$5,"&gt;"&amp;F$171,$P$5:$AT$5,"&lt;"&amp;F$172)</f>
        <v>1.07704</v>
      </c>
      <c r="G58" s="23">
        <f>SUMIFS($P58:$AT58,$P$5:$AT$5,"&gt;"&amp;G$171,$P$5:$AT$5,"&lt;"&amp;G$172)</f>
        <v>0.81103000000000003</v>
      </c>
      <c r="H58" s="23"/>
      <c r="I58" s="23">
        <f>SUMIFS($P58:$AT58,$P$5:$AT$5,"&gt;"&amp;I$171,$P$5:$AT$5,"&lt;"&amp;I$172)</f>
        <v>1.1566799999999999</v>
      </c>
      <c r="J58" s="23">
        <f>SUMIFS($P58:$AT58,$P$5:$AT$5,"&gt;"&amp;J$171,$P$5:$AT$5,"&lt;"&amp;J$172)</f>
        <v>1.1564699999999999</v>
      </c>
      <c r="K58" s="65">
        <f>+C161</f>
        <v>1.1564699999999999</v>
      </c>
      <c r="L58" s="65"/>
      <c r="M58" s="23">
        <f t="shared" si="51"/>
        <v>0</v>
      </c>
      <c r="N58" s="66">
        <f t="shared" ref="N58" si="65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>SUMIFS($P59:$AT59,$P$5:$AT$5,"&gt;"&amp;C$171,$P$5:$AT$5,"&lt;"&amp;C$172)</f>
        <v>1.3459299999999998</v>
      </c>
      <c r="D59" s="23">
        <f>SUMIFS($P59:$AT59,$P$5:$AT$5,"&gt;"&amp;D$171,$P$5:$AT$5,"&lt;"&amp;D$172)</f>
        <v>2.4943299999999997</v>
      </c>
      <c r="E59" s="23"/>
      <c r="F59" s="23">
        <f>SUMIFS($P59:$AT59,$P$5:$AT$5,"&gt;"&amp;F$171,$P$5:$AT$5,"&lt;"&amp;F$172)</f>
        <v>2.3808799999999999</v>
      </c>
      <c r="G59" s="23">
        <f>SUMIFS($P59:$AT59,$P$5:$AT$5,"&gt;"&amp;G$171,$P$5:$AT$5,"&lt;"&amp;G$172)</f>
        <v>3.2046100000000002</v>
      </c>
      <c r="H59" s="23"/>
      <c r="I59" s="23">
        <f>SUMIFS($P59:$AT59,$P$5:$AT$5,"&gt;"&amp;I$171,$P$5:$AT$5,"&lt;"&amp;I$172)</f>
        <v>2.3828199999999997</v>
      </c>
      <c r="J59" s="23">
        <f>SUMIFS($P59:$AT59,$P$5:$AT$5,"&gt;"&amp;J$171,$P$5:$AT$5,"&lt;"&amp;J$172)</f>
        <v>3.31806</v>
      </c>
      <c r="K59" s="65">
        <f>+C160</f>
        <v>3.31806</v>
      </c>
      <c r="L59" s="65"/>
      <c r="M59" s="23">
        <f t="shared" si="51"/>
        <v>0</v>
      </c>
      <c r="N59" s="66">
        <f t="shared" ref="N59" si="66">IFERROR(K59/J59-1,0)</f>
        <v>0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>SUMIFS($P60:$AT60,$P$5:$AT$5,"&gt;"&amp;C$171,$P$5:$AT$5,"&lt;"&amp;C$172)</f>
        <v>-2.7359999999999999E-2</v>
      </c>
      <c r="D60" s="23">
        <f>SUMIFS($P60:$AT60,$P$5:$AT$5,"&gt;"&amp;D$171,$P$5:$AT$5,"&lt;"&amp;D$172)</f>
        <v>-0.21722</v>
      </c>
      <c r="E60" s="23"/>
      <c r="F60" s="23">
        <f>SUMIFS($P60:$AT60,$P$5:$AT$5,"&gt;"&amp;F$171,$P$5:$AT$5,"&lt;"&amp;F$172)</f>
        <v>-0.11732999999999999</v>
      </c>
      <c r="G60" s="23">
        <f>SUMIFS($P60:$AT60,$P$5:$AT$5,"&gt;"&amp;G$171,$P$5:$AT$5,"&lt;"&amp;G$172)</f>
        <v>-0.15586999999999998</v>
      </c>
      <c r="H60" s="23"/>
      <c r="I60" s="23">
        <f>SUMIFS($P60:$AT60,$P$5:$AT$5,"&gt;"&amp;I$171,$P$5:$AT$5,"&lt;"&amp;I$172)</f>
        <v>-0.14468999999999999</v>
      </c>
      <c r="J60" s="23">
        <f>SUMIFS($P60:$AT60,$P$5:$AT$5,"&gt;"&amp;J$171,$P$5:$AT$5,"&lt;"&amp;J$172)</f>
        <v>-0.25575999999999999</v>
      </c>
      <c r="K60" s="65">
        <f>+C162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>SUMIFS($P61:$AT61,$P$5:$AT$5,"&gt;"&amp;C$171,$P$5:$AT$5,"&lt;"&amp;C$172)</f>
        <v>15.899579999999998</v>
      </c>
      <c r="D61" s="23">
        <f>SUMIFS($P61:$AT61,$P$5:$AT$5,"&gt;"&amp;D$171,$P$5:$AT$5,"&lt;"&amp;D$172)</f>
        <v>19.378</v>
      </c>
      <c r="E61" s="23"/>
      <c r="F61" s="23">
        <f>SUMIFS($P61:$AT61,$P$5:$AT$5,"&gt;"&amp;F$171,$P$5:$AT$5,"&lt;"&amp;F$172)</f>
        <v>12.74039</v>
      </c>
      <c r="G61" s="23">
        <f>SUMIFS($P61:$AT61,$P$5:$AT$5,"&gt;"&amp;G$171,$P$5:$AT$5,"&lt;"&amp;G$172)</f>
        <v>11.77191</v>
      </c>
      <c r="H61" s="23"/>
      <c r="I61" s="23">
        <f>SUMIFS($P61:$AT61,$P$5:$AT$5,"&gt;"&amp;I$171,$P$5:$AT$5,"&lt;"&amp;I$172)</f>
        <v>15.96214</v>
      </c>
      <c r="J61" s="23">
        <f>SUMIFS($P61:$AT61,$P$5:$AT$5,"&gt;"&amp;J$171,$P$5:$AT$5,"&lt;"&amp;J$172)</f>
        <v>18.409520000000001</v>
      </c>
      <c r="K61" s="65">
        <f>+C163</f>
        <v>18.409520000000001</v>
      </c>
      <c r="L61" s="65"/>
      <c r="M61" s="23">
        <f t="shared" si="51"/>
        <v>0</v>
      </c>
      <c r="N61" s="66">
        <f t="shared" ref="N61" si="67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280.66057000000001</v>
      </c>
      <c r="L62" s="71"/>
      <c r="M62" s="59">
        <f>SUM(M44:M61)</f>
        <v>7.4180499999999974</v>
      </c>
      <c r="N62" s="90">
        <f t="shared" ref="N62:N64" si="68">IFERROR(K62/J62-1,0)</f>
        <v>2.7148227150005866E-2</v>
      </c>
      <c r="P62" s="59">
        <f t="shared" ref="P62:AT62" si="69">SUM(P44:P61)</f>
        <v>6.3498899999999994</v>
      </c>
      <c r="Q62" s="59">
        <f t="shared" si="69"/>
        <v>9.3383300000000009</v>
      </c>
      <c r="R62" s="59">
        <f t="shared" si="69"/>
        <v>10.572559999999999</v>
      </c>
      <c r="S62" s="59">
        <f t="shared" si="69"/>
        <v>17.246530000000003</v>
      </c>
      <c r="T62" s="59">
        <f t="shared" si="69"/>
        <v>5.7650100000000002</v>
      </c>
      <c r="U62" s="59">
        <f t="shared" si="69"/>
        <v>12.701700000000001</v>
      </c>
      <c r="V62" s="59">
        <f t="shared" si="69"/>
        <v>6.1308299999999996</v>
      </c>
      <c r="W62" s="59">
        <f t="shared" si="69"/>
        <v>6.3450800000000012</v>
      </c>
      <c r="X62" s="59">
        <f t="shared" si="69"/>
        <v>12.34346</v>
      </c>
      <c r="Y62" s="59">
        <f t="shared" si="69"/>
        <v>6.8983999999999996</v>
      </c>
      <c r="Z62" s="59">
        <f t="shared" si="69"/>
        <v>7.9963599999999984</v>
      </c>
      <c r="AA62" s="59">
        <f t="shared" si="69"/>
        <v>12.261750000000001</v>
      </c>
      <c r="AB62" s="59">
        <f t="shared" si="69"/>
        <v>12.998240000000001</v>
      </c>
      <c r="AC62" s="59">
        <f t="shared" si="69"/>
        <v>29.570220000000003</v>
      </c>
      <c r="AD62" s="59">
        <f t="shared" si="69"/>
        <v>15.127749999999995</v>
      </c>
      <c r="AE62" s="59">
        <f t="shared" si="69"/>
        <v>26.672890000000002</v>
      </c>
      <c r="AF62" s="59">
        <f t="shared" si="69"/>
        <v>16.811419999999995</v>
      </c>
      <c r="AG62" s="59">
        <f t="shared" si="69"/>
        <v>11.19876</v>
      </c>
      <c r="AH62" s="59">
        <f t="shared" si="69"/>
        <v>9.2206100000000024</v>
      </c>
      <c r="AI62" s="59">
        <f t="shared" si="69"/>
        <v>14.376060000000001</v>
      </c>
      <c r="AJ62" s="59">
        <f t="shared" si="69"/>
        <v>15.38611</v>
      </c>
      <c r="AK62" s="59">
        <f t="shared" si="69"/>
        <v>12.742199999999999</v>
      </c>
      <c r="AL62" s="59">
        <f t="shared" si="69"/>
        <v>14.61088</v>
      </c>
      <c r="AM62" s="59">
        <f t="shared" si="69"/>
        <v>26.826480000000007</v>
      </c>
      <c r="AN62" s="59">
        <f t="shared" si="69"/>
        <v>10.238199999999999</v>
      </c>
      <c r="AO62" s="59">
        <f t="shared" si="69"/>
        <v>17.660680000000003</v>
      </c>
      <c r="AP62" s="59">
        <f t="shared" si="69"/>
        <v>37.953969999999998</v>
      </c>
      <c r="AQ62" s="59">
        <f t="shared" si="69"/>
        <v>30.732039999999998</v>
      </c>
      <c r="AR62" s="59">
        <f t="shared" si="69"/>
        <v>36.065340000000006</v>
      </c>
      <c r="AS62" s="59">
        <f t="shared" si="69"/>
        <v>16.763590000000001</v>
      </c>
      <c r="AT62" s="59">
        <f t="shared" si="69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-25.169689999999719</v>
      </c>
      <c r="L64" s="71"/>
      <c r="M64" s="110">
        <f>M24-M36-M42-M62</f>
        <v>-128.45750999999984</v>
      </c>
      <c r="N64" s="112">
        <f t="shared" si="68"/>
        <v>-1.2436849766022724</v>
      </c>
      <c r="P64" s="110">
        <f t="shared" ref="P64:AT64" si="70">+P24-P36-P42-P62</f>
        <v>32.29054</v>
      </c>
      <c r="Q64" s="105">
        <f t="shared" si="70"/>
        <v>23.655570000000012</v>
      </c>
      <c r="R64" s="105">
        <f t="shared" si="70"/>
        <v>18.009040000000002</v>
      </c>
      <c r="S64" s="105">
        <f t="shared" si="70"/>
        <v>3.3036999999999814</v>
      </c>
      <c r="T64" s="105">
        <f t="shared" si="70"/>
        <v>0.97158000000002254</v>
      </c>
      <c r="U64" s="105">
        <f t="shared" si="70"/>
        <v>10.027299999999999</v>
      </c>
      <c r="V64" s="105">
        <f t="shared" si="70"/>
        <v>26.037100000000013</v>
      </c>
      <c r="W64" s="105">
        <f t="shared" si="70"/>
        <v>28.863819999999997</v>
      </c>
      <c r="X64" s="105">
        <f t="shared" si="70"/>
        <v>10.835770000000004</v>
      </c>
      <c r="Y64" s="105">
        <f t="shared" si="70"/>
        <v>11.887049999999981</v>
      </c>
      <c r="Z64" s="105">
        <f t="shared" si="70"/>
        <v>-11.563829999999996</v>
      </c>
      <c r="AA64" s="105">
        <f t="shared" si="70"/>
        <v>-8.8457899999999778</v>
      </c>
      <c r="AB64" s="105">
        <f t="shared" si="70"/>
        <v>20.371919999999967</v>
      </c>
      <c r="AC64" s="105">
        <f t="shared" si="70"/>
        <v>7.5049699999999966</v>
      </c>
      <c r="AD64" s="105">
        <f t="shared" si="70"/>
        <v>20.557870000000005</v>
      </c>
      <c r="AE64" s="105">
        <f t="shared" si="70"/>
        <v>-3.217779999999987</v>
      </c>
      <c r="AF64" s="105">
        <f t="shared" si="70"/>
        <v>17.914550000000009</v>
      </c>
      <c r="AG64" s="105">
        <f t="shared" si="70"/>
        <v>25.023679999999977</v>
      </c>
      <c r="AH64" s="105">
        <f t="shared" si="70"/>
        <v>15.680769999999987</v>
      </c>
      <c r="AI64" s="105">
        <f t="shared" si="70"/>
        <v>18.057059999999971</v>
      </c>
      <c r="AJ64" s="105">
        <f t="shared" si="70"/>
        <v>2.7743600000000104</v>
      </c>
      <c r="AK64" s="105">
        <f t="shared" si="70"/>
        <v>2.5894700000000075</v>
      </c>
      <c r="AL64" s="105">
        <f t="shared" si="70"/>
        <v>13.519970000000038</v>
      </c>
      <c r="AM64" s="105">
        <f t="shared" si="70"/>
        <v>-9.7965400000000109</v>
      </c>
      <c r="AN64" s="105">
        <f t="shared" si="70"/>
        <v>31.645769999999949</v>
      </c>
      <c r="AO64" s="105">
        <f t="shared" si="70"/>
        <v>70.339949999999973</v>
      </c>
      <c r="AP64" s="105">
        <f t="shared" si="70"/>
        <v>-13.787130000000019</v>
      </c>
      <c r="AQ64" s="105">
        <f t="shared" si="70"/>
        <v>-4.5244900000000214</v>
      </c>
      <c r="AR64" s="105">
        <f t="shared" si="70"/>
        <v>-0.17472000000000065</v>
      </c>
      <c r="AS64" s="105">
        <f t="shared" si="70"/>
        <v>8.8369600000000688</v>
      </c>
      <c r="AT64" s="106">
        <f t="shared" si="70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-8.4395747606354279E-3</v>
      </c>
      <c r="L65" s="103"/>
      <c r="M65" s="111">
        <v>0</v>
      </c>
      <c r="N65" s="113">
        <v>0</v>
      </c>
      <c r="P65" s="111">
        <f t="shared" ref="P65:AT65" si="71">P64/P$24</f>
        <v>0.39907678731874074</v>
      </c>
      <c r="Q65" s="108">
        <f t="shared" si="71"/>
        <v>0.29112505338087064</v>
      </c>
      <c r="R65" s="108">
        <f t="shared" si="71"/>
        <v>0.23055348588312713</v>
      </c>
      <c r="S65" s="108">
        <f t="shared" si="71"/>
        <v>3.9634903477126664E-2</v>
      </c>
      <c r="T65" s="108">
        <f t="shared" si="71"/>
        <v>1.0771856670157455E-2</v>
      </c>
      <c r="U65" s="108">
        <f t="shared" si="71"/>
        <v>0.11151877645530595</v>
      </c>
      <c r="V65" s="108">
        <f t="shared" si="71"/>
        <v>0.24872554559258261</v>
      </c>
      <c r="W65" s="108">
        <f t="shared" si="71"/>
        <v>0.27722551846845006</v>
      </c>
      <c r="X65" s="108">
        <f t="shared" si="71"/>
        <v>0.11015011779176656</v>
      </c>
      <c r="Y65" s="108">
        <f t="shared" si="71"/>
        <v>0.11999981828992633</v>
      </c>
      <c r="Z65" s="108">
        <f t="shared" si="71"/>
        <v>-0.10585972007729956</v>
      </c>
      <c r="AA65" s="108">
        <f t="shared" si="71"/>
        <v>-7.6420290474838865E-2</v>
      </c>
      <c r="AB65" s="108">
        <f t="shared" si="71"/>
        <v>0.14691724622113159</v>
      </c>
      <c r="AC65" s="108">
        <f t="shared" si="71"/>
        <v>5.8723140217804622E-2</v>
      </c>
      <c r="AD65" s="108">
        <f t="shared" si="71"/>
        <v>0.15264751707122823</v>
      </c>
      <c r="AE65" s="108">
        <f t="shared" si="71"/>
        <v>-2.3664392729283685E-2</v>
      </c>
      <c r="AF65" s="108">
        <f t="shared" si="71"/>
        <v>0.11781925710247981</v>
      </c>
      <c r="AG65" s="108">
        <f t="shared" si="71"/>
        <v>0.16320676168834009</v>
      </c>
      <c r="AH65" s="108">
        <f t="shared" si="71"/>
        <v>0.10091833751896462</v>
      </c>
      <c r="AI65" s="108">
        <f t="shared" si="71"/>
        <v>0.11294605003511514</v>
      </c>
      <c r="AJ65" s="108">
        <f t="shared" si="71"/>
        <v>1.6916910758289692E-2</v>
      </c>
      <c r="AK65" s="108">
        <f t="shared" si="71"/>
        <v>1.4446600906115629E-2</v>
      </c>
      <c r="AL65" s="108">
        <f t="shared" si="71"/>
        <v>7.4412058126513955E-2</v>
      </c>
      <c r="AM65" s="108">
        <f t="shared" si="71"/>
        <v>-4.9803795250781595E-2</v>
      </c>
      <c r="AN65" s="108">
        <f t="shared" si="71"/>
        <v>0.14914164930768267</v>
      </c>
      <c r="AO65" s="108">
        <f t="shared" si="71"/>
        <v>0.29078545945995543</v>
      </c>
      <c r="AP65" s="108">
        <f t="shared" si="71"/>
        <v>-5.9556833430995562E-2</v>
      </c>
      <c r="AQ65" s="108">
        <f t="shared" si="71"/>
        <v>-1.8826980602112769E-2</v>
      </c>
      <c r="AR65" s="108">
        <f t="shared" si="71"/>
        <v>-7.0967025231840307E-4</v>
      </c>
      <c r="AS65" s="108">
        <f t="shared" si="71"/>
        <v>3.5704989872698906E-2</v>
      </c>
      <c r="AT65" s="109">
        <f t="shared" si="71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-25.169689999999719</v>
      </c>
      <c r="L70" s="6"/>
      <c r="M70" s="65">
        <f>+M64</f>
        <v>-128.45750999999984</v>
      </c>
      <c r="N70" s="66">
        <f t="shared" ref="N70:N74" si="72">IFERROR(K70/J70-1,0)</f>
        <v>-1.2436849766022724</v>
      </c>
      <c r="P70" s="65">
        <f t="shared" ref="P70:AT70" si="73">+P64</f>
        <v>32.29054</v>
      </c>
      <c r="Q70" s="65">
        <f t="shared" si="73"/>
        <v>23.655570000000012</v>
      </c>
      <c r="R70" s="65">
        <f t="shared" si="73"/>
        <v>18.009040000000002</v>
      </c>
      <c r="S70" s="65">
        <f t="shared" si="73"/>
        <v>3.3036999999999814</v>
      </c>
      <c r="T70" s="65">
        <f t="shared" si="73"/>
        <v>0.97158000000002254</v>
      </c>
      <c r="U70" s="65">
        <f t="shared" si="73"/>
        <v>10.027299999999999</v>
      </c>
      <c r="V70" s="65">
        <f t="shared" si="73"/>
        <v>26.037100000000013</v>
      </c>
      <c r="W70" s="65">
        <f t="shared" si="73"/>
        <v>28.863819999999997</v>
      </c>
      <c r="X70" s="65">
        <f t="shared" si="73"/>
        <v>10.835770000000004</v>
      </c>
      <c r="Y70" s="65">
        <f t="shared" si="73"/>
        <v>11.887049999999981</v>
      </c>
      <c r="Z70" s="65">
        <f t="shared" si="73"/>
        <v>-11.563829999999996</v>
      </c>
      <c r="AA70" s="65">
        <f t="shared" si="73"/>
        <v>-8.8457899999999778</v>
      </c>
      <c r="AB70" s="65">
        <f t="shared" si="73"/>
        <v>20.371919999999967</v>
      </c>
      <c r="AC70" s="65">
        <f t="shared" si="73"/>
        <v>7.5049699999999966</v>
      </c>
      <c r="AD70" s="65">
        <f t="shared" si="73"/>
        <v>20.557870000000005</v>
      </c>
      <c r="AE70" s="65">
        <f t="shared" si="73"/>
        <v>-3.217779999999987</v>
      </c>
      <c r="AF70" s="65">
        <f t="shared" si="73"/>
        <v>17.914550000000009</v>
      </c>
      <c r="AG70" s="65">
        <f t="shared" si="73"/>
        <v>25.023679999999977</v>
      </c>
      <c r="AH70" s="65">
        <f t="shared" si="73"/>
        <v>15.680769999999987</v>
      </c>
      <c r="AI70" s="65">
        <f t="shared" si="73"/>
        <v>18.057059999999971</v>
      </c>
      <c r="AJ70" s="65">
        <f t="shared" si="73"/>
        <v>2.7743600000000104</v>
      </c>
      <c r="AK70" s="65">
        <f t="shared" si="73"/>
        <v>2.5894700000000075</v>
      </c>
      <c r="AL70" s="65">
        <f t="shared" si="73"/>
        <v>13.519970000000038</v>
      </c>
      <c r="AM70" s="65">
        <f t="shared" si="73"/>
        <v>-9.7965400000000109</v>
      </c>
      <c r="AN70" s="65">
        <f t="shared" si="73"/>
        <v>31.645769999999949</v>
      </c>
      <c r="AO70" s="65">
        <f t="shared" si="73"/>
        <v>70.339949999999973</v>
      </c>
      <c r="AP70" s="65">
        <f t="shared" si="73"/>
        <v>-13.787130000000019</v>
      </c>
      <c r="AQ70" s="65">
        <f t="shared" si="73"/>
        <v>-4.5244900000000214</v>
      </c>
      <c r="AR70" s="65">
        <f t="shared" si="73"/>
        <v>-0.17472000000000065</v>
      </c>
      <c r="AS70" s="65">
        <f t="shared" si="73"/>
        <v>8.8369600000000688</v>
      </c>
      <c r="AT70" s="65">
        <f t="shared" si="73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74">K71-J71</f>
        <v>0</v>
      </c>
      <c r="N71" s="66">
        <f t="shared" si="72"/>
        <v>0</v>
      </c>
      <c r="O71" s="52"/>
      <c r="P71" s="65">
        <f t="shared" ref="P71:AT71" si="75">+P52</f>
        <v>0</v>
      </c>
      <c r="Q71" s="65">
        <f t="shared" si="75"/>
        <v>0</v>
      </c>
      <c r="R71" s="65">
        <f t="shared" si="75"/>
        <v>0</v>
      </c>
      <c r="S71" s="65">
        <f t="shared" si="75"/>
        <v>0</v>
      </c>
      <c r="T71" s="65">
        <f t="shared" si="75"/>
        <v>0</v>
      </c>
      <c r="U71" s="65">
        <f t="shared" si="75"/>
        <v>0</v>
      </c>
      <c r="V71" s="65">
        <f t="shared" si="75"/>
        <v>0</v>
      </c>
      <c r="W71" s="65">
        <f t="shared" si="75"/>
        <v>0</v>
      </c>
      <c r="X71" s="65">
        <f t="shared" si="75"/>
        <v>0</v>
      </c>
      <c r="Y71" s="65">
        <f t="shared" si="75"/>
        <v>0</v>
      </c>
      <c r="Z71" s="65">
        <f t="shared" si="75"/>
        <v>0</v>
      </c>
      <c r="AA71" s="65">
        <f t="shared" si="75"/>
        <v>6.673</v>
      </c>
      <c r="AB71" s="65">
        <f t="shared" si="75"/>
        <v>0</v>
      </c>
      <c r="AC71" s="65">
        <f t="shared" si="75"/>
        <v>0</v>
      </c>
      <c r="AD71" s="65">
        <f t="shared" si="75"/>
        <v>0</v>
      </c>
      <c r="AE71" s="65">
        <f t="shared" si="75"/>
        <v>0</v>
      </c>
      <c r="AF71" s="65">
        <f t="shared" si="75"/>
        <v>0</v>
      </c>
      <c r="AG71" s="65">
        <f t="shared" si="75"/>
        <v>0</v>
      </c>
      <c r="AH71" s="65">
        <f t="shared" si="75"/>
        <v>0</v>
      </c>
      <c r="AI71" s="65">
        <f t="shared" si="75"/>
        <v>0</v>
      </c>
      <c r="AJ71" s="65">
        <f t="shared" si="75"/>
        <v>0</v>
      </c>
      <c r="AK71" s="65">
        <f t="shared" si="75"/>
        <v>0</v>
      </c>
      <c r="AL71" s="65">
        <f t="shared" si="75"/>
        <v>0</v>
      </c>
      <c r="AM71" s="65">
        <f t="shared" si="75"/>
        <v>6.673</v>
      </c>
      <c r="AN71" s="65">
        <f t="shared" si="75"/>
        <v>0</v>
      </c>
      <c r="AO71" s="65">
        <f t="shared" si="75"/>
        <v>0</v>
      </c>
      <c r="AP71" s="65">
        <f t="shared" si="75"/>
        <v>0</v>
      </c>
      <c r="AQ71" s="65">
        <f t="shared" si="75"/>
        <v>0</v>
      </c>
      <c r="AR71" s="65">
        <f t="shared" si="75"/>
        <v>0</v>
      </c>
      <c r="AS71" s="65">
        <f t="shared" si="75"/>
        <v>0</v>
      </c>
      <c r="AT71" s="65">
        <f t="shared" si="75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74"/>
        <v>0</v>
      </c>
      <c r="N72" s="66">
        <f t="shared" si="72"/>
        <v>0</v>
      </c>
      <c r="O72" s="52"/>
      <c r="P72" s="65">
        <f t="shared" ref="P72:AT72" si="76">+P54</f>
        <v>0</v>
      </c>
      <c r="Q72" s="65">
        <f t="shared" si="76"/>
        <v>0</v>
      </c>
      <c r="R72" s="65">
        <f t="shared" si="76"/>
        <v>0</v>
      </c>
      <c r="S72" s="65">
        <f t="shared" si="76"/>
        <v>6.2460000000000004</v>
      </c>
      <c r="T72" s="65">
        <f t="shared" si="76"/>
        <v>0</v>
      </c>
      <c r="U72" s="65">
        <f t="shared" si="76"/>
        <v>2.472</v>
      </c>
      <c r="V72" s="65">
        <f t="shared" si="76"/>
        <v>0</v>
      </c>
      <c r="W72" s="65">
        <f t="shared" si="76"/>
        <v>0</v>
      </c>
      <c r="X72" s="65">
        <f t="shared" si="76"/>
        <v>2.472</v>
      </c>
      <c r="Y72" s="65">
        <f t="shared" si="76"/>
        <v>0</v>
      </c>
      <c r="Z72" s="65">
        <f t="shared" si="76"/>
        <v>0</v>
      </c>
      <c r="AA72" s="65">
        <f t="shared" si="76"/>
        <v>-3.6930000000000001</v>
      </c>
      <c r="AB72" s="65">
        <f t="shared" si="76"/>
        <v>2.472</v>
      </c>
      <c r="AC72" s="65">
        <f t="shared" si="76"/>
        <v>0</v>
      </c>
      <c r="AD72" s="65">
        <f t="shared" si="76"/>
        <v>0</v>
      </c>
      <c r="AE72" s="65">
        <f t="shared" si="76"/>
        <v>3.649</v>
      </c>
      <c r="AF72" s="65">
        <f t="shared" si="76"/>
        <v>-2.2719999999999998</v>
      </c>
      <c r="AG72" s="65">
        <f t="shared" si="76"/>
        <v>2.0449999999999999</v>
      </c>
      <c r="AH72" s="65">
        <f t="shared" si="76"/>
        <v>0</v>
      </c>
      <c r="AI72" s="65">
        <f t="shared" si="76"/>
        <v>0</v>
      </c>
      <c r="AJ72" s="65">
        <f t="shared" si="76"/>
        <v>2.0449999999999999</v>
      </c>
      <c r="AK72" s="65">
        <f t="shared" si="76"/>
        <v>0</v>
      </c>
      <c r="AL72" s="65">
        <f t="shared" si="76"/>
        <v>0</v>
      </c>
      <c r="AM72" s="65">
        <f t="shared" si="76"/>
        <v>2.0449999999999999</v>
      </c>
      <c r="AN72" s="65">
        <f t="shared" si="76"/>
        <v>0</v>
      </c>
      <c r="AO72" s="65">
        <f t="shared" si="76"/>
        <v>0</v>
      </c>
      <c r="AP72" s="65">
        <f t="shared" si="76"/>
        <v>5.0359999999999996</v>
      </c>
      <c r="AQ72" s="65">
        <f t="shared" si="76"/>
        <v>-4.8639999999999999</v>
      </c>
      <c r="AR72" s="65">
        <f t="shared" si="76"/>
        <v>0</v>
      </c>
      <c r="AS72" s="65">
        <f t="shared" si="76"/>
        <v>1</v>
      </c>
      <c r="AT72" s="65">
        <f t="shared" si="76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74"/>
        <v>0</v>
      </c>
      <c r="N73" s="66">
        <f t="shared" si="72"/>
        <v>0</v>
      </c>
      <c r="O73" s="52"/>
      <c r="P73" s="65">
        <f t="shared" ref="P73:AT73" si="77">+P58</f>
        <v>0</v>
      </c>
      <c r="Q73" s="65">
        <f t="shared" si="77"/>
        <v>0</v>
      </c>
      <c r="R73" s="65">
        <f t="shared" si="77"/>
        <v>0</v>
      </c>
      <c r="S73" s="65">
        <f t="shared" si="77"/>
        <v>0</v>
      </c>
      <c r="T73" s="65">
        <f t="shared" si="77"/>
        <v>0</v>
      </c>
      <c r="U73" s="65">
        <f t="shared" si="77"/>
        <v>0</v>
      </c>
      <c r="V73" s="65">
        <f t="shared" si="77"/>
        <v>0</v>
      </c>
      <c r="W73" s="65">
        <f t="shared" si="77"/>
        <v>0</v>
      </c>
      <c r="X73" s="65">
        <f t="shared" si="77"/>
        <v>0</v>
      </c>
      <c r="Y73" s="65">
        <f t="shared" si="77"/>
        <v>0</v>
      </c>
      <c r="Z73" s="65">
        <f t="shared" si="77"/>
        <v>7.1499999999999994E-2</v>
      </c>
      <c r="AA73" s="65">
        <f t="shared" si="77"/>
        <v>8.1400000000000014E-3</v>
      </c>
      <c r="AB73" s="65">
        <f t="shared" si="77"/>
        <v>0.11752</v>
      </c>
      <c r="AC73" s="65">
        <f t="shared" si="77"/>
        <v>0.20646</v>
      </c>
      <c r="AD73" s="65">
        <f t="shared" si="77"/>
        <v>1.174E-2</v>
      </c>
      <c r="AE73" s="65">
        <f t="shared" si="77"/>
        <v>3.6600000000000001E-2</v>
      </c>
      <c r="AF73" s="65">
        <f t="shared" si="77"/>
        <v>0.11484</v>
      </c>
      <c r="AG73" s="65">
        <f t="shared" si="77"/>
        <v>0.24787999999999999</v>
      </c>
      <c r="AH73" s="65">
        <f t="shared" si="77"/>
        <v>0.34200000000000003</v>
      </c>
      <c r="AI73" s="65">
        <f t="shared" si="77"/>
        <v>0.25108999999999998</v>
      </c>
      <c r="AJ73" s="65">
        <f t="shared" si="77"/>
        <v>6.5290000000000001E-2</v>
      </c>
      <c r="AK73" s="65">
        <f t="shared" si="77"/>
        <v>1.916E-2</v>
      </c>
      <c r="AL73" s="65">
        <f t="shared" si="77"/>
        <v>9.9000000000000008E-3</v>
      </c>
      <c r="AM73" s="65">
        <f t="shared" si="77"/>
        <v>0</v>
      </c>
      <c r="AN73" s="65">
        <f t="shared" si="77"/>
        <v>0.28870000000000001</v>
      </c>
      <c r="AO73" s="65">
        <f t="shared" si="77"/>
        <v>0.14452999999999999</v>
      </c>
      <c r="AP73" s="65">
        <f t="shared" si="77"/>
        <v>0</v>
      </c>
      <c r="AQ73" s="65">
        <f t="shared" si="77"/>
        <v>0.15</v>
      </c>
      <c r="AR73" s="65">
        <f t="shared" si="77"/>
        <v>0.11769</v>
      </c>
      <c r="AS73" s="65">
        <f t="shared" si="77"/>
        <v>0.11011</v>
      </c>
      <c r="AT73" s="65">
        <f t="shared" si="77"/>
        <v>0</v>
      </c>
    </row>
    <row r="74" spans="1:46">
      <c r="B74" s="92" t="s">
        <v>327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-12.078219999999716</v>
      </c>
      <c r="L74" s="71"/>
      <c r="M74" s="59">
        <f>SUM(M70:M73)</f>
        <v>-128.45750999999984</v>
      </c>
      <c r="N74" s="90">
        <f t="shared" si="72"/>
        <v>-1.1037832418465494</v>
      </c>
      <c r="P74" s="59">
        <f t="shared" ref="P74:AT74" si="78">SUM(P70:P73)</f>
        <v>32.29054</v>
      </c>
      <c r="Q74" s="59">
        <f t="shared" si="78"/>
        <v>23.655570000000012</v>
      </c>
      <c r="R74" s="59">
        <f t="shared" si="78"/>
        <v>18.009040000000002</v>
      </c>
      <c r="S74" s="59">
        <f t="shared" si="78"/>
        <v>9.5496999999999819</v>
      </c>
      <c r="T74" s="59">
        <f t="shared" si="78"/>
        <v>0.97158000000002254</v>
      </c>
      <c r="U74" s="59">
        <f t="shared" si="78"/>
        <v>12.499299999999998</v>
      </c>
      <c r="V74" s="59">
        <f t="shared" si="78"/>
        <v>26.037100000000013</v>
      </c>
      <c r="W74" s="59">
        <f t="shared" si="78"/>
        <v>28.863819999999997</v>
      </c>
      <c r="X74" s="59">
        <f t="shared" si="78"/>
        <v>13.307770000000003</v>
      </c>
      <c r="Y74" s="59">
        <f t="shared" si="78"/>
        <v>11.887049999999981</v>
      </c>
      <c r="Z74" s="59">
        <f t="shared" si="78"/>
        <v>-11.492329999999995</v>
      </c>
      <c r="AA74" s="59">
        <f t="shared" si="78"/>
        <v>-5.8576499999999774</v>
      </c>
      <c r="AB74" s="59">
        <f t="shared" si="78"/>
        <v>22.961439999999968</v>
      </c>
      <c r="AC74" s="59">
        <f t="shared" si="78"/>
        <v>7.7114299999999965</v>
      </c>
      <c r="AD74" s="59">
        <f t="shared" si="78"/>
        <v>20.569610000000004</v>
      </c>
      <c r="AE74" s="59">
        <f t="shared" si="78"/>
        <v>0.46782000000001306</v>
      </c>
      <c r="AF74" s="59">
        <f t="shared" si="78"/>
        <v>15.757390000000008</v>
      </c>
      <c r="AG74" s="59">
        <f t="shared" si="78"/>
        <v>27.316559999999978</v>
      </c>
      <c r="AH74" s="59">
        <f t="shared" si="78"/>
        <v>16.022769999999987</v>
      </c>
      <c r="AI74" s="59">
        <f t="shared" si="78"/>
        <v>18.308149999999973</v>
      </c>
      <c r="AJ74" s="59">
        <f t="shared" si="78"/>
        <v>4.8846500000000104</v>
      </c>
      <c r="AK74" s="59">
        <f t="shared" si="78"/>
        <v>2.6086300000000073</v>
      </c>
      <c r="AL74" s="59">
        <f t="shared" si="78"/>
        <v>13.529870000000038</v>
      </c>
      <c r="AM74" s="59">
        <f t="shared" si="78"/>
        <v>-1.0785400000000109</v>
      </c>
      <c r="AN74" s="59">
        <f t="shared" si="78"/>
        <v>31.934469999999948</v>
      </c>
      <c r="AO74" s="59">
        <f t="shared" si="78"/>
        <v>70.484479999999976</v>
      </c>
      <c r="AP74" s="59">
        <f t="shared" si="78"/>
        <v>-8.7511300000000194</v>
      </c>
      <c r="AQ74" s="59">
        <f t="shared" si="78"/>
        <v>-9.2384900000000219</v>
      </c>
      <c r="AR74" s="59">
        <f t="shared" si="78"/>
        <v>-5.703000000000065E-2</v>
      </c>
      <c r="AS74" s="59">
        <f t="shared" si="78"/>
        <v>9.9470700000000694</v>
      </c>
      <c r="AT74" s="59">
        <f t="shared" si="78"/>
        <v>-16.192839999999997</v>
      </c>
    </row>
    <row r="75" spans="1:46" s="97" customFormat="1">
      <c r="B75" s="127" t="s">
        <v>305</v>
      </c>
      <c r="C75" s="128">
        <f>C74/C$24</f>
        <v>0.14072801397504611</v>
      </c>
      <c r="D75" s="128">
        <f>D74/D$24</f>
        <v>7.9313141434870629E-2</v>
      </c>
      <c r="F75" s="128">
        <f>F74/F$24</f>
        <v>0.11104319777735239</v>
      </c>
      <c r="G75" s="128">
        <f>G74/G$24</f>
        <v>4.6753763507010167E-2</v>
      </c>
      <c r="I75" s="128">
        <f>I74/I$24</f>
        <v>9.6768990691582957E-2</v>
      </c>
      <c r="J75" s="128">
        <f>J74/J$24</f>
        <v>4.5593679180959502E-2</v>
      </c>
      <c r="K75" s="128">
        <f>K74/K$24</f>
        <v>-4.0499124409319612E-3</v>
      </c>
      <c r="L75" s="103"/>
      <c r="M75" s="128">
        <v>0</v>
      </c>
      <c r="N75" s="129">
        <v>0</v>
      </c>
      <c r="P75" s="128">
        <f t="shared" ref="P75:AT75" si="79">P74/P$24</f>
        <v>0.39907678731874074</v>
      </c>
      <c r="Q75" s="128">
        <f t="shared" si="79"/>
        <v>0.29112505338087064</v>
      </c>
      <c r="R75" s="128">
        <f t="shared" si="79"/>
        <v>0.23055348588312713</v>
      </c>
      <c r="S75" s="128">
        <f t="shared" si="79"/>
        <v>0.11456894927975236</v>
      </c>
      <c r="T75" s="128">
        <f t="shared" si="79"/>
        <v>1.0771856670157455E-2</v>
      </c>
      <c r="U75" s="128">
        <f t="shared" si="79"/>
        <v>0.13901116377766753</v>
      </c>
      <c r="V75" s="128">
        <f t="shared" si="79"/>
        <v>0.24872554559258261</v>
      </c>
      <c r="W75" s="128">
        <f t="shared" si="79"/>
        <v>0.27722551846845006</v>
      </c>
      <c r="X75" s="128">
        <f t="shared" si="79"/>
        <v>0.13527902798285099</v>
      </c>
      <c r="Y75" s="128">
        <f t="shared" si="79"/>
        <v>0.11999981828992633</v>
      </c>
      <c r="Z75" s="128">
        <f t="shared" si="79"/>
        <v>-0.10520518174652793</v>
      </c>
      <c r="AA75" s="128">
        <f t="shared" si="79"/>
        <v>-5.0605238706767766E-2</v>
      </c>
      <c r="AB75" s="128">
        <f t="shared" si="79"/>
        <v>0.16559222371144891</v>
      </c>
      <c r="AC75" s="128">
        <f t="shared" si="79"/>
        <v>6.0338600310165809E-2</v>
      </c>
      <c r="AD75" s="128">
        <f t="shared" si="79"/>
        <v>0.15273468961636139</v>
      </c>
      <c r="AE75" s="128">
        <f t="shared" si="79"/>
        <v>3.4404702020069261E-3</v>
      </c>
      <c r="AF75" s="128">
        <f t="shared" si="79"/>
        <v>0.10363218633312275</v>
      </c>
      <c r="AG75" s="128">
        <f t="shared" si="79"/>
        <v>0.17816113769298694</v>
      </c>
      <c r="AH75" s="128">
        <f t="shared" si="79"/>
        <v>0.10311938194672461</v>
      </c>
      <c r="AI75" s="128">
        <f t="shared" si="79"/>
        <v>0.11451660602281841</v>
      </c>
      <c r="AJ75" s="128">
        <f t="shared" si="79"/>
        <v>2.978459469408426E-2</v>
      </c>
      <c r="AK75" s="128">
        <f t="shared" si="79"/>
        <v>1.4553494159700791E-2</v>
      </c>
      <c r="AL75" s="128">
        <f t="shared" si="79"/>
        <v>7.4466546366905945E-2</v>
      </c>
      <c r="AM75" s="128">
        <f t="shared" si="79"/>
        <v>-5.4830976375106382E-3</v>
      </c>
      <c r="AN75" s="128">
        <f t="shared" si="79"/>
        <v>0.15050224802767362</v>
      </c>
      <c r="AO75" s="128">
        <f t="shared" si="79"/>
        <v>0.29138294669808606</v>
      </c>
      <c r="AP75" s="128">
        <f t="shared" si="79"/>
        <v>-3.7802616769624181E-2</v>
      </c>
      <c r="AQ75" s="128">
        <f t="shared" si="79"/>
        <v>-3.8442536511919E-2</v>
      </c>
      <c r="AR75" s="128">
        <f t="shared" si="79"/>
        <v>-2.316420243230245E-4</v>
      </c>
      <c r="AS75" s="128">
        <f t="shared" si="79"/>
        <v>4.019029548770469E-2</v>
      </c>
      <c r="AT75" s="128">
        <f t="shared" si="79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3" t="s">
        <v>317</v>
      </c>
      <c r="C78" s="23">
        <f>SUMIFS($P78:$AT78,$P$5:$AT$5,"&gt;"&amp;C$171,$P$5:$AT$5,"&lt;"&amp;C$172)</f>
        <v>0</v>
      </c>
      <c r="D78" s="23">
        <f>SUMIFS($P78:$AT78,$P$5:$AT$5,"&gt;"&amp;D$171,$P$5:$AT$5,"&lt;"&amp;D$172)</f>
        <v>2.7040000000000002</v>
      </c>
      <c r="E78" s="23"/>
      <c r="F78" s="23">
        <f>SUMIFS($P78:$AT78,$P$5:$AT$5,"&gt;"&amp;F$171,$P$5:$AT$5,"&lt;"&amp;F$172)</f>
        <v>0</v>
      </c>
      <c r="G78" s="23">
        <f>SUMIFS($P78:$AT78,$P$5:$AT$5,"&gt;"&amp;G$171,$P$5:$AT$5,"&lt;"&amp;G$172)</f>
        <v>0</v>
      </c>
      <c r="H78" s="23"/>
      <c r="I78" s="23">
        <f>SUMIFS($P78:$AT78,$P$5:$AT$5,"&gt;"&amp;I$171,$P$5:$AT$5,"&lt;"&amp;I$172)</f>
        <v>0</v>
      </c>
      <c r="J78" s="23">
        <f>SUMIFS($P78:$AT78,$P$5:$AT$5,"&gt;"&amp;J$171,$P$5:$AT$5,"&lt;"&amp;J$172)</f>
        <v>2.7040000000000002</v>
      </c>
      <c r="K78" s="65">
        <f>J78</f>
        <v>2.7040000000000002</v>
      </c>
      <c r="L78" s="65"/>
      <c r="M78" s="23">
        <f t="shared" ref="M78" si="80">K78-J78</f>
        <v>0</v>
      </c>
      <c r="N78" s="66">
        <f t="shared" ref="N78:N80" si="81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0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0</v>
      </c>
      <c r="AF78" s="53">
        <f>SUMIFS('Combined P&amp;L'!AD:AD,'Combined P&amp;L'!$D:$D,'P&amp;L Forecast'!$B78)</f>
        <v>0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0</v>
      </c>
      <c r="AI78" s="53">
        <f>SUMIFS('Combined P&amp;L'!AG:AG,'Combined P&amp;L'!$D:$D,'P&amp;L Forecast'!$B78)</f>
        <v>0</v>
      </c>
      <c r="AJ78" s="53">
        <f>SUMIFS('Combined P&amp;L'!AH:AH,'Combined P&amp;L'!$D:$D,'P&amp;L Forecast'!$B78)</f>
        <v>0</v>
      </c>
      <c r="AK78" s="53">
        <f>SUMIFS('Combined P&amp;L'!AI:AI,'Combined P&amp;L'!$D:$D,'P&amp;L Forecast'!$B78)</f>
        <v>0</v>
      </c>
      <c r="AL78" s="53">
        <f>SUMIFS('Combined P&amp;L'!AJ:AJ,'Combined P&amp;L'!$D:$D,'P&amp;L Forecast'!$B78)</f>
        <v>0</v>
      </c>
      <c r="AM78" s="53">
        <f>SUMIFS('Combined P&amp;L'!AK:AK,'Combined P&amp;L'!$D:$D,'P&amp;L Forecast'!$B78)</f>
        <v>2.7040000000000002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0</v>
      </c>
      <c r="AR78" s="53">
        <f>SUMIFS('Combined P&amp;L'!AP:AP,'Combined P&amp;L'!$D:$D,'P&amp;L Forecast'!$B78)</f>
        <v>0</v>
      </c>
      <c r="AS78" s="53">
        <f>SUMIFS('Combined P&amp;L'!AQ:AQ,'Combined P&amp;L'!$D:$D,'P&amp;L Forecast'!$B78)</f>
        <v>0</v>
      </c>
      <c r="AT78" s="53">
        <f>SUMIFS('Combined P&amp;L'!AR:AR,'Combined P&amp;L'!$D:$D,'P&amp;L Forecast'!$B78)</f>
        <v>0</v>
      </c>
    </row>
    <row r="79" spans="1:46">
      <c r="B79" s="215" t="s">
        <v>1337</v>
      </c>
      <c r="C79" s="23">
        <f>+C57</f>
        <v>1.0598299999999998</v>
      </c>
      <c r="D79" s="23">
        <f>+D57</f>
        <v>3.2913300000000008</v>
      </c>
      <c r="E79" s="23"/>
      <c r="F79" s="23">
        <f>+F57</f>
        <v>2.0263300000000002</v>
      </c>
      <c r="G79" s="23">
        <f>+G57</f>
        <v>1.9429999999999996</v>
      </c>
      <c r="H79" s="23"/>
      <c r="I79" s="23">
        <f>+I57</f>
        <v>2.4513300000000005</v>
      </c>
      <c r="J79" s="23">
        <f>+J57</f>
        <v>3.2080000000000002</v>
      </c>
      <c r="K79" s="65">
        <f>J79</f>
        <v>3.2080000000000002</v>
      </c>
      <c r="L79" s="65"/>
      <c r="M79" s="23">
        <f t="shared" ref="M79" si="82">K79-J79</f>
        <v>0</v>
      </c>
      <c r="N79" s="66">
        <f t="shared" ref="N79" si="83">IFERROR(K79/J79-1,0)</f>
        <v>0</v>
      </c>
      <c r="O79" s="52"/>
      <c r="P79" s="23">
        <f t="shared" ref="P79:AT79" si="84">+P57</f>
        <v>8.5000000000000006E-2</v>
      </c>
      <c r="Q79" s="23">
        <f t="shared" si="84"/>
        <v>8.5000000000000006E-2</v>
      </c>
      <c r="R79" s="23">
        <f t="shared" si="84"/>
        <v>9.7000000000000003E-2</v>
      </c>
      <c r="S79" s="23">
        <f t="shared" si="84"/>
        <v>0.11283</v>
      </c>
      <c r="T79" s="23">
        <f t="shared" si="84"/>
        <v>8.5000000000000006E-2</v>
      </c>
      <c r="U79" s="23">
        <f t="shared" si="84"/>
        <v>8.5000000000000006E-2</v>
      </c>
      <c r="V79" s="23">
        <f t="shared" si="84"/>
        <v>8.5000000000000006E-2</v>
      </c>
      <c r="W79" s="23">
        <f t="shared" si="84"/>
        <v>8.5000000000000006E-2</v>
      </c>
      <c r="X79" s="23">
        <f t="shared" si="84"/>
        <v>8.5000000000000006E-2</v>
      </c>
      <c r="Y79" s="23">
        <f t="shared" si="84"/>
        <v>8.5000000000000006E-2</v>
      </c>
      <c r="Z79" s="23">
        <f t="shared" si="84"/>
        <v>8.5000000000000006E-2</v>
      </c>
      <c r="AA79" s="23">
        <f t="shared" si="84"/>
        <v>8.5000000000000006E-2</v>
      </c>
      <c r="AB79" s="23">
        <f t="shared" si="84"/>
        <v>8.5000000000000006E-2</v>
      </c>
      <c r="AC79" s="23">
        <f t="shared" si="84"/>
        <v>9.4489999999999991E-2</v>
      </c>
      <c r="AD79" s="23">
        <f t="shared" si="84"/>
        <v>0.82489000000000001</v>
      </c>
      <c r="AE79" s="23">
        <f t="shared" si="84"/>
        <v>0.253</v>
      </c>
      <c r="AF79" s="23">
        <f t="shared" si="84"/>
        <v>0.26294999999999996</v>
      </c>
      <c r="AG79" s="23">
        <f t="shared" si="84"/>
        <v>0.253</v>
      </c>
      <c r="AH79" s="23">
        <f t="shared" si="84"/>
        <v>0.253</v>
      </c>
      <c r="AI79" s="23">
        <f t="shared" si="84"/>
        <v>0.253</v>
      </c>
      <c r="AJ79" s="23">
        <f t="shared" si="84"/>
        <v>0.253</v>
      </c>
      <c r="AK79" s="23">
        <f t="shared" si="84"/>
        <v>0.253</v>
      </c>
      <c r="AL79" s="23">
        <f t="shared" si="84"/>
        <v>0.253</v>
      </c>
      <c r="AM79" s="23">
        <f t="shared" si="84"/>
        <v>0.253</v>
      </c>
      <c r="AN79" s="23">
        <f t="shared" si="84"/>
        <v>0.253</v>
      </c>
      <c r="AO79" s="23">
        <f t="shared" si="84"/>
        <v>0.255</v>
      </c>
      <c r="AP79" s="23">
        <f t="shared" si="84"/>
        <v>0.28299999999999997</v>
      </c>
      <c r="AQ79" s="23">
        <f t="shared" si="84"/>
        <v>0.28299999999999997</v>
      </c>
      <c r="AR79" s="23">
        <f t="shared" si="84"/>
        <v>0.28299999999999997</v>
      </c>
      <c r="AS79" s="23">
        <f t="shared" si="84"/>
        <v>0.29299999999999998</v>
      </c>
      <c r="AT79" s="23">
        <f t="shared" si="84"/>
        <v>0.29299999999999998</v>
      </c>
    </row>
    <row r="80" spans="1:46">
      <c r="B80" s="104" t="s">
        <v>310</v>
      </c>
      <c r="C80" s="105">
        <f>+C74+C78+C79</f>
        <v>160.78132000000011</v>
      </c>
      <c r="D80" s="106">
        <f>+D74+D78+D79</f>
        <v>155.05510999999984</v>
      </c>
      <c r="F80" s="110">
        <f t="shared" ref="F80:G80" si="85">+F74+F78+F79</f>
        <v>112.83334999999973</v>
      </c>
      <c r="G80" s="106">
        <f t="shared" si="85"/>
        <v>80.069530000000327</v>
      </c>
      <c r="I80" s="110">
        <f t="shared" ref="I80:K80" si="86">+I74+I78+I79</f>
        <v>149.96700999999993</v>
      </c>
      <c r="J80" s="105">
        <f t="shared" si="86"/>
        <v>122.29128999999995</v>
      </c>
      <c r="K80" s="106">
        <f t="shared" si="86"/>
        <v>-6.1662199999997149</v>
      </c>
      <c r="L80" s="71"/>
      <c r="M80" s="110">
        <f>+M74+M78+M79</f>
        <v>-128.45750999999984</v>
      </c>
      <c r="N80" s="112">
        <f t="shared" si="81"/>
        <v>-1.0504223972124238</v>
      </c>
      <c r="P80" s="110">
        <f t="shared" ref="P80:AT80" si="87">+P74+P78+P79</f>
        <v>32.375540000000001</v>
      </c>
      <c r="Q80" s="105">
        <f t="shared" si="87"/>
        <v>23.740570000000012</v>
      </c>
      <c r="R80" s="105">
        <f t="shared" si="87"/>
        <v>18.106040000000004</v>
      </c>
      <c r="S80" s="105">
        <f t="shared" si="87"/>
        <v>9.6625299999999825</v>
      </c>
      <c r="T80" s="105">
        <f t="shared" si="87"/>
        <v>1.0565800000000225</v>
      </c>
      <c r="U80" s="105">
        <f t="shared" si="87"/>
        <v>12.584299999999999</v>
      </c>
      <c r="V80" s="105">
        <f t="shared" si="87"/>
        <v>26.122100000000014</v>
      </c>
      <c r="W80" s="105">
        <f t="shared" si="87"/>
        <v>28.948819999999998</v>
      </c>
      <c r="X80" s="105">
        <f t="shared" si="87"/>
        <v>13.392770000000004</v>
      </c>
      <c r="Y80" s="105">
        <f t="shared" si="87"/>
        <v>11.972049999999982</v>
      </c>
      <c r="Z80" s="105">
        <f t="shared" si="87"/>
        <v>-11.407329999999995</v>
      </c>
      <c r="AA80" s="105">
        <f t="shared" si="87"/>
        <v>-5.7726499999999774</v>
      </c>
      <c r="AB80" s="105">
        <f t="shared" si="87"/>
        <v>23.046439999999969</v>
      </c>
      <c r="AC80" s="105">
        <f t="shared" si="87"/>
        <v>7.8059199999999969</v>
      </c>
      <c r="AD80" s="105">
        <f t="shared" si="87"/>
        <v>21.394500000000004</v>
      </c>
      <c r="AE80" s="105">
        <f t="shared" si="87"/>
        <v>0.72082000000001312</v>
      </c>
      <c r="AF80" s="105">
        <f t="shared" si="87"/>
        <v>16.020340000000008</v>
      </c>
      <c r="AG80" s="105">
        <f t="shared" si="87"/>
        <v>27.569559999999978</v>
      </c>
      <c r="AH80" s="105">
        <f t="shared" si="87"/>
        <v>16.275769999999987</v>
      </c>
      <c r="AI80" s="105">
        <f t="shared" si="87"/>
        <v>18.561149999999973</v>
      </c>
      <c r="AJ80" s="105">
        <f t="shared" si="87"/>
        <v>5.1376500000000105</v>
      </c>
      <c r="AK80" s="105">
        <f t="shared" si="87"/>
        <v>2.8616300000000074</v>
      </c>
      <c r="AL80" s="105">
        <f t="shared" si="87"/>
        <v>13.782870000000038</v>
      </c>
      <c r="AM80" s="105">
        <f t="shared" si="87"/>
        <v>1.8784599999999894</v>
      </c>
      <c r="AN80" s="105">
        <f t="shared" si="87"/>
        <v>32.187469999999948</v>
      </c>
      <c r="AO80" s="105">
        <f t="shared" si="87"/>
        <v>70.739479999999972</v>
      </c>
      <c r="AP80" s="105">
        <f t="shared" si="87"/>
        <v>-8.4681300000000199</v>
      </c>
      <c r="AQ80" s="105">
        <f t="shared" si="87"/>
        <v>-8.9554900000000224</v>
      </c>
      <c r="AR80" s="105">
        <f t="shared" si="87"/>
        <v>0.22596999999999934</v>
      </c>
      <c r="AS80" s="105">
        <f t="shared" si="87"/>
        <v>10.240070000000069</v>
      </c>
      <c r="AT80" s="106">
        <f t="shared" si="87"/>
        <v>-15.899839999999998</v>
      </c>
    </row>
    <row r="81" spans="2:46" s="97" customFormat="1">
      <c r="B81" s="107" t="s">
        <v>305</v>
      </c>
      <c r="C81" s="108">
        <f>C80/C$24</f>
        <v>0.14166181299639993</v>
      </c>
      <c r="D81" s="109">
        <f>D80/D$24</f>
        <v>8.2503193481363132E-2</v>
      </c>
      <c r="F81" s="111">
        <f>F80/F$24</f>
        <v>0.11307384676468354</v>
      </c>
      <c r="G81" s="109">
        <f>G80/G$24</f>
        <v>4.7916525535403341E-2</v>
      </c>
      <c r="I81" s="111">
        <f>I80/I$24</f>
        <v>9.8377041645569666E-2</v>
      </c>
      <c r="J81" s="108">
        <f>J80/J$24</f>
        <v>4.7909811469769928E-2</v>
      </c>
      <c r="K81" s="109">
        <f>K80/K$24</f>
        <v>-2.0675771008909351E-3</v>
      </c>
      <c r="L81" s="103"/>
      <c r="M81" s="111">
        <v>0</v>
      </c>
      <c r="N81" s="113">
        <v>0</v>
      </c>
      <c r="P81" s="111">
        <f t="shared" ref="P81" si="88">P80/P$24</f>
        <v>0.40012729706314554</v>
      </c>
      <c r="Q81" s="108">
        <f t="shared" ref="Q81" si="89">Q80/Q$24</f>
        <v>0.29217113384045684</v>
      </c>
      <c r="R81" s="108">
        <f t="shared" ref="R81" si="90">R80/R$24</f>
        <v>0.23179528934020555</v>
      </c>
      <c r="S81" s="108">
        <f t="shared" ref="S81" si="91">S80/S$24</f>
        <v>0.11592258494864612</v>
      </c>
      <c r="T81" s="108">
        <f t="shared" ref="T81" si="92">T80/T$24</f>
        <v>1.1714247226738861E-2</v>
      </c>
      <c r="U81" s="108">
        <f t="shared" ref="U81" si="93">U80/U$24</f>
        <v>0.13995649262977139</v>
      </c>
      <c r="V81" s="108">
        <f t="shared" ref="V81" si="94">V80/V$24</f>
        <v>0.24953752816266028</v>
      </c>
      <c r="W81" s="108">
        <f t="shared" ref="W81" si="95">W80/W$24</f>
        <v>0.27804190968312015</v>
      </c>
      <c r="X81" s="108">
        <f t="shared" ref="X81" si="96">X80/X$24</f>
        <v>0.1361430884060881</v>
      </c>
      <c r="Y81" s="108">
        <f t="shared" ref="Y81" si="97">Y80/Y$24</f>
        <v>0.12085789363701782</v>
      </c>
      <c r="Z81" s="108">
        <f t="shared" ref="Z81" si="98">Z80/Z$24</f>
        <v>-0.1044270592554008</v>
      </c>
      <c r="AA81" s="108">
        <f t="shared" ref="AA81" si="99">AA80/AA$24</f>
        <v>-4.9870909190652041E-2</v>
      </c>
      <c r="AB81" s="108">
        <f t="shared" ref="AB81" si="100">AB80/AB$24</f>
        <v>0.16620522267908655</v>
      </c>
      <c r="AC81" s="108">
        <f t="shared" ref="AC81" si="101">AC80/AC$24</f>
        <v>6.1077943641209151E-2</v>
      </c>
      <c r="AD81" s="108">
        <f t="shared" ref="AD81" si="102">AD80/AD$24</f>
        <v>0.15885971182716849</v>
      </c>
      <c r="AE81" s="108">
        <f t="shared" ref="AE81" si="103">AE80/AE$24</f>
        <v>5.3010981381954782E-3</v>
      </c>
      <c r="AF81" s="108">
        <f t="shared" ref="AF81" si="104">AF80/AF$24</f>
        <v>0.10536153893506348</v>
      </c>
      <c r="AG81" s="108">
        <f t="shared" ref="AG81" si="105">AG80/AG$24</f>
        <v>0.17981122715653308</v>
      </c>
      <c r="AH81" s="108">
        <f t="shared" ref="AH81" si="106">AH80/AH$24</f>
        <v>0.10474763995907337</v>
      </c>
      <c r="AI81" s="108">
        <f t="shared" ref="AI81" si="107">AI80/AI$24</f>
        <v>0.11609910896952647</v>
      </c>
      <c r="AJ81" s="108">
        <f t="shared" ref="AJ81" si="108">AJ80/AJ$24</f>
        <v>3.1327285052165865E-2</v>
      </c>
      <c r="AK81" s="108">
        <f t="shared" ref="AK81" si="109">AK80/AK$24</f>
        <v>1.5964976057250193E-2</v>
      </c>
      <c r="AL81" s="108">
        <f t="shared" ref="AL81" si="110">AL80/AL$24</f>
        <v>7.5859023621367899E-2</v>
      </c>
      <c r="AM81" s="108">
        <f t="shared" ref="AM81" si="111">AM80/AM$24</f>
        <v>9.5497427894728707E-3</v>
      </c>
      <c r="AN81" s="108">
        <f t="shared" ref="AN81" si="112">AN80/AN$24</f>
        <v>0.1516945981355978</v>
      </c>
      <c r="AO81" s="108">
        <f t="shared" ref="AO81" si="113">AO80/AO$24</f>
        <v>0.29243711708294262</v>
      </c>
      <c r="AP81" s="108">
        <f t="shared" ref="AP81" si="114">AP80/AP$24</f>
        <v>-3.658013001125085E-2</v>
      </c>
      <c r="AQ81" s="108">
        <f t="shared" ref="AQ81" si="115">AQ80/AQ$24</f>
        <v>-3.7264937376900932E-2</v>
      </c>
      <c r="AR81" s="108">
        <f t="shared" ref="AR81" si="116">AR80/AR$24</f>
        <v>9.1783531888958605E-4</v>
      </c>
      <c r="AS81" s="108">
        <f t="shared" ref="AS81" si="117">AS80/AS$24</f>
        <v>4.1374137219782309E-2</v>
      </c>
      <c r="AT81" s="109">
        <f t="shared" ref="AT81" si="118">AT80/AT$24</f>
        <v>-6.3238684486897415E-2</v>
      </c>
    </row>
    <row r="82" spans="2:46" ht="3.95" customHeight="1"/>
    <row r="83" spans="2:46">
      <c r="B83" s="42" t="s">
        <v>328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3" t="s">
        <v>318</v>
      </c>
      <c r="C84" s="65">
        <f>-$C$166+C$31</f>
        <v>-200</v>
      </c>
      <c r="D84" s="65">
        <f>-$C$166+D$31</f>
        <v>-109.33296</v>
      </c>
      <c r="E84" s="23"/>
      <c r="F84" s="65">
        <f>-$C$166/12*7+F$31</f>
        <v>-71.200546666666668</v>
      </c>
      <c r="G84" s="65">
        <f>-$C$166/12*7+G$31</f>
        <v>-53.523646666666679</v>
      </c>
      <c r="H84" s="23"/>
      <c r="I84" s="65">
        <f>-$C$166+I$31</f>
        <v>-154.53388000000001</v>
      </c>
      <c r="J84" s="65">
        <f>-$C$166+J$31</f>
        <v>-91.656059999999997</v>
      </c>
      <c r="K84" s="65">
        <f>-$C$166+K$31</f>
        <v>-91.656059999999997</v>
      </c>
      <c r="L84" s="65"/>
      <c r="M84" s="23">
        <f t="shared" ref="M84:M90" si="119">K84-J84</f>
        <v>0</v>
      </c>
      <c r="N84" s="66">
        <f t="shared" ref="N84" si="120">IFERROR(K84/J84-1,0)</f>
        <v>0</v>
      </c>
      <c r="P84" s="65">
        <f>-$C$166/12+P$31</f>
        <v>-16.666666666666668</v>
      </c>
      <c r="Q84" s="65">
        <f>-$C$166/12+Q$31</f>
        <v>-16.666666666666668</v>
      </c>
      <c r="R84" s="65">
        <f>-$C$166/12+R$31</f>
        <v>-16.666666666666668</v>
      </c>
      <c r="S84" s="65">
        <f>-$C$166/12+S$31</f>
        <v>-16.666666666666668</v>
      </c>
      <c r="T84" s="65">
        <f>-$C$166/12+T$31</f>
        <v>-16.666666666666668</v>
      </c>
      <c r="U84" s="65">
        <f>-$C$166/12+U$31</f>
        <v>-16.666666666666668</v>
      </c>
      <c r="V84" s="65">
        <f>-$C$166/12+V$31</f>
        <v>-16.666666666666668</v>
      </c>
      <c r="W84" s="65">
        <f>-$C$166/12+W$31</f>
        <v>-16.666666666666668</v>
      </c>
      <c r="X84" s="65">
        <f>-$C$166/12+X$31</f>
        <v>-16.666666666666668</v>
      </c>
      <c r="Y84" s="65">
        <f>-$C$166/12+Y$31</f>
        <v>-16.666666666666668</v>
      </c>
      <c r="Z84" s="65">
        <f>-$C$166/12+Z$31</f>
        <v>-16.666666666666668</v>
      </c>
      <c r="AA84" s="65">
        <f>-$C$166/12+AA$31</f>
        <v>-16.666666666666668</v>
      </c>
      <c r="AB84" s="65">
        <f>-$C$166/12+AB$31</f>
        <v>-16.666666666666668</v>
      </c>
      <c r="AC84" s="65">
        <f>-$C$166/12+AC$31</f>
        <v>-16.666666666666668</v>
      </c>
      <c r="AD84" s="65">
        <f>-$C$166/12+AD$31</f>
        <v>-7.7602766666666678</v>
      </c>
      <c r="AE84" s="65">
        <f>-$C$166/12+AE$31</f>
        <v>-7.4334366666666689</v>
      </c>
      <c r="AF84" s="65">
        <f>-$C$166/12+AF$31</f>
        <v>-7.5578266666666671</v>
      </c>
      <c r="AG84" s="65">
        <f>-$C$166/12+AG$31</f>
        <v>-7.9718766666666667</v>
      </c>
      <c r="AH84" s="65">
        <f>-$C$166/12+AH$31</f>
        <v>-7.1437966666666668</v>
      </c>
      <c r="AI84" s="65">
        <f>-$C$166/12+AI$31</f>
        <v>-7.9718566666666675</v>
      </c>
      <c r="AJ84" s="65">
        <f>-$C$166/12+AJ$31</f>
        <v>-7.5578266666666671</v>
      </c>
      <c r="AK84" s="65">
        <f>-$C$166/12+AK$31</f>
        <v>-7.1437966666666668</v>
      </c>
      <c r="AL84" s="65">
        <f>-$C$166/12+AL$31</f>
        <v>-8.3859066666666671</v>
      </c>
      <c r="AM84" s="65">
        <f>-$C$166/12+AM$31</f>
        <v>-7.073026666666669</v>
      </c>
      <c r="AN84" s="65">
        <f>-$C$166/12+AN$31</f>
        <v>-7.3904566666666689</v>
      </c>
      <c r="AO84" s="65">
        <f>-$C$166/12+AO$31</f>
        <v>-8.3440366666666694</v>
      </c>
      <c r="AP84" s="65">
        <f>-$C$166/12+AP$31</f>
        <v>-7.5578366666666685</v>
      </c>
      <c r="AQ84" s="65">
        <f>-$C$166/12+AQ$31</f>
        <v>-7.5578366666666685</v>
      </c>
      <c r="AR84" s="65">
        <f>-$C$166/12+AR$31</f>
        <v>-7.9718566666666675</v>
      </c>
      <c r="AS84" s="65">
        <f>-$C$166/12+AS$31</f>
        <v>-7.5578266666666671</v>
      </c>
      <c r="AT84" s="65">
        <f>-$C$166/12+AT$31</f>
        <v>-7.1437966666666668</v>
      </c>
    </row>
    <row r="85" spans="2:46" ht="12" customHeight="1">
      <c r="B85" s="216" t="s">
        <v>1567</v>
      </c>
      <c r="C85" s="65"/>
      <c r="D85" s="65"/>
      <c r="F85" s="65"/>
      <c r="G85" s="65"/>
      <c r="I85" s="65"/>
      <c r="J85" s="65"/>
      <c r="K85" s="65"/>
      <c r="M85" s="23"/>
      <c r="N85" s="66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</row>
    <row r="86" spans="2:46" ht="12" customHeight="1">
      <c r="B86" s="216" t="s">
        <v>325</v>
      </c>
      <c r="C86" s="65">
        <f>+C44</f>
        <v>18.234249999999999</v>
      </c>
      <c r="D86" s="65">
        <f>+D44</f>
        <v>27.040950000000002</v>
      </c>
      <c r="F86" s="65">
        <f>+F44</f>
        <v>12.014000000000001</v>
      </c>
      <c r="G86" s="65">
        <f>+G44</f>
        <v>57.55</v>
      </c>
      <c r="I86" s="65">
        <f>+I44</f>
        <v>21.74858</v>
      </c>
      <c r="J86" s="65">
        <f>+J44</f>
        <v>72.576949999999997</v>
      </c>
      <c r="K86" s="65">
        <f>+C167</f>
        <v>72.576949999999997</v>
      </c>
      <c r="M86" s="23">
        <f t="shared" si="119"/>
        <v>0</v>
      </c>
      <c r="N86" s="66"/>
      <c r="P86" s="65">
        <f>+P44-$C$167/12</f>
        <v>-6.0480791666666667</v>
      </c>
      <c r="Q86" s="65">
        <f>+Q44-$C$167/12</f>
        <v>-4.8815791666666666</v>
      </c>
      <c r="R86" s="65">
        <f>+R44-$C$167/12</f>
        <v>-4.8815791666666666</v>
      </c>
      <c r="S86" s="65">
        <f>+S44-$C$167/12</f>
        <v>-4.8814091666666668</v>
      </c>
      <c r="T86" s="65">
        <f>+T44-$C$167/12</f>
        <v>-4.8814091666666668</v>
      </c>
      <c r="U86" s="65">
        <f>+U44-$C$167/12</f>
        <v>-3.3814191666666669</v>
      </c>
      <c r="V86" s="65">
        <f>+V44-$C$167/12</f>
        <v>-4.8814091666666668</v>
      </c>
      <c r="W86" s="65">
        <f>+W44-$C$167/12</f>
        <v>-4.8814091666666668</v>
      </c>
      <c r="X86" s="65">
        <f>+X44-$C$167/12</f>
        <v>-2.9801691666666668</v>
      </c>
      <c r="Y86" s="65">
        <f>+Y44-$C$167/12</f>
        <v>-4.8814091666666668</v>
      </c>
      <c r="Z86" s="65">
        <f>+Z44-$C$167/12</f>
        <v>-3.8814091666666668</v>
      </c>
      <c r="AA86" s="65">
        <f>+AA44-$C$167/12</f>
        <v>-3.8814191666666669</v>
      </c>
      <c r="AB86" s="65">
        <f>+AB44-$C$167/12</f>
        <v>-3.8814091666666668</v>
      </c>
      <c r="AC86" s="65">
        <f>+AC44-$C$167/12</f>
        <v>-3.8814091666666668</v>
      </c>
      <c r="AD86" s="65">
        <f>+AD44-$C$167/12</f>
        <v>-3.8814191666666669</v>
      </c>
      <c r="AE86" s="65">
        <f>+AE44-$C$167/12</f>
        <v>-3.2874091666666665</v>
      </c>
      <c r="AF86" s="65">
        <f>+AF44-$C$167/12</f>
        <v>-4.4614091666666669</v>
      </c>
      <c r="AG86" s="65">
        <f>+AG44-$C$167/12</f>
        <v>-4.8814191666666664</v>
      </c>
      <c r="AH86" s="65">
        <f>+AH44-$C$167/12</f>
        <v>-6.0480791666666667</v>
      </c>
      <c r="AI86" s="65">
        <f>+AI44-$C$167/12</f>
        <v>-5.8480791666666665</v>
      </c>
      <c r="AJ86" s="65">
        <f>+AJ44-$C$167/12</f>
        <v>-4.7211291666666666</v>
      </c>
      <c r="AK86" s="65">
        <f>+AK44-$C$167/12</f>
        <v>-6.0480791666666667</v>
      </c>
      <c r="AL86" s="65">
        <f>+AL44-$C$167/12</f>
        <v>-4.8079166666666673E-2</v>
      </c>
      <c r="AM86" s="65">
        <f>+AM44-$C$167/12</f>
        <v>1.4519208333333333</v>
      </c>
      <c r="AN86" s="65">
        <f>+AN44-$C$167/12</f>
        <v>-6.0480791666666667</v>
      </c>
      <c r="AO86" s="65">
        <f>+AO44-$C$167/12</f>
        <v>-6.0480791666666667</v>
      </c>
      <c r="AP86" s="65">
        <f>+AP44-$C$167/12</f>
        <v>0.55192083333333297</v>
      </c>
      <c r="AQ86" s="65">
        <f>+AQ44-$C$167/12</f>
        <v>7.9519208333333333</v>
      </c>
      <c r="AR86" s="65">
        <f>+AR44-$C$167/12</f>
        <v>11.951920833333332</v>
      </c>
      <c r="AS86" s="65">
        <f>+AS44-$C$167/12</f>
        <v>-6.0480791666666667</v>
      </c>
      <c r="AT86" s="65">
        <f>+AT44-$C$167/12</f>
        <v>12.901920833333332</v>
      </c>
    </row>
    <row r="87" spans="2:46" ht="12" customHeight="1">
      <c r="B87" s="216" t="s">
        <v>325</v>
      </c>
      <c r="C87" s="65"/>
      <c r="D87" s="65"/>
      <c r="F87" s="65"/>
      <c r="G87" s="65"/>
      <c r="I87" s="65"/>
      <c r="J87" s="65"/>
      <c r="K87" s="65"/>
      <c r="M87" s="23"/>
      <c r="N87" s="66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</row>
    <row r="88" spans="2:46">
      <c r="B88" s="115" t="s">
        <v>322</v>
      </c>
      <c r="C88" s="116">
        <v>0</v>
      </c>
      <c r="D88" s="116">
        <v>0</v>
      </c>
      <c r="F88" s="116">
        <v>0</v>
      </c>
      <c r="G88" s="116">
        <v>0</v>
      </c>
      <c r="I88" s="116">
        <v>0</v>
      </c>
      <c r="J88" s="116">
        <v>0</v>
      </c>
      <c r="K88" s="116">
        <v>0</v>
      </c>
      <c r="M88" s="23">
        <f t="shared" si="119"/>
        <v>0</v>
      </c>
      <c r="N88" s="66">
        <f t="shared" ref="N88" si="121">IFERROR(K88/J88-1,0)</f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</row>
    <row r="89" spans="2:46">
      <c r="B89" s="115" t="s">
        <v>1340</v>
      </c>
      <c r="C89" s="116">
        <v>0</v>
      </c>
      <c r="D89" s="116">
        <v>0</v>
      </c>
      <c r="F89" s="116">
        <v>0</v>
      </c>
      <c r="G89" s="116">
        <v>0</v>
      </c>
      <c r="I89" s="116">
        <v>0</v>
      </c>
      <c r="J89" s="116">
        <v>0</v>
      </c>
      <c r="K89" s="116">
        <v>0</v>
      </c>
      <c r="M89" s="23">
        <f t="shared" si="119"/>
        <v>0</v>
      </c>
      <c r="N89" s="66">
        <f t="shared" ref="N89" si="122">IFERROR(K89/J89-1,0)</f>
        <v>0</v>
      </c>
      <c r="P89" s="116">
        <v>0</v>
      </c>
      <c r="Q89" s="116">
        <v>0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  <c r="Y89" s="116">
        <v>0</v>
      </c>
      <c r="Z89" s="116">
        <v>0</v>
      </c>
      <c r="AA89" s="116">
        <v>0</v>
      </c>
      <c r="AB89" s="116">
        <v>0</v>
      </c>
      <c r="AC89" s="116">
        <v>0</v>
      </c>
      <c r="AD89" s="116">
        <v>0</v>
      </c>
      <c r="AE89" s="116">
        <v>0</v>
      </c>
      <c r="AF89" s="116">
        <v>0</v>
      </c>
      <c r="AG89" s="116">
        <v>0</v>
      </c>
      <c r="AH89" s="116">
        <v>0</v>
      </c>
      <c r="AI89" s="116">
        <v>0</v>
      </c>
      <c r="AJ89" s="116">
        <v>0</v>
      </c>
      <c r="AK89" s="116">
        <v>0</v>
      </c>
      <c r="AL89" s="116">
        <v>0</v>
      </c>
      <c r="AM89" s="116">
        <v>0</v>
      </c>
      <c r="AN89" s="116">
        <v>0</v>
      </c>
      <c r="AO89" s="116">
        <v>0</v>
      </c>
      <c r="AP89" s="116">
        <v>0</v>
      </c>
      <c r="AQ89" s="116">
        <v>0</v>
      </c>
      <c r="AR89" s="116">
        <v>0</v>
      </c>
      <c r="AS89" s="116">
        <v>0</v>
      </c>
      <c r="AT89" s="116">
        <v>0</v>
      </c>
    </row>
    <row r="90" spans="2:46">
      <c r="B90" s="123" t="s">
        <v>323</v>
      </c>
      <c r="C90" s="116">
        <v>0</v>
      </c>
      <c r="D90" s="116">
        <v>0</v>
      </c>
      <c r="F90" s="116">
        <v>0</v>
      </c>
      <c r="G90" s="116">
        <v>0</v>
      </c>
      <c r="I90" s="116">
        <v>0</v>
      </c>
      <c r="J90" s="116">
        <v>0</v>
      </c>
      <c r="K90" s="116">
        <v>0</v>
      </c>
      <c r="M90" s="23">
        <f t="shared" si="119"/>
        <v>0</v>
      </c>
      <c r="N90" s="66">
        <f t="shared" ref="N90:N93" si="123">IFERROR(K90/J90-1,0)</f>
        <v>0</v>
      </c>
      <c r="P90" s="116">
        <v>0</v>
      </c>
      <c r="Q90" s="116">
        <v>0</v>
      </c>
      <c r="R90" s="116">
        <v>0</v>
      </c>
      <c r="S90" s="116">
        <v>0</v>
      </c>
      <c r="T90" s="116">
        <v>0</v>
      </c>
      <c r="U90" s="116">
        <v>0</v>
      </c>
      <c r="V90" s="116">
        <v>0</v>
      </c>
      <c r="W90" s="116">
        <v>0</v>
      </c>
      <c r="X90" s="116">
        <v>0</v>
      </c>
      <c r="Y90" s="116">
        <v>0</v>
      </c>
      <c r="Z90" s="116">
        <v>0</v>
      </c>
      <c r="AA90" s="116">
        <v>0</v>
      </c>
      <c r="AB90" s="116">
        <v>0</v>
      </c>
      <c r="AC90" s="116">
        <v>0</v>
      </c>
      <c r="AD90" s="116">
        <v>0</v>
      </c>
      <c r="AE90" s="116">
        <v>0</v>
      </c>
      <c r="AF90" s="116">
        <v>0</v>
      </c>
      <c r="AG90" s="116">
        <v>0</v>
      </c>
      <c r="AH90" s="116">
        <v>0</v>
      </c>
      <c r="AI90" s="116">
        <v>0</v>
      </c>
      <c r="AJ90" s="116">
        <v>0</v>
      </c>
      <c r="AK90" s="116">
        <v>0</v>
      </c>
      <c r="AL90" s="116">
        <v>0</v>
      </c>
      <c r="AM90" s="116">
        <v>0</v>
      </c>
      <c r="AN90" s="116">
        <v>0</v>
      </c>
      <c r="AO90" s="116">
        <v>0</v>
      </c>
      <c r="AP90" s="116">
        <v>0</v>
      </c>
      <c r="AQ90" s="116">
        <v>0</v>
      </c>
      <c r="AR90" s="116">
        <v>0</v>
      </c>
      <c r="AS90" s="116">
        <v>0</v>
      </c>
      <c r="AT90" s="116">
        <v>0</v>
      </c>
    </row>
    <row r="91" spans="2:46">
      <c r="B91" s="92" t="s">
        <v>329</v>
      </c>
      <c r="C91" s="59">
        <f>SUM(C84:C90)</f>
        <v>-181.76575</v>
      </c>
      <c r="D91" s="59">
        <f>SUM(D84:D90)</f>
        <v>-82.292010000000005</v>
      </c>
      <c r="F91" s="59">
        <f>SUM(F84:F90)</f>
        <v>-59.186546666666665</v>
      </c>
      <c r="G91" s="59">
        <f>SUM(G84:G90)</f>
        <v>4.0263533333333186</v>
      </c>
      <c r="I91" s="59">
        <f>SUM(I84:I90)</f>
        <v>-132.78530000000001</v>
      </c>
      <c r="J91" s="59">
        <f>SUM(J84:J90)</f>
        <v>-19.07911</v>
      </c>
      <c r="K91" s="59">
        <f>SUM(K84:K90)</f>
        <v>-19.07911</v>
      </c>
      <c r="L91" s="71"/>
      <c r="M91" s="59">
        <f>SUM(M84:M90)</f>
        <v>0</v>
      </c>
      <c r="N91" s="90">
        <f t="shared" si="123"/>
        <v>0</v>
      </c>
      <c r="P91" s="59">
        <f>SUM(P84:P90)</f>
        <v>-22.714745833333335</v>
      </c>
      <c r="Q91" s="59">
        <f>SUM(Q84:Q90)</f>
        <v>-21.548245833333333</v>
      </c>
      <c r="R91" s="59">
        <f>SUM(R84:R90)</f>
        <v>-21.548245833333333</v>
      </c>
      <c r="S91" s="59">
        <f>SUM(S84:S90)</f>
        <v>-21.548075833333336</v>
      </c>
      <c r="T91" s="59">
        <f>SUM(T84:T90)</f>
        <v>-21.548075833333336</v>
      </c>
      <c r="U91" s="59">
        <f>SUM(U84:U90)</f>
        <v>-20.048085833333335</v>
      </c>
      <c r="V91" s="59">
        <f>SUM(V84:V90)</f>
        <v>-21.548075833333336</v>
      </c>
      <c r="W91" s="59">
        <f>SUM(W84:W90)</f>
        <v>-21.548075833333336</v>
      </c>
      <c r="X91" s="59">
        <f>SUM(X84:X90)</f>
        <v>-19.646835833333334</v>
      </c>
      <c r="Y91" s="59">
        <f>SUM(Y84:Y90)</f>
        <v>-21.548075833333336</v>
      </c>
      <c r="Z91" s="59">
        <f>SUM(Z84:Z90)</f>
        <v>-20.548075833333336</v>
      </c>
      <c r="AA91" s="59">
        <f>SUM(AA84:AA90)</f>
        <v>-20.548085833333335</v>
      </c>
      <c r="AB91" s="59">
        <f>SUM(AB84:AB90)</f>
        <v>-20.548075833333336</v>
      </c>
      <c r="AC91" s="59">
        <f>SUM(AC84:AC90)</f>
        <v>-20.548075833333336</v>
      </c>
      <c r="AD91" s="59">
        <f>SUM(AD84:AD90)</f>
        <v>-11.641695833333335</v>
      </c>
      <c r="AE91" s="59">
        <f>SUM(AE84:AE90)</f>
        <v>-10.720845833333335</v>
      </c>
      <c r="AF91" s="59">
        <f>SUM(AF84:AF90)</f>
        <v>-12.019235833333333</v>
      </c>
      <c r="AG91" s="59">
        <f>SUM(AG84:AG90)</f>
        <v>-12.853295833333334</v>
      </c>
      <c r="AH91" s="59">
        <f>SUM(AH84:AH90)</f>
        <v>-13.191875833333334</v>
      </c>
      <c r="AI91" s="59">
        <f>SUM(AI84:AI90)</f>
        <v>-13.819935833333334</v>
      </c>
      <c r="AJ91" s="59">
        <f>SUM(AJ84:AJ90)</f>
        <v>-12.278955833333335</v>
      </c>
      <c r="AK91" s="59">
        <f>SUM(AK84:AK90)</f>
        <v>-13.191875833333334</v>
      </c>
      <c r="AL91" s="59">
        <f>SUM(AL84:AL90)</f>
        <v>-8.4339858333333346</v>
      </c>
      <c r="AM91" s="59">
        <f>SUM(AM84:AM90)</f>
        <v>-5.6211058333333357</v>
      </c>
      <c r="AN91" s="59">
        <f>SUM(AN84:AN90)</f>
        <v>-13.438535833333336</v>
      </c>
      <c r="AO91" s="59">
        <f>SUM(AO84:AO90)</f>
        <v>-14.392115833333335</v>
      </c>
      <c r="AP91" s="59">
        <f>SUM(AP84:AP90)</f>
        <v>-7.0059158333333356</v>
      </c>
      <c r="AQ91" s="59">
        <f>SUM(AQ84:AQ90)</f>
        <v>0.39408416666666479</v>
      </c>
      <c r="AR91" s="59">
        <f>SUM(AR84:AR90)</f>
        <v>3.980064166666665</v>
      </c>
      <c r="AS91" s="59">
        <f>SUM(AS84:AS90)</f>
        <v>-13.605905833333335</v>
      </c>
      <c r="AT91" s="59">
        <f>SUM(AT84:AT90)</f>
        <v>5.7581241666666649</v>
      </c>
    </row>
    <row r="92" spans="2:46" ht="3.95" customHeight="1">
      <c r="B92" s="123"/>
      <c r="C92" s="116"/>
      <c r="D92" s="116"/>
      <c r="F92" s="116"/>
      <c r="G92" s="116"/>
      <c r="I92" s="116"/>
      <c r="J92" s="116"/>
      <c r="K92" s="116"/>
      <c r="M92" s="23"/>
      <c r="N92" s="6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  <c r="AT92" s="116"/>
    </row>
    <row r="93" spans="2:46">
      <c r="B93" s="104" t="s">
        <v>469</v>
      </c>
      <c r="C93" s="105">
        <f>+C91+C80</f>
        <v>-20.98442999999989</v>
      </c>
      <c r="D93" s="106">
        <f>+D91+D80</f>
        <v>72.763099999999838</v>
      </c>
      <c r="F93" s="110">
        <f>+F91+F80</f>
        <v>53.646803333333061</v>
      </c>
      <c r="G93" s="106">
        <f>+G91+G80</f>
        <v>84.095883333333646</v>
      </c>
      <c r="I93" s="110">
        <f>+I91+I80</f>
        <v>17.181709999999924</v>
      </c>
      <c r="J93" s="105">
        <f>+J91+J80</f>
        <v>103.21217999999995</v>
      </c>
      <c r="K93" s="106">
        <f>+K91+K80</f>
        <v>-25.245329999999715</v>
      </c>
      <c r="L93" s="71"/>
      <c r="M93" s="110">
        <f>+M91+M80</f>
        <v>-128.45750999999984</v>
      </c>
      <c r="N93" s="112">
        <f t="shared" si="123"/>
        <v>-1.2445964226315125</v>
      </c>
      <c r="P93" s="110">
        <f>+P91+P80</f>
        <v>9.6607941666666655</v>
      </c>
      <c r="Q93" s="105">
        <f>+Q91+Q80</f>
        <v>2.1923241666666797</v>
      </c>
      <c r="R93" s="105">
        <f>+R91+R80</f>
        <v>-3.442205833333329</v>
      </c>
      <c r="S93" s="105">
        <f>+S91+S80</f>
        <v>-11.885545833333353</v>
      </c>
      <c r="T93" s="105">
        <f>+T91+T80</f>
        <v>-20.491495833333314</v>
      </c>
      <c r="U93" s="105">
        <f>+U91+U80</f>
        <v>-7.4637858333333362</v>
      </c>
      <c r="V93" s="105">
        <f>+V91+V80</f>
        <v>4.5740241666666783</v>
      </c>
      <c r="W93" s="105">
        <f>+W91+W80</f>
        <v>7.4007441666666622</v>
      </c>
      <c r="X93" s="105">
        <f>+X91+X80</f>
        <v>-6.2540658333333301</v>
      </c>
      <c r="Y93" s="105">
        <f>+Y91+Y80</f>
        <v>-9.5760258333333539</v>
      </c>
      <c r="Z93" s="105">
        <f>+Z91+Z80</f>
        <v>-31.95540583333333</v>
      </c>
      <c r="AA93" s="105">
        <f>+AA91+AA80</f>
        <v>-26.320735833333313</v>
      </c>
      <c r="AB93" s="105">
        <f>+AB91+AB80</f>
        <v>2.498364166666633</v>
      </c>
      <c r="AC93" s="105">
        <f>+AC91+AC80</f>
        <v>-12.742155833333339</v>
      </c>
      <c r="AD93" s="105">
        <f>+AD91+AD80</f>
        <v>9.7528041666666692</v>
      </c>
      <c r="AE93" s="105">
        <f>+AE91+AE80</f>
        <v>-10.000025833333321</v>
      </c>
      <c r="AF93" s="105">
        <f>+AF91+AF80</f>
        <v>4.0011041666666749</v>
      </c>
      <c r="AG93" s="105">
        <f>+AG91+AG80</f>
        <v>14.716264166666644</v>
      </c>
      <c r="AH93" s="105">
        <f>+AH91+AH80</f>
        <v>3.0838941666666528</v>
      </c>
      <c r="AI93" s="105">
        <f>+AI91+AI80</f>
        <v>4.741214166666639</v>
      </c>
      <c r="AJ93" s="105">
        <f>+AJ91+AJ80</f>
        <v>-7.1413058333333241</v>
      </c>
      <c r="AK93" s="105">
        <f>+AK91+AK80</f>
        <v>-10.330245833333327</v>
      </c>
      <c r="AL93" s="105">
        <f>+AL91+AL80</f>
        <v>5.3488841666667035</v>
      </c>
      <c r="AM93" s="105">
        <f>+AM91+AM80</f>
        <v>-3.7426458333333463</v>
      </c>
      <c r="AN93" s="105">
        <f>+AN91+AN80</f>
        <v>18.748934166666611</v>
      </c>
      <c r="AO93" s="105">
        <f>+AO91+AO80</f>
        <v>56.347364166666637</v>
      </c>
      <c r="AP93" s="105">
        <f>+AP91+AP80</f>
        <v>-15.474045833333356</v>
      </c>
      <c r="AQ93" s="105">
        <f>+AQ91+AQ80</f>
        <v>-8.5614058333333567</v>
      </c>
      <c r="AR93" s="105">
        <f>+AR91+AR80</f>
        <v>4.2060341666666643</v>
      </c>
      <c r="AS93" s="105">
        <f>+AS91+AS80</f>
        <v>-3.3658358333332661</v>
      </c>
      <c r="AT93" s="106">
        <f>+AT91+AT80</f>
        <v>-10.141715833333333</v>
      </c>
    </row>
    <row r="94" spans="2:46" s="97" customFormat="1">
      <c r="B94" s="107" t="s">
        <v>305</v>
      </c>
      <c r="C94" s="108">
        <f>C93/C$24</f>
        <v>-1.8489040881714536E-2</v>
      </c>
      <c r="D94" s="109">
        <f>D93/D$24</f>
        <v>3.8716480337886106E-2</v>
      </c>
      <c r="F94" s="111">
        <f>F93/F$24</f>
        <v>5.3761147918841651E-2</v>
      </c>
      <c r="G94" s="109">
        <f>G93/G$24</f>
        <v>5.0326042143171885E-2</v>
      </c>
      <c r="I94" s="111">
        <f>I93/I$24</f>
        <v>1.1271050881204434E-2</v>
      </c>
      <c r="J94" s="108">
        <f>J93/J$24</f>
        <v>4.0435227113754038E-2</v>
      </c>
      <c r="K94" s="109">
        <f>K93/K$24</f>
        <v>-8.4649373866707272E-3</v>
      </c>
      <c r="L94" s="103"/>
      <c r="M94" s="111">
        <v>0</v>
      </c>
      <c r="N94" s="113">
        <v>0</v>
      </c>
      <c r="P94" s="111">
        <f t="shared" ref="P94:AT94" si="124">P93/P$24</f>
        <v>0.11939715777379269</v>
      </c>
      <c r="Q94" s="108">
        <f t="shared" si="124"/>
        <v>2.698055849210184E-2</v>
      </c>
      <c r="R94" s="108">
        <f t="shared" si="124"/>
        <v>-4.4067454678441129E-2</v>
      </c>
      <c r="S94" s="108">
        <f t="shared" si="124"/>
        <v>-0.1425923848645867</v>
      </c>
      <c r="T94" s="108">
        <f t="shared" si="124"/>
        <v>-0.22718814310071228</v>
      </c>
      <c r="U94" s="108">
        <f t="shared" si="124"/>
        <v>-8.3008612872635681E-2</v>
      </c>
      <c r="V94" s="108">
        <f t="shared" si="124"/>
        <v>4.3694445864087286E-2</v>
      </c>
      <c r="W94" s="108">
        <f t="shared" si="124"/>
        <v>7.1081206113969772E-2</v>
      </c>
      <c r="X94" s="108">
        <f t="shared" si="124"/>
        <v>-6.3575185540033496E-2</v>
      </c>
      <c r="Y94" s="108">
        <f t="shared" si="124"/>
        <v>-9.6670019890523276E-2</v>
      </c>
      <c r="Z94" s="108">
        <f t="shared" si="124"/>
        <v>-0.29253199990601497</v>
      </c>
      <c r="AA94" s="108">
        <f t="shared" si="124"/>
        <v>-0.22738933186237031</v>
      </c>
      <c r="AB94" s="108">
        <f t="shared" si="124"/>
        <v>1.8017584175876136E-2</v>
      </c>
      <c r="AC94" s="108">
        <f t="shared" si="124"/>
        <v>-9.9701851396867811E-2</v>
      </c>
      <c r="AD94" s="108">
        <f t="shared" si="124"/>
        <v>7.2417100629763489E-2</v>
      </c>
      <c r="AE94" s="108">
        <f t="shared" si="124"/>
        <v>-7.354279615852638E-2</v>
      </c>
      <c r="AF94" s="108">
        <f t="shared" si="124"/>
        <v>2.6314203845829449E-2</v>
      </c>
      <c r="AG94" s="108">
        <f t="shared" si="124"/>
        <v>9.5980839700308823E-2</v>
      </c>
      <c r="AH94" s="108">
        <f t="shared" si="124"/>
        <v>1.9847333541939054E-2</v>
      </c>
      <c r="AI94" s="108">
        <f t="shared" si="124"/>
        <v>2.9656068734086712E-2</v>
      </c>
      <c r="AJ94" s="108">
        <f t="shared" si="124"/>
        <v>-4.3544757522510774E-2</v>
      </c>
      <c r="AK94" s="108">
        <f t="shared" si="124"/>
        <v>-5.7632233165949023E-2</v>
      </c>
      <c r="AL94" s="108">
        <f t="shared" si="124"/>
        <v>2.9439523868913305E-2</v>
      </c>
      <c r="AM94" s="108">
        <f t="shared" si="124"/>
        <v>-1.9026918358882282E-2</v>
      </c>
      <c r="AN94" s="108">
        <f t="shared" si="124"/>
        <v>8.8360844573471459E-2</v>
      </c>
      <c r="AO94" s="108">
        <f t="shared" si="124"/>
        <v>0.2329400885067674</v>
      </c>
      <c r="AP94" s="108">
        <f t="shared" si="124"/>
        <v>-6.6843873249865959E-2</v>
      </c>
      <c r="AQ94" s="108">
        <f t="shared" si="124"/>
        <v>-3.5625102840537042E-2</v>
      </c>
      <c r="AR94" s="108">
        <f t="shared" si="124"/>
        <v>1.7083890386436269E-2</v>
      </c>
      <c r="AS94" s="108">
        <f t="shared" si="124"/>
        <v>-1.3599375163215677E-2</v>
      </c>
      <c r="AT94" s="109">
        <f t="shared" si="124"/>
        <v>-4.0336806391758573E-2</v>
      </c>
    </row>
    <row r="95" spans="2:46" ht="3.95" customHeight="1"/>
    <row r="96" spans="2:46">
      <c r="B96" s="42" t="s">
        <v>309</v>
      </c>
      <c r="C96" s="43"/>
      <c r="D96" s="43"/>
      <c r="E96" s="6"/>
      <c r="F96" s="43"/>
      <c r="G96" s="43"/>
      <c r="H96" s="6"/>
      <c r="I96" s="43"/>
      <c r="J96" s="43"/>
      <c r="K96" s="43"/>
      <c r="L96" s="6"/>
      <c r="M96" s="43"/>
      <c r="N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</row>
    <row r="97" spans="1:46" ht="12" customHeight="1">
      <c r="B97" s="216" t="s">
        <v>1568</v>
      </c>
      <c r="C97" s="65"/>
      <c r="D97" s="65"/>
      <c r="F97" s="65"/>
      <c r="G97" s="65"/>
      <c r="I97" s="65"/>
      <c r="J97" s="65"/>
      <c r="K97" s="65"/>
      <c r="M97" s="23"/>
      <c r="N97" s="66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</row>
    <row r="98" spans="1:46">
      <c r="B98" s="93" t="s">
        <v>311</v>
      </c>
      <c r="C98" s="65">
        <f>-C10</f>
        <v>-44.058500000000002</v>
      </c>
      <c r="D98" s="65">
        <f>-D10</f>
        <v>-74.519299999999987</v>
      </c>
      <c r="E98" s="23"/>
      <c r="F98" s="65">
        <f>-F10</f>
        <v>-42.254049999999999</v>
      </c>
      <c r="G98" s="65">
        <f>-G10</f>
        <v>-59.055000000000007</v>
      </c>
      <c r="H98" s="23"/>
      <c r="I98" s="65">
        <f>-I10</f>
        <v>-57.492550000000001</v>
      </c>
      <c r="J98" s="65">
        <f>-J10</f>
        <v>-91.320250000000001</v>
      </c>
      <c r="K98" s="65">
        <f>-K10</f>
        <v>-103.5675</v>
      </c>
      <c r="L98" s="65"/>
      <c r="M98" s="23">
        <f t="shared" ref="M98:M101" si="125">K98-J98</f>
        <v>-12.247249999999994</v>
      </c>
      <c r="N98" s="66">
        <f t="shared" ref="N98" si="126">IFERROR(K98/J98-1,0)</f>
        <v>0.13411318957186369</v>
      </c>
      <c r="P98" s="83">
        <f>-P10</f>
        <v>-5.4649999999999999</v>
      </c>
      <c r="Q98" s="83">
        <f>-Q10</f>
        <v>-3.9</v>
      </c>
      <c r="R98" s="83">
        <f>-R10</f>
        <v>-2.7549999999999999</v>
      </c>
      <c r="S98" s="83">
        <f>-S10</f>
        <v>-3.5019999999999998</v>
      </c>
      <c r="T98" s="83">
        <f>-T10</f>
        <v>-4.6589999999999998</v>
      </c>
      <c r="U98" s="83">
        <f>-U10</f>
        <v>-3.9369999999999998</v>
      </c>
      <c r="V98" s="83">
        <f>-V10</f>
        <v>-4.6020000000000003</v>
      </c>
      <c r="W98" s="83">
        <f>-W10</f>
        <v>-4.7380000000000004</v>
      </c>
      <c r="X98" s="83">
        <f>-X10</f>
        <v>-2.1190000000000002</v>
      </c>
      <c r="Y98" s="83">
        <f>-Y10</f>
        <v>-2.0640000000000001</v>
      </c>
      <c r="Z98" s="83">
        <f>-Z10</f>
        <v>-3.0125000000000002</v>
      </c>
      <c r="AA98" s="83">
        <f>-AA10</f>
        <v>-3.3050000000000002</v>
      </c>
      <c r="AB98" s="83">
        <f>-AB10</f>
        <v>-3.0790000000000002</v>
      </c>
      <c r="AC98" s="83">
        <f>-AC10</f>
        <v>-0.7</v>
      </c>
      <c r="AD98" s="83">
        <f>-AD10</f>
        <v>-10.438549999999999</v>
      </c>
      <c r="AE98" s="83">
        <f>-AE10</f>
        <v>-4.3</v>
      </c>
      <c r="AF98" s="83">
        <f>-AF10</f>
        <v>-11.14</v>
      </c>
      <c r="AG98" s="83">
        <f>-AG10</f>
        <v>-6.1624999999999996</v>
      </c>
      <c r="AH98" s="83">
        <f>-AH10</f>
        <v>-6.4340000000000002</v>
      </c>
      <c r="AI98" s="83">
        <f>-AI10</f>
        <v>-3.9649999999999999</v>
      </c>
      <c r="AJ98" s="83">
        <f>-AJ10</f>
        <v>-3.92</v>
      </c>
      <c r="AK98" s="83">
        <f>-AK10</f>
        <v>-9.1364999999999998</v>
      </c>
      <c r="AL98" s="83">
        <f>-AL10</f>
        <v>-5.2537500000000001</v>
      </c>
      <c r="AM98" s="83">
        <f>-AM10</f>
        <v>-9.99</v>
      </c>
      <c r="AN98" s="83">
        <f>-AN10</f>
        <v>-10.2105</v>
      </c>
      <c r="AO98" s="83">
        <f>-AO10</f>
        <v>-6.6749999999999998</v>
      </c>
      <c r="AP98" s="83">
        <f>-AP10</f>
        <v>-9.0990000000000002</v>
      </c>
      <c r="AQ98" s="83">
        <f>-AQ10</f>
        <v>-8.9544999999999995</v>
      </c>
      <c r="AR98" s="83">
        <f>-AR10</f>
        <v>-12.606</v>
      </c>
      <c r="AS98" s="83">
        <f>-AS10</f>
        <v>-5.4115000000000002</v>
      </c>
      <c r="AT98" s="83">
        <f>-AT10</f>
        <v>-6.0984999999999996</v>
      </c>
    </row>
    <row r="99" spans="1:46">
      <c r="B99" s="93" t="s">
        <v>312</v>
      </c>
      <c r="C99" s="83">
        <f>+C30</f>
        <v>122.81254999999999</v>
      </c>
      <c r="D99" s="83">
        <f>+D30</f>
        <v>152.16972000000001</v>
      </c>
      <c r="F99" s="83">
        <f>+F30</f>
        <v>73.949619999999996</v>
      </c>
      <c r="G99" s="83">
        <f>+G30</f>
        <v>111.27999</v>
      </c>
      <c r="I99" s="83">
        <f>+I30</f>
        <v>121.30735</v>
      </c>
      <c r="J99" s="83">
        <f>+J30</f>
        <v>189.50009</v>
      </c>
      <c r="K99" s="83">
        <f>+K30</f>
        <v>197.14943999999997</v>
      </c>
      <c r="M99" s="23">
        <f t="shared" si="125"/>
        <v>7.6493499999999699</v>
      </c>
      <c r="N99" s="66">
        <f t="shared" ref="N99" si="127">IFERROR(K99/J99-1,0)</f>
        <v>4.0365943889525191E-2</v>
      </c>
      <c r="P99" s="83">
        <f>+P30</f>
        <v>9.1372800000000005</v>
      </c>
      <c r="Q99" s="83">
        <f>+Q30</f>
        <v>8.9629599999999989</v>
      </c>
      <c r="R99" s="83">
        <f>+R30</f>
        <v>10.19584</v>
      </c>
      <c r="S99" s="83">
        <f>+S30</f>
        <v>15.04429</v>
      </c>
      <c r="T99" s="83">
        <f>+T30</f>
        <v>16.637439999999998</v>
      </c>
      <c r="U99" s="83">
        <f>+U30</f>
        <v>7.4949899999999996</v>
      </c>
      <c r="V99" s="83">
        <f>+V30</f>
        <v>7.9820200000000003</v>
      </c>
      <c r="W99" s="83">
        <f>+W30</f>
        <v>5.9027399999999997</v>
      </c>
      <c r="X99" s="83">
        <f>+X30</f>
        <v>7.7676300000000005</v>
      </c>
      <c r="Y99" s="83">
        <f>+Y30</f>
        <v>8.2141699999999993</v>
      </c>
      <c r="Z99" s="83">
        <f>+Z30</f>
        <v>12.622719999999999</v>
      </c>
      <c r="AA99" s="83">
        <f>+AA30</f>
        <v>12.85047</v>
      </c>
      <c r="AB99" s="83">
        <f>+AB30</f>
        <v>10.345559999999999</v>
      </c>
      <c r="AC99" s="83">
        <f>+AC30</f>
        <v>8.0879799999999999</v>
      </c>
      <c r="AD99" s="83">
        <f>+AD30</f>
        <v>9.7528700000000015</v>
      </c>
      <c r="AE99" s="83">
        <f>+AE30</f>
        <v>10.28</v>
      </c>
      <c r="AF99" s="83">
        <f>+AF30</f>
        <v>11.13632</v>
      </c>
      <c r="AG99" s="83">
        <f>+AG30</f>
        <v>10.874319999999999</v>
      </c>
      <c r="AH99" s="83">
        <f>+AH30</f>
        <v>13.472569999999999</v>
      </c>
      <c r="AI99" s="83">
        <f>+AI30</f>
        <v>12.70407</v>
      </c>
      <c r="AJ99" s="83">
        <f>+AJ30</f>
        <v>14.698840000000001</v>
      </c>
      <c r="AK99" s="83">
        <f>+AK30</f>
        <v>15.543059999999999</v>
      </c>
      <c r="AL99" s="83">
        <f>+AL30</f>
        <v>14.34361</v>
      </c>
      <c r="AM99" s="83">
        <f>+AM30</f>
        <v>20.930520000000001</v>
      </c>
      <c r="AN99" s="83">
        <f>+AN30</f>
        <v>16.553939999999997</v>
      </c>
      <c r="AO99" s="83">
        <f>+AO30</f>
        <v>11.52661</v>
      </c>
      <c r="AP99" s="83">
        <f>+AP30</f>
        <v>14.938829999999999</v>
      </c>
      <c r="AQ99" s="83">
        <f>+AQ30</f>
        <v>15.58352</v>
      </c>
      <c r="AR99" s="83">
        <f>+AR30</f>
        <v>19.603400000000001</v>
      </c>
      <c r="AS99" s="83">
        <f>+AS30</f>
        <v>16.644569999999998</v>
      </c>
      <c r="AT99" s="83">
        <f>+AT30</f>
        <v>16.429119999999998</v>
      </c>
    </row>
    <row r="100" spans="1:46">
      <c r="B100" s="93" t="s">
        <v>313</v>
      </c>
      <c r="C100" s="83">
        <f>+C32</f>
        <v>0</v>
      </c>
      <c r="D100" s="83">
        <f>+D32</f>
        <v>19.149630000000002</v>
      </c>
      <c r="F100" s="83">
        <f>+F32</f>
        <v>3.09945</v>
      </c>
      <c r="G100" s="83">
        <f>+G32</f>
        <v>51.941310000000001</v>
      </c>
      <c r="I100" s="83">
        <f>+I32</f>
        <v>3.09945</v>
      </c>
      <c r="J100" s="83">
        <f>+J32</f>
        <v>67.991489999999999</v>
      </c>
      <c r="K100" s="83">
        <f>+K32</f>
        <v>98.349119999999999</v>
      </c>
      <c r="M100" s="23">
        <f t="shared" si="125"/>
        <v>30.35763</v>
      </c>
      <c r="N100" s="66">
        <f t="shared" ref="N100" si="128">IFERROR(K100/J100-1,0)</f>
        <v>0.44649161240619972</v>
      </c>
      <c r="P100" s="83">
        <f>+P32</f>
        <v>0</v>
      </c>
      <c r="Q100" s="83">
        <f>+Q32</f>
        <v>0</v>
      </c>
      <c r="R100" s="83">
        <f>+R32</f>
        <v>0</v>
      </c>
      <c r="S100" s="83">
        <f>+S32</f>
        <v>0</v>
      </c>
      <c r="T100" s="83">
        <f>+T32</f>
        <v>0</v>
      </c>
      <c r="U100" s="83">
        <f>+U32</f>
        <v>0</v>
      </c>
      <c r="V100" s="83">
        <f>+V32</f>
        <v>0</v>
      </c>
      <c r="W100" s="83">
        <f>+W32</f>
        <v>0</v>
      </c>
      <c r="X100" s="83">
        <f>+X32</f>
        <v>0</v>
      </c>
      <c r="Y100" s="83">
        <f>+Y32</f>
        <v>0</v>
      </c>
      <c r="Z100" s="83">
        <f>+Z32</f>
        <v>0</v>
      </c>
      <c r="AA100" s="83">
        <f>+AA32</f>
        <v>0</v>
      </c>
      <c r="AB100" s="83">
        <f>+AB32</f>
        <v>0</v>
      </c>
      <c r="AC100" s="83">
        <f>+AC32</f>
        <v>0</v>
      </c>
      <c r="AD100" s="83">
        <f>+AD32</f>
        <v>0</v>
      </c>
      <c r="AE100" s="83">
        <f>+AE32</f>
        <v>0</v>
      </c>
      <c r="AF100" s="83">
        <f>+AF32</f>
        <v>0</v>
      </c>
      <c r="AG100" s="83">
        <f>+AG32</f>
        <v>1.4667999999999999</v>
      </c>
      <c r="AH100" s="83">
        <f>+AH32</f>
        <v>1.6326500000000002</v>
      </c>
      <c r="AI100" s="83">
        <f>+AI32</f>
        <v>1.7180499999999999</v>
      </c>
      <c r="AJ100" s="83">
        <f>+AJ32</f>
        <v>1.9145999999999999</v>
      </c>
      <c r="AK100" s="83">
        <f>+AK32</f>
        <v>2.3529</v>
      </c>
      <c r="AL100" s="83">
        <f>+AL32</f>
        <v>2.2452399999999999</v>
      </c>
      <c r="AM100" s="83">
        <f>+AM32</f>
        <v>7.8193900000000003</v>
      </c>
      <c r="AN100" s="83">
        <f>+AN32</f>
        <v>5.6533999999999995</v>
      </c>
      <c r="AO100" s="83">
        <f>+AO32</f>
        <v>5.9568900000000005</v>
      </c>
      <c r="AP100" s="83">
        <f>+AP32</f>
        <v>7.7827999999999999</v>
      </c>
      <c r="AQ100" s="83">
        <f>+AQ32</f>
        <v>8.1370100000000001</v>
      </c>
      <c r="AR100" s="83">
        <f>+AR32</f>
        <v>7.8082500000000001</v>
      </c>
      <c r="AS100" s="83">
        <f>+AS32</f>
        <v>8.4072000000000013</v>
      </c>
      <c r="AT100" s="83">
        <f>+AT32</f>
        <v>8.1957599999999999</v>
      </c>
    </row>
    <row r="101" spans="1:46">
      <c r="B101" s="93" t="s">
        <v>314</v>
      </c>
      <c r="C101" s="83">
        <f>+C45</f>
        <v>24.819999999999997</v>
      </c>
      <c r="D101" s="83">
        <f>+D45</f>
        <v>27.153739999999999</v>
      </c>
      <c r="F101" s="83">
        <f>+F45</f>
        <v>17.089500000000001</v>
      </c>
      <c r="G101" s="83">
        <f>+G45</f>
        <v>20.62969</v>
      </c>
      <c r="I101" s="83">
        <f>+I45</f>
        <v>26.209499999999998</v>
      </c>
      <c r="J101" s="83">
        <f>+J45</f>
        <v>30.693929999999998</v>
      </c>
      <c r="K101" s="83">
        <f>+K45</f>
        <v>30.693929999999998</v>
      </c>
      <c r="M101" s="23">
        <f t="shared" si="125"/>
        <v>0</v>
      </c>
      <c r="N101" s="66">
        <f t="shared" ref="N101" si="129">IFERROR(K101/J101-1,0)</f>
        <v>0</v>
      </c>
      <c r="P101" s="83">
        <f>+P45</f>
        <v>2.21</v>
      </c>
      <c r="Q101" s="83">
        <f>+Q45</f>
        <v>2.7349999999999999</v>
      </c>
      <c r="R101" s="83">
        <f>+R45</f>
        <v>2.7149999999999999</v>
      </c>
      <c r="S101" s="83">
        <f>+S45</f>
        <v>2.7349999999999999</v>
      </c>
      <c r="T101" s="83">
        <f>+T45</f>
        <v>0.78</v>
      </c>
      <c r="U101" s="83">
        <f>+U45</f>
        <v>3.2450000000000001</v>
      </c>
      <c r="V101" s="83">
        <f>+V45</f>
        <v>1.28</v>
      </c>
      <c r="W101" s="83">
        <f>+W45</f>
        <v>1.3</v>
      </c>
      <c r="X101" s="83">
        <f>+X45</f>
        <v>1.81</v>
      </c>
      <c r="Y101" s="83">
        <f>+Y45</f>
        <v>1.82</v>
      </c>
      <c r="Z101" s="83">
        <f>+Z45</f>
        <v>1.835</v>
      </c>
      <c r="AA101" s="83">
        <f>+AA45</f>
        <v>2.355</v>
      </c>
      <c r="AB101" s="83">
        <f>+AB45</f>
        <v>1.4702500000000001</v>
      </c>
      <c r="AC101" s="83">
        <f>+AC45</f>
        <v>1.665</v>
      </c>
      <c r="AD101" s="83">
        <f>+AD45</f>
        <v>2.6277499999999998</v>
      </c>
      <c r="AE101" s="83">
        <f>+AE45</f>
        <v>1.24875</v>
      </c>
      <c r="AF101" s="83">
        <f>+AF45</f>
        <v>2.1539999999999999</v>
      </c>
      <c r="AG101" s="83">
        <f>+AG45</f>
        <v>4.1539999999999999</v>
      </c>
      <c r="AH101" s="83">
        <f>+AH45</f>
        <v>3.7697500000000002</v>
      </c>
      <c r="AI101" s="83">
        <f>+AI45</f>
        <v>1.696</v>
      </c>
      <c r="AJ101" s="83">
        <f>+AJ45</f>
        <v>2.2275</v>
      </c>
      <c r="AK101" s="83">
        <f>+AK45</f>
        <v>1.6645000000000001</v>
      </c>
      <c r="AL101" s="83">
        <f>+AL45</f>
        <v>1.71879</v>
      </c>
      <c r="AM101" s="83">
        <f>+AM45</f>
        <v>2.75745</v>
      </c>
      <c r="AN101" s="83">
        <f>+AN45</f>
        <v>1.8688</v>
      </c>
      <c r="AO101" s="83">
        <f>+AO45</f>
        <v>4.4399100000000002</v>
      </c>
      <c r="AP101" s="83">
        <f>+AP45</f>
        <v>2.3936100000000002</v>
      </c>
      <c r="AQ101" s="83">
        <f>+AQ45</f>
        <v>3.6578600000000003</v>
      </c>
      <c r="AR101" s="83">
        <f>+AR45</f>
        <v>2.9337900000000001</v>
      </c>
      <c r="AS101" s="83">
        <f>+AS45</f>
        <v>1.5662</v>
      </c>
      <c r="AT101" s="83">
        <f>+AT45</f>
        <v>3.76952</v>
      </c>
    </row>
    <row r="102" spans="1:46">
      <c r="B102" s="92" t="s">
        <v>315</v>
      </c>
      <c r="C102" s="59">
        <f>SUM(C98:C101)</f>
        <v>103.57404999999997</v>
      </c>
      <c r="D102" s="59">
        <f>SUM(D98:D101)</f>
        <v>123.95379000000003</v>
      </c>
      <c r="F102" s="59">
        <f>SUM(F98:F101)</f>
        <v>51.884519999999995</v>
      </c>
      <c r="G102" s="59">
        <f>SUM(G98:G101)</f>
        <v>124.79598999999999</v>
      </c>
      <c r="I102" s="59">
        <f>SUM(I98:I101)</f>
        <v>93.123750000000001</v>
      </c>
      <c r="J102" s="59">
        <f>SUM(J98:J101)</f>
        <v>196.86526000000001</v>
      </c>
      <c r="K102" s="59">
        <f>SUM(K98:K101)</f>
        <v>222.62498999999997</v>
      </c>
      <c r="L102" s="71"/>
      <c r="M102" s="59">
        <f>SUM(M98:M101)</f>
        <v>25.759729999999976</v>
      </c>
      <c r="N102" s="90">
        <f t="shared" ref="N102" si="130">IFERROR(K102/J102-1,0)</f>
        <v>0.13084954653756564</v>
      </c>
      <c r="P102" s="59">
        <f t="shared" ref="P102:AT102" si="131">SUM(P98:P101)</f>
        <v>5.8822800000000006</v>
      </c>
      <c r="Q102" s="59">
        <f t="shared" si="131"/>
        <v>7.797959999999998</v>
      </c>
      <c r="R102" s="59">
        <f t="shared" si="131"/>
        <v>10.155840000000001</v>
      </c>
      <c r="S102" s="59">
        <f t="shared" si="131"/>
        <v>14.277290000000001</v>
      </c>
      <c r="T102" s="59">
        <f t="shared" si="131"/>
        <v>12.758439999999998</v>
      </c>
      <c r="U102" s="59">
        <f t="shared" si="131"/>
        <v>6.8029899999999994</v>
      </c>
      <c r="V102" s="59">
        <f t="shared" si="131"/>
        <v>4.6600200000000003</v>
      </c>
      <c r="W102" s="59">
        <f t="shared" si="131"/>
        <v>2.464739999999999</v>
      </c>
      <c r="X102" s="59">
        <f t="shared" si="131"/>
        <v>7.4586300000000012</v>
      </c>
      <c r="Y102" s="59">
        <f t="shared" si="131"/>
        <v>7.9701699999999995</v>
      </c>
      <c r="Z102" s="59">
        <f t="shared" si="131"/>
        <v>11.445219999999999</v>
      </c>
      <c r="AA102" s="59">
        <f t="shared" si="131"/>
        <v>11.90047</v>
      </c>
      <c r="AB102" s="59">
        <f t="shared" si="131"/>
        <v>8.7368099999999984</v>
      </c>
      <c r="AC102" s="59">
        <f t="shared" si="131"/>
        <v>9.0529799999999998</v>
      </c>
      <c r="AD102" s="59">
        <f t="shared" si="131"/>
        <v>1.942070000000002</v>
      </c>
      <c r="AE102" s="59">
        <f t="shared" si="131"/>
        <v>7.2287499999999998</v>
      </c>
      <c r="AF102" s="59">
        <f t="shared" si="131"/>
        <v>2.1503199999999989</v>
      </c>
      <c r="AG102" s="59">
        <f t="shared" si="131"/>
        <v>10.332619999999999</v>
      </c>
      <c r="AH102" s="59">
        <f t="shared" si="131"/>
        <v>12.44097</v>
      </c>
      <c r="AI102" s="59">
        <f t="shared" si="131"/>
        <v>12.153119999999999</v>
      </c>
      <c r="AJ102" s="59">
        <f t="shared" si="131"/>
        <v>14.920940000000002</v>
      </c>
      <c r="AK102" s="59">
        <f t="shared" si="131"/>
        <v>10.423959999999999</v>
      </c>
      <c r="AL102" s="59">
        <f t="shared" si="131"/>
        <v>13.053890000000001</v>
      </c>
      <c r="AM102" s="59">
        <f t="shared" si="131"/>
        <v>21.51736</v>
      </c>
      <c r="AN102" s="59">
        <f t="shared" si="131"/>
        <v>13.865639999999997</v>
      </c>
      <c r="AO102" s="59">
        <f t="shared" si="131"/>
        <v>15.24841</v>
      </c>
      <c r="AP102" s="59">
        <f t="shared" si="131"/>
        <v>16.01624</v>
      </c>
      <c r="AQ102" s="59">
        <f t="shared" si="131"/>
        <v>18.42389</v>
      </c>
      <c r="AR102" s="59">
        <f t="shared" si="131"/>
        <v>17.739440000000002</v>
      </c>
      <c r="AS102" s="59">
        <f t="shared" si="131"/>
        <v>21.206469999999999</v>
      </c>
      <c r="AT102" s="59">
        <f t="shared" si="131"/>
        <v>22.295899999999996</v>
      </c>
    </row>
    <row r="103" spans="1:46" ht="3.95" customHeight="1"/>
    <row r="104" spans="1:46">
      <c r="B104" s="104" t="s">
        <v>468</v>
      </c>
      <c r="C104" s="105">
        <f>+C93+C102</f>
        <v>82.589620000000082</v>
      </c>
      <c r="D104" s="106">
        <f>+D93+D102</f>
        <v>196.71688999999986</v>
      </c>
      <c r="F104" s="110">
        <f>+F93+F102</f>
        <v>105.53132333333306</v>
      </c>
      <c r="G104" s="106">
        <f>+G93+G102</f>
        <v>208.89187333333365</v>
      </c>
      <c r="I104" s="110">
        <f>+I93+I102</f>
        <v>110.30545999999993</v>
      </c>
      <c r="J104" s="105">
        <f>+J93+J102</f>
        <v>300.07743999999997</v>
      </c>
      <c r="K104" s="106">
        <f>+K93+K102</f>
        <v>197.37966000000026</v>
      </c>
      <c r="L104" s="71"/>
      <c r="M104" s="110">
        <f>+M93+M102</f>
        <v>-102.69777999999987</v>
      </c>
      <c r="N104" s="112">
        <f t="shared" ref="N104" si="132">IFERROR(K104/J104-1,0)</f>
        <v>-0.34223759040332957</v>
      </c>
      <c r="P104" s="110">
        <f t="shared" ref="P104:AT104" si="133">+P93+P102</f>
        <v>15.543074166666667</v>
      </c>
      <c r="Q104" s="105">
        <f t="shared" si="133"/>
        <v>9.9902841666666777</v>
      </c>
      <c r="R104" s="105">
        <f t="shared" si="133"/>
        <v>6.7136341666666723</v>
      </c>
      <c r="S104" s="105">
        <f t="shared" si="133"/>
        <v>2.3917441666666477</v>
      </c>
      <c r="T104" s="105">
        <f t="shared" si="133"/>
        <v>-7.7330558333333155</v>
      </c>
      <c r="U104" s="105">
        <f t="shared" si="133"/>
        <v>-0.6607958333333368</v>
      </c>
      <c r="V104" s="105">
        <f t="shared" si="133"/>
        <v>9.2340441666666777</v>
      </c>
      <c r="W104" s="105">
        <f t="shared" si="133"/>
        <v>9.8654841666666613</v>
      </c>
      <c r="X104" s="105">
        <f t="shared" si="133"/>
        <v>1.2045641666666711</v>
      </c>
      <c r="Y104" s="105">
        <f t="shared" si="133"/>
        <v>-1.6058558333333544</v>
      </c>
      <c r="Z104" s="105">
        <f t="shared" si="133"/>
        <v>-20.510185833333331</v>
      </c>
      <c r="AA104" s="105">
        <f t="shared" si="133"/>
        <v>-14.420265833333312</v>
      </c>
      <c r="AB104" s="105">
        <f t="shared" si="133"/>
        <v>11.235174166666631</v>
      </c>
      <c r="AC104" s="105">
        <f t="shared" si="133"/>
        <v>-3.6891758333333389</v>
      </c>
      <c r="AD104" s="105">
        <f t="shared" si="133"/>
        <v>11.694874166666672</v>
      </c>
      <c r="AE104" s="105">
        <f t="shared" si="133"/>
        <v>-2.7712758333333216</v>
      </c>
      <c r="AF104" s="105">
        <f t="shared" si="133"/>
        <v>6.1514241666666738</v>
      </c>
      <c r="AG104" s="105">
        <f t="shared" si="133"/>
        <v>25.048884166666642</v>
      </c>
      <c r="AH104" s="105">
        <f t="shared" si="133"/>
        <v>15.524864166666653</v>
      </c>
      <c r="AI104" s="105">
        <f t="shared" si="133"/>
        <v>16.894334166666638</v>
      </c>
      <c r="AJ104" s="105">
        <f t="shared" si="133"/>
        <v>7.7796341666666775</v>
      </c>
      <c r="AK104" s="105">
        <f t="shared" si="133"/>
        <v>9.3714166666671872E-2</v>
      </c>
      <c r="AL104" s="105">
        <f t="shared" si="133"/>
        <v>18.402774166666703</v>
      </c>
      <c r="AM104" s="105">
        <f t="shared" si="133"/>
        <v>17.774714166666655</v>
      </c>
      <c r="AN104" s="105">
        <f t="shared" si="133"/>
        <v>32.614574166666607</v>
      </c>
      <c r="AO104" s="105">
        <f t="shared" si="133"/>
        <v>71.595774166666644</v>
      </c>
      <c r="AP104" s="105">
        <f t="shared" si="133"/>
        <v>0.54219416666664344</v>
      </c>
      <c r="AQ104" s="105">
        <f t="shared" si="133"/>
        <v>9.8624841666666434</v>
      </c>
      <c r="AR104" s="105">
        <f t="shared" si="133"/>
        <v>21.945474166666667</v>
      </c>
      <c r="AS104" s="105">
        <f t="shared" si="133"/>
        <v>17.840634166666732</v>
      </c>
      <c r="AT104" s="106">
        <f t="shared" si="133"/>
        <v>12.154184166666663</v>
      </c>
    </row>
    <row r="105" spans="1:46" s="97" customFormat="1">
      <c r="B105" s="107" t="s">
        <v>305</v>
      </c>
      <c r="C105" s="108">
        <f>C104/C$24</f>
        <v>7.276837448457156E-2</v>
      </c>
      <c r="D105" s="109">
        <f>D104/D$24</f>
        <v>0.10467098850674469</v>
      </c>
      <c r="F105" s="111">
        <f>F104/F$24</f>
        <v>0.1057562563148892</v>
      </c>
      <c r="G105" s="109">
        <f>G104/G$24</f>
        <v>0.1250085117611516</v>
      </c>
      <c r="I105" s="111">
        <f>I104/I$24</f>
        <v>7.2359413127952049E-2</v>
      </c>
      <c r="J105" s="108">
        <f>J104/J$24</f>
        <v>0.11756073205811471</v>
      </c>
      <c r="K105" s="109">
        <f>K104/K$24</f>
        <v>6.6182793542503809E-2</v>
      </c>
      <c r="L105" s="103"/>
      <c r="M105" s="111">
        <v>0</v>
      </c>
      <c r="N105" s="113">
        <v>0</v>
      </c>
      <c r="P105" s="111">
        <f t="shared" ref="P105" si="134">P104/P$24</f>
        <v>0.1920958925892923</v>
      </c>
      <c r="Q105" s="108">
        <f t="shared" ref="Q105" si="135">Q104/Q$24</f>
        <v>0.12294871826427779</v>
      </c>
      <c r="R105" s="108">
        <f t="shared" ref="R105" si="136">R104/R$24</f>
        <v>8.5948599151818433E-2</v>
      </c>
      <c r="S105" s="108">
        <f t="shared" ref="S105" si="137">S104/S$24</f>
        <v>2.8694054904444672E-2</v>
      </c>
      <c r="T105" s="108">
        <f t="shared" ref="T105" si="138">T104/T$24</f>
        <v>-8.573598577470673E-2</v>
      </c>
      <c r="U105" s="108">
        <f t="shared" ref="U105" si="139">U104/U$24</f>
        <v>-7.3490513717648816E-3</v>
      </c>
      <c r="V105" s="108">
        <f t="shared" ref="V105" si="140">V104/V$24</f>
        <v>8.8210387231303533E-2</v>
      </c>
      <c r="W105" s="108">
        <f t="shared" ref="W105" si="141">W104/W$24</f>
        <v>9.4754054142745153E-2</v>
      </c>
      <c r="X105" s="108">
        <f t="shared" ref="X105" si="142">X104/X$24</f>
        <v>1.2244896749015058E-2</v>
      </c>
      <c r="Y105" s="108">
        <f t="shared" ref="Y105" si="143">Y104/Y$24</f>
        <v>-1.6211121194898738E-2</v>
      </c>
      <c r="Z105" s="108">
        <f t="shared" ref="Z105" si="144">Z104/Z$24</f>
        <v>-0.1877580811072164</v>
      </c>
      <c r="AA105" s="108">
        <f t="shared" ref="AA105" si="145">AA104/AA$24</f>
        <v>-0.12457913919590322</v>
      </c>
      <c r="AB105" s="108">
        <f t="shared" ref="AB105" si="146">AB104/AB$24</f>
        <v>8.1025296063476637E-2</v>
      </c>
      <c r="AC105" s="108">
        <f t="shared" ref="AC105" si="147">AC104/AC$24</f>
        <v>-2.8866203295811969E-2</v>
      </c>
      <c r="AD105" s="108">
        <f t="shared" ref="AD105" si="148">AD104/AD$24</f>
        <v>8.6837474115855226E-2</v>
      </c>
      <c r="AE105" s="108">
        <f t="shared" ref="AE105" si="149">AE104/AE$24</f>
        <v>-2.0380684720886111E-2</v>
      </c>
      <c r="AF105" s="108">
        <f t="shared" ref="AF105" si="150">AF104/AF$24</f>
        <v>4.045628974430885E-2</v>
      </c>
      <c r="AG105" s="108">
        <f t="shared" ref="AG105" si="151">AG104/AG$24</f>
        <v>0.16337114560080698</v>
      </c>
      <c r="AH105" s="108">
        <f t="shared" ref="AH105" si="152">AH104/AH$24</f>
        <v>9.9914958379451135E-2</v>
      </c>
      <c r="AI105" s="108">
        <f t="shared" ref="AI105" si="153">AI104/AI$24</f>
        <v>0.1056732553415832</v>
      </c>
      <c r="AJ105" s="108">
        <f t="shared" ref="AJ105" si="154">AJ104/AJ$24</f>
        <v>4.7437022206794029E-2</v>
      </c>
      <c r="AK105" s="108">
        <f t="shared" ref="AK105" si="155">AK104/AK$24</f>
        <v>5.2282944582582888E-4</v>
      </c>
      <c r="AL105" s="108">
        <f t="shared" ref="AL105" si="156">AL104/AL$24</f>
        <v>0.10128634168412418</v>
      </c>
      <c r="AM105" s="108">
        <f t="shared" ref="AM105" si="157">AM104/AM$24</f>
        <v>9.0363355327271883E-2</v>
      </c>
      <c r="AN105" s="108">
        <f t="shared" ref="AN105" si="158">AN104/AN$24</f>
        <v>0.15370747441709923</v>
      </c>
      <c r="AO105" s="108">
        <f t="shared" ref="AO105" si="159">AO104/AO$24</f>
        <v>0.2959770384602971</v>
      </c>
      <c r="AP105" s="108">
        <f t="shared" ref="AP105" si="160">AP104/AP$24</f>
        <v>2.3421384777994178E-3</v>
      </c>
      <c r="AQ105" s="108">
        <f t="shared" ref="AQ105" si="161">AQ104/AQ$24</f>
        <v>4.103905591447353E-2</v>
      </c>
      <c r="AR105" s="108">
        <f t="shared" ref="AR105" si="162">AR104/AR$24</f>
        <v>8.9137192016399219E-2</v>
      </c>
      <c r="AS105" s="108">
        <f t="shared" ref="AS105" si="163">AS104/AS$24</f>
        <v>7.2083574243105866E-2</v>
      </c>
      <c r="AT105" s="109">
        <f t="shared" ref="AT105" si="164">AT104/AT$24</f>
        <v>4.8341028445033248E-2</v>
      </c>
    </row>
    <row r="107" spans="1:46">
      <c r="A107" s="117" t="s">
        <v>294</v>
      </c>
      <c r="B107" s="118" t="s">
        <v>324</v>
      </c>
      <c r="C107" s="119"/>
      <c r="D107" s="120" t="s">
        <v>287</v>
      </c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</row>
    <row r="108" spans="1:46">
      <c r="A108" s="117"/>
      <c r="B108" s="42" t="s">
        <v>279</v>
      </c>
      <c r="C108" s="122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</row>
    <row r="109" spans="1:46">
      <c r="B109" s="57" t="str">
        <f>+B7</f>
        <v>STR Subscription</v>
      </c>
      <c r="C109" s="46">
        <f>+AT7*12</f>
        <v>2410.0500000000002</v>
      </c>
      <c r="D109" s="95" t="s">
        <v>288</v>
      </c>
      <c r="E109" s="45"/>
      <c r="F109" s="86"/>
      <c r="G109" s="86"/>
      <c r="H109" s="45"/>
      <c r="I109" s="86"/>
      <c r="J109" s="86"/>
      <c r="K109" s="86"/>
      <c r="L109" s="86"/>
      <c r="M109" s="86"/>
      <c r="N109" s="86"/>
    </row>
    <row r="110" spans="1:46">
      <c r="B110" s="57" t="str">
        <f>+B9</f>
        <v>SMB Subscription</v>
      </c>
      <c r="C110" s="82">
        <v>0</v>
      </c>
      <c r="D110" s="95" t="s">
        <v>1330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+B8</f>
        <v>Occupancy Taxes</v>
      </c>
      <c r="C111" s="82">
        <f>+AT8*12</f>
        <v>192.82980000000001</v>
      </c>
      <c r="D111" s="95" t="s">
        <v>288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+B10</f>
        <v>Onboarding</v>
      </c>
      <c r="C112" s="82">
        <f>AVERAGE(AM10:AT10)*12</f>
        <v>103.5675</v>
      </c>
      <c r="D112" s="95" t="s">
        <v>289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+B12</f>
        <v>STR Bill Pay</v>
      </c>
      <c r="C113" s="82">
        <f>+AT12*12</f>
        <v>83.460000000000008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+B11</f>
        <v>Topkey Subscription</v>
      </c>
      <c r="C114" s="82">
        <f>+AT11*12</f>
        <v>94.835999999999999</v>
      </c>
      <c r="D114" s="95" t="s">
        <v>288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+B13</f>
        <v>Controller Services</v>
      </c>
      <c r="C115" s="82">
        <f>+AT13*12</f>
        <v>42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+B14</f>
        <v>Historical Cleanup</v>
      </c>
      <c r="C116" s="82">
        <f>+AT14*12</f>
        <v>0</v>
      </c>
      <c r="D116" s="95" t="s">
        <v>290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8" t="str">
        <f>+B15</f>
        <v>Total Recurring Revenue</v>
      </c>
      <c r="C117" s="59">
        <f>SUM(C109:C116)</f>
        <v>2926.7433000000001</v>
      </c>
      <c r="D117" s="71"/>
      <c r="F117" s="71"/>
      <c r="G117" s="71"/>
      <c r="I117" s="71"/>
      <c r="J117" s="71"/>
      <c r="K117" s="71"/>
      <c r="L117" s="71"/>
      <c r="M117" s="71"/>
      <c r="N117" s="71"/>
    </row>
    <row r="118" spans="2:14" ht="3.95" customHeight="1"/>
    <row r="119" spans="2:14">
      <c r="B119" s="57" t="str">
        <f>+B18</f>
        <v>1099 Filing</v>
      </c>
      <c r="C119" s="82">
        <f>+J18</f>
        <v>38.761499999999998</v>
      </c>
      <c r="D119" s="95" t="s">
        <v>1331</v>
      </c>
    </row>
    <row r="120" spans="2:14">
      <c r="B120" s="57" t="str">
        <f>+B19</f>
        <v>Income Tax</v>
      </c>
      <c r="C120" s="82">
        <v>0</v>
      </c>
      <c r="D120" s="95" t="s">
        <v>291</v>
      </c>
    </row>
    <row r="121" spans="2:14">
      <c r="B121" s="57" t="str">
        <f>+B17</f>
        <v>Profit Share</v>
      </c>
      <c r="C121" s="82">
        <f>AVERAGE(AI17:AT17)*12</f>
        <v>16.836220000000001</v>
      </c>
      <c r="D121" s="95" t="s">
        <v>292</v>
      </c>
    </row>
    <row r="122" spans="2:14">
      <c r="B122" s="57" t="str">
        <f>+B20</f>
        <v>Billable Expense Income</v>
      </c>
      <c r="C122" s="82">
        <v>0</v>
      </c>
      <c r="D122" s="95" t="s">
        <v>291</v>
      </c>
    </row>
    <row r="123" spans="2:14">
      <c r="B123" s="57" t="str">
        <f>+B21</f>
        <v>Offshore Recruiting</v>
      </c>
      <c r="C123" s="82">
        <v>0</v>
      </c>
      <c r="D123" s="95" t="s">
        <v>291</v>
      </c>
    </row>
    <row r="124" spans="2:14">
      <c r="B124" s="58" t="str">
        <f>+B22</f>
        <v>Total Nonrecurring Revenue</v>
      </c>
      <c r="C124" s="59">
        <f>SUM(C119:C123)</f>
        <v>55.597719999999995</v>
      </c>
    </row>
    <row r="126" spans="2:14">
      <c r="B126" s="42" t="s">
        <v>280</v>
      </c>
      <c r="C126" s="43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2:14">
      <c r="B127" s="56" t="s">
        <v>63</v>
      </c>
      <c r="C127" s="82">
        <f>AT27*12</f>
        <v>694.74455999999998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57" t="s">
        <v>34</v>
      </c>
      <c r="C128" s="82">
        <f>AT28*12</f>
        <v>533.85120000000006</v>
      </c>
      <c r="D128" s="95" t="s">
        <v>288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93" t="s">
        <v>277</v>
      </c>
      <c r="C129" s="83">
        <f>+J31</f>
        <v>108.34394</v>
      </c>
      <c r="D129" s="95" t="s">
        <v>320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35</v>
      </c>
      <c r="C130" s="82">
        <f>AT29*12</f>
        <v>392.92452000000003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278</v>
      </c>
      <c r="C131" s="82">
        <f>AT32*12</f>
        <v>98.349119999999999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36</v>
      </c>
      <c r="C132" s="82">
        <f>AT33*12</f>
        <v>68.113200000000006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38</v>
      </c>
      <c r="C133" s="82">
        <f>AT34*12</f>
        <v>33.081240000000001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>
      <c r="B134" s="57" t="s">
        <v>37</v>
      </c>
      <c r="C134" s="82">
        <f>AT30*12</f>
        <v>197.14943999999997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6" t="str">
        <f>+B35</f>
        <v>Employee Benefits</v>
      </c>
      <c r="C135" s="82">
        <f>+AT35*12</f>
        <v>32.178359999999998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8" t="str">
        <f>+B36</f>
        <v>Total Payroll Expenses</v>
      </c>
      <c r="C136" s="59">
        <f>SUM(C127:C135)</f>
        <v>2158.73558</v>
      </c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>
      <c r="D137" s="83"/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42" t="s">
        <v>303</v>
      </c>
      <c r="C138" s="43"/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+B38</f>
        <v>Software &amp; Apps - COGS</v>
      </c>
      <c r="C139" s="82">
        <f>+AT38*12</f>
        <v>335.70816000000002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6" t="str">
        <f>+B39</f>
        <v>Software &amp; Apps - G&amp;A</v>
      </c>
      <c r="C140" s="82">
        <f>+AT39*12</f>
        <v>155.82264000000001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+B40</f>
        <v>Software &amp; Apps - Topkey</v>
      </c>
      <c r="C141" s="82">
        <f>AT40*12</f>
        <v>60.84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+B41</f>
        <v>Software &amp; Apps - AI tools</v>
      </c>
      <c r="C142" s="82">
        <f>+AT41*12</f>
        <v>15.743759999999998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8" t="str">
        <f>+B42</f>
        <v>Total Software Expenses</v>
      </c>
      <c r="C143" s="59">
        <f>SUM(C139:C142)</f>
        <v>568.11455999999998</v>
      </c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/>
      <c r="C144" s="82"/>
      <c r="D144" s="95"/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42" t="s">
        <v>283</v>
      </c>
      <c r="C145" s="43"/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 t="str">
        <f>+B44</f>
        <v>Other Professional Fees</v>
      </c>
      <c r="C146" s="83">
        <f t="shared" ref="C146:C151" si="165">+J44</f>
        <v>72.576949999999997</v>
      </c>
      <c r="D146" s="95" t="s">
        <v>293</v>
      </c>
      <c r="F146" s="83"/>
      <c r="G146" s="83"/>
      <c r="I146" s="83"/>
      <c r="J146" s="83"/>
      <c r="K146" s="114"/>
      <c r="L146" s="83"/>
      <c r="M146" s="83"/>
      <c r="N146" s="83"/>
    </row>
    <row r="147" spans="2:14">
      <c r="B147" s="57" t="s">
        <v>42</v>
      </c>
      <c r="C147" s="83">
        <f t="shared" si="165"/>
        <v>30.693929999999998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ref="B148:B153" si="166">+B46</f>
        <v>Travel, Meals &amp; Entertainment</v>
      </c>
      <c r="C148" s="83">
        <f t="shared" si="165"/>
        <v>28.151060000000001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166"/>
        <v>Payment Collection Fees</v>
      </c>
      <c r="C149" s="83">
        <f t="shared" si="165"/>
        <v>15.573919999999999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166"/>
        <v>Professional Organizations</v>
      </c>
      <c r="C150" s="83">
        <f t="shared" si="165"/>
        <v>11.61077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66"/>
        <v>S&amp;M Events</v>
      </c>
      <c r="C151" s="83">
        <f t="shared" si="165"/>
        <v>23.343780000000002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66"/>
        <v>Contract Labor - Tax</v>
      </c>
      <c r="C152" s="83">
        <f>+C119</f>
        <v>38.761499999999998</v>
      </c>
      <c r="D152" s="95" t="s">
        <v>321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66"/>
        <v>Recruiting Fees</v>
      </c>
      <c r="C153" s="83">
        <f>+J51</f>
        <v>8.86876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ref="B154:B159" si="167">+B52</f>
        <v>Amortization</v>
      </c>
      <c r="C154" s="83">
        <f>+J52</f>
        <v>6.673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67"/>
        <v>Website</v>
      </c>
      <c r="C155" s="83">
        <f>+J53</f>
        <v>4.9035700000000002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167"/>
        <v>State Taxes</v>
      </c>
      <c r="C156" s="83">
        <f>+J54</f>
        <v>5.2619999999999996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67"/>
        <v>Insurance</v>
      </c>
      <c r="C157" s="83">
        <f>+J55</f>
        <v>4.8890399999999996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167"/>
        <v>Occupancy Tax Filing Fees</v>
      </c>
      <c r="C158" s="82">
        <f>+AT57*12</f>
        <v>3.516</v>
      </c>
      <c r="D158" s="95" t="s">
        <v>288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167"/>
        <v>Utilities</v>
      </c>
      <c r="C159" s="83">
        <f>+J57</f>
        <v>3.2080000000000002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+B59</f>
        <v>1099 Filing Fees</v>
      </c>
      <c r="C160" s="83">
        <f>+J59</f>
        <v>3.31806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1:14">
      <c r="B161" s="56" t="str">
        <f>+B58</f>
        <v>Interest</v>
      </c>
      <c r="C161" s="83">
        <f>+J58</f>
        <v>1.1564699999999999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1:14">
      <c r="B162" s="56" t="str">
        <f>+B60</f>
        <v>Other Income</v>
      </c>
      <c r="C162" s="83">
        <f>+J60</f>
        <v>-0.25575999999999999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1:14">
      <c r="B163" s="56" t="str">
        <f>+B61</f>
        <v>Other Expenses</v>
      </c>
      <c r="C163" s="83">
        <f>+J61</f>
        <v>18.409520000000001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1:14">
      <c r="B164" s="56"/>
      <c r="C164" s="83"/>
      <c r="D164" s="95"/>
      <c r="F164" s="83"/>
      <c r="G164" s="83"/>
      <c r="I164" s="83"/>
      <c r="J164" s="83"/>
      <c r="K164" s="83"/>
      <c r="L164" s="83"/>
      <c r="M164" s="83"/>
      <c r="N164" s="83"/>
    </row>
    <row r="165" spans="1:14">
      <c r="B165" s="42" t="str">
        <f>+B83</f>
        <v>Near-Term Adjustments</v>
      </c>
      <c r="C165" s="43"/>
      <c r="D165" s="95"/>
      <c r="F165" s="83"/>
      <c r="G165" s="83"/>
      <c r="I165" s="83"/>
      <c r="J165" s="83"/>
      <c r="K165" s="83"/>
      <c r="L165" s="83"/>
      <c r="M165" s="83"/>
      <c r="N165" s="83"/>
    </row>
    <row r="166" spans="1:14">
      <c r="B166" s="93" t="s">
        <v>277</v>
      </c>
      <c r="C166" s="82">
        <v>200</v>
      </c>
      <c r="D166" s="124" t="s">
        <v>319</v>
      </c>
      <c r="F166" s="83"/>
      <c r="G166" s="83"/>
      <c r="I166" s="83"/>
      <c r="J166" s="83"/>
      <c r="K166" s="83"/>
      <c r="L166" s="83"/>
      <c r="M166" s="83"/>
      <c r="N166" s="83"/>
    </row>
    <row r="167" spans="1:14">
      <c r="B167" s="215" t="s">
        <v>1338</v>
      </c>
      <c r="C167" s="83">
        <f>+C146</f>
        <v>72.576949999999997</v>
      </c>
      <c r="D167" s="95" t="s">
        <v>1339</v>
      </c>
    </row>
    <row r="171" spans="1:14">
      <c r="C171" s="33">
        <v>45291</v>
      </c>
      <c r="D171" s="35">
        <f>C172</f>
        <v>45657</v>
      </c>
      <c r="E171" s="35"/>
      <c r="F171" s="33">
        <v>45657</v>
      </c>
      <c r="G171" s="33">
        <v>46022</v>
      </c>
      <c r="H171" s="33"/>
      <c r="I171" s="33">
        <v>45504</v>
      </c>
      <c r="J171" s="35">
        <f>I172</f>
        <v>45869</v>
      </c>
    </row>
    <row r="172" spans="1:14">
      <c r="A172" s="141" t="s">
        <v>294</v>
      </c>
      <c r="C172" s="34">
        <f>EOMONTH(C171,12)</f>
        <v>45657</v>
      </c>
      <c r="D172" s="34">
        <f>EOMONTH(D171,12)</f>
        <v>46022</v>
      </c>
      <c r="E172" s="34"/>
      <c r="F172" s="34">
        <v>45869</v>
      </c>
      <c r="G172" s="34">
        <f>EOMONTH(G171,12)</f>
        <v>46387</v>
      </c>
      <c r="H172" s="34"/>
      <c r="I172" s="34">
        <f>EOMONTH(I171,12)</f>
        <v>45869</v>
      </c>
      <c r="J172" s="34">
        <f>EOMONTH(J171,12)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dimension ref="B2:K123"/>
  <sheetViews>
    <sheetView showGridLines="0" zoomScale="145" zoomScaleNormal="145" workbookViewId="0">
      <selection activeCell="B7" sqref="B7"/>
    </sheetView>
  </sheetViews>
  <sheetFormatPr defaultRowHeight="12"/>
  <cols>
    <col min="1" max="1" width="1.7109375" style="218" customWidth="1"/>
    <col min="2" max="2" width="26.7109375" style="218" customWidth="1"/>
    <col min="3" max="8" width="8.85546875" style="218" customWidth="1"/>
    <col min="9" max="16384" width="9.140625" style="218"/>
  </cols>
  <sheetData>
    <row r="2" spans="2:10" ht="16.5">
      <c r="B2" s="37" t="str">
        <f>+'Revenue Analysis'!B2</f>
        <v>Keystone Bookkeepers</v>
      </c>
    </row>
    <row r="3" spans="2:10">
      <c r="B3" s="38" t="s">
        <v>1516</v>
      </c>
      <c r="C3" s="220"/>
      <c r="D3" s="220"/>
      <c r="E3" s="220"/>
      <c r="F3" s="220"/>
      <c r="G3" s="220"/>
      <c r="H3" s="220"/>
      <c r="I3" s="218" t="s">
        <v>276</v>
      </c>
      <c r="J3" s="78">
        <v>1</v>
      </c>
    </row>
    <row r="5" spans="2:10" ht="36">
      <c r="B5" s="161" t="s">
        <v>1522</v>
      </c>
      <c r="C5" s="178" t="s">
        <v>1069</v>
      </c>
      <c r="D5" s="178" t="s">
        <v>1529</v>
      </c>
      <c r="E5" s="178" t="s">
        <v>1528</v>
      </c>
      <c r="F5" s="178" t="s">
        <v>1325</v>
      </c>
      <c r="G5" s="178" t="s">
        <v>1539</v>
      </c>
      <c r="H5" s="178" t="s">
        <v>1540</v>
      </c>
      <c r="I5" s="222" t="s">
        <v>502</v>
      </c>
    </row>
    <row r="6" spans="2:10">
      <c r="B6" s="42" t="s">
        <v>1530</v>
      </c>
      <c r="C6" s="223"/>
      <c r="D6" s="223"/>
      <c r="E6" s="223"/>
      <c r="F6" s="223"/>
      <c r="G6" s="223"/>
      <c r="H6" s="223"/>
    </row>
    <row r="7" spans="2:10">
      <c r="B7" s="215" t="s">
        <v>495</v>
      </c>
      <c r="C7" s="224">
        <f>COUNTIFS('Headcount &amp; Compensation'!$C:$C,'Employee Overview'!$I$5,'Headcount &amp; Compensation'!$E:$E,$B7)</f>
        <v>41</v>
      </c>
      <c r="D7" s="228">
        <f>E7/C7</f>
        <v>12.34390243902439</v>
      </c>
      <c r="E7" s="228">
        <f>SUMIFS('Headcount &amp; Compensation'!$L:$L,'Headcount &amp; Compensation'!$C:$C,'Employee Overview'!$I$5,'Headcount &amp; Compensation'!$E:$E,'Employee Overview'!$B7)/1000</f>
        <v>506.1</v>
      </c>
      <c r="F7" s="47">
        <f>+'P&amp;L Forecast'!J28</f>
        <v>436.67388999999997</v>
      </c>
      <c r="G7" s="228">
        <f>E7-F7</f>
        <v>69.426110000000051</v>
      </c>
      <c r="H7" s="234">
        <f>G7/D7</f>
        <v>5.6243242639794548</v>
      </c>
    </row>
    <row r="8" spans="2:10">
      <c r="B8" s="215" t="s">
        <v>496</v>
      </c>
      <c r="C8" s="224">
        <f>COUNTIFS('Headcount &amp; Compensation'!$C:$C,'Employee Overview'!$I$5,'Headcount &amp; Compensation'!$E:$E,$B8)</f>
        <v>16</v>
      </c>
      <c r="D8" s="224">
        <f>E8/C8</f>
        <v>23.774999999999999</v>
      </c>
      <c r="E8" s="224">
        <f>SUMIFS('Headcount &amp; Compensation'!$L:$L,'Headcount &amp; Compensation'!$C:$C,'Employee Overview'!$I$5,'Headcount &amp; Compensation'!$E:$E,'Employee Overview'!$B8)/1000</f>
        <v>380.4</v>
      </c>
      <c r="F8" s="53">
        <f>+'P&amp;L Forecast'!J29+'P&amp;L Forecast'!J34</f>
        <v>361.72670000000011</v>
      </c>
      <c r="G8" s="224">
        <f>E8-F8</f>
        <v>18.67329999999987</v>
      </c>
      <c r="H8" s="234">
        <f>G8/D8</f>
        <v>0.78541745531019436</v>
      </c>
    </row>
    <row r="9" spans="2:10">
      <c r="B9" s="215" t="s">
        <v>1374</v>
      </c>
      <c r="C9" s="224">
        <f>COUNTIFS('Headcount &amp; Compensation'!$C:$C,'Employee Overview'!$I$5,'Headcount &amp; Compensation'!$E:$E,$B9)</f>
        <v>4</v>
      </c>
      <c r="D9" s="224">
        <f>E9/C9</f>
        <v>116.25</v>
      </c>
      <c r="E9" s="224">
        <f>SUMIFS('Headcount &amp; Compensation'!$L:$L,'Headcount &amp; Compensation'!$C:$C,'Employee Overview'!$I$5,'Headcount &amp; Compensation'!$E:$E,'Employee Overview'!$B9)/1000</f>
        <v>465</v>
      </c>
      <c r="H9" s="234"/>
    </row>
    <row r="10" spans="2:10">
      <c r="B10" s="60" t="s">
        <v>1533</v>
      </c>
      <c r="C10" s="233">
        <f>SUM(C7:C9)</f>
        <v>61</v>
      </c>
      <c r="D10" s="61">
        <f>E10/C10</f>
        <v>22.155737704918032</v>
      </c>
      <c r="E10" s="61">
        <f t="shared" ref="E10:H10" si="0">SUM(E7:E9)</f>
        <v>1351.5</v>
      </c>
      <c r="F10" s="61">
        <f t="shared" si="0"/>
        <v>798.40059000000008</v>
      </c>
      <c r="G10" s="61">
        <f t="shared" si="0"/>
        <v>88.099409999999921</v>
      </c>
      <c r="H10" s="235">
        <f t="shared" si="0"/>
        <v>6.4097417192896495</v>
      </c>
    </row>
    <row r="11" spans="2:10" ht="3.95" customHeight="1">
      <c r="B11" s="219"/>
      <c r="C11" s="226"/>
      <c r="D11" s="71"/>
      <c r="E11" s="71"/>
      <c r="F11" s="71"/>
      <c r="G11" s="71"/>
      <c r="H11" s="71"/>
    </row>
    <row r="12" spans="2:10">
      <c r="B12" s="42" t="s">
        <v>1531</v>
      </c>
      <c r="C12" s="223"/>
      <c r="D12" s="223"/>
      <c r="E12" s="223"/>
      <c r="F12" s="223"/>
      <c r="G12" s="223"/>
      <c r="H12" s="223"/>
    </row>
    <row r="13" spans="2:10">
      <c r="B13" s="215" t="s">
        <v>1527</v>
      </c>
      <c r="C13" s="224">
        <f>COUNTIFS('Headcount &amp; Compensation'!$C:$C,'Employee Overview'!$I$5,'Headcount &amp; Compensation'!$E:$E,$B13)</f>
        <v>4</v>
      </c>
      <c r="D13" s="224">
        <f>E13/C13</f>
        <v>11.324999999999999</v>
      </c>
      <c r="E13" s="224">
        <f>SUMIFS('Headcount &amp; Compensation'!$L:$L,'Headcount &amp; Compensation'!$C:$C,'Employee Overview'!$I$5,'Headcount &amp; Compensation'!$E:$E,'Employee Overview'!$B13)/1000</f>
        <v>45.3</v>
      </c>
    </row>
    <row r="14" spans="2:10">
      <c r="B14" s="215" t="s">
        <v>1526</v>
      </c>
      <c r="C14" s="224">
        <f>COUNTIFS('Headcount &amp; Compensation'!$C:$C,'Employee Overview'!$I$5,'Headcount &amp; Compensation'!$E:$E,$B14)</f>
        <v>4</v>
      </c>
      <c r="D14" s="224">
        <f>E14/C14</f>
        <v>22.2</v>
      </c>
      <c r="E14" s="224">
        <f>SUMIFS('Headcount &amp; Compensation'!$L:$L,'Headcount &amp; Compensation'!$C:$C,'Employee Overview'!$I$5,'Headcount &amp; Compensation'!$E:$E,'Employee Overview'!$B14)/1000</f>
        <v>88.8</v>
      </c>
    </row>
    <row r="15" spans="2:10">
      <c r="B15" s="60" t="s">
        <v>1532</v>
      </c>
      <c r="C15" s="233">
        <f>SUM(C13:C14)</f>
        <v>8</v>
      </c>
      <c r="D15" s="61">
        <f>E15/C15</f>
        <v>16.762499999999999</v>
      </c>
      <c r="E15" s="61">
        <f t="shared" ref="E15:H15" si="1">SUM(E13:E14)</f>
        <v>134.1</v>
      </c>
      <c r="F15" s="61">
        <f t="shared" si="1"/>
        <v>0</v>
      </c>
      <c r="G15" s="62">
        <f t="shared" si="1"/>
        <v>0</v>
      </c>
      <c r="H15" s="62">
        <f t="shared" si="1"/>
        <v>0</v>
      </c>
    </row>
    <row r="16" spans="2:10" ht="3.95" customHeight="1">
      <c r="B16" s="219"/>
      <c r="C16" s="226"/>
      <c r="D16" s="71"/>
      <c r="E16" s="71"/>
      <c r="F16" s="71"/>
      <c r="G16" s="71"/>
      <c r="H16" s="71"/>
    </row>
    <row r="17" spans="2:8">
      <c r="B17" s="42" t="s">
        <v>1536</v>
      </c>
      <c r="C17" s="223"/>
      <c r="D17" s="223"/>
      <c r="E17" s="223"/>
      <c r="F17" s="223"/>
      <c r="G17" s="223"/>
      <c r="H17" s="223"/>
    </row>
    <row r="18" spans="2:8">
      <c r="B18" s="218" t="s">
        <v>498</v>
      </c>
      <c r="C18" s="224">
        <f>COUNTIFS('Headcount &amp; Compensation'!$C:$C,'Employee Overview'!$I$5,'Headcount &amp; Compensation'!$E:$E,$B18)</f>
        <v>8</v>
      </c>
      <c r="D18" s="224">
        <f t="shared" ref="D18:D23" si="2">E18/C18</f>
        <v>13.8</v>
      </c>
      <c r="E18" s="224">
        <f>SUMIFS('Headcount &amp; Compensation'!$L:$L,'Headcount &amp; Compensation'!$C:$C,'Employee Overview'!$I$5,'Headcount &amp; Compensation'!$E:$E,'Employee Overview'!$B18)/1000</f>
        <v>110.4</v>
      </c>
      <c r="F18" s="71"/>
      <c r="G18" s="71"/>
      <c r="H18" s="71"/>
    </row>
    <row r="19" spans="2:8">
      <c r="B19" s="218" t="s">
        <v>1525</v>
      </c>
      <c r="C19" s="224">
        <f>COUNTIFS('Headcount &amp; Compensation'!$C:$C,'Employee Overview'!$I$5,'Headcount &amp; Compensation'!$E:$E,$B19)</f>
        <v>4</v>
      </c>
      <c r="D19" s="224">
        <f t="shared" si="2"/>
        <v>14.55</v>
      </c>
      <c r="E19" s="224">
        <f>SUMIFS('Headcount &amp; Compensation'!$L:$L,'Headcount &amp; Compensation'!$C:$C,'Employee Overview'!$I$5,'Headcount &amp; Compensation'!$E:$E,'Employee Overview'!$B19)/1000</f>
        <v>58.2</v>
      </c>
    </row>
    <row r="20" spans="2:8">
      <c r="B20" s="218" t="s">
        <v>1524</v>
      </c>
      <c r="C20" s="224">
        <f>COUNTIFS('Headcount &amp; Compensation'!$C:$C,'Employee Overview'!$I$5,'Headcount &amp; Compensation'!$E:$E,$B20)</f>
        <v>3</v>
      </c>
      <c r="D20" s="224">
        <f t="shared" si="2"/>
        <v>34.6</v>
      </c>
      <c r="E20" s="224">
        <f>SUMIFS('Headcount &amp; Compensation'!$L:$L,'Headcount &amp; Compensation'!$C:$C,'Employee Overview'!$I$5,'Headcount &amp; Compensation'!$E:$E,'Employee Overview'!$B20)/1000</f>
        <v>103.8</v>
      </c>
    </row>
    <row r="21" spans="2:8">
      <c r="B21" s="218" t="s">
        <v>81</v>
      </c>
      <c r="C21" s="224">
        <f>COUNTIFS('Headcount &amp; Compensation'!$C:$C,'Employee Overview'!$I$5,'Headcount &amp; Compensation'!$E:$E,$B21)</f>
        <v>2</v>
      </c>
      <c r="D21" s="224">
        <f t="shared" si="2"/>
        <v>23.1</v>
      </c>
      <c r="E21" s="224">
        <f>SUMIFS('Headcount &amp; Compensation'!$L:$L,'Headcount &amp; Compensation'!$C:$C,'Employee Overview'!$I$5,'Headcount &amp; Compensation'!$E:$E,'Employee Overview'!$B21)/1000</f>
        <v>46.2</v>
      </c>
    </row>
    <row r="22" spans="2:8">
      <c r="B22" s="218" t="s">
        <v>1513</v>
      </c>
      <c r="C22" s="224">
        <f>COUNTIFS('Headcount &amp; Compensation'!$C:$C,'Employee Overview'!$I$5,'Headcount &amp; Compensation'!$E:$E,$B22)</f>
        <v>1</v>
      </c>
      <c r="D22" s="224">
        <f t="shared" si="2"/>
        <v>200</v>
      </c>
      <c r="E22" s="224">
        <f>SUMIFS('Headcount &amp; Compensation'!$L:$L,'Headcount &amp; Compensation'!$C:$C,'Employee Overview'!$I$5,'Headcount &amp; Compensation'!$E:$E,'Employee Overview'!$B22)/1000</f>
        <v>200</v>
      </c>
    </row>
    <row r="23" spans="2:8">
      <c r="B23" s="60" t="s">
        <v>1537</v>
      </c>
      <c r="C23" s="233">
        <f>SUM(C18:C22)</f>
        <v>18</v>
      </c>
      <c r="D23" s="61">
        <f t="shared" si="2"/>
        <v>28.811111111111114</v>
      </c>
      <c r="E23" s="61">
        <f t="shared" ref="E23:H23" si="3">SUM(E18:E22)</f>
        <v>518.6</v>
      </c>
      <c r="F23" s="61">
        <f t="shared" si="3"/>
        <v>0</v>
      </c>
      <c r="G23" s="62">
        <f t="shared" si="3"/>
        <v>0</v>
      </c>
      <c r="H23" s="62">
        <f t="shared" si="3"/>
        <v>0</v>
      </c>
    </row>
    <row r="24" spans="2:8" ht="5.0999999999999996" customHeight="1">
      <c r="C24" s="224"/>
      <c r="D24" s="224"/>
      <c r="E24" s="224"/>
    </row>
    <row r="25" spans="2:8">
      <c r="B25" s="60" t="s">
        <v>1538</v>
      </c>
      <c r="C25" s="233">
        <f>+C23+C15+C10</f>
        <v>87</v>
      </c>
      <c r="D25" s="61">
        <f>E25/C25</f>
        <v>23.036781609195401</v>
      </c>
      <c r="E25" s="61">
        <f>+E23+E15+E10</f>
        <v>2004.2</v>
      </c>
      <c r="F25" s="61">
        <f>+F23+F15+F10</f>
        <v>798.40059000000008</v>
      </c>
      <c r="G25" s="62">
        <f>+G23+G15+G10</f>
        <v>88.099409999999921</v>
      </c>
      <c r="H25" s="62">
        <f>+H23+H15+H10</f>
        <v>6.4097417192896495</v>
      </c>
    </row>
    <row r="26" spans="2:8">
      <c r="B26" s="219"/>
      <c r="C26" s="226"/>
      <c r="D26" s="71"/>
      <c r="E26" s="71"/>
      <c r="F26" s="71"/>
      <c r="G26" s="71"/>
      <c r="H26" s="71"/>
    </row>
    <row r="28" spans="2:8">
      <c r="B28" s="14" t="s">
        <v>1535</v>
      </c>
      <c r="C28" s="226"/>
      <c r="D28" s="71"/>
      <c r="E28" s="71"/>
      <c r="F28" s="71"/>
      <c r="G28" s="71"/>
      <c r="H28" s="71"/>
    </row>
    <row r="29" spans="2:8">
      <c r="B29" s="14"/>
      <c r="C29" s="226"/>
      <c r="D29" s="71"/>
      <c r="E29" s="71"/>
      <c r="F29" s="71"/>
      <c r="G29" s="71"/>
      <c r="H29" s="71"/>
    </row>
    <row r="30" spans="2:8">
      <c r="B30" s="14"/>
      <c r="C30" s="226"/>
      <c r="D30" s="71"/>
      <c r="E30" s="71"/>
      <c r="F30" s="71"/>
      <c r="G30" s="71"/>
      <c r="H30" s="71"/>
    </row>
    <row r="31" spans="2:8">
      <c r="B31" s="219"/>
      <c r="C31" s="226"/>
      <c r="D31" s="71"/>
      <c r="E31" s="71"/>
      <c r="F31" s="71"/>
      <c r="G31" s="71"/>
      <c r="H31" s="71"/>
    </row>
    <row r="32" spans="2:8">
      <c r="B32" s="219"/>
      <c r="C32" s="226"/>
      <c r="E32" s="226"/>
    </row>
    <row r="33" spans="2:8">
      <c r="B33" s="97" t="s">
        <v>1311</v>
      </c>
      <c r="C33" s="227">
        <f>COUNTIFS('Headcount &amp; Compensation'!$C:$C,'Employee Overview'!$I$5)</f>
        <v>87</v>
      </c>
      <c r="E33" s="229">
        <f>SUMIFS('Headcount &amp; Compensation'!$L:$L,'Headcount &amp; Compensation'!$C:$C,'Employee Overview'!$I$5)/1000</f>
        <v>2004.2</v>
      </c>
    </row>
    <row r="34" spans="2:8">
      <c r="B34" s="97" t="s">
        <v>1310</v>
      </c>
      <c r="C34" s="227">
        <f>C25-C33</f>
        <v>0</v>
      </c>
      <c r="E34" s="227">
        <f>E25-E33</f>
        <v>0</v>
      </c>
    </row>
    <row r="37" spans="2:8">
      <c r="B37" s="161" t="s">
        <v>1521</v>
      </c>
      <c r="C37" s="178" t="s">
        <v>1069</v>
      </c>
      <c r="D37" s="178"/>
      <c r="E37" s="178"/>
      <c r="F37" s="76"/>
      <c r="G37" s="76"/>
      <c r="H37" s="76"/>
    </row>
    <row r="38" spans="2:8">
      <c r="B38" s="42" t="s">
        <v>1517</v>
      </c>
      <c r="C38" s="223"/>
      <c r="D38" s="223"/>
      <c r="E38" s="223"/>
      <c r="F38" s="223"/>
      <c r="G38" s="223"/>
      <c r="H38" s="223"/>
    </row>
    <row r="39" spans="2:8">
      <c r="B39" s="218" t="s">
        <v>1353</v>
      </c>
      <c r="C39" s="224">
        <f>COUNTIFS('Headcount &amp; Compensation'!$C:$C,'Employee Overview'!$I$5,'Headcount &amp; Compensation'!$D:$D,'Employee Overview'!$B39)</f>
        <v>2</v>
      </c>
      <c r="E39" s="224"/>
    </row>
    <row r="40" spans="2:8">
      <c r="B40" s="218" t="s">
        <v>1359</v>
      </c>
      <c r="C40" s="224">
        <f>COUNTIFS('Headcount &amp; Compensation'!$C:$C,'Employee Overview'!$I$5,'Headcount &amp; Compensation'!$D:$D,'Employee Overview'!$B40)</f>
        <v>33</v>
      </c>
      <c r="E40" s="224"/>
    </row>
    <row r="41" spans="2:8">
      <c r="B41" s="218" t="s">
        <v>495</v>
      </c>
      <c r="C41" s="224">
        <f>COUNTIFS('Headcount &amp; Compensation'!$C:$C,'Employee Overview'!$I$5,'Headcount &amp; Compensation'!$D:$D,'Employee Overview'!$B41)</f>
        <v>1</v>
      </c>
      <c r="E41" s="224"/>
    </row>
    <row r="42" spans="2:8">
      <c r="B42" s="218" t="s">
        <v>496</v>
      </c>
      <c r="C42" s="224">
        <f>COUNTIFS('Headcount &amp; Compensation'!$C:$C,'Employee Overview'!$I$5,'Headcount &amp; Compensation'!$D:$D,'Employee Overview'!$B42)</f>
        <v>13</v>
      </c>
      <c r="E42" s="224"/>
    </row>
    <row r="43" spans="2:8">
      <c r="B43" s="218" t="s">
        <v>1374</v>
      </c>
      <c r="C43" s="224">
        <f>COUNTIFS('Headcount &amp; Compensation'!$C:$C,'Employee Overview'!$I$5,'Headcount &amp; Compensation'!$D:$D,'Employee Overview'!$B43)</f>
        <v>4</v>
      </c>
      <c r="E43" s="224"/>
    </row>
    <row r="44" spans="2:8">
      <c r="B44" s="218" t="s">
        <v>1380</v>
      </c>
      <c r="C44" s="224">
        <f>COUNTIFS('Headcount &amp; Compensation'!$C:$C,'Employee Overview'!$I$5,'Headcount &amp; Compensation'!$D:$D,'Employee Overview'!$B44)</f>
        <v>4</v>
      </c>
      <c r="E44" s="224"/>
    </row>
    <row r="45" spans="2:8">
      <c r="B45" s="218" t="s">
        <v>1384</v>
      </c>
      <c r="C45" s="224">
        <f>COUNTIFS('Headcount &amp; Compensation'!$C:$C,'Employee Overview'!$I$5,'Headcount &amp; Compensation'!$D:$D,'Employee Overview'!$B45)</f>
        <v>2</v>
      </c>
      <c r="E45" s="224"/>
    </row>
    <row r="46" spans="2:8">
      <c r="B46" s="218" t="s">
        <v>1411</v>
      </c>
      <c r="C46" s="224">
        <f>COUNTIFS('Headcount &amp; Compensation'!$C:$C,'Employee Overview'!$I$5,'Headcount &amp; Compensation'!$D:$D,'Employee Overview'!$B46)</f>
        <v>2</v>
      </c>
      <c r="E46" s="224"/>
    </row>
    <row r="47" spans="2:8">
      <c r="B47" s="218" t="s">
        <v>1418</v>
      </c>
      <c r="C47" s="224">
        <f>COUNTIFS('Headcount &amp; Compensation'!$C:$C,'Employee Overview'!$I$5,'Headcount &amp; Compensation'!$D:$D,'Employee Overview'!$B47)</f>
        <v>1</v>
      </c>
      <c r="E47" s="224"/>
    </row>
    <row r="48" spans="2:8">
      <c r="B48" s="218" t="s">
        <v>1420</v>
      </c>
      <c r="C48" s="224">
        <f>COUNTIFS('Headcount &amp; Compensation'!$C:$C,'Employee Overview'!$I$5,'Headcount &amp; Compensation'!$D:$D,'Employee Overview'!$B48)</f>
        <v>7</v>
      </c>
      <c r="E48" s="224"/>
    </row>
    <row r="49" spans="2:8">
      <c r="B49" s="218" t="s">
        <v>1423</v>
      </c>
      <c r="C49" s="224">
        <f>COUNTIFS('Headcount &amp; Compensation'!$C:$C,'Employee Overview'!$I$5,'Headcount &amp; Compensation'!$D:$D,'Employee Overview'!$B49)</f>
        <v>1</v>
      </c>
      <c r="E49" s="224"/>
    </row>
    <row r="50" spans="2:8">
      <c r="B50" s="218" t="s">
        <v>1426</v>
      </c>
      <c r="C50" s="224">
        <f>COUNTIFS('Headcount &amp; Compensation'!$C:$C,'Employee Overview'!$I$5,'Headcount &amp; Compensation'!$D:$D,'Employee Overview'!$B50)</f>
        <v>1</v>
      </c>
      <c r="E50" s="224"/>
    </row>
    <row r="51" spans="2:8">
      <c r="B51" s="218" t="s">
        <v>1440</v>
      </c>
      <c r="C51" s="224">
        <f>COUNTIFS('Headcount &amp; Compensation'!$C:$C,'Employee Overview'!$I$5,'Headcount &amp; Compensation'!$D:$D,'Employee Overview'!$B51)</f>
        <v>2</v>
      </c>
      <c r="E51" s="224"/>
    </row>
    <row r="52" spans="2:8">
      <c r="B52" s="218" t="s">
        <v>1457</v>
      </c>
      <c r="C52" s="224">
        <f>COUNTIFS('Headcount &amp; Compensation'!$C:$C,'Employee Overview'!$I$5,'Headcount &amp; Compensation'!$D:$D,'Employee Overview'!$B52)</f>
        <v>1</v>
      </c>
      <c r="E52" s="224"/>
    </row>
    <row r="53" spans="2:8">
      <c r="B53" s="218" t="s">
        <v>1460</v>
      </c>
      <c r="C53" s="224">
        <f>COUNTIFS('Headcount &amp; Compensation'!$C:$C,'Employee Overview'!$I$5,'Headcount &amp; Compensation'!$D:$D,'Employee Overview'!$B53)</f>
        <v>1</v>
      </c>
      <c r="E53" s="224"/>
    </row>
    <row r="54" spans="2:8">
      <c r="B54" s="218" t="s">
        <v>1465</v>
      </c>
      <c r="C54" s="224">
        <f>COUNTIFS('Headcount &amp; Compensation'!$C:$C,'Employee Overview'!$I$5,'Headcount &amp; Compensation'!$D:$D,'Employee Overview'!$B54)</f>
        <v>1</v>
      </c>
      <c r="E54" s="224"/>
    </row>
    <row r="55" spans="2:8">
      <c r="B55" s="218" t="s">
        <v>1477</v>
      </c>
      <c r="C55" s="224">
        <f>COUNTIFS('Headcount &amp; Compensation'!$C:$C,'Employee Overview'!$I$5,'Headcount &amp; Compensation'!$D:$D,'Employee Overview'!$B55)</f>
        <v>1</v>
      </c>
      <c r="E55" s="224"/>
    </row>
    <row r="56" spans="2:8">
      <c r="B56" s="218" t="s">
        <v>1483</v>
      </c>
      <c r="C56" s="224">
        <f>COUNTIFS('Headcount &amp; Compensation'!$C:$C,'Employee Overview'!$I$5,'Headcount &amp; Compensation'!$D:$D,'Employee Overview'!$B56)</f>
        <v>2</v>
      </c>
      <c r="E56" s="224"/>
    </row>
    <row r="57" spans="2:8">
      <c r="B57" s="218" t="s">
        <v>1490</v>
      </c>
      <c r="C57" s="224">
        <f>COUNTIFS('Headcount &amp; Compensation'!$C:$C,'Employee Overview'!$I$5,'Headcount &amp; Compensation'!$D:$D,'Employee Overview'!$B57)</f>
        <v>3</v>
      </c>
      <c r="E57" s="224"/>
    </row>
    <row r="58" spans="2:8">
      <c r="B58" s="218" t="s">
        <v>1495</v>
      </c>
      <c r="C58" s="224">
        <f>COUNTIFS('Headcount &amp; Compensation'!$C:$C,'Employee Overview'!$I$5,'Headcount &amp; Compensation'!$D:$D,'Employee Overview'!$B58)</f>
        <v>1</v>
      </c>
      <c r="E58" s="224"/>
    </row>
    <row r="59" spans="2:8">
      <c r="B59" s="218" t="s">
        <v>1504</v>
      </c>
      <c r="C59" s="224">
        <f>COUNTIFS('Headcount &amp; Compensation'!$C:$C,'Employee Overview'!$I$5,'Headcount &amp; Compensation'!$D:$D,'Employee Overview'!$B59)</f>
        <v>1</v>
      </c>
      <c r="E59" s="224"/>
    </row>
    <row r="60" spans="2:8">
      <c r="B60" s="218" t="s">
        <v>1509</v>
      </c>
      <c r="C60" s="224">
        <f>COUNTIFS('Headcount &amp; Compensation'!$C:$C,'Employee Overview'!$I$5,'Headcount &amp; Compensation'!$D:$D,'Employee Overview'!$B60)</f>
        <v>1</v>
      </c>
      <c r="E60" s="224"/>
    </row>
    <row r="61" spans="2:8">
      <c r="B61" s="218" t="s">
        <v>1511</v>
      </c>
      <c r="C61" s="224">
        <f>COUNTIFS('Headcount &amp; Compensation'!$C:$C,'Employee Overview'!$I$5,'Headcount &amp; Compensation'!$D:$D,'Employee Overview'!$B61)</f>
        <v>1</v>
      </c>
      <c r="E61" s="224"/>
    </row>
    <row r="62" spans="2:8">
      <c r="B62" s="218" t="s">
        <v>1513</v>
      </c>
      <c r="C62" s="224">
        <f>COUNTIFS('Headcount &amp; Compensation'!$C:$C,'Employee Overview'!$I$5,'Headcount &amp; Compensation'!$D:$D,'Employee Overview'!$B62)</f>
        <v>1</v>
      </c>
      <c r="E62" s="224"/>
    </row>
    <row r="63" spans="2:8">
      <c r="B63" s="58" t="s">
        <v>134</v>
      </c>
      <c r="C63" s="225">
        <f>SUM(C39:C62)</f>
        <v>87</v>
      </c>
      <c r="D63" s="225">
        <f t="shared" ref="D63" si="4">SUM(D39:D62)</f>
        <v>0</v>
      </c>
      <c r="E63" s="225">
        <f t="shared" ref="E63" si="5">SUM(E39:E62)</f>
        <v>0</v>
      </c>
      <c r="F63" s="225">
        <f t="shared" ref="F63:H63" si="6">SUM(F39:F62)</f>
        <v>0</v>
      </c>
      <c r="G63" s="225">
        <f t="shared" si="6"/>
        <v>0</v>
      </c>
      <c r="H63" s="225">
        <f t="shared" si="6"/>
        <v>0</v>
      </c>
    </row>
    <row r="64" spans="2:8">
      <c r="B64" s="219"/>
      <c r="C64" s="226"/>
      <c r="E64" s="226"/>
    </row>
    <row r="65" spans="2:11">
      <c r="B65" s="97" t="s">
        <v>1311</v>
      </c>
      <c r="C65" s="227">
        <f>COUNTIFS('Headcount &amp; Compensation'!$C:$C,'Employee Overview'!$I$5)</f>
        <v>87</v>
      </c>
      <c r="E65" s="227"/>
    </row>
    <row r="66" spans="2:11">
      <c r="B66" s="97" t="s">
        <v>1310</v>
      </c>
      <c r="C66" s="227">
        <f>C63-C65</f>
        <v>0</v>
      </c>
      <c r="E66" s="227">
        <f>E63-E65</f>
        <v>0</v>
      </c>
    </row>
    <row r="69" spans="2:11">
      <c r="D69" s="175"/>
      <c r="F69" s="175"/>
      <c r="G69" s="175"/>
      <c r="H69" s="175"/>
      <c r="I69" s="175"/>
      <c r="J69" s="175"/>
      <c r="K69" s="175"/>
    </row>
    <row r="117" spans="2:2">
      <c r="B117" s="175"/>
    </row>
    <row r="118" spans="2:2">
      <c r="B118" s="175"/>
    </row>
    <row r="119" spans="2:2">
      <c r="B119" s="175"/>
    </row>
    <row r="120" spans="2:2">
      <c r="B120" s="175"/>
    </row>
    <row r="121" spans="2:2">
      <c r="B121" s="175"/>
    </row>
    <row r="122" spans="2:2">
      <c r="B122" s="175"/>
    </row>
    <row r="123" spans="2:2">
      <c r="B123" s="175"/>
    </row>
  </sheetData>
  <conditionalFormatting sqref="B6:H8 B12:H13 B17:H17 D24:E24 B28:B30 B38:H38">
    <cfRule type="expression" dxfId="33" priority="12">
      <formula>$Y$3=1</formula>
    </cfRule>
  </conditionalFormatting>
  <conditionalFormatting sqref="D9:E9">
    <cfRule type="expression" dxfId="32" priority="5">
      <formula>$Y$3=1</formula>
    </cfRule>
  </conditionalFormatting>
  <conditionalFormatting sqref="D13:E14">
    <cfRule type="expression" dxfId="31" priority="6">
      <formula>$Y$3=1</formula>
    </cfRule>
  </conditionalFormatting>
  <conditionalFormatting sqref="D18:E22">
    <cfRule type="expression" dxfId="30" priority="2">
      <formula>$Y$3=1</formula>
    </cfRule>
  </conditionalFormatting>
  <conditionalFormatting sqref="E33">
    <cfRule type="expression" dxfId="29" priority="9">
      <formula>$Y$3=1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4"/>
  <sheetViews>
    <sheetView zoomScale="115" zoomScaleNormal="115" workbookViewId="0"/>
  </sheetViews>
  <sheetFormatPr defaultRowHeight="15.75"/>
  <cols>
    <col min="1" max="1" width="30.7109375" style="147" customWidth="1"/>
    <col min="2" max="3" width="13.5703125" style="147" customWidth="1"/>
    <col min="4" max="6" width="39.85546875" style="147" customWidth="1"/>
    <col min="7" max="7" width="11.28515625" style="147" customWidth="1"/>
    <col min="8" max="8" width="13.5703125" style="147" customWidth="1"/>
    <col min="9" max="9" width="28.42578125" style="147" customWidth="1"/>
    <col min="10" max="10" width="13.5703125" style="147" customWidth="1"/>
    <col min="11" max="11" width="15.85546875" style="147" customWidth="1"/>
    <col min="12" max="12" width="14.7109375" style="147" customWidth="1"/>
    <col min="13" max="14" width="19.28515625" style="147" customWidth="1"/>
    <col min="15" max="15" width="60.42578125" style="147" customWidth="1"/>
    <col min="16" max="16384" width="9.140625" style="147"/>
  </cols>
  <sheetData>
    <row r="1" spans="1:15">
      <c r="A1" s="230" t="s">
        <v>1341</v>
      </c>
      <c r="B1" s="230" t="s">
        <v>1342</v>
      </c>
      <c r="C1" s="230" t="s">
        <v>1518</v>
      </c>
      <c r="D1" s="230" t="s">
        <v>1343</v>
      </c>
      <c r="E1" s="230" t="s">
        <v>1523</v>
      </c>
      <c r="F1" s="230" t="s">
        <v>1534</v>
      </c>
      <c r="G1" s="230" t="s">
        <v>1344</v>
      </c>
      <c r="H1" s="230" t="s">
        <v>116</v>
      </c>
      <c r="I1" s="230" t="s">
        <v>1345</v>
      </c>
      <c r="J1" s="230" t="s">
        <v>1346</v>
      </c>
      <c r="K1" s="230" t="s">
        <v>1347</v>
      </c>
      <c r="L1" s="230" t="s">
        <v>1348</v>
      </c>
      <c r="M1" s="230" t="s">
        <v>1349</v>
      </c>
      <c r="N1" s="230" t="s">
        <v>1350</v>
      </c>
      <c r="O1" s="230" t="s">
        <v>1254</v>
      </c>
    </row>
    <row r="2" spans="1:15">
      <c r="A2" s="230" t="s">
        <v>1351</v>
      </c>
      <c r="B2" s="230" t="s">
        <v>1352</v>
      </c>
      <c r="C2" s="230" t="s">
        <v>502</v>
      </c>
      <c r="D2" s="230" t="s">
        <v>1353</v>
      </c>
      <c r="E2" s="230" t="s">
        <v>1525</v>
      </c>
      <c r="F2" s="230" t="s">
        <v>34</v>
      </c>
      <c r="G2" s="230" t="s">
        <v>1354</v>
      </c>
      <c r="H2" s="230" t="s">
        <v>736</v>
      </c>
      <c r="I2" s="230" t="s">
        <v>1355</v>
      </c>
      <c r="J2" s="231">
        <v>1100</v>
      </c>
      <c r="K2" s="230" t="s">
        <v>600</v>
      </c>
      <c r="L2" s="231">
        <v>13200</v>
      </c>
      <c r="M2" s="230" t="s">
        <v>510</v>
      </c>
      <c r="N2" s="230" t="s">
        <v>509</v>
      </c>
      <c r="O2" s="230" t="s">
        <v>1356</v>
      </c>
    </row>
    <row r="3" spans="1:15">
      <c r="A3" s="230" t="s">
        <v>1357</v>
      </c>
      <c r="B3" s="230" t="s">
        <v>1358</v>
      </c>
      <c r="C3" s="230" t="s">
        <v>502</v>
      </c>
      <c r="D3" s="230" t="s">
        <v>1359</v>
      </c>
      <c r="E3" s="230" t="s">
        <v>495</v>
      </c>
      <c r="F3" s="230" t="s">
        <v>34</v>
      </c>
      <c r="G3" s="230" t="s">
        <v>1354</v>
      </c>
      <c r="H3" s="230" t="s">
        <v>736</v>
      </c>
      <c r="I3" s="230" t="s">
        <v>343</v>
      </c>
      <c r="J3" s="231">
        <v>950</v>
      </c>
      <c r="K3" s="230" t="s">
        <v>600</v>
      </c>
      <c r="L3" s="231">
        <v>11400</v>
      </c>
      <c r="M3" s="230" t="s">
        <v>510</v>
      </c>
      <c r="N3" s="230" t="s">
        <v>509</v>
      </c>
      <c r="O3" s="230" t="s">
        <v>1360</v>
      </c>
    </row>
    <row r="4" spans="1:15">
      <c r="A4" s="230" t="s">
        <v>1361</v>
      </c>
      <c r="B4" s="230" t="s">
        <v>1362</v>
      </c>
      <c r="C4" s="230" t="s">
        <v>502</v>
      </c>
      <c r="D4" s="230" t="s">
        <v>1359</v>
      </c>
      <c r="E4" s="230" t="s">
        <v>495</v>
      </c>
      <c r="F4" s="230" t="s">
        <v>34</v>
      </c>
      <c r="G4" s="230" t="s">
        <v>1354</v>
      </c>
      <c r="H4" s="230" t="s">
        <v>736</v>
      </c>
      <c r="I4" s="230" t="s">
        <v>1363</v>
      </c>
      <c r="J4" s="231">
        <v>950</v>
      </c>
      <c r="K4" s="230" t="s">
        <v>600</v>
      </c>
      <c r="L4" s="231">
        <v>11400</v>
      </c>
      <c r="M4" s="230" t="s">
        <v>510</v>
      </c>
      <c r="N4" s="230" t="s">
        <v>509</v>
      </c>
      <c r="O4" s="230" t="s">
        <v>1360</v>
      </c>
    </row>
    <row r="5" spans="1:15">
      <c r="A5" s="230" t="s">
        <v>1364</v>
      </c>
      <c r="B5" s="230" t="s">
        <v>1365</v>
      </c>
      <c r="C5" s="230" t="s">
        <v>510</v>
      </c>
      <c r="D5" s="230" t="s">
        <v>1359</v>
      </c>
      <c r="E5" s="230" t="s">
        <v>495</v>
      </c>
      <c r="F5" s="230" t="s">
        <v>34</v>
      </c>
      <c r="G5" s="230" t="s">
        <v>1354</v>
      </c>
      <c r="H5" s="230" t="s">
        <v>736</v>
      </c>
      <c r="I5" s="230" t="s">
        <v>343</v>
      </c>
      <c r="J5" s="230"/>
      <c r="K5" s="230" t="s">
        <v>343</v>
      </c>
      <c r="L5" s="230"/>
      <c r="M5" s="230" t="s">
        <v>509</v>
      </c>
      <c r="N5" s="230" t="s">
        <v>510</v>
      </c>
      <c r="O5" s="230" t="s">
        <v>1366</v>
      </c>
    </row>
    <row r="6" spans="1:15">
      <c r="A6" s="230" t="s">
        <v>1367</v>
      </c>
      <c r="B6" s="230" t="s">
        <v>1368</v>
      </c>
      <c r="C6" s="230" t="s">
        <v>502</v>
      </c>
      <c r="D6" s="230" t="s">
        <v>1359</v>
      </c>
      <c r="E6" s="230" t="s">
        <v>495</v>
      </c>
      <c r="F6" s="230" t="s">
        <v>34</v>
      </c>
      <c r="G6" s="230" t="s">
        <v>1354</v>
      </c>
      <c r="H6" s="230" t="s">
        <v>736</v>
      </c>
      <c r="I6" s="230" t="s">
        <v>1369</v>
      </c>
      <c r="J6" s="231">
        <v>950</v>
      </c>
      <c r="K6" s="230" t="s">
        <v>600</v>
      </c>
      <c r="L6" s="231">
        <v>11400</v>
      </c>
      <c r="M6" s="230" t="s">
        <v>509</v>
      </c>
      <c r="N6" s="230" t="s">
        <v>509</v>
      </c>
      <c r="O6" s="230" t="s">
        <v>343</v>
      </c>
    </row>
    <row r="7" spans="1:15">
      <c r="A7" s="230" t="s">
        <v>907</v>
      </c>
      <c r="B7" s="230" t="s">
        <v>1370</v>
      </c>
      <c r="C7" s="230" t="s">
        <v>502</v>
      </c>
      <c r="D7" s="230" t="s">
        <v>495</v>
      </c>
      <c r="E7" s="230" t="s">
        <v>495</v>
      </c>
      <c r="F7" s="230" t="s">
        <v>34</v>
      </c>
      <c r="G7" s="230" t="s">
        <v>1354</v>
      </c>
      <c r="H7" s="230" t="s">
        <v>736</v>
      </c>
      <c r="I7" s="230" t="s">
        <v>538</v>
      </c>
      <c r="J7" s="231">
        <v>950</v>
      </c>
      <c r="K7" s="230" t="s">
        <v>600</v>
      </c>
      <c r="L7" s="231">
        <v>11400</v>
      </c>
      <c r="M7" s="230" t="s">
        <v>509</v>
      </c>
      <c r="N7" s="230" t="s">
        <v>509</v>
      </c>
      <c r="O7" s="230" t="s">
        <v>343</v>
      </c>
    </row>
    <row r="8" spans="1:15">
      <c r="A8" s="230" t="s">
        <v>527</v>
      </c>
      <c r="B8" s="230" t="s">
        <v>1371</v>
      </c>
      <c r="C8" s="230" t="s">
        <v>502</v>
      </c>
      <c r="D8" s="230" t="s">
        <v>496</v>
      </c>
      <c r="E8" s="230" t="s">
        <v>496</v>
      </c>
      <c r="F8" s="230" t="s">
        <v>35</v>
      </c>
      <c r="G8" s="230" t="s">
        <v>1354</v>
      </c>
      <c r="H8" s="230" t="s">
        <v>736</v>
      </c>
      <c r="I8" s="230" t="s">
        <v>515</v>
      </c>
      <c r="J8" s="231">
        <v>1800</v>
      </c>
      <c r="K8" s="230" t="s">
        <v>600</v>
      </c>
      <c r="L8" s="231">
        <v>21600</v>
      </c>
      <c r="M8" s="230" t="s">
        <v>509</v>
      </c>
      <c r="N8" s="230" t="s">
        <v>509</v>
      </c>
      <c r="O8" s="230" t="s">
        <v>343</v>
      </c>
    </row>
    <row r="9" spans="1:15">
      <c r="A9" s="230" t="s">
        <v>1372</v>
      </c>
      <c r="B9" s="230" t="s">
        <v>1373</v>
      </c>
      <c r="C9" s="230" t="s">
        <v>502</v>
      </c>
      <c r="D9" s="230" t="s">
        <v>1374</v>
      </c>
      <c r="E9" s="230" t="s">
        <v>1374</v>
      </c>
      <c r="F9" s="230" t="s">
        <v>63</v>
      </c>
      <c r="G9" s="230" t="s">
        <v>1375</v>
      </c>
      <c r="H9" s="230" t="s">
        <v>1376</v>
      </c>
      <c r="I9" s="230" t="s">
        <v>1377</v>
      </c>
      <c r="J9" s="231">
        <v>110000</v>
      </c>
      <c r="K9" s="230" t="s">
        <v>1378</v>
      </c>
      <c r="L9" s="231">
        <v>110000</v>
      </c>
      <c r="M9" s="230" t="s">
        <v>509</v>
      </c>
      <c r="N9" s="230" t="s">
        <v>509</v>
      </c>
      <c r="O9" s="230" t="s">
        <v>343</v>
      </c>
    </row>
    <row r="10" spans="1:15">
      <c r="A10" s="230" t="s">
        <v>687</v>
      </c>
      <c r="B10" s="230" t="s">
        <v>1379</v>
      </c>
      <c r="C10" s="230" t="s">
        <v>502</v>
      </c>
      <c r="D10" s="230" t="s">
        <v>1380</v>
      </c>
      <c r="E10" s="230" t="s">
        <v>498</v>
      </c>
      <c r="F10" s="230" t="s">
        <v>63</v>
      </c>
      <c r="G10" s="230" t="s">
        <v>1354</v>
      </c>
      <c r="H10" s="230" t="s">
        <v>736</v>
      </c>
      <c r="I10" s="230" t="s">
        <v>1381</v>
      </c>
      <c r="J10" s="231">
        <v>850</v>
      </c>
      <c r="K10" s="230" t="s">
        <v>600</v>
      </c>
      <c r="L10" s="231">
        <v>10200</v>
      </c>
      <c r="M10" s="230" t="s">
        <v>509</v>
      </c>
      <c r="N10" s="230" t="s">
        <v>509</v>
      </c>
      <c r="O10" s="230" t="s">
        <v>343</v>
      </c>
    </row>
    <row r="11" spans="1:15">
      <c r="A11" s="230" t="s">
        <v>1382</v>
      </c>
      <c r="B11" s="230" t="s">
        <v>1383</v>
      </c>
      <c r="C11" s="230" t="s">
        <v>502</v>
      </c>
      <c r="D11" s="230" t="s">
        <v>1384</v>
      </c>
      <c r="E11" s="230" t="s">
        <v>1526</v>
      </c>
      <c r="F11" s="230" t="s">
        <v>37</v>
      </c>
      <c r="G11" s="230" t="s">
        <v>1385</v>
      </c>
      <c r="H11" s="230" t="s">
        <v>736</v>
      </c>
      <c r="I11" s="230" t="s">
        <v>1386</v>
      </c>
      <c r="J11" s="231">
        <v>1500</v>
      </c>
      <c r="K11" s="230" t="s">
        <v>600</v>
      </c>
      <c r="L11" s="231">
        <v>18000</v>
      </c>
      <c r="M11" s="230" t="s">
        <v>509</v>
      </c>
      <c r="N11" s="230" t="s">
        <v>509</v>
      </c>
      <c r="O11" s="230" t="s">
        <v>343</v>
      </c>
    </row>
    <row r="12" spans="1:15">
      <c r="A12" s="230" t="s">
        <v>1387</v>
      </c>
      <c r="B12" s="230" t="s">
        <v>1388</v>
      </c>
      <c r="C12" s="230" t="s">
        <v>502</v>
      </c>
      <c r="D12" s="230" t="s">
        <v>496</v>
      </c>
      <c r="E12" s="230" t="s">
        <v>496</v>
      </c>
      <c r="F12" s="230" t="s">
        <v>35</v>
      </c>
      <c r="G12" s="230" t="s">
        <v>1354</v>
      </c>
      <c r="H12" s="230" t="s">
        <v>736</v>
      </c>
      <c r="I12" s="230" t="s">
        <v>1389</v>
      </c>
      <c r="J12" s="231">
        <v>1800</v>
      </c>
      <c r="K12" s="230" t="s">
        <v>600</v>
      </c>
      <c r="L12" s="231">
        <v>21600</v>
      </c>
      <c r="M12" s="230" t="s">
        <v>509</v>
      </c>
      <c r="N12" s="230" t="s">
        <v>509</v>
      </c>
      <c r="O12" s="230" t="s">
        <v>343</v>
      </c>
    </row>
    <row r="13" spans="1:15">
      <c r="A13" s="230" t="s">
        <v>1390</v>
      </c>
      <c r="B13" s="230" t="s">
        <v>1388</v>
      </c>
      <c r="C13" s="230" t="s">
        <v>502</v>
      </c>
      <c r="D13" s="230" t="s">
        <v>1359</v>
      </c>
      <c r="E13" s="230" t="s">
        <v>495</v>
      </c>
      <c r="F13" s="230" t="s">
        <v>34</v>
      </c>
      <c r="G13" s="230" t="s">
        <v>1354</v>
      </c>
      <c r="H13" s="230" t="s">
        <v>736</v>
      </c>
      <c r="I13" s="230" t="s">
        <v>1391</v>
      </c>
      <c r="J13" s="231">
        <v>950</v>
      </c>
      <c r="K13" s="230" t="s">
        <v>600</v>
      </c>
      <c r="L13" s="231">
        <v>11400</v>
      </c>
      <c r="M13" s="230" t="s">
        <v>509</v>
      </c>
      <c r="N13" s="230" t="s">
        <v>509</v>
      </c>
      <c r="O13" s="230" t="s">
        <v>343</v>
      </c>
    </row>
    <row r="14" spans="1:15">
      <c r="A14" s="230" t="s">
        <v>581</v>
      </c>
      <c r="B14" s="230" t="s">
        <v>1392</v>
      </c>
      <c r="C14" s="230" t="s">
        <v>502</v>
      </c>
      <c r="D14" s="230" t="s">
        <v>1359</v>
      </c>
      <c r="E14" s="230" t="s">
        <v>495</v>
      </c>
      <c r="F14" s="230" t="s">
        <v>34</v>
      </c>
      <c r="G14" s="230" t="s">
        <v>1354</v>
      </c>
      <c r="H14" s="230" t="s">
        <v>736</v>
      </c>
      <c r="I14" s="230" t="s">
        <v>555</v>
      </c>
      <c r="J14" s="231">
        <v>950</v>
      </c>
      <c r="K14" s="230" t="s">
        <v>600</v>
      </c>
      <c r="L14" s="231">
        <v>11400</v>
      </c>
      <c r="M14" s="230" t="s">
        <v>509</v>
      </c>
      <c r="N14" s="230" t="s">
        <v>509</v>
      </c>
      <c r="O14" s="230" t="s">
        <v>343</v>
      </c>
    </row>
    <row r="15" spans="1:15">
      <c r="A15" s="230" t="s">
        <v>757</v>
      </c>
      <c r="B15" s="230" t="s">
        <v>1393</v>
      </c>
      <c r="C15" s="230" t="s">
        <v>502</v>
      </c>
      <c r="D15" s="230" t="s">
        <v>1359</v>
      </c>
      <c r="E15" s="230" t="s">
        <v>495</v>
      </c>
      <c r="F15" s="230" t="s">
        <v>34</v>
      </c>
      <c r="G15" s="230" t="s">
        <v>1354</v>
      </c>
      <c r="H15" s="230" t="s">
        <v>736</v>
      </c>
      <c r="I15" s="230" t="s">
        <v>527</v>
      </c>
      <c r="J15" s="231">
        <v>950</v>
      </c>
      <c r="K15" s="230" t="s">
        <v>600</v>
      </c>
      <c r="L15" s="231">
        <v>11400</v>
      </c>
      <c r="M15" s="230" t="s">
        <v>509</v>
      </c>
      <c r="N15" s="230" t="s">
        <v>509</v>
      </c>
      <c r="O15" s="230" t="s">
        <v>343</v>
      </c>
    </row>
    <row r="16" spans="1:15">
      <c r="A16" s="230" t="s">
        <v>867</v>
      </c>
      <c r="B16" s="230" t="s">
        <v>1394</v>
      </c>
      <c r="C16" s="230" t="s">
        <v>502</v>
      </c>
      <c r="D16" s="230" t="s">
        <v>1359</v>
      </c>
      <c r="E16" s="230" t="s">
        <v>495</v>
      </c>
      <c r="F16" s="230" t="s">
        <v>34</v>
      </c>
      <c r="G16" s="230" t="s">
        <v>1354</v>
      </c>
      <c r="H16" s="230" t="s">
        <v>736</v>
      </c>
      <c r="I16" s="230" t="s">
        <v>1395</v>
      </c>
      <c r="J16" s="231">
        <v>950</v>
      </c>
      <c r="K16" s="230" t="s">
        <v>600</v>
      </c>
      <c r="L16" s="231">
        <v>11400</v>
      </c>
      <c r="M16" s="230" t="s">
        <v>509</v>
      </c>
      <c r="N16" s="230" t="s">
        <v>509</v>
      </c>
      <c r="O16" s="230" t="s">
        <v>343</v>
      </c>
    </row>
    <row r="17" spans="1:15">
      <c r="A17" s="230" t="s">
        <v>617</v>
      </c>
      <c r="B17" s="230" t="s">
        <v>1396</v>
      </c>
      <c r="C17" s="230" t="s">
        <v>502</v>
      </c>
      <c r="D17" s="230" t="s">
        <v>1359</v>
      </c>
      <c r="E17" s="230" t="s">
        <v>495</v>
      </c>
      <c r="F17" s="230" t="s">
        <v>34</v>
      </c>
      <c r="G17" s="230" t="s">
        <v>1354</v>
      </c>
      <c r="H17" s="230" t="s">
        <v>736</v>
      </c>
      <c r="I17" s="230" t="s">
        <v>1363</v>
      </c>
      <c r="J17" s="231">
        <v>950</v>
      </c>
      <c r="K17" s="230" t="s">
        <v>600</v>
      </c>
      <c r="L17" s="231">
        <v>11400</v>
      </c>
      <c r="M17" s="230" t="s">
        <v>509</v>
      </c>
      <c r="N17" s="230" t="s">
        <v>509</v>
      </c>
      <c r="O17" s="230" t="s">
        <v>343</v>
      </c>
    </row>
    <row r="18" spans="1:15">
      <c r="A18" s="230" t="s">
        <v>669</v>
      </c>
      <c r="B18" s="230" t="s">
        <v>1397</v>
      </c>
      <c r="C18" s="230" t="s">
        <v>502</v>
      </c>
      <c r="D18" s="230" t="s">
        <v>1359</v>
      </c>
      <c r="E18" s="230" t="s">
        <v>495</v>
      </c>
      <c r="F18" s="230" t="s">
        <v>34</v>
      </c>
      <c r="G18" s="230" t="s">
        <v>1354</v>
      </c>
      <c r="H18" s="230" t="s">
        <v>736</v>
      </c>
      <c r="I18" s="230" t="s">
        <v>1398</v>
      </c>
      <c r="J18" s="231">
        <v>950</v>
      </c>
      <c r="K18" s="230" t="s">
        <v>600</v>
      </c>
      <c r="L18" s="231">
        <v>11400</v>
      </c>
      <c r="M18" s="230" t="s">
        <v>509</v>
      </c>
      <c r="N18" s="230" t="s">
        <v>509</v>
      </c>
      <c r="O18" s="230" t="s">
        <v>343</v>
      </c>
    </row>
    <row r="19" spans="1:15">
      <c r="A19" s="230" t="s">
        <v>1399</v>
      </c>
      <c r="B19" s="230" t="s">
        <v>1400</v>
      </c>
      <c r="C19" s="230" t="s">
        <v>502</v>
      </c>
      <c r="D19" s="230" t="s">
        <v>1359</v>
      </c>
      <c r="E19" s="230" t="s">
        <v>495</v>
      </c>
      <c r="F19" s="230" t="s">
        <v>34</v>
      </c>
      <c r="G19" s="230" t="s">
        <v>1354</v>
      </c>
      <c r="H19" s="230" t="s">
        <v>736</v>
      </c>
      <c r="I19" s="230" t="s">
        <v>527</v>
      </c>
      <c r="J19" s="231">
        <v>950</v>
      </c>
      <c r="K19" s="230" t="s">
        <v>600</v>
      </c>
      <c r="L19" s="231">
        <v>11400</v>
      </c>
      <c r="M19" s="230" t="s">
        <v>509</v>
      </c>
      <c r="N19" s="230" t="s">
        <v>509</v>
      </c>
      <c r="O19" s="230" t="s">
        <v>343</v>
      </c>
    </row>
    <row r="20" spans="1:15">
      <c r="A20" s="230" t="s">
        <v>631</v>
      </c>
      <c r="B20" s="230" t="s">
        <v>1401</v>
      </c>
      <c r="C20" s="230" t="s">
        <v>502</v>
      </c>
      <c r="D20" s="230" t="s">
        <v>1359</v>
      </c>
      <c r="E20" s="230" t="s">
        <v>495</v>
      </c>
      <c r="F20" s="230" t="s">
        <v>34</v>
      </c>
      <c r="G20" s="230" t="s">
        <v>1354</v>
      </c>
      <c r="H20" s="230" t="s">
        <v>736</v>
      </c>
      <c r="I20" s="230" t="s">
        <v>1402</v>
      </c>
      <c r="J20" s="231">
        <v>950</v>
      </c>
      <c r="K20" s="230" t="s">
        <v>600</v>
      </c>
      <c r="L20" s="231">
        <v>11400</v>
      </c>
      <c r="M20" s="230" t="s">
        <v>509</v>
      </c>
      <c r="N20" s="230" t="s">
        <v>509</v>
      </c>
      <c r="O20" s="230" t="s">
        <v>343</v>
      </c>
    </row>
    <row r="21" spans="1:15">
      <c r="A21" s="230" t="s">
        <v>653</v>
      </c>
      <c r="B21" s="230" t="s">
        <v>1403</v>
      </c>
      <c r="C21" s="230" t="s">
        <v>510</v>
      </c>
      <c r="D21" s="230" t="s">
        <v>496</v>
      </c>
      <c r="E21" s="230" t="s">
        <v>496</v>
      </c>
      <c r="F21" s="230" t="s">
        <v>35</v>
      </c>
      <c r="G21" s="230" t="s">
        <v>1354</v>
      </c>
      <c r="H21" s="230" t="s">
        <v>736</v>
      </c>
      <c r="I21" s="230" t="s">
        <v>343</v>
      </c>
      <c r="J21" s="230"/>
      <c r="K21" s="230" t="s">
        <v>343</v>
      </c>
      <c r="L21" s="230"/>
      <c r="M21" s="230" t="s">
        <v>509</v>
      </c>
      <c r="N21" s="230" t="s">
        <v>510</v>
      </c>
      <c r="O21" s="230" t="s">
        <v>1404</v>
      </c>
    </row>
    <row r="22" spans="1:15">
      <c r="A22" s="230" t="s">
        <v>1405</v>
      </c>
      <c r="B22" s="230" t="s">
        <v>1406</v>
      </c>
      <c r="C22" s="230" t="s">
        <v>502</v>
      </c>
      <c r="D22" s="230" t="s">
        <v>1359</v>
      </c>
      <c r="E22" s="230" t="s">
        <v>495</v>
      </c>
      <c r="F22" s="230" t="s">
        <v>34</v>
      </c>
      <c r="G22" s="230" t="s">
        <v>1354</v>
      </c>
      <c r="H22" s="230" t="s">
        <v>736</v>
      </c>
      <c r="I22" s="230" t="s">
        <v>1391</v>
      </c>
      <c r="J22" s="231">
        <v>950</v>
      </c>
      <c r="K22" s="230" t="s">
        <v>600</v>
      </c>
      <c r="L22" s="231">
        <v>11400</v>
      </c>
      <c r="M22" s="230" t="s">
        <v>509</v>
      </c>
      <c r="N22" s="230" t="s">
        <v>509</v>
      </c>
      <c r="O22" s="230" t="s">
        <v>343</v>
      </c>
    </row>
    <row r="23" spans="1:15">
      <c r="A23" s="230" t="s">
        <v>1407</v>
      </c>
      <c r="B23" s="230" t="s">
        <v>1408</v>
      </c>
      <c r="C23" s="230" t="s">
        <v>502</v>
      </c>
      <c r="D23" s="230" t="s">
        <v>1353</v>
      </c>
      <c r="E23" s="230" t="s">
        <v>1525</v>
      </c>
      <c r="F23" s="230" t="s">
        <v>34</v>
      </c>
      <c r="G23" s="230" t="s">
        <v>1354</v>
      </c>
      <c r="H23" s="230" t="s">
        <v>736</v>
      </c>
      <c r="I23" s="230" t="s">
        <v>1355</v>
      </c>
      <c r="J23" s="231">
        <v>1100</v>
      </c>
      <c r="K23" s="230" t="s">
        <v>600</v>
      </c>
      <c r="L23" s="231">
        <v>13200</v>
      </c>
      <c r="M23" s="230" t="s">
        <v>509</v>
      </c>
      <c r="N23" s="230" t="s">
        <v>509</v>
      </c>
      <c r="O23" s="230" t="s">
        <v>343</v>
      </c>
    </row>
    <row r="24" spans="1:15">
      <c r="A24" s="230" t="s">
        <v>629</v>
      </c>
      <c r="B24" s="230" t="s">
        <v>1408</v>
      </c>
      <c r="C24" s="230" t="s">
        <v>502</v>
      </c>
      <c r="D24" s="230" t="s">
        <v>1359</v>
      </c>
      <c r="E24" s="230" t="s">
        <v>495</v>
      </c>
      <c r="F24" s="230" t="s">
        <v>34</v>
      </c>
      <c r="G24" s="230" t="s">
        <v>1354</v>
      </c>
      <c r="H24" s="230" t="s">
        <v>736</v>
      </c>
      <c r="I24" s="230" t="s">
        <v>555</v>
      </c>
      <c r="J24" s="231">
        <v>950</v>
      </c>
      <c r="K24" s="230" t="s">
        <v>600</v>
      </c>
      <c r="L24" s="231">
        <v>11400</v>
      </c>
      <c r="M24" s="230" t="s">
        <v>509</v>
      </c>
      <c r="N24" s="230" t="s">
        <v>509</v>
      </c>
      <c r="O24" s="230" t="s">
        <v>343</v>
      </c>
    </row>
    <row r="25" spans="1:15">
      <c r="A25" s="230" t="s">
        <v>1363</v>
      </c>
      <c r="B25" s="230" t="s">
        <v>1409</v>
      </c>
      <c r="C25" s="230" t="s">
        <v>502</v>
      </c>
      <c r="D25" s="230" t="s">
        <v>496</v>
      </c>
      <c r="E25" s="230" t="s">
        <v>496</v>
      </c>
      <c r="F25" s="230" t="s">
        <v>35</v>
      </c>
      <c r="G25" s="230" t="s">
        <v>1354</v>
      </c>
      <c r="H25" s="230" t="s">
        <v>736</v>
      </c>
      <c r="I25" s="230" t="s">
        <v>538</v>
      </c>
      <c r="J25" s="231">
        <v>1800</v>
      </c>
      <c r="K25" s="230" t="s">
        <v>600</v>
      </c>
      <c r="L25" s="231">
        <v>21600</v>
      </c>
      <c r="M25" s="230" t="s">
        <v>509</v>
      </c>
      <c r="N25" s="230" t="s">
        <v>509</v>
      </c>
      <c r="O25" s="230" t="s">
        <v>343</v>
      </c>
    </row>
    <row r="26" spans="1:15">
      <c r="A26" s="230" t="s">
        <v>720</v>
      </c>
      <c r="B26" s="230" t="s">
        <v>1410</v>
      </c>
      <c r="C26" s="230" t="s">
        <v>502</v>
      </c>
      <c r="D26" s="230" t="s">
        <v>1411</v>
      </c>
      <c r="E26" s="230" t="s">
        <v>1527</v>
      </c>
      <c r="F26" s="230" t="s">
        <v>37</v>
      </c>
      <c r="G26" s="230" t="s">
        <v>1354</v>
      </c>
      <c r="H26" s="230" t="s">
        <v>736</v>
      </c>
      <c r="I26" s="230" t="s">
        <v>1395</v>
      </c>
      <c r="J26" s="231">
        <v>950</v>
      </c>
      <c r="K26" s="230" t="s">
        <v>600</v>
      </c>
      <c r="L26" s="231">
        <v>11400</v>
      </c>
      <c r="M26" s="230" t="s">
        <v>509</v>
      </c>
      <c r="N26" s="230" t="s">
        <v>509</v>
      </c>
      <c r="O26" s="230" t="s">
        <v>343</v>
      </c>
    </row>
    <row r="27" spans="1:15">
      <c r="A27" s="230" t="s">
        <v>538</v>
      </c>
      <c r="B27" s="230" t="s">
        <v>1412</v>
      </c>
      <c r="C27" s="230" t="s">
        <v>502</v>
      </c>
      <c r="D27" s="230" t="s">
        <v>1374</v>
      </c>
      <c r="E27" s="230" t="s">
        <v>1374</v>
      </c>
      <c r="F27" s="230" t="s">
        <v>63</v>
      </c>
      <c r="G27" s="230" t="s">
        <v>1375</v>
      </c>
      <c r="H27" s="230" t="s">
        <v>1376</v>
      </c>
      <c r="I27" s="230" t="s">
        <v>1377</v>
      </c>
      <c r="J27" s="231">
        <v>120000</v>
      </c>
      <c r="K27" s="230" t="s">
        <v>1378</v>
      </c>
      <c r="L27" s="231">
        <v>120000</v>
      </c>
      <c r="M27" s="230" t="s">
        <v>509</v>
      </c>
      <c r="N27" s="230" t="s">
        <v>509</v>
      </c>
      <c r="O27" s="230" t="s">
        <v>343</v>
      </c>
    </row>
    <row r="28" spans="1:15">
      <c r="A28" s="230" t="s">
        <v>1389</v>
      </c>
      <c r="B28" s="230" t="s">
        <v>1412</v>
      </c>
      <c r="C28" s="230" t="s">
        <v>502</v>
      </c>
      <c r="D28" s="230" t="s">
        <v>1374</v>
      </c>
      <c r="E28" s="230" t="s">
        <v>1374</v>
      </c>
      <c r="F28" s="230" t="s">
        <v>63</v>
      </c>
      <c r="G28" s="230" t="s">
        <v>1375</v>
      </c>
      <c r="H28" s="230" t="s">
        <v>1376</v>
      </c>
      <c r="I28" s="230" t="s">
        <v>1377</v>
      </c>
      <c r="J28" s="231">
        <v>120000</v>
      </c>
      <c r="K28" s="230" t="s">
        <v>1378</v>
      </c>
      <c r="L28" s="231">
        <v>120000</v>
      </c>
      <c r="M28" s="230" t="s">
        <v>509</v>
      </c>
      <c r="N28" s="230" t="s">
        <v>509</v>
      </c>
      <c r="O28" s="230" t="s">
        <v>343</v>
      </c>
    </row>
    <row r="29" spans="1:15">
      <c r="A29" s="230" t="s">
        <v>1413</v>
      </c>
      <c r="B29" s="230" t="s">
        <v>1414</v>
      </c>
      <c r="C29" s="230" t="s">
        <v>510</v>
      </c>
      <c r="D29" s="230" t="s">
        <v>496</v>
      </c>
      <c r="E29" s="230" t="s">
        <v>496</v>
      </c>
      <c r="F29" s="230" t="s">
        <v>35</v>
      </c>
      <c r="G29" s="230" t="s">
        <v>1354</v>
      </c>
      <c r="H29" s="230" t="s">
        <v>736</v>
      </c>
      <c r="I29" s="230" t="s">
        <v>343</v>
      </c>
      <c r="J29" s="230"/>
      <c r="K29" s="230" t="s">
        <v>343</v>
      </c>
      <c r="L29" s="230"/>
      <c r="M29" s="230" t="s">
        <v>509</v>
      </c>
      <c r="N29" s="230" t="s">
        <v>510</v>
      </c>
      <c r="O29" s="230" t="s">
        <v>1415</v>
      </c>
    </row>
    <row r="30" spans="1:15">
      <c r="A30" s="230" t="s">
        <v>1416</v>
      </c>
      <c r="B30" s="230" t="s">
        <v>1417</v>
      </c>
      <c r="C30" s="230" t="s">
        <v>502</v>
      </c>
      <c r="D30" s="230" t="s">
        <v>1418</v>
      </c>
      <c r="E30" s="230" t="s">
        <v>1525</v>
      </c>
      <c r="F30" s="14" t="s">
        <v>32</v>
      </c>
      <c r="G30" s="230" t="s">
        <v>1354</v>
      </c>
      <c r="H30" s="230" t="s">
        <v>736</v>
      </c>
      <c r="I30" s="230" t="s">
        <v>1355</v>
      </c>
      <c r="J30" s="231">
        <v>850</v>
      </c>
      <c r="K30" s="230" t="s">
        <v>600</v>
      </c>
      <c r="L30" s="231">
        <v>10200</v>
      </c>
      <c r="M30" s="230" t="s">
        <v>509</v>
      </c>
      <c r="N30" s="230" t="s">
        <v>509</v>
      </c>
      <c r="O30" s="230" t="s">
        <v>343</v>
      </c>
    </row>
    <row r="31" spans="1:15">
      <c r="A31" s="230" t="s">
        <v>555</v>
      </c>
      <c r="B31" s="230" t="s">
        <v>1417</v>
      </c>
      <c r="C31" s="230" t="s">
        <v>502</v>
      </c>
      <c r="D31" s="230" t="s">
        <v>496</v>
      </c>
      <c r="E31" s="230" t="s">
        <v>496</v>
      </c>
      <c r="F31" s="230" t="s">
        <v>35</v>
      </c>
      <c r="G31" s="230" t="s">
        <v>1354</v>
      </c>
      <c r="H31" s="230" t="s">
        <v>736</v>
      </c>
      <c r="I31" s="230" t="s">
        <v>515</v>
      </c>
      <c r="J31" s="231">
        <v>1800</v>
      </c>
      <c r="K31" s="230" t="s">
        <v>600</v>
      </c>
      <c r="L31" s="231">
        <v>21600</v>
      </c>
      <c r="M31" s="230" t="s">
        <v>509</v>
      </c>
      <c r="N31" s="230" t="s">
        <v>509</v>
      </c>
      <c r="O31" s="230" t="s">
        <v>343</v>
      </c>
    </row>
    <row r="32" spans="1:15">
      <c r="A32" s="230" t="s">
        <v>607</v>
      </c>
      <c r="B32" s="230" t="s">
        <v>1419</v>
      </c>
      <c r="C32" s="230" t="s">
        <v>502</v>
      </c>
      <c r="D32" s="230" t="s">
        <v>1420</v>
      </c>
      <c r="E32" s="230" t="s">
        <v>495</v>
      </c>
      <c r="F32" s="230" t="s">
        <v>34</v>
      </c>
      <c r="G32" s="230" t="s">
        <v>1354</v>
      </c>
      <c r="H32" s="230" t="s">
        <v>736</v>
      </c>
      <c r="I32" s="230" t="s">
        <v>541</v>
      </c>
      <c r="J32" s="231">
        <v>1200</v>
      </c>
      <c r="K32" s="230" t="s">
        <v>600</v>
      </c>
      <c r="L32" s="231">
        <v>14400</v>
      </c>
      <c r="M32" s="230" t="s">
        <v>509</v>
      </c>
      <c r="N32" s="230" t="s">
        <v>509</v>
      </c>
      <c r="O32" s="230" t="s">
        <v>1421</v>
      </c>
    </row>
    <row r="33" spans="1:15">
      <c r="A33" s="230" t="s">
        <v>1355</v>
      </c>
      <c r="B33" s="230" t="s">
        <v>1422</v>
      </c>
      <c r="C33" s="230" t="s">
        <v>502</v>
      </c>
      <c r="D33" s="230" t="s">
        <v>1423</v>
      </c>
      <c r="E33" s="230" t="s">
        <v>1525</v>
      </c>
      <c r="F33" s="14" t="s">
        <v>32</v>
      </c>
      <c r="G33" s="230" t="s">
        <v>1354</v>
      </c>
      <c r="H33" s="230" t="s">
        <v>736</v>
      </c>
      <c r="I33" s="230" t="s">
        <v>1372</v>
      </c>
      <c r="J33" s="231">
        <v>1800</v>
      </c>
      <c r="K33" s="230" t="s">
        <v>600</v>
      </c>
      <c r="L33" s="231">
        <v>21600</v>
      </c>
      <c r="M33" s="230" t="s">
        <v>509</v>
      </c>
      <c r="N33" s="230" t="s">
        <v>509</v>
      </c>
      <c r="O33" s="230" t="s">
        <v>343</v>
      </c>
    </row>
    <row r="34" spans="1:15">
      <c r="A34" s="230" t="s">
        <v>1424</v>
      </c>
      <c r="B34" s="230" t="s">
        <v>1425</v>
      </c>
      <c r="C34" s="230" t="s">
        <v>502</v>
      </c>
      <c r="D34" s="230" t="s">
        <v>1426</v>
      </c>
      <c r="E34" s="230" t="s">
        <v>81</v>
      </c>
      <c r="F34" s="230" t="s">
        <v>278</v>
      </c>
      <c r="G34" s="230" t="s">
        <v>1427</v>
      </c>
      <c r="H34" s="230" t="s">
        <v>736</v>
      </c>
      <c r="I34" s="230" t="s">
        <v>1377</v>
      </c>
      <c r="J34" s="231">
        <v>2350</v>
      </c>
      <c r="K34" s="230" t="s">
        <v>600</v>
      </c>
      <c r="L34" s="231">
        <v>28200</v>
      </c>
      <c r="M34" s="230" t="s">
        <v>509</v>
      </c>
      <c r="N34" s="230" t="s">
        <v>509</v>
      </c>
      <c r="O34" s="230" t="s">
        <v>343</v>
      </c>
    </row>
    <row r="35" spans="1:15">
      <c r="A35" s="230" t="s">
        <v>771</v>
      </c>
      <c r="B35" s="230" t="s">
        <v>1425</v>
      </c>
      <c r="C35" s="230" t="s">
        <v>502</v>
      </c>
      <c r="D35" s="230" t="s">
        <v>1359</v>
      </c>
      <c r="E35" s="230" t="s">
        <v>495</v>
      </c>
      <c r="F35" s="230" t="s">
        <v>34</v>
      </c>
      <c r="G35" s="230" t="s">
        <v>1354</v>
      </c>
      <c r="H35" s="230" t="s">
        <v>736</v>
      </c>
      <c r="I35" s="230" t="s">
        <v>686</v>
      </c>
      <c r="J35" s="231">
        <v>950</v>
      </c>
      <c r="K35" s="230" t="s">
        <v>600</v>
      </c>
      <c r="L35" s="231">
        <v>11400</v>
      </c>
      <c r="M35" s="230" t="s">
        <v>509</v>
      </c>
      <c r="N35" s="230" t="s">
        <v>509</v>
      </c>
      <c r="O35" s="230" t="s">
        <v>343</v>
      </c>
    </row>
    <row r="36" spans="1:15">
      <c r="A36" s="230" t="s">
        <v>528</v>
      </c>
      <c r="B36" s="230" t="s">
        <v>1425</v>
      </c>
      <c r="C36" s="230" t="s">
        <v>502</v>
      </c>
      <c r="D36" s="230" t="s">
        <v>1380</v>
      </c>
      <c r="E36" s="230" t="s">
        <v>498</v>
      </c>
      <c r="F36" s="230" t="s">
        <v>63</v>
      </c>
      <c r="G36" s="230" t="s">
        <v>1354</v>
      </c>
      <c r="H36" s="230" t="s">
        <v>736</v>
      </c>
      <c r="I36" s="230" t="s">
        <v>1381</v>
      </c>
      <c r="J36" s="231">
        <v>850</v>
      </c>
      <c r="K36" s="230" t="s">
        <v>600</v>
      </c>
      <c r="L36" s="231">
        <v>10200</v>
      </c>
      <c r="M36" s="230" t="s">
        <v>509</v>
      </c>
      <c r="N36" s="230" t="s">
        <v>509</v>
      </c>
      <c r="O36" s="230" t="s">
        <v>343</v>
      </c>
    </row>
    <row r="37" spans="1:15">
      <c r="A37" s="230" t="s">
        <v>1428</v>
      </c>
      <c r="B37" s="230" t="s">
        <v>1429</v>
      </c>
      <c r="C37" s="230" t="s">
        <v>502</v>
      </c>
      <c r="D37" s="230" t="s">
        <v>1359</v>
      </c>
      <c r="E37" s="230" t="s">
        <v>495</v>
      </c>
      <c r="F37" s="230" t="s">
        <v>34</v>
      </c>
      <c r="G37" s="230" t="s">
        <v>1354</v>
      </c>
      <c r="H37" s="230" t="s">
        <v>736</v>
      </c>
      <c r="I37" s="230" t="s">
        <v>1402</v>
      </c>
      <c r="J37" s="231">
        <v>950</v>
      </c>
      <c r="K37" s="230" t="s">
        <v>600</v>
      </c>
      <c r="L37" s="231">
        <v>11400</v>
      </c>
      <c r="M37" s="230" t="s">
        <v>509</v>
      </c>
      <c r="N37" s="230" t="s">
        <v>509</v>
      </c>
      <c r="O37" s="230" t="s">
        <v>343</v>
      </c>
    </row>
    <row r="38" spans="1:15">
      <c r="A38" s="230" t="s">
        <v>645</v>
      </c>
      <c r="B38" s="230" t="s">
        <v>1430</v>
      </c>
      <c r="C38" s="230" t="s">
        <v>502</v>
      </c>
      <c r="D38" s="230" t="s">
        <v>1359</v>
      </c>
      <c r="E38" s="230" t="s">
        <v>495</v>
      </c>
      <c r="F38" s="230" t="s">
        <v>34</v>
      </c>
      <c r="G38" s="230" t="s">
        <v>1354</v>
      </c>
      <c r="H38" s="230" t="s">
        <v>736</v>
      </c>
      <c r="I38" s="230" t="s">
        <v>541</v>
      </c>
      <c r="J38" s="231">
        <v>950</v>
      </c>
      <c r="K38" s="230" t="s">
        <v>600</v>
      </c>
      <c r="L38" s="231">
        <v>11400</v>
      </c>
      <c r="M38" s="230" t="s">
        <v>509</v>
      </c>
      <c r="N38" s="230" t="s">
        <v>509</v>
      </c>
      <c r="O38" s="230" t="s">
        <v>343</v>
      </c>
    </row>
    <row r="39" spans="1:15">
      <c r="A39" s="230" t="s">
        <v>686</v>
      </c>
      <c r="B39" s="230" t="s">
        <v>1431</v>
      </c>
      <c r="C39" s="230" t="s">
        <v>502</v>
      </c>
      <c r="D39" s="230" t="s">
        <v>496</v>
      </c>
      <c r="E39" s="230" t="s">
        <v>496</v>
      </c>
      <c r="F39" s="230" t="s">
        <v>35</v>
      </c>
      <c r="G39" s="230" t="s">
        <v>1354</v>
      </c>
      <c r="H39" s="230" t="s">
        <v>736</v>
      </c>
      <c r="I39" s="230" t="s">
        <v>1372</v>
      </c>
      <c r="J39" s="231">
        <v>1800</v>
      </c>
      <c r="K39" s="230" t="s">
        <v>600</v>
      </c>
      <c r="L39" s="231">
        <v>21600</v>
      </c>
      <c r="M39" s="230" t="s">
        <v>509</v>
      </c>
      <c r="N39" s="230" t="s">
        <v>509</v>
      </c>
      <c r="O39" s="230" t="s">
        <v>343</v>
      </c>
    </row>
    <row r="40" spans="1:15">
      <c r="A40" s="230" t="s">
        <v>561</v>
      </c>
      <c r="B40" s="230" t="s">
        <v>1431</v>
      </c>
      <c r="C40" s="230" t="s">
        <v>502</v>
      </c>
      <c r="D40" s="230" t="s">
        <v>1359</v>
      </c>
      <c r="E40" s="230" t="s">
        <v>495</v>
      </c>
      <c r="F40" s="230" t="s">
        <v>34</v>
      </c>
      <c r="G40" s="230" t="s">
        <v>1354</v>
      </c>
      <c r="H40" s="230" t="s">
        <v>736</v>
      </c>
      <c r="I40" s="230" t="s">
        <v>562</v>
      </c>
      <c r="J40" s="231">
        <v>950</v>
      </c>
      <c r="K40" s="230" t="s">
        <v>600</v>
      </c>
      <c r="L40" s="231">
        <v>11400</v>
      </c>
      <c r="M40" s="230" t="s">
        <v>509</v>
      </c>
      <c r="N40" s="230" t="s">
        <v>509</v>
      </c>
      <c r="O40" s="230" t="s">
        <v>343</v>
      </c>
    </row>
    <row r="41" spans="1:15">
      <c r="A41" s="230" t="s">
        <v>656</v>
      </c>
      <c r="B41" s="230" t="s">
        <v>1433</v>
      </c>
      <c r="C41" s="230" t="s">
        <v>502</v>
      </c>
      <c r="D41" s="230" t="s">
        <v>1411</v>
      </c>
      <c r="E41" s="230" t="s">
        <v>1527</v>
      </c>
      <c r="F41" s="230" t="s">
        <v>37</v>
      </c>
      <c r="G41" s="230" t="s">
        <v>1354</v>
      </c>
      <c r="H41" s="230" t="s">
        <v>736</v>
      </c>
      <c r="I41" s="230" t="s">
        <v>1395</v>
      </c>
      <c r="J41" s="231">
        <v>950</v>
      </c>
      <c r="K41" s="230" t="s">
        <v>600</v>
      </c>
      <c r="L41" s="231">
        <v>11400</v>
      </c>
      <c r="M41" s="230" t="s">
        <v>509</v>
      </c>
      <c r="N41" s="230" t="s">
        <v>509</v>
      </c>
      <c r="O41" s="230" t="s">
        <v>343</v>
      </c>
    </row>
    <row r="42" spans="1:15">
      <c r="A42" s="230" t="s">
        <v>1432</v>
      </c>
      <c r="B42" s="230" t="s">
        <v>1433</v>
      </c>
      <c r="C42" s="230" t="s">
        <v>502</v>
      </c>
      <c r="D42" s="230" t="s">
        <v>1359</v>
      </c>
      <c r="E42" s="230" t="s">
        <v>495</v>
      </c>
      <c r="F42" s="230" t="s">
        <v>34</v>
      </c>
      <c r="G42" s="230" t="s">
        <v>1354</v>
      </c>
      <c r="H42" s="230" t="s">
        <v>736</v>
      </c>
      <c r="I42" s="230" t="s">
        <v>1369</v>
      </c>
      <c r="J42" s="231">
        <v>950</v>
      </c>
      <c r="K42" s="230" t="s">
        <v>600</v>
      </c>
      <c r="L42" s="231">
        <v>11400</v>
      </c>
      <c r="M42" s="230" t="s">
        <v>509</v>
      </c>
      <c r="N42" s="230" t="s">
        <v>509</v>
      </c>
      <c r="O42" s="230" t="s">
        <v>343</v>
      </c>
    </row>
    <row r="43" spans="1:15">
      <c r="A43" s="230" t="s">
        <v>1398</v>
      </c>
      <c r="B43" s="230" t="s">
        <v>1434</v>
      </c>
      <c r="C43" s="230" t="s">
        <v>502</v>
      </c>
      <c r="D43" s="230" t="s">
        <v>1359</v>
      </c>
      <c r="E43" s="230" t="s">
        <v>495</v>
      </c>
      <c r="F43" s="230" t="s">
        <v>34</v>
      </c>
      <c r="G43" s="230" t="s">
        <v>1354</v>
      </c>
      <c r="H43" s="230" t="s">
        <v>736</v>
      </c>
      <c r="I43" s="230" t="s">
        <v>1435</v>
      </c>
      <c r="J43" s="231">
        <v>950</v>
      </c>
      <c r="K43" s="230" t="s">
        <v>600</v>
      </c>
      <c r="L43" s="231">
        <v>11400</v>
      </c>
      <c r="M43" s="230" t="s">
        <v>509</v>
      </c>
      <c r="N43" s="230" t="s">
        <v>509</v>
      </c>
      <c r="O43" s="230" t="s">
        <v>343</v>
      </c>
    </row>
    <row r="44" spans="1:15">
      <c r="A44" s="230" t="s">
        <v>515</v>
      </c>
      <c r="B44" s="230" t="s">
        <v>1436</v>
      </c>
      <c r="C44" s="230" t="s">
        <v>502</v>
      </c>
      <c r="D44" s="230" t="s">
        <v>1374</v>
      </c>
      <c r="E44" s="230" t="s">
        <v>1374</v>
      </c>
      <c r="F44" s="230" t="s">
        <v>63</v>
      </c>
      <c r="G44" s="230" t="s">
        <v>1375</v>
      </c>
      <c r="H44" s="230" t="s">
        <v>1376</v>
      </c>
      <c r="I44" s="230" t="s">
        <v>1377</v>
      </c>
      <c r="J44" s="231">
        <v>115000</v>
      </c>
      <c r="K44" s="230" t="s">
        <v>1378</v>
      </c>
      <c r="L44" s="231">
        <v>115000</v>
      </c>
      <c r="M44" s="230" t="s">
        <v>509</v>
      </c>
      <c r="N44" s="230" t="s">
        <v>509</v>
      </c>
      <c r="O44" s="230" t="s">
        <v>343</v>
      </c>
    </row>
    <row r="45" spans="1:15">
      <c r="A45" s="230" t="s">
        <v>1439</v>
      </c>
      <c r="B45" s="230" t="s">
        <v>1437</v>
      </c>
      <c r="C45" s="230" t="s">
        <v>502</v>
      </c>
      <c r="D45" s="230" t="s">
        <v>1440</v>
      </c>
      <c r="E45" s="230" t="s">
        <v>1527</v>
      </c>
      <c r="F45" s="230" t="s">
        <v>37</v>
      </c>
      <c r="G45" s="230" t="s">
        <v>1354</v>
      </c>
      <c r="H45" s="230" t="s">
        <v>736</v>
      </c>
      <c r="I45" s="230" t="s">
        <v>1377</v>
      </c>
      <c r="J45" s="231">
        <v>925</v>
      </c>
      <c r="K45" s="230" t="s">
        <v>600</v>
      </c>
      <c r="L45" s="231">
        <v>11100</v>
      </c>
      <c r="M45" s="230" t="s">
        <v>509</v>
      </c>
      <c r="N45" s="230" t="s">
        <v>509</v>
      </c>
      <c r="O45" s="230" t="s">
        <v>343</v>
      </c>
    </row>
    <row r="46" spans="1:15">
      <c r="A46" s="230" t="s">
        <v>570</v>
      </c>
      <c r="B46" s="230" t="s">
        <v>1437</v>
      </c>
      <c r="C46" s="230" t="s">
        <v>502</v>
      </c>
      <c r="D46" s="230" t="s">
        <v>1420</v>
      </c>
      <c r="E46" s="230" t="s">
        <v>495</v>
      </c>
      <c r="F46" s="230" t="s">
        <v>34</v>
      </c>
      <c r="G46" s="230" t="s">
        <v>1354</v>
      </c>
      <c r="H46" s="230" t="s">
        <v>736</v>
      </c>
      <c r="I46" s="230" t="s">
        <v>551</v>
      </c>
      <c r="J46" s="231">
        <v>1100</v>
      </c>
      <c r="K46" s="230" t="s">
        <v>600</v>
      </c>
      <c r="L46" s="231">
        <v>13200</v>
      </c>
      <c r="M46" s="230" t="s">
        <v>509</v>
      </c>
      <c r="N46" s="230" t="s">
        <v>509</v>
      </c>
      <c r="O46" s="230" t="s">
        <v>1438</v>
      </c>
    </row>
    <row r="47" spans="1:15">
      <c r="A47" s="230" t="s">
        <v>1441</v>
      </c>
      <c r="B47" s="230" t="s">
        <v>1442</v>
      </c>
      <c r="C47" s="230" t="s">
        <v>502</v>
      </c>
      <c r="D47" s="230" t="s">
        <v>1359</v>
      </c>
      <c r="E47" s="230" t="s">
        <v>495</v>
      </c>
      <c r="F47" s="230" t="s">
        <v>34</v>
      </c>
      <c r="G47" s="230" t="s">
        <v>1354</v>
      </c>
      <c r="H47" s="230" t="s">
        <v>736</v>
      </c>
      <c r="I47" s="230" t="s">
        <v>1402</v>
      </c>
      <c r="J47" s="231">
        <v>950</v>
      </c>
      <c r="K47" s="230" t="s">
        <v>600</v>
      </c>
      <c r="L47" s="231">
        <v>11400</v>
      </c>
      <c r="M47" s="230" t="s">
        <v>509</v>
      </c>
      <c r="N47" s="230" t="s">
        <v>509</v>
      </c>
      <c r="O47" s="230" t="s">
        <v>343</v>
      </c>
    </row>
    <row r="48" spans="1:15">
      <c r="A48" s="230" t="s">
        <v>548</v>
      </c>
      <c r="B48" s="230" t="s">
        <v>1443</v>
      </c>
      <c r="C48" s="230" t="s">
        <v>502</v>
      </c>
      <c r="D48" s="230" t="s">
        <v>1420</v>
      </c>
      <c r="E48" s="230" t="s">
        <v>495</v>
      </c>
      <c r="F48" s="230" t="s">
        <v>34</v>
      </c>
      <c r="G48" s="230" t="s">
        <v>1354</v>
      </c>
      <c r="H48" s="230" t="s">
        <v>736</v>
      </c>
      <c r="I48" s="230" t="s">
        <v>1369</v>
      </c>
      <c r="J48" s="231">
        <v>1400</v>
      </c>
      <c r="K48" s="230" t="s">
        <v>600</v>
      </c>
      <c r="L48" s="231">
        <v>16800</v>
      </c>
      <c r="M48" s="230" t="s">
        <v>509</v>
      </c>
      <c r="N48" s="230" t="s">
        <v>509</v>
      </c>
      <c r="O48" s="230" t="s">
        <v>343</v>
      </c>
    </row>
    <row r="49" spans="1:15">
      <c r="A49" s="230" t="s">
        <v>589</v>
      </c>
      <c r="B49" s="230" t="s">
        <v>1444</v>
      </c>
      <c r="C49" s="230" t="s">
        <v>502</v>
      </c>
      <c r="D49" s="230" t="s">
        <v>1359</v>
      </c>
      <c r="E49" s="230" t="s">
        <v>495</v>
      </c>
      <c r="F49" s="230" t="s">
        <v>34</v>
      </c>
      <c r="G49" s="230" t="s">
        <v>1354</v>
      </c>
      <c r="H49" s="230" t="s">
        <v>736</v>
      </c>
      <c r="I49" s="230" t="s">
        <v>586</v>
      </c>
      <c r="J49" s="231">
        <v>1025</v>
      </c>
      <c r="K49" s="230" t="s">
        <v>600</v>
      </c>
      <c r="L49" s="231">
        <v>12300</v>
      </c>
      <c r="M49" s="230" t="s">
        <v>509</v>
      </c>
      <c r="N49" s="230" t="s">
        <v>509</v>
      </c>
      <c r="O49" s="230" t="s">
        <v>343</v>
      </c>
    </row>
    <row r="50" spans="1:15">
      <c r="A50" s="230" t="s">
        <v>1445</v>
      </c>
      <c r="B50" s="230" t="s">
        <v>1446</v>
      </c>
      <c r="C50" s="230" t="s">
        <v>502</v>
      </c>
      <c r="D50" s="230" t="s">
        <v>1359</v>
      </c>
      <c r="E50" s="230" t="s">
        <v>495</v>
      </c>
      <c r="F50" s="230" t="s">
        <v>34</v>
      </c>
      <c r="G50" s="230" t="s">
        <v>1354</v>
      </c>
      <c r="H50" s="230" t="s">
        <v>736</v>
      </c>
      <c r="I50" s="230" t="s">
        <v>1435</v>
      </c>
      <c r="J50" s="231">
        <v>1025</v>
      </c>
      <c r="K50" s="230" t="s">
        <v>600</v>
      </c>
      <c r="L50" s="231">
        <v>12300</v>
      </c>
      <c r="M50" s="230" t="s">
        <v>509</v>
      </c>
      <c r="N50" s="230" t="s">
        <v>509</v>
      </c>
      <c r="O50" s="230" t="s">
        <v>343</v>
      </c>
    </row>
    <row r="51" spans="1:15">
      <c r="A51" s="230" t="s">
        <v>1447</v>
      </c>
      <c r="B51" s="230" t="s">
        <v>1448</v>
      </c>
      <c r="C51" s="230" t="s">
        <v>502</v>
      </c>
      <c r="D51" s="230" t="s">
        <v>1359</v>
      </c>
      <c r="E51" s="230" t="s">
        <v>495</v>
      </c>
      <c r="F51" s="230" t="s">
        <v>34</v>
      </c>
      <c r="G51" s="230" t="s">
        <v>1354</v>
      </c>
      <c r="H51" s="230" t="s">
        <v>736</v>
      </c>
      <c r="I51" s="230" t="s">
        <v>686</v>
      </c>
      <c r="J51" s="231">
        <v>1050</v>
      </c>
      <c r="K51" s="230" t="s">
        <v>600</v>
      </c>
      <c r="L51" s="231">
        <v>12600</v>
      </c>
      <c r="M51" s="230" t="s">
        <v>509</v>
      </c>
      <c r="N51" s="230" t="s">
        <v>509</v>
      </c>
      <c r="O51" s="230" t="s">
        <v>343</v>
      </c>
    </row>
    <row r="52" spans="1:15">
      <c r="A52" s="230" t="s">
        <v>1449</v>
      </c>
      <c r="B52" s="230" t="s">
        <v>1450</v>
      </c>
      <c r="C52" s="230" t="s">
        <v>502</v>
      </c>
      <c r="D52" s="230" t="s">
        <v>1359</v>
      </c>
      <c r="E52" s="230" t="s">
        <v>495</v>
      </c>
      <c r="F52" s="230" t="s">
        <v>34</v>
      </c>
      <c r="G52" s="230" t="s">
        <v>1354</v>
      </c>
      <c r="H52" s="230" t="s">
        <v>736</v>
      </c>
      <c r="I52" s="230" t="s">
        <v>586</v>
      </c>
      <c r="J52" s="231">
        <v>1000</v>
      </c>
      <c r="K52" s="230" t="s">
        <v>600</v>
      </c>
      <c r="L52" s="231">
        <v>12000</v>
      </c>
      <c r="M52" s="230" t="s">
        <v>509</v>
      </c>
      <c r="N52" s="230" t="s">
        <v>509</v>
      </c>
      <c r="O52" s="230" t="s">
        <v>343</v>
      </c>
    </row>
    <row r="53" spans="1:15">
      <c r="A53" s="230" t="s">
        <v>1451</v>
      </c>
      <c r="B53" s="230" t="s">
        <v>1452</v>
      </c>
      <c r="C53" s="230" t="s">
        <v>502</v>
      </c>
      <c r="D53" s="230" t="s">
        <v>1359</v>
      </c>
      <c r="E53" s="230" t="s">
        <v>495</v>
      </c>
      <c r="F53" s="230" t="s">
        <v>34</v>
      </c>
      <c r="G53" s="230" t="s">
        <v>1354</v>
      </c>
      <c r="H53" s="230" t="s">
        <v>736</v>
      </c>
      <c r="I53" s="230" t="s">
        <v>562</v>
      </c>
      <c r="J53" s="231">
        <v>1025</v>
      </c>
      <c r="K53" s="230" t="s">
        <v>600</v>
      </c>
      <c r="L53" s="231">
        <v>12300</v>
      </c>
      <c r="M53" s="230" t="s">
        <v>509</v>
      </c>
      <c r="N53" s="230" t="s">
        <v>509</v>
      </c>
      <c r="O53" s="230" t="s">
        <v>343</v>
      </c>
    </row>
    <row r="54" spans="1:15">
      <c r="A54" s="230" t="s">
        <v>1453</v>
      </c>
      <c r="B54" s="230" t="s">
        <v>1454</v>
      </c>
      <c r="C54" s="230" t="s">
        <v>502</v>
      </c>
      <c r="D54" s="230" t="s">
        <v>1359</v>
      </c>
      <c r="E54" s="230" t="s">
        <v>495</v>
      </c>
      <c r="F54" s="230" t="s">
        <v>34</v>
      </c>
      <c r="G54" s="230" t="s">
        <v>1354</v>
      </c>
      <c r="H54" s="230" t="s">
        <v>736</v>
      </c>
      <c r="I54" s="230" t="s">
        <v>551</v>
      </c>
      <c r="J54" s="231">
        <v>950</v>
      </c>
      <c r="K54" s="230" t="s">
        <v>600</v>
      </c>
      <c r="L54" s="231">
        <v>11400</v>
      </c>
      <c r="M54" s="230" t="s">
        <v>509</v>
      </c>
      <c r="N54" s="230" t="s">
        <v>509</v>
      </c>
      <c r="O54" s="230" t="s">
        <v>343</v>
      </c>
    </row>
    <row r="55" spans="1:15">
      <c r="A55" s="230" t="s">
        <v>1455</v>
      </c>
      <c r="B55" s="230" t="s">
        <v>1456</v>
      </c>
      <c r="C55" s="230" t="s">
        <v>502</v>
      </c>
      <c r="D55" s="230" t="s">
        <v>1457</v>
      </c>
      <c r="E55" s="230" t="s">
        <v>81</v>
      </c>
      <c r="F55" s="230" t="s">
        <v>278</v>
      </c>
      <c r="G55" s="230" t="s">
        <v>1385</v>
      </c>
      <c r="H55" s="230" t="s">
        <v>736</v>
      </c>
      <c r="I55" s="230" t="s">
        <v>1377</v>
      </c>
      <c r="J55" s="231">
        <v>1500</v>
      </c>
      <c r="K55" s="230" t="s">
        <v>600</v>
      </c>
      <c r="L55" s="231">
        <v>18000</v>
      </c>
      <c r="M55" s="230" t="s">
        <v>509</v>
      </c>
      <c r="N55" s="230" t="s">
        <v>509</v>
      </c>
      <c r="O55" s="230" t="s">
        <v>343</v>
      </c>
    </row>
    <row r="56" spans="1:15">
      <c r="A56" s="230" t="s">
        <v>1458</v>
      </c>
      <c r="B56" s="230" t="s">
        <v>1459</v>
      </c>
      <c r="C56" s="230" t="s">
        <v>502</v>
      </c>
      <c r="D56" s="230" t="s">
        <v>1460</v>
      </c>
      <c r="E56" s="230" t="s">
        <v>498</v>
      </c>
      <c r="F56" s="230" t="s">
        <v>63</v>
      </c>
      <c r="G56" s="230" t="s">
        <v>1354</v>
      </c>
      <c r="H56" s="230" t="s">
        <v>736</v>
      </c>
      <c r="I56" s="230" t="s">
        <v>1381</v>
      </c>
      <c r="J56" s="231">
        <v>1950</v>
      </c>
      <c r="K56" s="230" t="s">
        <v>600</v>
      </c>
      <c r="L56" s="231">
        <v>23400</v>
      </c>
      <c r="M56" s="230" t="s">
        <v>509</v>
      </c>
      <c r="N56" s="230" t="s">
        <v>509</v>
      </c>
      <c r="O56" s="230" t="s">
        <v>343</v>
      </c>
    </row>
    <row r="57" spans="1:15">
      <c r="A57" s="230" t="s">
        <v>565</v>
      </c>
      <c r="B57" s="230" t="s">
        <v>1461</v>
      </c>
      <c r="C57" s="230" t="s">
        <v>502</v>
      </c>
      <c r="D57" s="230" t="s">
        <v>1359</v>
      </c>
      <c r="E57" s="230" t="s">
        <v>495</v>
      </c>
      <c r="F57" s="230" t="s">
        <v>34</v>
      </c>
      <c r="G57" s="230" t="s">
        <v>1354</v>
      </c>
      <c r="H57" s="230" t="s">
        <v>736</v>
      </c>
      <c r="I57" s="230" t="s">
        <v>562</v>
      </c>
      <c r="J57" s="231">
        <v>975</v>
      </c>
      <c r="K57" s="230" t="s">
        <v>600</v>
      </c>
      <c r="L57" s="231">
        <v>11700</v>
      </c>
      <c r="M57" s="230" t="s">
        <v>509</v>
      </c>
      <c r="N57" s="230" t="s">
        <v>509</v>
      </c>
      <c r="O57" s="230" t="s">
        <v>343</v>
      </c>
    </row>
    <row r="58" spans="1:15">
      <c r="A58" s="230" t="s">
        <v>550</v>
      </c>
      <c r="B58" s="230" t="s">
        <v>1462</v>
      </c>
      <c r="C58" s="230" t="s">
        <v>502</v>
      </c>
      <c r="D58" s="230" t="s">
        <v>1359</v>
      </c>
      <c r="E58" s="230" t="s">
        <v>495</v>
      </c>
      <c r="F58" s="230" t="s">
        <v>34</v>
      </c>
      <c r="G58" s="230" t="s">
        <v>1354</v>
      </c>
      <c r="H58" s="230" t="s">
        <v>736</v>
      </c>
      <c r="I58" s="230" t="s">
        <v>551</v>
      </c>
      <c r="J58" s="231">
        <v>1500</v>
      </c>
      <c r="K58" s="230" t="s">
        <v>600</v>
      </c>
      <c r="L58" s="231">
        <v>18000</v>
      </c>
      <c r="M58" s="230" t="s">
        <v>509</v>
      </c>
      <c r="N58" s="230" t="s">
        <v>509</v>
      </c>
      <c r="O58" s="230" t="s">
        <v>343</v>
      </c>
    </row>
    <row r="59" spans="1:15">
      <c r="A59" s="230" t="s">
        <v>1463</v>
      </c>
      <c r="B59" s="230" t="s">
        <v>1464</v>
      </c>
      <c r="C59" s="230" t="s">
        <v>502</v>
      </c>
      <c r="D59" s="230" t="s">
        <v>1465</v>
      </c>
      <c r="E59" s="230" t="s">
        <v>498</v>
      </c>
      <c r="F59" s="230" t="s">
        <v>63</v>
      </c>
      <c r="G59" s="230" t="s">
        <v>1354</v>
      </c>
      <c r="H59" s="230" t="s">
        <v>736</v>
      </c>
      <c r="I59" s="230" t="s">
        <v>1466</v>
      </c>
      <c r="J59" s="231">
        <v>950</v>
      </c>
      <c r="K59" s="230" t="s">
        <v>600</v>
      </c>
      <c r="L59" s="231">
        <v>11400</v>
      </c>
      <c r="M59" s="230" t="s">
        <v>510</v>
      </c>
      <c r="N59" s="230" t="s">
        <v>509</v>
      </c>
      <c r="O59" s="230" t="s">
        <v>1467</v>
      </c>
    </row>
    <row r="60" spans="1:15">
      <c r="A60" s="230" t="s">
        <v>1391</v>
      </c>
      <c r="B60" s="230" t="s">
        <v>1468</v>
      </c>
      <c r="C60" s="230" t="s">
        <v>502</v>
      </c>
      <c r="D60" s="230" t="s">
        <v>496</v>
      </c>
      <c r="E60" s="230" t="s">
        <v>496</v>
      </c>
      <c r="F60" s="230" t="s">
        <v>35</v>
      </c>
      <c r="G60" s="230" t="s">
        <v>1354</v>
      </c>
      <c r="H60" s="230" t="s">
        <v>736</v>
      </c>
      <c r="I60" s="230" t="s">
        <v>538</v>
      </c>
      <c r="J60" s="231">
        <v>1800</v>
      </c>
      <c r="K60" s="230" t="s">
        <v>600</v>
      </c>
      <c r="L60" s="231">
        <v>21600</v>
      </c>
      <c r="M60" s="230" t="s">
        <v>509</v>
      </c>
      <c r="N60" s="230" t="s">
        <v>509</v>
      </c>
      <c r="O60" s="230" t="s">
        <v>343</v>
      </c>
    </row>
    <row r="61" spans="1:15">
      <c r="A61" s="230" t="s">
        <v>1435</v>
      </c>
      <c r="B61" s="230" t="s">
        <v>1469</v>
      </c>
      <c r="C61" s="230" t="s">
        <v>502</v>
      </c>
      <c r="D61" s="230" t="s">
        <v>496</v>
      </c>
      <c r="E61" s="230" t="s">
        <v>496</v>
      </c>
      <c r="F61" s="230" t="s">
        <v>35</v>
      </c>
      <c r="G61" s="230" t="s">
        <v>1354</v>
      </c>
      <c r="H61" s="230" t="s">
        <v>736</v>
      </c>
      <c r="I61" s="230" t="s">
        <v>1389</v>
      </c>
      <c r="J61" s="231">
        <v>2000</v>
      </c>
      <c r="K61" s="230" t="s">
        <v>600</v>
      </c>
      <c r="L61" s="231">
        <v>24000</v>
      </c>
      <c r="M61" s="230" t="s">
        <v>509</v>
      </c>
      <c r="N61" s="230" t="s">
        <v>509</v>
      </c>
      <c r="O61" s="230" t="s">
        <v>343</v>
      </c>
    </row>
    <row r="62" spans="1:15">
      <c r="A62" s="230" t="s">
        <v>551</v>
      </c>
      <c r="B62" s="230" t="s">
        <v>1470</v>
      </c>
      <c r="C62" s="230" t="s">
        <v>502</v>
      </c>
      <c r="D62" s="230" t="s">
        <v>496</v>
      </c>
      <c r="E62" s="230" t="s">
        <v>496</v>
      </c>
      <c r="F62" s="230" t="s">
        <v>35</v>
      </c>
      <c r="G62" s="230" t="s">
        <v>1354</v>
      </c>
      <c r="H62" s="230" t="s">
        <v>736</v>
      </c>
      <c r="I62" s="230" t="s">
        <v>538</v>
      </c>
      <c r="J62" s="231">
        <v>2000</v>
      </c>
      <c r="K62" s="230" t="s">
        <v>600</v>
      </c>
      <c r="L62" s="231">
        <v>24000</v>
      </c>
      <c r="M62" s="230" t="s">
        <v>509</v>
      </c>
      <c r="N62" s="230" t="s">
        <v>509</v>
      </c>
      <c r="O62" s="230" t="s">
        <v>343</v>
      </c>
    </row>
    <row r="63" spans="1:15">
      <c r="A63" s="230" t="s">
        <v>1471</v>
      </c>
      <c r="B63" s="230" t="s">
        <v>1472</v>
      </c>
      <c r="C63" s="230" t="s">
        <v>502</v>
      </c>
      <c r="D63" s="230" t="s">
        <v>1380</v>
      </c>
      <c r="E63" s="230" t="s">
        <v>498</v>
      </c>
      <c r="F63" s="230" t="s">
        <v>63</v>
      </c>
      <c r="G63" s="230" t="s">
        <v>1354</v>
      </c>
      <c r="H63" s="230" t="s">
        <v>736</v>
      </c>
      <c r="I63" s="230" t="s">
        <v>1381</v>
      </c>
      <c r="J63" s="231">
        <v>900</v>
      </c>
      <c r="K63" s="230" t="s">
        <v>600</v>
      </c>
      <c r="L63" s="231">
        <v>10800</v>
      </c>
      <c r="M63" s="230" t="s">
        <v>509</v>
      </c>
      <c r="N63" s="230" t="s">
        <v>509</v>
      </c>
      <c r="O63" s="230" t="s">
        <v>343</v>
      </c>
    </row>
    <row r="64" spans="1:15">
      <c r="A64" s="230" t="s">
        <v>562</v>
      </c>
      <c r="B64" s="230" t="s">
        <v>1473</v>
      </c>
      <c r="C64" s="230" t="s">
        <v>502</v>
      </c>
      <c r="D64" s="230" t="s">
        <v>496</v>
      </c>
      <c r="E64" s="230" t="s">
        <v>496</v>
      </c>
      <c r="F64" s="230" t="s">
        <v>35</v>
      </c>
      <c r="G64" s="230" t="s">
        <v>1354</v>
      </c>
      <c r="H64" s="230" t="s">
        <v>736</v>
      </c>
      <c r="I64" s="230" t="s">
        <v>515</v>
      </c>
      <c r="J64" s="231">
        <v>2000</v>
      </c>
      <c r="K64" s="230" t="s">
        <v>600</v>
      </c>
      <c r="L64" s="231">
        <v>24000</v>
      </c>
      <c r="M64" s="230" t="s">
        <v>509</v>
      </c>
      <c r="N64" s="230" t="s">
        <v>509</v>
      </c>
      <c r="O64" s="230" t="s">
        <v>343</v>
      </c>
    </row>
    <row r="65" spans="1:15">
      <c r="A65" s="230" t="s">
        <v>585</v>
      </c>
      <c r="B65" s="230" t="s">
        <v>1474</v>
      </c>
      <c r="C65" s="230" t="s">
        <v>502</v>
      </c>
      <c r="D65" s="230" t="s">
        <v>1420</v>
      </c>
      <c r="E65" s="230" t="s">
        <v>495</v>
      </c>
      <c r="F65" s="230" t="s">
        <v>34</v>
      </c>
      <c r="G65" s="230" t="s">
        <v>1354</v>
      </c>
      <c r="H65" s="230" t="s">
        <v>736</v>
      </c>
      <c r="I65" s="230" t="s">
        <v>586</v>
      </c>
      <c r="J65" s="231">
        <v>1200</v>
      </c>
      <c r="K65" s="230" t="s">
        <v>600</v>
      </c>
      <c r="L65" s="231">
        <v>14400</v>
      </c>
      <c r="M65" s="230" t="s">
        <v>509</v>
      </c>
      <c r="N65" s="230" t="s">
        <v>509</v>
      </c>
      <c r="O65" s="230" t="s">
        <v>343</v>
      </c>
    </row>
    <row r="66" spans="1:15">
      <c r="A66" s="230" t="s">
        <v>1475</v>
      </c>
      <c r="B66" s="230" t="s">
        <v>1476</v>
      </c>
      <c r="C66" s="230" t="s">
        <v>502</v>
      </c>
      <c r="D66" s="230" t="s">
        <v>1477</v>
      </c>
      <c r="E66" s="230" t="s">
        <v>498</v>
      </c>
      <c r="F66" s="230" t="s">
        <v>63</v>
      </c>
      <c r="G66" s="230" t="s">
        <v>1354</v>
      </c>
      <c r="H66" s="230" t="s">
        <v>736</v>
      </c>
      <c r="I66" s="230" t="s">
        <v>1466</v>
      </c>
      <c r="J66" s="231">
        <v>1800</v>
      </c>
      <c r="K66" s="230" t="s">
        <v>600</v>
      </c>
      <c r="L66" s="231">
        <v>21600</v>
      </c>
      <c r="M66" s="230" t="s">
        <v>509</v>
      </c>
      <c r="N66" s="230" t="s">
        <v>509</v>
      </c>
      <c r="O66" s="230" t="s">
        <v>343</v>
      </c>
    </row>
    <row r="67" spans="1:15">
      <c r="A67" s="230" t="s">
        <v>1478</v>
      </c>
      <c r="B67" s="230" t="s">
        <v>1479</v>
      </c>
      <c r="C67" s="230" t="s">
        <v>502</v>
      </c>
      <c r="D67" s="230" t="s">
        <v>1359</v>
      </c>
      <c r="E67" s="230" t="s">
        <v>495</v>
      </c>
      <c r="F67" s="230" t="s">
        <v>34</v>
      </c>
      <c r="G67" s="230" t="s">
        <v>1354</v>
      </c>
      <c r="H67" s="230" t="s">
        <v>736</v>
      </c>
      <c r="I67" s="230" t="s">
        <v>1435</v>
      </c>
      <c r="J67" s="231">
        <v>1000</v>
      </c>
      <c r="K67" s="230" t="s">
        <v>600</v>
      </c>
      <c r="L67" s="231">
        <v>12000</v>
      </c>
      <c r="M67" s="230" t="s">
        <v>509</v>
      </c>
      <c r="N67" s="230" t="s">
        <v>509</v>
      </c>
      <c r="O67" s="230" t="s">
        <v>343</v>
      </c>
    </row>
    <row r="68" spans="1:15">
      <c r="A68" s="230" t="s">
        <v>1480</v>
      </c>
      <c r="B68" s="230" t="s">
        <v>1481</v>
      </c>
      <c r="C68" s="230" t="s">
        <v>502</v>
      </c>
      <c r="D68" s="230" t="s">
        <v>1380</v>
      </c>
      <c r="E68" s="230" t="s">
        <v>498</v>
      </c>
      <c r="F68" s="230" t="s">
        <v>63</v>
      </c>
      <c r="G68" s="230" t="s">
        <v>1354</v>
      </c>
      <c r="H68" s="230" t="s">
        <v>736</v>
      </c>
      <c r="I68" s="230" t="s">
        <v>1381</v>
      </c>
      <c r="J68" s="231">
        <v>900</v>
      </c>
      <c r="K68" s="230" t="s">
        <v>600</v>
      </c>
      <c r="L68" s="231">
        <v>10800</v>
      </c>
      <c r="M68" s="230" t="s">
        <v>509</v>
      </c>
      <c r="N68" s="230" t="s">
        <v>509</v>
      </c>
      <c r="O68" s="230" t="s">
        <v>343</v>
      </c>
    </row>
    <row r="69" spans="1:15">
      <c r="A69" s="230" t="s">
        <v>1395</v>
      </c>
      <c r="B69" s="230" t="s">
        <v>1482</v>
      </c>
      <c r="C69" s="230" t="s">
        <v>502</v>
      </c>
      <c r="D69" s="230" t="s">
        <v>1483</v>
      </c>
      <c r="E69" s="230" t="s">
        <v>1526</v>
      </c>
      <c r="F69" s="230" t="s">
        <v>37</v>
      </c>
      <c r="G69" s="230" t="s">
        <v>1354</v>
      </c>
      <c r="H69" s="230" t="s">
        <v>736</v>
      </c>
      <c r="I69" s="230" t="s">
        <v>1377</v>
      </c>
      <c r="J69" s="231">
        <v>2000</v>
      </c>
      <c r="K69" s="230" t="s">
        <v>600</v>
      </c>
      <c r="L69" s="231">
        <v>24000</v>
      </c>
      <c r="M69" s="230" t="s">
        <v>509</v>
      </c>
      <c r="N69" s="230" t="s">
        <v>509</v>
      </c>
      <c r="O69" s="230" t="s">
        <v>343</v>
      </c>
    </row>
    <row r="70" spans="1:15">
      <c r="A70" s="230" t="s">
        <v>613</v>
      </c>
      <c r="B70" s="230" t="s">
        <v>1484</v>
      </c>
      <c r="C70" s="230" t="s">
        <v>502</v>
      </c>
      <c r="D70" s="230" t="s">
        <v>1359</v>
      </c>
      <c r="E70" s="230" t="s">
        <v>495</v>
      </c>
      <c r="F70" s="230" t="s">
        <v>34</v>
      </c>
      <c r="G70" s="230" t="s">
        <v>1354</v>
      </c>
      <c r="H70" s="230" t="s">
        <v>736</v>
      </c>
      <c r="I70" s="230" t="s">
        <v>1391</v>
      </c>
      <c r="J70" s="231">
        <v>975</v>
      </c>
      <c r="K70" s="230" t="s">
        <v>600</v>
      </c>
      <c r="L70" s="231">
        <v>11700</v>
      </c>
      <c r="M70" s="230" t="s">
        <v>509</v>
      </c>
      <c r="N70" s="230" t="s">
        <v>509</v>
      </c>
      <c r="O70" s="230" t="s">
        <v>343</v>
      </c>
    </row>
    <row r="71" spans="1:15">
      <c r="A71" s="230" t="s">
        <v>1485</v>
      </c>
      <c r="B71" s="230" t="s">
        <v>1486</v>
      </c>
      <c r="C71" s="230" t="s">
        <v>502</v>
      </c>
      <c r="D71" s="230" t="s">
        <v>1420</v>
      </c>
      <c r="E71" s="230" t="s">
        <v>495</v>
      </c>
      <c r="F71" s="230" t="s">
        <v>34</v>
      </c>
      <c r="G71" s="230" t="s">
        <v>1354</v>
      </c>
      <c r="H71" s="230" t="s">
        <v>736</v>
      </c>
      <c r="I71" s="230" t="s">
        <v>541</v>
      </c>
      <c r="J71" s="231">
        <v>1100</v>
      </c>
      <c r="K71" s="230" t="s">
        <v>600</v>
      </c>
      <c r="L71" s="231">
        <v>13200</v>
      </c>
      <c r="M71" s="230" t="s">
        <v>509</v>
      </c>
      <c r="N71" s="230" t="s">
        <v>509</v>
      </c>
      <c r="O71" s="230" t="s">
        <v>343</v>
      </c>
    </row>
    <row r="72" spans="1:15">
      <c r="A72" s="230" t="s">
        <v>541</v>
      </c>
      <c r="B72" s="230" t="s">
        <v>1488</v>
      </c>
      <c r="C72" s="230" t="s">
        <v>502</v>
      </c>
      <c r="D72" s="230" t="s">
        <v>496</v>
      </c>
      <c r="E72" s="230" t="s">
        <v>496</v>
      </c>
      <c r="F72" s="230" t="s">
        <v>35</v>
      </c>
      <c r="G72" s="230" t="s">
        <v>1354</v>
      </c>
      <c r="H72" s="230" t="s">
        <v>736</v>
      </c>
      <c r="I72" s="230" t="s">
        <v>1389</v>
      </c>
      <c r="J72" s="231">
        <v>2150</v>
      </c>
      <c r="K72" s="230" t="s">
        <v>600</v>
      </c>
      <c r="L72" s="231">
        <v>25800</v>
      </c>
      <c r="M72" s="230" t="s">
        <v>509</v>
      </c>
      <c r="N72" s="230" t="s">
        <v>509</v>
      </c>
      <c r="O72" s="230" t="s">
        <v>343</v>
      </c>
    </row>
    <row r="73" spans="1:15">
      <c r="A73" s="230" t="s">
        <v>1487</v>
      </c>
      <c r="B73" s="230" t="s">
        <v>1488</v>
      </c>
      <c r="C73" s="230" t="s">
        <v>502</v>
      </c>
      <c r="D73" s="230" t="s">
        <v>1359</v>
      </c>
      <c r="E73" s="230" t="s">
        <v>495</v>
      </c>
      <c r="F73" s="230" t="s">
        <v>34</v>
      </c>
      <c r="G73" s="230" t="s">
        <v>1354</v>
      </c>
      <c r="H73" s="230" t="s">
        <v>736</v>
      </c>
      <c r="I73" s="230" t="s">
        <v>555</v>
      </c>
      <c r="J73" s="231">
        <v>1025</v>
      </c>
      <c r="K73" s="230" t="s">
        <v>600</v>
      </c>
      <c r="L73" s="231">
        <v>12300</v>
      </c>
      <c r="M73" s="230" t="s">
        <v>509</v>
      </c>
      <c r="N73" s="230" t="s">
        <v>509</v>
      </c>
      <c r="O73" s="230" t="s">
        <v>343</v>
      </c>
    </row>
    <row r="74" spans="1:15">
      <c r="A74" s="230" t="s">
        <v>1386</v>
      </c>
      <c r="B74" s="230" t="s">
        <v>1489</v>
      </c>
      <c r="C74" s="230" t="s">
        <v>502</v>
      </c>
      <c r="D74" s="230" t="s">
        <v>1384</v>
      </c>
      <c r="E74" s="230" t="s">
        <v>1526</v>
      </c>
      <c r="F74" s="230" t="s">
        <v>37</v>
      </c>
      <c r="G74" s="230" t="s">
        <v>1385</v>
      </c>
      <c r="H74" s="230" t="s">
        <v>736</v>
      </c>
      <c r="I74" s="230" t="s">
        <v>1377</v>
      </c>
      <c r="J74" s="231">
        <v>1800</v>
      </c>
      <c r="K74" s="230" t="s">
        <v>600</v>
      </c>
      <c r="L74" s="231">
        <v>21600</v>
      </c>
      <c r="M74" s="230" t="s">
        <v>509</v>
      </c>
      <c r="N74" s="230" t="s">
        <v>509</v>
      </c>
      <c r="O74" s="230" t="s">
        <v>343</v>
      </c>
    </row>
    <row r="75" spans="1:15">
      <c r="A75" s="230" t="s">
        <v>774</v>
      </c>
      <c r="B75" s="230" t="s">
        <v>1489</v>
      </c>
      <c r="C75" s="230" t="s">
        <v>502</v>
      </c>
      <c r="D75" s="230" t="s">
        <v>1490</v>
      </c>
      <c r="E75" s="230" t="s">
        <v>496</v>
      </c>
      <c r="F75" s="230" t="s">
        <v>38</v>
      </c>
      <c r="G75" s="230" t="s">
        <v>1354</v>
      </c>
      <c r="H75" s="230" t="s">
        <v>736</v>
      </c>
      <c r="I75" s="230" t="s">
        <v>538</v>
      </c>
      <c r="J75" s="231">
        <v>2300</v>
      </c>
      <c r="K75" s="230" t="s">
        <v>600</v>
      </c>
      <c r="L75" s="231">
        <v>27600</v>
      </c>
      <c r="M75" s="230" t="s">
        <v>509</v>
      </c>
      <c r="N75" s="230" t="s">
        <v>509</v>
      </c>
      <c r="O75" s="230" t="s">
        <v>343</v>
      </c>
    </row>
    <row r="76" spans="1:15">
      <c r="A76" s="230" t="s">
        <v>1402</v>
      </c>
      <c r="B76" s="230" t="s">
        <v>1491</v>
      </c>
      <c r="C76" s="230" t="s">
        <v>502</v>
      </c>
      <c r="D76" s="230" t="s">
        <v>496</v>
      </c>
      <c r="E76" s="230" t="s">
        <v>496</v>
      </c>
      <c r="F76" s="230" t="s">
        <v>35</v>
      </c>
      <c r="G76" s="230" t="s">
        <v>1354</v>
      </c>
      <c r="H76" s="230" t="s">
        <v>736</v>
      </c>
      <c r="I76" s="230" t="s">
        <v>515</v>
      </c>
      <c r="J76" s="231">
        <v>1800</v>
      </c>
      <c r="K76" s="230" t="s">
        <v>600</v>
      </c>
      <c r="L76" s="231">
        <v>21600</v>
      </c>
      <c r="M76" s="230" t="s">
        <v>509</v>
      </c>
      <c r="N76" s="230" t="s">
        <v>509</v>
      </c>
      <c r="O76" s="230" t="s">
        <v>343</v>
      </c>
    </row>
    <row r="77" spans="1:15">
      <c r="A77" s="230" t="s">
        <v>882</v>
      </c>
      <c r="B77" s="230" t="s">
        <v>1492</v>
      </c>
      <c r="C77" s="230" t="s">
        <v>502</v>
      </c>
      <c r="D77" s="230" t="s">
        <v>1490</v>
      </c>
      <c r="E77" s="230" t="s">
        <v>496</v>
      </c>
      <c r="F77" s="230" t="s">
        <v>38</v>
      </c>
      <c r="G77" s="230" t="s">
        <v>1354</v>
      </c>
      <c r="H77" s="230" t="s">
        <v>736</v>
      </c>
      <c r="I77" s="230" t="s">
        <v>515</v>
      </c>
      <c r="J77" s="231">
        <v>2300</v>
      </c>
      <c r="K77" s="230" t="s">
        <v>600</v>
      </c>
      <c r="L77" s="231">
        <v>27600</v>
      </c>
      <c r="M77" s="230" t="s">
        <v>509</v>
      </c>
      <c r="N77" s="230" t="s">
        <v>509</v>
      </c>
      <c r="O77" s="230" t="s">
        <v>343</v>
      </c>
    </row>
    <row r="78" spans="1:15">
      <c r="A78" s="230" t="s">
        <v>1493</v>
      </c>
      <c r="B78" s="230" t="s">
        <v>1494</v>
      </c>
      <c r="C78" s="230" t="s">
        <v>502</v>
      </c>
      <c r="D78" s="230" t="s">
        <v>1495</v>
      </c>
      <c r="E78" s="230" t="s">
        <v>498</v>
      </c>
      <c r="F78" s="230" t="s">
        <v>63</v>
      </c>
      <c r="G78" s="230" t="s">
        <v>1354</v>
      </c>
      <c r="H78" s="230" t="s">
        <v>736</v>
      </c>
      <c r="I78" s="230" t="s">
        <v>1381</v>
      </c>
      <c r="J78" s="231">
        <v>1000</v>
      </c>
      <c r="K78" s="230" t="s">
        <v>600</v>
      </c>
      <c r="L78" s="231">
        <v>12000</v>
      </c>
      <c r="M78" s="230" t="s">
        <v>509</v>
      </c>
      <c r="N78" s="230" t="s">
        <v>509</v>
      </c>
      <c r="O78" s="230" t="s">
        <v>343</v>
      </c>
    </row>
    <row r="79" spans="1:15">
      <c r="A79" s="230" t="s">
        <v>721</v>
      </c>
      <c r="B79" s="230" t="s">
        <v>1497</v>
      </c>
      <c r="C79" s="230" t="s">
        <v>502</v>
      </c>
      <c r="D79" s="230" t="s">
        <v>1440</v>
      </c>
      <c r="E79" s="230" t="s">
        <v>1527</v>
      </c>
      <c r="F79" s="230" t="s">
        <v>37</v>
      </c>
      <c r="G79" s="230" t="s">
        <v>1354</v>
      </c>
      <c r="H79" s="230" t="s">
        <v>736</v>
      </c>
      <c r="I79" s="230" t="s">
        <v>1377</v>
      </c>
      <c r="J79" s="231">
        <v>950</v>
      </c>
      <c r="K79" s="230" t="s">
        <v>600</v>
      </c>
      <c r="L79" s="231">
        <v>11400</v>
      </c>
      <c r="M79" s="230" t="s">
        <v>509</v>
      </c>
      <c r="N79" s="230" t="s">
        <v>509</v>
      </c>
      <c r="O79" s="230" t="s">
        <v>343</v>
      </c>
    </row>
    <row r="80" spans="1:15">
      <c r="A80" s="230" t="s">
        <v>1496</v>
      </c>
      <c r="B80" s="230" t="s">
        <v>1497</v>
      </c>
      <c r="C80" s="230" t="s">
        <v>502</v>
      </c>
      <c r="D80" s="230" t="s">
        <v>1490</v>
      </c>
      <c r="E80" s="230" t="s">
        <v>496</v>
      </c>
      <c r="F80" s="230" t="s">
        <v>38</v>
      </c>
      <c r="G80" s="230" t="s">
        <v>1354</v>
      </c>
      <c r="H80" s="230" t="s">
        <v>736</v>
      </c>
      <c r="I80" s="230" t="s">
        <v>1389</v>
      </c>
      <c r="J80" s="231">
        <v>2500</v>
      </c>
      <c r="K80" s="230" t="s">
        <v>600</v>
      </c>
      <c r="L80" s="231">
        <v>30000</v>
      </c>
      <c r="M80" s="230" t="s">
        <v>509</v>
      </c>
      <c r="N80" s="230" t="s">
        <v>509</v>
      </c>
      <c r="O80" s="230" t="s">
        <v>343</v>
      </c>
    </row>
    <row r="81" spans="1:15">
      <c r="A81" s="230" t="s">
        <v>1498</v>
      </c>
      <c r="B81" s="230" t="s">
        <v>1499</v>
      </c>
      <c r="C81" s="230" t="s">
        <v>502</v>
      </c>
      <c r="D81" s="230" t="s">
        <v>1359</v>
      </c>
      <c r="E81" s="230" t="s">
        <v>495</v>
      </c>
      <c r="F81" s="230" t="s">
        <v>34</v>
      </c>
      <c r="G81" s="230" t="s">
        <v>1354</v>
      </c>
      <c r="H81" s="230" t="s">
        <v>736</v>
      </c>
      <c r="I81" s="230" t="s">
        <v>1377</v>
      </c>
      <c r="J81" s="231">
        <v>1125</v>
      </c>
      <c r="K81" s="230" t="s">
        <v>600</v>
      </c>
      <c r="L81" s="231">
        <v>13500</v>
      </c>
      <c r="M81" s="230" t="s">
        <v>509</v>
      </c>
      <c r="N81" s="230" t="s">
        <v>509</v>
      </c>
      <c r="O81" s="230" t="s">
        <v>343</v>
      </c>
    </row>
    <row r="82" spans="1:15">
      <c r="A82" s="230" t="s">
        <v>558</v>
      </c>
      <c r="B82" s="230" t="s">
        <v>1500</v>
      </c>
      <c r="C82" s="230" t="s">
        <v>502</v>
      </c>
      <c r="D82" s="230" t="s">
        <v>1359</v>
      </c>
      <c r="E82" s="230" t="s">
        <v>495</v>
      </c>
      <c r="F82" s="230" t="s">
        <v>34</v>
      </c>
      <c r="G82" s="230" t="s">
        <v>1354</v>
      </c>
      <c r="H82" s="230" t="s">
        <v>736</v>
      </c>
      <c r="I82" s="230" t="s">
        <v>541</v>
      </c>
      <c r="J82" s="231">
        <v>1100</v>
      </c>
      <c r="K82" s="230" t="s">
        <v>600</v>
      </c>
      <c r="L82" s="231">
        <v>13200</v>
      </c>
      <c r="M82" s="230" t="s">
        <v>509</v>
      </c>
      <c r="N82" s="230" t="s">
        <v>509</v>
      </c>
      <c r="O82" s="230" t="s">
        <v>343</v>
      </c>
    </row>
    <row r="83" spans="1:15">
      <c r="A83" s="230" t="s">
        <v>710</v>
      </c>
      <c r="B83" s="230" t="s">
        <v>1500</v>
      </c>
      <c r="C83" s="230" t="s">
        <v>502</v>
      </c>
      <c r="D83" s="230" t="s">
        <v>1420</v>
      </c>
      <c r="E83" s="230" t="s">
        <v>495</v>
      </c>
      <c r="F83" s="230" t="s">
        <v>34</v>
      </c>
      <c r="G83" s="230" t="s">
        <v>1354</v>
      </c>
      <c r="H83" s="230" t="s">
        <v>736</v>
      </c>
      <c r="I83" s="230" t="s">
        <v>686</v>
      </c>
      <c r="J83" s="231">
        <v>1250</v>
      </c>
      <c r="K83" s="230" t="s">
        <v>600</v>
      </c>
      <c r="L83" s="231">
        <v>15000</v>
      </c>
      <c r="M83" s="230" t="s">
        <v>509</v>
      </c>
      <c r="N83" s="230" t="s">
        <v>509</v>
      </c>
      <c r="O83" s="230" t="s">
        <v>343</v>
      </c>
    </row>
    <row r="84" spans="1:15">
      <c r="A84" s="230" t="s">
        <v>1501</v>
      </c>
      <c r="B84" s="230" t="s">
        <v>1502</v>
      </c>
      <c r="C84" s="230" t="s">
        <v>502</v>
      </c>
      <c r="D84" s="230" t="s">
        <v>1483</v>
      </c>
      <c r="E84" s="230" t="s">
        <v>1526</v>
      </c>
      <c r="F84" s="230" t="s">
        <v>37</v>
      </c>
      <c r="G84" s="230" t="s">
        <v>1354</v>
      </c>
      <c r="H84" s="230" t="s">
        <v>736</v>
      </c>
      <c r="I84" s="230" t="s">
        <v>1377</v>
      </c>
      <c r="J84" s="231">
        <v>2100</v>
      </c>
      <c r="K84" s="230" t="s">
        <v>600</v>
      </c>
      <c r="L84" s="231">
        <v>25200</v>
      </c>
      <c r="M84" s="230" t="s">
        <v>509</v>
      </c>
      <c r="N84" s="230" t="s">
        <v>509</v>
      </c>
      <c r="O84" s="230" t="s">
        <v>343</v>
      </c>
    </row>
    <row r="85" spans="1:15">
      <c r="A85" s="230" t="s">
        <v>1466</v>
      </c>
      <c r="B85" s="230" t="s">
        <v>1503</v>
      </c>
      <c r="C85" s="230" t="s">
        <v>502</v>
      </c>
      <c r="D85" s="230" t="s">
        <v>1504</v>
      </c>
      <c r="E85" s="230" t="s">
        <v>1524</v>
      </c>
      <c r="F85" s="230" t="s">
        <v>63</v>
      </c>
      <c r="G85" s="230" t="s">
        <v>1354</v>
      </c>
      <c r="H85" s="230" t="s">
        <v>736</v>
      </c>
      <c r="I85" s="230" t="s">
        <v>1377</v>
      </c>
      <c r="J85" s="231">
        <v>2450</v>
      </c>
      <c r="K85" s="230" t="s">
        <v>600</v>
      </c>
      <c r="L85" s="231">
        <v>29400</v>
      </c>
      <c r="M85" s="230" t="s">
        <v>509</v>
      </c>
      <c r="N85" s="230" t="s">
        <v>509</v>
      </c>
      <c r="O85" s="230" t="s">
        <v>343</v>
      </c>
    </row>
    <row r="86" spans="1:15">
      <c r="A86" s="230" t="s">
        <v>586</v>
      </c>
      <c r="B86" s="230" t="s">
        <v>1505</v>
      </c>
      <c r="C86" s="230" t="s">
        <v>502</v>
      </c>
      <c r="D86" s="230" t="s">
        <v>496</v>
      </c>
      <c r="E86" s="230" t="s">
        <v>496</v>
      </c>
      <c r="F86" s="230" t="s">
        <v>35</v>
      </c>
      <c r="G86" s="230" t="s">
        <v>1354</v>
      </c>
      <c r="H86" s="230" t="s">
        <v>736</v>
      </c>
      <c r="I86" s="230" t="s">
        <v>515</v>
      </c>
      <c r="J86" s="231">
        <v>1925</v>
      </c>
      <c r="K86" s="230" t="s">
        <v>600</v>
      </c>
      <c r="L86" s="231">
        <v>23100</v>
      </c>
      <c r="M86" s="230" t="s">
        <v>509</v>
      </c>
      <c r="N86" s="230" t="s">
        <v>509</v>
      </c>
      <c r="O86" s="230" t="s">
        <v>343</v>
      </c>
    </row>
    <row r="87" spans="1:15">
      <c r="A87" s="230" t="s">
        <v>526</v>
      </c>
      <c r="B87" s="230" t="s">
        <v>1505</v>
      </c>
      <c r="C87" s="230" t="s">
        <v>502</v>
      </c>
      <c r="D87" s="230" t="s">
        <v>1420</v>
      </c>
      <c r="E87" s="230" t="s">
        <v>495</v>
      </c>
      <c r="F87" s="230" t="s">
        <v>34</v>
      </c>
      <c r="G87" s="230" t="s">
        <v>1354</v>
      </c>
      <c r="H87" s="230" t="s">
        <v>736</v>
      </c>
      <c r="I87" s="230" t="s">
        <v>527</v>
      </c>
      <c r="J87" s="231">
        <v>1200</v>
      </c>
      <c r="K87" s="230" t="s">
        <v>600</v>
      </c>
      <c r="L87" s="231">
        <v>14400</v>
      </c>
      <c r="M87" s="230" t="s">
        <v>509</v>
      </c>
      <c r="N87" s="230" t="s">
        <v>509</v>
      </c>
      <c r="O87" s="230" t="s">
        <v>343</v>
      </c>
    </row>
    <row r="88" spans="1:15">
      <c r="A88" s="230" t="s">
        <v>1369</v>
      </c>
      <c r="B88" s="230" t="s">
        <v>1506</v>
      </c>
      <c r="C88" s="230" t="s">
        <v>502</v>
      </c>
      <c r="D88" s="230" t="s">
        <v>496</v>
      </c>
      <c r="E88" s="230" t="s">
        <v>496</v>
      </c>
      <c r="F88" s="230" t="s">
        <v>35</v>
      </c>
      <c r="G88" s="230" t="s">
        <v>1354</v>
      </c>
      <c r="H88" s="230" t="s">
        <v>736</v>
      </c>
      <c r="I88" s="230" t="s">
        <v>1389</v>
      </c>
      <c r="J88" s="231">
        <v>1925</v>
      </c>
      <c r="K88" s="230" t="s">
        <v>600</v>
      </c>
      <c r="L88" s="231">
        <v>23100</v>
      </c>
      <c r="M88" s="230" t="s">
        <v>509</v>
      </c>
      <c r="N88" s="230" t="s">
        <v>509</v>
      </c>
      <c r="O88" s="230" t="s">
        <v>343</v>
      </c>
    </row>
    <row r="89" spans="1:15">
      <c r="A89" s="230" t="s">
        <v>1507</v>
      </c>
      <c r="B89" s="230" t="s">
        <v>1508</v>
      </c>
      <c r="C89" s="230" t="s">
        <v>502</v>
      </c>
      <c r="D89" s="230" t="s">
        <v>1509</v>
      </c>
      <c r="E89" s="230" t="s">
        <v>1524</v>
      </c>
      <c r="F89" s="230" t="s">
        <v>63</v>
      </c>
      <c r="G89" s="230" t="s">
        <v>1354</v>
      </c>
      <c r="H89" s="230" t="s">
        <v>736</v>
      </c>
      <c r="I89" s="230" t="s">
        <v>1377</v>
      </c>
      <c r="J89" s="231">
        <v>3700</v>
      </c>
      <c r="K89" s="230" t="s">
        <v>600</v>
      </c>
      <c r="L89" s="231">
        <v>44400</v>
      </c>
      <c r="M89" s="230" t="s">
        <v>509</v>
      </c>
      <c r="N89" s="230" t="s">
        <v>509</v>
      </c>
      <c r="O89" s="230" t="s">
        <v>343</v>
      </c>
    </row>
    <row r="90" spans="1:15">
      <c r="A90" s="230" t="s">
        <v>1381</v>
      </c>
      <c r="B90" s="230" t="s">
        <v>1510</v>
      </c>
      <c r="C90" s="230" t="s">
        <v>502</v>
      </c>
      <c r="D90" s="230" t="s">
        <v>1511</v>
      </c>
      <c r="E90" s="230" t="s">
        <v>1524</v>
      </c>
      <c r="F90" s="230" t="s">
        <v>63</v>
      </c>
      <c r="G90" s="230" t="s">
        <v>1354</v>
      </c>
      <c r="H90" s="230" t="s">
        <v>736</v>
      </c>
      <c r="I90" s="230" t="s">
        <v>1377</v>
      </c>
      <c r="J90" s="231">
        <v>2500</v>
      </c>
      <c r="K90" s="230" t="s">
        <v>600</v>
      </c>
      <c r="L90" s="231">
        <v>30000</v>
      </c>
      <c r="M90" s="230" t="s">
        <v>509</v>
      </c>
      <c r="N90" s="230" t="s">
        <v>509</v>
      </c>
      <c r="O90" s="230" t="s">
        <v>343</v>
      </c>
    </row>
    <row r="91" spans="1:15">
      <c r="A91" s="230" t="s">
        <v>1377</v>
      </c>
      <c r="B91" s="230" t="s">
        <v>1512</v>
      </c>
      <c r="C91" s="230" t="s">
        <v>502</v>
      </c>
      <c r="D91" s="230" t="s">
        <v>1513</v>
      </c>
      <c r="E91" s="230" t="s">
        <v>1513</v>
      </c>
      <c r="F91" s="230" t="s">
        <v>80</v>
      </c>
      <c r="G91" s="230" t="s">
        <v>1375</v>
      </c>
      <c r="H91" s="230" t="s">
        <v>1376</v>
      </c>
      <c r="I91" s="230" t="s">
        <v>343</v>
      </c>
      <c r="J91" s="230"/>
      <c r="K91" s="230" t="s">
        <v>343</v>
      </c>
      <c r="L91" s="232">
        <v>200000</v>
      </c>
      <c r="M91" s="230" t="s">
        <v>509</v>
      </c>
      <c r="N91" s="230" t="s">
        <v>509</v>
      </c>
      <c r="O91" s="230" t="s">
        <v>343</v>
      </c>
    </row>
    <row r="93" spans="1:15">
      <c r="A93" s="147" t="s">
        <v>1514</v>
      </c>
      <c r="K93" s="147" t="s">
        <v>1519</v>
      </c>
      <c r="L93" s="217">
        <v>1804200</v>
      </c>
      <c r="O93" s="147" t="s">
        <v>1515</v>
      </c>
    </row>
    <row r="94" spans="1:15">
      <c r="K94" s="147" t="s">
        <v>1520</v>
      </c>
      <c r="L94" s="221">
        <f>+L93+L91</f>
        <v>2004200</v>
      </c>
    </row>
  </sheetData>
  <autoFilter ref="A1:O91" xr:uid="{00000000-0009-0000-0000-000000000000}">
    <sortState xmlns:xlrd2="http://schemas.microsoft.com/office/spreadsheetml/2017/richdata2" ref="A2:O91">
      <sortCondition descending="1" ref="B1:B9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33" activePane="bottomLeft" state="frozen"/>
      <selection pane="bottomLeft" activeCell="E79" sqref="E79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3" t="s">
        <v>316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3" t="s">
        <v>316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3" t="s">
        <v>316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3" t="s">
        <v>316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3" t="s">
        <v>316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3" t="s">
        <v>316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3" t="s">
        <v>316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3" t="s">
        <v>317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4" t="s">
        <v>3</v>
      </c>
      <c r="E120" s="154"/>
      <c r="F120" s="154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4" t="s">
        <v>4</v>
      </c>
      <c r="E132" s="154"/>
      <c r="F132" s="154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4" t="s">
        <v>115</v>
      </c>
      <c r="E144" s="154"/>
      <c r="F144" s="154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274" t="s">
        <v>116</v>
      </c>
    </row>
    <row r="157" spans="3:6">
      <c r="D157" s="274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="190" zoomScaleNormal="120" zoomScaleSheetLayoutView="190" workbookViewId="0">
      <selection activeCell="C11" sqref="C11"/>
    </sheetView>
  </sheetViews>
  <sheetFormatPr defaultColWidth="9" defaultRowHeight="12"/>
  <cols>
    <col min="1" max="1" width="1.5703125" style="159" customWidth="1"/>
    <col min="2" max="2" width="17.7109375" style="159" customWidth="1"/>
    <col min="3" max="6" width="10" style="159" customWidth="1"/>
    <col min="7" max="16384" width="9" style="159"/>
  </cols>
  <sheetData>
    <row r="2" spans="2:11" ht="16.5">
      <c r="B2" s="37" t="str">
        <f>+Cover!B24</f>
        <v>Keystone Bookkeepers</v>
      </c>
    </row>
    <row r="3" spans="2:11">
      <c r="B3" s="38" t="s">
        <v>998</v>
      </c>
      <c r="C3" s="160"/>
      <c r="D3" s="160"/>
      <c r="E3" s="160"/>
      <c r="F3" s="160"/>
      <c r="G3" s="160"/>
      <c r="H3" s="160"/>
      <c r="J3" s="163" t="s">
        <v>276</v>
      </c>
      <c r="K3" s="169">
        <v>1</v>
      </c>
    </row>
    <row r="5" spans="2:11" ht="24">
      <c r="B5" s="161" t="s">
        <v>1336</v>
      </c>
      <c r="C5" s="178" t="s">
        <v>999</v>
      </c>
      <c r="D5" s="178" t="s">
        <v>1333</v>
      </c>
      <c r="E5" s="178" t="s">
        <v>1334</v>
      </c>
      <c r="F5" s="178" t="s">
        <v>1335</v>
      </c>
    </row>
    <row r="6" spans="2:11">
      <c r="B6" s="42" t="s">
        <v>1008</v>
      </c>
      <c r="C6" s="43"/>
      <c r="D6" s="43"/>
      <c r="E6" s="43"/>
      <c r="F6" s="43"/>
    </row>
    <row r="7" spans="2:11">
      <c r="B7" s="159" t="str">
        <f>+B15</f>
        <v>VR Platform</v>
      </c>
      <c r="C7" s="86">
        <f>+C15</f>
        <v>161.14469</v>
      </c>
      <c r="D7" s="213">
        <f>C7</f>
        <v>161.14469</v>
      </c>
      <c r="E7" s="212">
        <f>C7-D7</f>
        <v>0</v>
      </c>
      <c r="F7" s="86">
        <f>+D7</f>
        <v>161.14469</v>
      </c>
    </row>
    <row r="8" spans="2:11" ht="12" customHeight="1">
      <c r="B8" s="159" t="str">
        <f>+B16</f>
        <v>Karbon</v>
      </c>
      <c r="C8" s="83">
        <f>+C16</f>
        <v>90.485559999999992</v>
      </c>
      <c r="D8" s="214">
        <f>C8</f>
        <v>90.485559999999992</v>
      </c>
      <c r="E8" s="164">
        <f t="shared" ref="E8:F11" si="0">C8-D8</f>
        <v>0</v>
      </c>
      <c r="F8" s="83">
        <f t="shared" ref="F8:F10" si="1">+D8</f>
        <v>90.485559999999992</v>
      </c>
    </row>
    <row r="9" spans="2:11" ht="12" customHeight="1">
      <c r="B9" s="159" t="str">
        <f>+B19</f>
        <v>Uncat</v>
      </c>
      <c r="C9" s="83">
        <f>+C19</f>
        <v>17.234999999999999</v>
      </c>
      <c r="D9" s="214">
        <f>C9</f>
        <v>17.234999999999999</v>
      </c>
      <c r="E9" s="164">
        <f t="shared" si="0"/>
        <v>0</v>
      </c>
      <c r="F9" s="83">
        <f t="shared" si="1"/>
        <v>17.234999999999999</v>
      </c>
    </row>
    <row r="10" spans="2:11" ht="12" customHeight="1">
      <c r="B10" s="159" t="str">
        <f>+B21</f>
        <v>Xenett</v>
      </c>
      <c r="C10" s="83">
        <f>+C21</f>
        <v>14.48771</v>
      </c>
      <c r="D10" s="214">
        <f>C10</f>
        <v>14.48771</v>
      </c>
      <c r="E10" s="164">
        <f t="shared" si="0"/>
        <v>0</v>
      </c>
      <c r="F10" s="83">
        <f t="shared" si="1"/>
        <v>14.48771</v>
      </c>
    </row>
    <row r="11" spans="2:11">
      <c r="B11" s="58" t="s">
        <v>1007</v>
      </c>
      <c r="C11" s="126">
        <f>SUM(C7:C10)</f>
        <v>283.35296</v>
      </c>
      <c r="D11" s="126">
        <f>SUM(D7:D10)</f>
        <v>283.35296</v>
      </c>
      <c r="E11" s="59">
        <f t="shared" si="0"/>
        <v>0</v>
      </c>
      <c r="F11" s="59">
        <f t="shared" si="0"/>
        <v>283.35296</v>
      </c>
    </row>
    <row r="13" spans="2:11">
      <c r="B13" s="161" t="s">
        <v>1000</v>
      </c>
      <c r="C13" s="161" t="s">
        <v>999</v>
      </c>
      <c r="D13" s="76" t="s">
        <v>1001</v>
      </c>
    </row>
    <row r="14" spans="2:11">
      <c r="B14" s="42" t="s">
        <v>1008</v>
      </c>
      <c r="C14" s="43"/>
      <c r="D14" s="43"/>
    </row>
    <row r="15" spans="2:11">
      <c r="B15" s="170" t="str">
        <f>+Software!A6</f>
        <v>VR Platform</v>
      </c>
      <c r="C15" s="47">
        <f t="shared" ref="C15:C24" si="2">+K15</f>
        <v>161.14469</v>
      </c>
      <c r="D15" s="211">
        <f>C15/$C$27</f>
        <v>0.34863041604326506</v>
      </c>
      <c r="K15" s="47">
        <f>+Software!D6/1000</f>
        <v>161.14469</v>
      </c>
    </row>
    <row r="16" spans="2:11">
      <c r="B16" s="170" t="str">
        <f>+Software!A7</f>
        <v>Karbon</v>
      </c>
      <c r="C16" s="53">
        <f t="shared" si="2"/>
        <v>90.485559999999992</v>
      </c>
      <c r="D16" s="211">
        <f t="shared" ref="D16:D26" si="3">C16/$C$27</f>
        <v>0.19576207213968902</v>
      </c>
      <c r="K16" s="47">
        <f>+Software!D7/1000</f>
        <v>90.485559999999992</v>
      </c>
    </row>
    <row r="17" spans="2:11">
      <c r="B17" s="170" t="str">
        <f>+Software!A8</f>
        <v>Topkey</v>
      </c>
      <c r="C17" s="53">
        <f t="shared" si="2"/>
        <v>36.009</v>
      </c>
      <c r="D17" s="211">
        <f t="shared" si="3"/>
        <v>7.7904103767253721E-2</v>
      </c>
      <c r="K17" s="47">
        <f>+Software!D8/1000</f>
        <v>36.009</v>
      </c>
    </row>
    <row r="18" spans="2:11">
      <c r="B18" s="170" t="str">
        <f>+Software!A9</f>
        <v>Ignition</v>
      </c>
      <c r="C18" s="53">
        <f t="shared" si="2"/>
        <v>18.025680000000001</v>
      </c>
      <c r="D18" s="211">
        <f t="shared" si="3"/>
        <v>3.8997874009145214E-2</v>
      </c>
      <c r="K18" s="47">
        <f>+Software!D9/1000</f>
        <v>18.025680000000001</v>
      </c>
    </row>
    <row r="19" spans="2:11">
      <c r="B19" s="170" t="str">
        <f>+Software!A10</f>
        <v>Uncat</v>
      </c>
      <c r="C19" s="53">
        <f t="shared" si="2"/>
        <v>17.234999999999999</v>
      </c>
      <c r="D19" s="211">
        <f t="shared" si="3"/>
        <v>3.7287267861607312E-2</v>
      </c>
      <c r="K19" s="47">
        <f>+Software!D10/1000</f>
        <v>17.234999999999999</v>
      </c>
    </row>
    <row r="20" spans="2:11">
      <c r="B20" s="170" t="str">
        <f>+Software!A11</f>
        <v>QuickBooks Online</v>
      </c>
      <c r="C20" s="53">
        <f t="shared" si="2"/>
        <v>16.908709999999999</v>
      </c>
      <c r="D20" s="211">
        <f t="shared" si="3"/>
        <v>3.6581351840106656E-2</v>
      </c>
      <c r="K20" s="47">
        <f>+Software!D11/1000</f>
        <v>16.908709999999999</v>
      </c>
    </row>
    <row r="21" spans="2:11">
      <c r="B21" s="170" t="str">
        <f>+Software!A12</f>
        <v>Xenett</v>
      </c>
      <c r="C21" s="53">
        <f t="shared" si="2"/>
        <v>14.48771</v>
      </c>
      <c r="D21" s="211">
        <f t="shared" si="3"/>
        <v>3.1343610297144581E-2</v>
      </c>
      <c r="K21" s="47">
        <f>+Software!D12/1000</f>
        <v>14.48771</v>
      </c>
    </row>
    <row r="22" spans="2:11">
      <c r="B22" s="170" t="str">
        <f>+Software!A13</f>
        <v>Microsoft 365</v>
      </c>
      <c r="C22" s="53">
        <f t="shared" si="2"/>
        <v>12.04365</v>
      </c>
      <c r="D22" s="165">
        <f t="shared" si="3"/>
        <v>2.6055979320072347E-2</v>
      </c>
      <c r="K22" s="47">
        <f>+Software!D13/1000</f>
        <v>12.04365</v>
      </c>
    </row>
    <row r="23" spans="2:11">
      <c r="B23" s="170" t="str">
        <f>+Software!A14</f>
        <v>Bill.com</v>
      </c>
      <c r="C23" s="53">
        <f t="shared" si="2"/>
        <v>9.052719999999999</v>
      </c>
      <c r="D23" s="165">
        <f t="shared" si="3"/>
        <v>1.9585215869807354E-2</v>
      </c>
      <c r="K23" s="47">
        <f>+Software!D14/1000</f>
        <v>9.052719999999999</v>
      </c>
    </row>
    <row r="24" spans="2:11">
      <c r="B24" s="170" t="str">
        <f>+Software!A15</f>
        <v>Notion</v>
      </c>
      <c r="C24" s="53">
        <f t="shared" si="2"/>
        <v>8.9686699999999995</v>
      </c>
      <c r="D24" s="165">
        <f t="shared" si="3"/>
        <v>1.9403376887285273E-2</v>
      </c>
      <c r="K24" s="47">
        <f>+Software!D15/1000</f>
        <v>8.9686699999999995</v>
      </c>
    </row>
    <row r="25" spans="2:11">
      <c r="B25" s="58" t="s">
        <v>1005</v>
      </c>
      <c r="C25" s="126">
        <f>SUM(C15:C24)</f>
        <v>384.36139000000003</v>
      </c>
      <c r="D25" s="166">
        <f t="shared" si="3"/>
        <v>0.8315512680353766</v>
      </c>
      <c r="K25" s="126">
        <f>SUM(K15:K24)</f>
        <v>384.36139000000003</v>
      </c>
    </row>
    <row r="26" spans="2:11">
      <c r="B26" s="171" t="s">
        <v>1006</v>
      </c>
      <c r="C26" s="164">
        <f>+K26</f>
        <v>77.86072999999999</v>
      </c>
      <c r="D26" s="165">
        <f t="shared" si="3"/>
        <v>0.1684487319646234</v>
      </c>
      <c r="K26" s="168">
        <f>+K27-SUM(K15:K24)</f>
        <v>77.86072999999999</v>
      </c>
    </row>
    <row r="27" spans="2:11">
      <c r="B27" s="58" t="s">
        <v>1007</v>
      </c>
      <c r="C27" s="167">
        <f>+K27</f>
        <v>462.22212000000002</v>
      </c>
      <c r="D27" s="166">
        <f>K27/$K$27</f>
        <v>1</v>
      </c>
      <c r="K27" s="167">
        <f>+Software!D61/1000</f>
        <v>462.22212000000002</v>
      </c>
    </row>
    <row r="29" spans="2:11">
      <c r="B29" s="150" t="s">
        <v>1003</v>
      </c>
    </row>
  </sheetData>
  <conditionalFormatting sqref="A7:XFD11">
    <cfRule type="expression" dxfId="28" priority="1">
      <formula>$K$3=1</formula>
    </cfRule>
  </conditionalFormatting>
  <conditionalFormatting sqref="A15:XFD24 A25:B25 D25:XFD25 A26:XFD26">
    <cfRule type="expression" dxfId="27" priority="11">
      <formula>$K$3=1</formula>
    </cfRule>
  </conditionalFormatting>
  <conditionalFormatting sqref="B11:D11">
    <cfRule type="expression" dxfId="26" priority="2">
      <formula>$K$3=1</formula>
    </cfRule>
  </conditionalFormatting>
  <conditionalFormatting sqref="B14:D14">
    <cfRule type="expression" dxfId="25" priority="8">
      <formula>$V$3=1</formula>
    </cfRule>
  </conditionalFormatting>
  <conditionalFormatting sqref="B6:F6">
    <cfRule type="expression" dxfId="24" priority="7">
      <formula>$V$3=1</formula>
    </cfRule>
  </conditionalFormatting>
  <conditionalFormatting sqref="C7:C10">
    <cfRule type="expression" dxfId="23" priority="4">
      <formula>$V$3=1</formula>
    </cfRule>
  </conditionalFormatting>
  <conditionalFormatting sqref="C15 B15:B27 D15:D27 K15:K27 C25:C27 A36:A47 E36:XFD47">
    <cfRule type="expression" dxfId="22" priority="18">
      <formula>$K$3=1</formula>
    </cfRule>
  </conditionalFormatting>
  <conditionalFormatting sqref="C15:C25">
    <cfRule type="expression" dxfId="21" priority="10">
      <formula>$V$3=1</formula>
    </cfRule>
  </conditionalFormatting>
  <conditionalFormatting sqref="C27">
    <cfRule type="expression" dxfId="20" priority="20">
      <formula>$V$3=1</formula>
    </cfRule>
  </conditionalFormatting>
  <conditionalFormatting sqref="C7:D10">
    <cfRule type="expression" dxfId="19" priority="5">
      <formula>$K$3=1</formula>
    </cfRule>
  </conditionalFormatting>
  <conditionalFormatting sqref="C11:D11">
    <cfRule type="expression" dxfId="18" priority="3">
      <formula>$V$3=1</formula>
    </cfRule>
  </conditionalFormatting>
  <conditionalFormatting sqref="K15:K27">
    <cfRule type="expression" dxfId="17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="130" zoomScaleNormal="175" zoomScaleSheetLayoutView="130" workbookViewId="0">
      <selection activeCell="K48" sqref="K48"/>
    </sheetView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0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5">
        <f>SUM(E8:E15)</f>
        <v>2926.7433000000001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6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5">
        <f>+E23+E16</f>
        <v>2982.3410200000003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0.82345793701825509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6.5885450220386596E-2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0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3.5386601892964095E-2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3.2403251764512454E-2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2.8516337596126044E-2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1.4350421507755735E-2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3" t="s">
        <v>979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3" t="s">
        <v>979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3" t="s">
        <v>979</v>
      </c>
      <c r="D40" s="66">
        <f t="shared" si="23"/>
        <v>-0.21711152987528493</v>
      </c>
      <c r="E40" s="66">
        <f t="shared" si="23"/>
        <v>-1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3" t="s">
        <v>979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3" t="s">
        <v>979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3" t="s">
        <v>979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3" t="s">
        <v>979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3" t="s">
        <v>979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0.18538375531640305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16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969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50" t="s">
        <v>970</v>
      </c>
    </row>
    <row r="47" spans="2:33">
      <c r="B47" s="40" t="s">
        <v>455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455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2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2">
        <f t="shared" si="58"/>
        <v>0.19753015525389025</v>
      </c>
      <c r="AI52" s="142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2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2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2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2">
        <f t="shared" si="58"/>
        <v>6.9305352452369892E-2</v>
      </c>
    </row>
    <row r="57" spans="2:35">
      <c r="B57" s="142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="115" zoomScaleNormal="175" zoomScaleSheetLayoutView="115" workbookViewId="0">
      <pane ySplit="6" topLeftCell="A7" activePane="bottomLeft" state="frozen"/>
      <selection activeCell="K48" sqref="K48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980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982</v>
      </c>
      <c r="D5" s="75"/>
      <c r="E5" s="76" t="s">
        <v>270</v>
      </c>
      <c r="F5" s="77"/>
      <c r="G5" s="74"/>
      <c r="H5" s="74" t="s">
        <v>983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981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984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985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993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0.23295275601983301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0.1790040764687601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0.13175036569090948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6.6105599151099079E-2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3.6328488014425661E-2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3.2977154302763136E-2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2.2838836854411772E-2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1.1092373332946343E-2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1.0789631294411796E-2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987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3" t="s">
        <v>979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3" t="s">
        <v>979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3" t="s">
        <v>979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3" t="s">
        <v>979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3" t="s">
        <v>979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3" t="s">
        <v>979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3" t="s">
        <v>979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3" t="s">
        <v>979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3" t="s">
        <v>979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988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989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986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994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0.11256531622262299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5.2248431334656689E-2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2.0400081543994589E-2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5.2789938824635138E-3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990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3" t="s">
        <v>979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3" t="s">
        <v>979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3" t="s">
        <v>979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3" t="s">
        <v>979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991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995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38.761499999999998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51.079900000000009</v>
      </c>
      <c r="F71" s="23"/>
      <c r="G71" s="145">
        <f>+G72-SUM(G63:G70)</f>
        <v>1.8655900000000027</v>
      </c>
      <c r="H71" s="145">
        <f t="shared" ref="H71:S71" si="56">+H72-SUM(H63:H70)</f>
        <v>2.1041500000000006</v>
      </c>
      <c r="I71" s="145">
        <f t="shared" si="56"/>
        <v>4.1907599999999992</v>
      </c>
      <c r="J71" s="145">
        <f t="shared" si="56"/>
        <v>3.0395699999999977</v>
      </c>
      <c r="K71" s="145">
        <f t="shared" si="56"/>
        <v>1.0314300000000003</v>
      </c>
      <c r="L71" s="145">
        <f t="shared" si="56"/>
        <v>13.049990000000005</v>
      </c>
      <c r="M71" s="145">
        <f t="shared" si="56"/>
        <v>5.3295300000000001</v>
      </c>
      <c r="N71" s="145">
        <f t="shared" si="56"/>
        <v>6.8620100000000015</v>
      </c>
      <c r="O71" s="145">
        <f t="shared" si="56"/>
        <v>9.6291599999999988</v>
      </c>
      <c r="P71" s="145">
        <f t="shared" si="56"/>
        <v>-2.3808199999999999</v>
      </c>
      <c r="Q71" s="145">
        <f t="shared" si="56"/>
        <v>2.0276700000000005</v>
      </c>
      <c r="R71" s="145">
        <f t="shared" si="56"/>
        <v>2.8599300000000003</v>
      </c>
      <c r="S71" s="145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280.66057000000001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996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2.4335563744484187E-2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1.0291891435004303E-2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9.4392491707739039E-3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5.2220453313551636E-3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3.8931731556306058E-3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7.827334246302926E-3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1.2997004614851187E-2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2.9737578434273085E-3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1.7127451105507716E-2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5" t="s">
        <v>992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2926.7433000000001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5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2982.3410200000003</v>
      </c>
      <c r="F86" s="156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15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topLeftCell="A49" zoomScale="115" zoomScaleNormal="115" zoomScaleSheetLayoutView="115" workbookViewId="0">
      <selection activeCell="B2" sqref="B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973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50" t="s">
        <v>975</v>
      </c>
    </row>
    <row r="35" spans="2:2" ht="24.75" customHeight="1"/>
    <row r="44" spans="2:2">
      <c r="B44" s="150" t="s">
        <v>976</v>
      </c>
    </row>
    <row r="64" ht="2.25" customHeight="1"/>
    <row r="65" spans="2:2">
      <c r="B65" s="150" t="s">
        <v>977</v>
      </c>
    </row>
    <row r="95" spans="2:33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>
      <c r="B100" s="141" t="s">
        <v>974</v>
      </c>
      <c r="C100" s="152">
        <f>C99/'P&amp;L Forecast'!P$15</f>
        <v>0.13026673665123822</v>
      </c>
      <c r="D100" s="152">
        <f>D99/'P&amp;L Forecast'!Q$15</f>
        <v>0.127835492912522</v>
      </c>
      <c r="E100" s="152">
        <f>E99/'P&amp;L Forecast'!R$15</f>
        <v>0.13330427201394945</v>
      </c>
      <c r="F100" s="152">
        <f>F99/'P&amp;L Forecast'!S$15</f>
        <v>0.18025698000425419</v>
      </c>
      <c r="G100" s="152">
        <f>G99/'P&amp;L Forecast'!T$15</f>
        <v>0.20795539243789118</v>
      </c>
      <c r="H100" s="152">
        <f>H99/'P&amp;L Forecast'!U$15</f>
        <v>0.15688550325262016</v>
      </c>
      <c r="I100" s="152">
        <f>I99/'P&amp;L Forecast'!V$15</f>
        <v>0.15070510396468445</v>
      </c>
      <c r="J100" s="152">
        <f>J99/'P&amp;L Forecast'!W$15</f>
        <v>0.13837108313222324</v>
      </c>
      <c r="K100" s="152">
        <f>K99/'P&amp;L Forecast'!X$15</f>
        <v>0.15202625711263995</v>
      </c>
      <c r="L100" s="152">
        <f>L99/'P&amp;L Forecast'!Y$15</f>
        <v>0.16016508090174311</v>
      </c>
      <c r="M100" s="152">
        <f>M99/'P&amp;L Forecast'!Z$15</f>
        <v>0.25009745907316833</v>
      </c>
      <c r="N100" s="152">
        <f>N99/'P&amp;L Forecast'!AA$15</f>
        <v>0.18857556444501775</v>
      </c>
      <c r="O100" s="152">
        <f>O99/'P&amp;L Forecast'!AB$15</f>
        <v>0.16485381813794489</v>
      </c>
      <c r="P100" s="152">
        <f>P99/'P&amp;L Forecast'!AC$15</f>
        <v>0.14114703215681618</v>
      </c>
      <c r="Q100" s="152">
        <f>Q99/'P&amp;L Forecast'!AD$15</f>
        <v>0.1465387866902389</v>
      </c>
      <c r="R100" s="152">
        <f>R99/'P&amp;L Forecast'!AE$15</f>
        <v>0.164373052381659</v>
      </c>
      <c r="S100" s="152">
        <f>S99/'P&amp;L Forecast'!AF$15</f>
        <v>0.1376765899259853</v>
      </c>
      <c r="T100" s="152">
        <f>T99/'P&amp;L Forecast'!AG$15</f>
        <v>0.13877890362846379</v>
      </c>
      <c r="U100" s="152">
        <f>U99/'P&amp;L Forecast'!AH$15</f>
        <v>0.18117492404767471</v>
      </c>
      <c r="V100" s="152">
        <f>V99/'P&amp;L Forecast'!AI$15</f>
        <v>0.18760863595308358</v>
      </c>
      <c r="W100" s="152">
        <f>W99/'P&amp;L Forecast'!AJ$15</f>
        <v>0.20651817137776457</v>
      </c>
      <c r="X100" s="152">
        <f>X99/'P&amp;L Forecast'!AK$15</f>
        <v>0.21525412917188744</v>
      </c>
      <c r="Y100" s="152">
        <f>Y99/'P&amp;L Forecast'!AL$15</f>
        <v>0.18882839134556215</v>
      </c>
      <c r="Z100" s="152">
        <f>Z99/'P&amp;L Forecast'!AM$15</f>
        <v>0.17601273156371144</v>
      </c>
      <c r="AA100" s="152">
        <f>AA99/'P&amp;L Forecast'!AN$15</f>
        <v>0.1888321840048667</v>
      </c>
      <c r="AB100" s="152">
        <f>AB99/'P&amp;L Forecast'!AO$15</f>
        <v>0.14253135301352249</v>
      </c>
      <c r="AC100" s="152">
        <f>AC99/'P&amp;L Forecast'!AP$15</f>
        <v>0.17345889954587118</v>
      </c>
      <c r="AD100" s="152">
        <f>AD99/'P&amp;L Forecast'!AQ$15</f>
        <v>0.16709597484632888</v>
      </c>
      <c r="AE100" s="152">
        <f>AE99/'P&amp;L Forecast'!AR$15</f>
        <v>0.15596739648877184</v>
      </c>
      <c r="AF100" s="152">
        <f>AF99/'P&amp;L Forecast'!AS$15</f>
        <v>0.1669461419651932</v>
      </c>
      <c r="AG100" s="152">
        <f>AG99/'P&amp;L Forecast'!AT$15</f>
        <v>0.17700262176151577</v>
      </c>
    </row>
    <row r="102" spans="2:33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>
      <c r="B104" s="141" t="s">
        <v>974</v>
      </c>
      <c r="C104" s="152">
        <f>C103/'P&amp;L Forecast'!P$15</f>
        <v>0.12457181030545539</v>
      </c>
      <c r="D104" s="152">
        <f>D103/'P&amp;L Forecast'!Q$15</f>
        <v>0.11991464254895007</v>
      </c>
      <c r="E104" s="152">
        <f>E103/'P&amp;L Forecast'!R$15</f>
        <v>0.13072260115903381</v>
      </c>
      <c r="F104" s="152">
        <f>F103/'P&amp;L Forecast'!S$15</f>
        <v>0.18079319623086385</v>
      </c>
      <c r="G104" s="152">
        <f>G103/'P&amp;L Forecast'!T$15</f>
        <v>0.19210903865461407</v>
      </c>
      <c r="H104" s="152">
        <f>H103/'P&amp;L Forecast'!U$15</f>
        <v>8.464706812432235E-2</v>
      </c>
      <c r="I104" s="152">
        <f>I103/'P&amp;L Forecast'!V$15</f>
        <v>8.5628602155728456E-2</v>
      </c>
      <c r="J104" s="152">
        <f>J103/'P&amp;L Forecast'!W$15</f>
        <v>6.0994251118699126E-2</v>
      </c>
      <c r="K104" s="152">
        <f>K103/'P&amp;L Forecast'!X$15</f>
        <v>8.0500290438736077E-2</v>
      </c>
      <c r="L104" s="152">
        <f>L103/'P&amp;L Forecast'!Y$15</f>
        <v>8.2834611525410065E-2</v>
      </c>
      <c r="M104" s="152">
        <f>M103/'P&amp;L Forecast'!Z$15</f>
        <v>0.11611124040241996</v>
      </c>
      <c r="N104" s="152">
        <f>N103/'P&amp;L Forecast'!AA$15</f>
        <v>0.11125461614016008</v>
      </c>
      <c r="O104" s="152">
        <f>O103/'P&amp;L Forecast'!AB$15</f>
        <v>8.7902074996930604E-2</v>
      </c>
      <c r="P104" s="152">
        <f>P103/'P&amp;L Forecast'!AC$15</f>
        <v>6.9607163496770291E-2</v>
      </c>
      <c r="Q104" s="152">
        <f>Q103/'P&amp;L Forecast'!AD$15</f>
        <v>7.302944054943912E-2</v>
      </c>
      <c r="R104" s="152">
        <f>R103/'P&amp;L Forecast'!AE$15</f>
        <v>7.6272443982786764E-2</v>
      </c>
      <c r="S104" s="152">
        <f>S103/'P&amp;L Forecast'!AF$15</f>
        <v>7.3742039402783455E-2</v>
      </c>
      <c r="T104" s="152">
        <f>T103/'P&amp;L Forecast'!AG$15</f>
        <v>7.1723837712608526E-2</v>
      </c>
      <c r="U104" s="152">
        <f>U103/'P&amp;L Forecast'!AH$15</f>
        <v>8.7459232427098757E-2</v>
      </c>
      <c r="V104" s="152">
        <f>V103/'P&amp;L Forecast'!AI$15</f>
        <v>8.0664475031390348E-2</v>
      </c>
      <c r="W104" s="152">
        <f>W103/'P&amp;L Forecast'!AJ$15</f>
        <v>9.0757109867990474E-2</v>
      </c>
      <c r="X104" s="152">
        <f>X103/'P&amp;L Forecast'!AK$15</f>
        <v>8.8524091582184744E-2</v>
      </c>
      <c r="Y104" s="152">
        <f>Y103/'P&amp;L Forecast'!AL$15</f>
        <v>7.9513118579989231E-2</v>
      </c>
      <c r="Z104" s="152">
        <f>Z103/'P&amp;L Forecast'!AM$15</f>
        <v>0.10814863997292479</v>
      </c>
      <c r="AA104" s="152">
        <f>AA103/'P&amp;L Forecast'!AN$15</f>
        <v>8.1448876154945712E-2</v>
      </c>
      <c r="AB104" s="152">
        <f>AB103/'P&amp;L Forecast'!AO$15</f>
        <v>5.5313779192418373E-2</v>
      </c>
      <c r="AC104" s="152">
        <f>AC103/'P&amp;L Forecast'!AP$15</f>
        <v>6.9243717343920014E-2</v>
      </c>
      <c r="AD104" s="152">
        <f>AD103/'P&amp;L Forecast'!AQ$15</f>
        <v>6.7159891622041071E-2</v>
      </c>
      <c r="AE104" s="152">
        <f>AE103/'P&amp;L Forecast'!AR$15</f>
        <v>7.9840961581124262E-2</v>
      </c>
      <c r="AF104" s="152">
        <f>AF103/'P&amp;L Forecast'!AS$15</f>
        <v>6.8274161001891043E-2</v>
      </c>
      <c r="AG104" s="152">
        <f>AG103/'P&amp;L Forecast'!AT$15</f>
        <v>6.536646870666328E-2</v>
      </c>
    </row>
    <row r="106" spans="2:33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>
      <c r="B108" s="141" t="s">
        <v>974</v>
      </c>
      <c r="C108" s="152">
        <f>C107/'P&amp;L Forecast'!P$15</f>
        <v>0.14350268236320629</v>
      </c>
      <c r="D108" s="152">
        <f>D107/'P&amp;L Forecast'!Q$15</f>
        <v>0.14229421562790573</v>
      </c>
      <c r="E108" s="152">
        <f>E107/'P&amp;L Forecast'!R$15</f>
        <v>0.15067375250012824</v>
      </c>
      <c r="F108" s="152">
        <f>F107/'P&amp;L Forecast'!S$15</f>
        <v>0.14402717373670126</v>
      </c>
      <c r="G108" s="152">
        <f>G107/'P&amp;L Forecast'!T$15</f>
        <v>0.14797743526147417</v>
      </c>
      <c r="H108" s="152">
        <f>H107/'P&amp;L Forecast'!U$15</f>
        <v>0.16089345410191541</v>
      </c>
      <c r="I108" s="152">
        <f>I107/'P&amp;L Forecast'!V$15</f>
        <v>0.17550890800204896</v>
      </c>
      <c r="J108" s="152">
        <f>J107/'P&amp;L Forecast'!W$15</f>
        <v>0.16912188899342653</v>
      </c>
      <c r="K108" s="152">
        <f>K107/'P&amp;L Forecast'!X$15</f>
        <v>0.17152436032228593</v>
      </c>
      <c r="L108" s="152">
        <f>L107/'P&amp;L Forecast'!Y$15</f>
        <v>0.18007331326546563</v>
      </c>
      <c r="M108" s="152">
        <f>M107/'P&amp;L Forecast'!Z$15</f>
        <v>0.16187570311731056</v>
      </c>
      <c r="N108" s="152">
        <f>N107/'P&amp;L Forecast'!AA$15</f>
        <v>0.16143121015055181</v>
      </c>
      <c r="O108" s="152">
        <f>O107/'P&amp;L Forecast'!AB$15</f>
        <v>0.15799417388204939</v>
      </c>
      <c r="P108" s="152">
        <f>P107/'P&amp;L Forecast'!AC$15</f>
        <v>0.17302793200891781</v>
      </c>
      <c r="Q108" s="152">
        <f>Q107/'P&amp;L Forecast'!AD$15</f>
        <v>0.1457352499605008</v>
      </c>
      <c r="R108" s="152">
        <f>R107/'P&amp;L Forecast'!AE$15</f>
        <v>0.14575975664045113</v>
      </c>
      <c r="S108" s="152">
        <f>S107/'P&amp;L Forecast'!AF$15</f>
        <v>0.13669206663477185</v>
      </c>
      <c r="T108" s="152">
        <f>T107/'P&amp;L Forecast'!AG$15</f>
        <v>0.13988948891508851</v>
      </c>
      <c r="U108" s="152">
        <f>U107/'P&amp;L Forecast'!AH$15</f>
        <v>0.14359618031211865</v>
      </c>
      <c r="V108" s="152">
        <f>V107/'P&amp;L Forecast'!AI$15</f>
        <v>0.15311022253405318</v>
      </c>
      <c r="W108" s="152">
        <f>W107/'P&amp;L Forecast'!AJ$15</f>
        <v>0.15021814297533931</v>
      </c>
      <c r="X108" s="152">
        <f>X107/'P&amp;L Forecast'!AK$15</f>
        <v>0.13917877890420322</v>
      </c>
      <c r="Y108" s="152">
        <f>Y107/'P&amp;L Forecast'!AL$15</f>
        <v>0.15723248684815927</v>
      </c>
      <c r="Z108" s="152">
        <f>Z107/'P&amp;L Forecast'!AM$15</f>
        <v>0.16291570376896142</v>
      </c>
      <c r="AA108" s="152">
        <f>AA107/'P&amp;L Forecast'!AN$15</f>
        <v>0.15671590092112256</v>
      </c>
      <c r="AB108" s="152">
        <f>AB107/'P&amp;L Forecast'!AO$15</f>
        <v>0.15721013137790968</v>
      </c>
      <c r="AC108" s="152">
        <f>AC107/'P&amp;L Forecast'!AP$15</f>
        <v>0.1580652884048247</v>
      </c>
      <c r="AD108" s="152">
        <f>AD107/'P&amp;L Forecast'!AQ$15</f>
        <v>0.16523160985589699</v>
      </c>
      <c r="AE108" s="152">
        <f>AE107/'P&amp;L Forecast'!AR$15</f>
        <v>0.15309663426486828</v>
      </c>
      <c r="AF108" s="152">
        <f>AF107/'P&amp;L Forecast'!AS$15</f>
        <v>0.15973288997940771</v>
      </c>
      <c r="AG108" s="152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/>
  </sheetViews>
  <sheetFormatPr defaultRowHeight="12"/>
  <cols>
    <col min="1" max="1" width="1.7109375" style="175" customWidth="1"/>
    <col min="2" max="2" width="26.7109375" style="175" customWidth="1"/>
    <col min="3" max="5" width="8.5703125" style="175" customWidth="1"/>
    <col min="6" max="16384" width="9.140625" style="175"/>
  </cols>
  <sheetData>
    <row r="2" spans="2:10" ht="16.5">
      <c r="B2" s="37" t="str">
        <f>+Cover!B24</f>
        <v>Keystone Bookkeepers</v>
      </c>
    </row>
    <row r="3" spans="2:10">
      <c r="B3" s="176" t="s">
        <v>1301</v>
      </c>
      <c r="C3" s="177"/>
      <c r="D3" s="177"/>
      <c r="E3" s="177"/>
      <c r="F3" s="177"/>
      <c r="G3" s="177"/>
      <c r="H3" s="177"/>
    </row>
    <row r="5" spans="2:10" ht="24">
      <c r="B5" s="161" t="s">
        <v>1302</v>
      </c>
      <c r="C5" s="178" t="s">
        <v>1314</v>
      </c>
      <c r="D5" s="178" t="s">
        <v>1313</v>
      </c>
      <c r="E5" s="178" t="s">
        <v>488</v>
      </c>
      <c r="F5" s="76"/>
      <c r="J5" s="187" t="s">
        <v>502</v>
      </c>
    </row>
    <row r="6" spans="2:10">
      <c r="B6" s="42" t="s">
        <v>472</v>
      </c>
      <c r="C6" s="43"/>
      <c r="D6" s="43"/>
      <c r="E6" s="43"/>
      <c r="F6" s="43"/>
    </row>
    <row r="7" spans="2:10">
      <c r="B7" s="175" t="s">
        <v>1306</v>
      </c>
      <c r="C7" s="184">
        <f>COUNTIFS('Full Customer List'!$C:$C,"Active",'Full Customer List'!$E:$E,'Client Overview'!$B7)</f>
        <v>138</v>
      </c>
      <c r="D7" s="184">
        <f>SUMIFS('Full Customer List'!$F:$F,'Full Customer List'!$C:$C,'Client Overview'!$J$5,'Full Customer List'!$E:$E,'Client Overview'!$B7)</f>
        <v>3403</v>
      </c>
    </row>
    <row r="8" spans="2:10">
      <c r="B8" s="175" t="s">
        <v>1183</v>
      </c>
      <c r="C8" s="184">
        <f>COUNTIFS('Full Customer List'!$C:$C,"Active",'Full Customer List'!$E:$E,'Client Overview'!$B8)</f>
        <v>28</v>
      </c>
      <c r="D8" s="184">
        <f>SUMIFS('Full Customer List'!$F:$F,'Full Customer List'!$C:$C,'Client Overview'!$J$5,'Full Customer List'!$E:$E,'Client Overview'!$B8)</f>
        <v>49</v>
      </c>
    </row>
    <row r="9" spans="2:10">
      <c r="B9" s="175" t="s">
        <v>1307</v>
      </c>
      <c r="C9" s="184">
        <f>COUNTIFS('Full Customer List'!$C:$C,"Active",'Full Customer List'!$E:$E,'Client Overview'!$B9)</f>
        <v>2</v>
      </c>
      <c r="D9" s="184">
        <f>SUMIFS('Full Customer List'!$F:$F,'Full Customer List'!$C:$C,'Client Overview'!$J$5,'Full Customer List'!$E:$E,'Client Overview'!$B9)</f>
        <v>0</v>
      </c>
    </row>
    <row r="10" spans="2:10">
      <c r="B10" s="180" t="s">
        <v>134</v>
      </c>
      <c r="C10" s="185">
        <f>SUM(C7:C9)</f>
        <v>168</v>
      </c>
      <c r="D10" s="185">
        <f>SUM(D7:D9)</f>
        <v>3452</v>
      </c>
    </row>
    <row r="11" spans="2:10" ht="3.95" customHeight="1">
      <c r="B11" s="182"/>
      <c r="C11" s="186"/>
      <c r="D11" s="186"/>
    </row>
    <row r="12" spans="2:10">
      <c r="B12" s="181" t="s">
        <v>1311</v>
      </c>
      <c r="C12" s="183">
        <f>COUNTIFS('Full Customer List'!$C:$C,"Active")</f>
        <v>168</v>
      </c>
      <c r="D12" s="183">
        <f>SUMIFS('Full Customer List'!$F:$F,'Full Customer List'!$C:$C,'Client Overview'!$J$5)</f>
        <v>3452</v>
      </c>
    </row>
    <row r="13" spans="2:10">
      <c r="B13" s="181" t="s">
        <v>1310</v>
      </c>
      <c r="C13" s="183">
        <f>C10-C12</f>
        <v>0</v>
      </c>
      <c r="D13" s="183">
        <f>D10-D12</f>
        <v>0</v>
      </c>
    </row>
  </sheetData>
  <conditionalFormatting sqref="B6:F6">
    <cfRule type="expression" dxfId="14" priority="1">
      <formula>$W$3=1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82"/>
  <sheetViews>
    <sheetView showGridLines="0" tabSelected="1" view="pageBreakPreview" zoomScaleNormal="130" zoomScaleSheetLayoutView="100" workbookViewId="0"/>
  </sheetViews>
  <sheetFormatPr defaultRowHeight="12" outlineLevelCol="1"/>
  <cols>
    <col min="1" max="1" width="1.7109375" style="175" customWidth="1"/>
    <col min="2" max="2" width="26.7109375" style="175" customWidth="1"/>
    <col min="3" max="6" width="9.7109375" style="175" customWidth="1"/>
    <col min="7" max="7" width="0.85546875" style="175" customWidth="1"/>
    <col min="8" max="8" width="9.140625" style="175" customWidth="1"/>
    <col min="9" max="9" width="0.85546875" style="279" customWidth="1"/>
    <col min="10" max="10" width="8.85546875" style="175" customWidth="1" outlineLevel="1"/>
    <col min="11" max="11" width="9.28515625" style="175" customWidth="1" outlineLevel="1"/>
    <col min="12" max="12" width="8.85546875" style="175" customWidth="1" outlineLevel="1"/>
    <col min="13" max="13" width="9.28515625" style="175" customWidth="1" outlineLevel="1"/>
    <col min="14" max="14" width="8.85546875" style="175" customWidth="1" outlineLevel="1"/>
    <col min="15" max="15" width="9.28515625" style="175" customWidth="1" outlineLevel="1"/>
    <col min="16" max="17" width="8.85546875" style="175" customWidth="1" outlineLevel="1"/>
    <col min="18" max="18" width="9.28515625" style="175" customWidth="1" outlineLevel="1"/>
    <col min="19" max="21" width="9.85546875" style="175" bestFit="1" customWidth="1"/>
    <col min="22" max="22" width="8.85546875" style="175" bestFit="1" customWidth="1"/>
    <col min="23" max="23" width="9.28515625" style="175" bestFit="1" customWidth="1"/>
    <col min="24" max="24" width="8.85546875" style="175" bestFit="1" customWidth="1"/>
    <col min="25" max="25" width="9.28515625" style="175" bestFit="1" customWidth="1"/>
    <col min="26" max="26" width="8.85546875" style="175" bestFit="1" customWidth="1"/>
    <col min="27" max="27" width="9.28515625" style="175" bestFit="1" customWidth="1"/>
    <col min="28" max="29" width="8.85546875" style="175" bestFit="1" customWidth="1"/>
    <col min="30" max="30" width="9.28515625" style="175" bestFit="1" customWidth="1"/>
    <col min="31" max="31" width="4.7109375" style="175" customWidth="1"/>
    <col min="32" max="32" width="14.85546875" style="175" bestFit="1" customWidth="1"/>
    <col min="33" max="33" width="9.28515625" style="175" bestFit="1" customWidth="1"/>
    <col min="34" max="16384" width="9.140625" style="175"/>
  </cols>
  <sheetData>
    <row r="1" spans="2:34">
      <c r="J1" s="198">
        <f t="shared" ref="J1:P1" si="0">EOMONTH(J5,0)</f>
        <v>45688</v>
      </c>
      <c r="K1" s="198">
        <f t="shared" si="0"/>
        <v>45716</v>
      </c>
      <c r="L1" s="198">
        <f t="shared" si="0"/>
        <v>45747</v>
      </c>
      <c r="M1" s="198">
        <f t="shared" si="0"/>
        <v>45777</v>
      </c>
      <c r="N1" s="198">
        <f t="shared" si="0"/>
        <v>45808</v>
      </c>
      <c r="O1" s="198">
        <f t="shared" si="0"/>
        <v>45838</v>
      </c>
      <c r="P1" s="198">
        <f t="shared" si="0"/>
        <v>45869</v>
      </c>
      <c r="Q1" s="198">
        <f>EOMONTH(Q5,0)</f>
        <v>45900</v>
      </c>
      <c r="R1" s="198">
        <f t="shared" ref="R1:AB1" si="1">EOMONTH(R5,0)</f>
        <v>45930</v>
      </c>
      <c r="S1" s="198">
        <f t="shared" si="1"/>
        <v>45961</v>
      </c>
      <c r="T1" s="198">
        <f t="shared" si="1"/>
        <v>45991</v>
      </c>
      <c r="U1" s="198">
        <f t="shared" si="1"/>
        <v>46022</v>
      </c>
      <c r="V1" s="198">
        <f t="shared" si="1"/>
        <v>46053</v>
      </c>
      <c r="W1" s="198">
        <f t="shared" si="1"/>
        <v>46081</v>
      </c>
      <c r="X1" s="198">
        <f t="shared" si="1"/>
        <v>46112</v>
      </c>
      <c r="Y1" s="198">
        <f t="shared" si="1"/>
        <v>46142</v>
      </c>
      <c r="Z1" s="198">
        <f t="shared" si="1"/>
        <v>46173</v>
      </c>
      <c r="AA1" s="198">
        <f t="shared" si="1"/>
        <v>46203</v>
      </c>
      <c r="AB1" s="198">
        <f t="shared" si="1"/>
        <v>46234</v>
      </c>
      <c r="AC1" s="198">
        <f t="shared" ref="AC1:AD1" si="2">EOMONTH(AC5,0)</f>
        <v>46265</v>
      </c>
      <c r="AD1" s="198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6" t="s">
        <v>1315</v>
      </c>
      <c r="C3" s="177"/>
      <c r="D3" s="177"/>
      <c r="E3" s="177"/>
      <c r="F3" s="177"/>
      <c r="G3" s="177"/>
      <c r="H3" s="177"/>
      <c r="I3" s="280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F3" s="175" t="s">
        <v>276</v>
      </c>
      <c r="AG3" s="248">
        <v>0</v>
      </c>
    </row>
    <row r="5" spans="2:34" ht="24">
      <c r="B5" s="161" t="s">
        <v>1316</v>
      </c>
      <c r="C5" s="178" t="s">
        <v>1324</v>
      </c>
      <c r="D5" s="178" t="s">
        <v>3</v>
      </c>
      <c r="E5" s="178" t="s">
        <v>4</v>
      </c>
      <c r="F5" s="178" t="s">
        <v>1326</v>
      </c>
      <c r="G5" s="195"/>
      <c r="H5" s="178" t="s">
        <v>1550</v>
      </c>
      <c r="J5" s="194">
        <v>45658</v>
      </c>
      <c r="K5" s="194">
        <f t="shared" ref="K5" si="3">EOMONTH(J5,0)+1</f>
        <v>45689</v>
      </c>
      <c r="L5" s="194">
        <f t="shared" ref="L5" si="4">EOMONTH(K5,0)+1</f>
        <v>45717</v>
      </c>
      <c r="M5" s="194">
        <f t="shared" ref="M5" si="5">EOMONTH(L5,0)+1</f>
        <v>45748</v>
      </c>
      <c r="N5" s="194">
        <f t="shared" ref="N5" si="6">EOMONTH(M5,0)+1</f>
        <v>45778</v>
      </c>
      <c r="O5" s="194">
        <f t="shared" ref="O5" si="7">EOMONTH(N5,0)+1</f>
        <v>45809</v>
      </c>
      <c r="P5" s="194">
        <f t="shared" ref="P5" si="8">EOMONTH(O5,0)+1</f>
        <v>45839</v>
      </c>
      <c r="Q5" s="194">
        <v>45870</v>
      </c>
      <c r="R5" s="194">
        <f t="shared" ref="R5:AB5" si="9">EOMONTH(Q5,0)+1</f>
        <v>45901</v>
      </c>
      <c r="S5" s="194">
        <f t="shared" si="9"/>
        <v>45931</v>
      </c>
      <c r="T5" s="194">
        <f t="shared" si="9"/>
        <v>45962</v>
      </c>
      <c r="U5" s="194">
        <f t="shared" si="9"/>
        <v>45992</v>
      </c>
      <c r="V5" s="194">
        <f t="shared" si="9"/>
        <v>46023</v>
      </c>
      <c r="W5" s="194">
        <f t="shared" si="9"/>
        <v>46054</v>
      </c>
      <c r="X5" s="194">
        <f t="shared" si="9"/>
        <v>46082</v>
      </c>
      <c r="Y5" s="194">
        <f t="shared" si="9"/>
        <v>46113</v>
      </c>
      <c r="Z5" s="194">
        <f t="shared" si="9"/>
        <v>46143</v>
      </c>
      <c r="AA5" s="194">
        <f t="shared" si="9"/>
        <v>46174</v>
      </c>
      <c r="AB5" s="194">
        <f t="shared" si="9"/>
        <v>46204</v>
      </c>
      <c r="AC5" s="194">
        <f t="shared" ref="AC5" si="10">EOMONTH(AB5,0)+1</f>
        <v>46235</v>
      </c>
      <c r="AD5" s="194">
        <f t="shared" ref="AD5" si="11">EOMONTH(AC5,0)+1</f>
        <v>46266</v>
      </c>
      <c r="AE5" s="189"/>
      <c r="AF5" s="189"/>
      <c r="AG5" s="189"/>
      <c r="AH5" s="189"/>
    </row>
    <row r="6" spans="2:34">
      <c r="B6" s="188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5" t="s">
        <v>1321</v>
      </c>
      <c r="C7" s="184">
        <f>+C13-C8-C12</f>
        <v>61</v>
      </c>
      <c r="D7" s="184">
        <f>+D13-D8-D12</f>
        <v>69</v>
      </c>
      <c r="E7" s="184">
        <f>+E13-E8-E12</f>
        <v>123</v>
      </c>
      <c r="F7" s="184">
        <f>+F13-F8-F12</f>
        <v>166</v>
      </c>
      <c r="H7" s="184">
        <f t="shared" ref="H7:Z7" si="12">+H13-H8-H12</f>
        <v>156</v>
      </c>
      <c r="J7" s="184">
        <f t="shared" ref="J7:P7" si="13">+J13-J8-J12</f>
        <v>123</v>
      </c>
      <c r="K7" s="184">
        <f t="shared" si="13"/>
        <v>125</v>
      </c>
      <c r="L7" s="184">
        <f t="shared" si="13"/>
        <v>126</v>
      </c>
      <c r="M7" s="184">
        <f t="shared" si="13"/>
        <v>132</v>
      </c>
      <c r="N7" s="184">
        <f t="shared" si="13"/>
        <v>137</v>
      </c>
      <c r="O7" s="184">
        <f t="shared" si="13"/>
        <v>143</v>
      </c>
      <c r="P7" s="184">
        <f t="shared" si="13"/>
        <v>143</v>
      </c>
      <c r="Q7" s="184">
        <f t="shared" si="12"/>
        <v>147</v>
      </c>
      <c r="R7" s="184">
        <f t="shared" si="12"/>
        <v>153</v>
      </c>
      <c r="S7" s="184">
        <f t="shared" si="12"/>
        <v>156</v>
      </c>
      <c r="T7" s="184">
        <f t="shared" si="12"/>
        <v>169</v>
      </c>
      <c r="U7" s="184">
        <f t="shared" si="12"/>
        <v>167</v>
      </c>
      <c r="V7" s="184">
        <f t="shared" si="12"/>
        <v>166</v>
      </c>
      <c r="W7" s="184">
        <f t="shared" si="12"/>
        <v>173</v>
      </c>
      <c r="X7" s="184">
        <f t="shared" si="12"/>
        <v>182</v>
      </c>
      <c r="Y7" s="184">
        <f t="shared" si="12"/>
        <v>181</v>
      </c>
      <c r="Z7" s="184">
        <f t="shared" si="12"/>
        <v>187</v>
      </c>
      <c r="AA7" s="184">
        <f>+AA13-AA8-AA12</f>
        <v>178</v>
      </c>
      <c r="AB7" s="184">
        <f>+AB13-AB8-AB12</f>
        <v>178</v>
      </c>
      <c r="AC7" s="184">
        <f t="shared" ref="AC7:AD7" si="14">+AC13-AC8-AC12</f>
        <v>163</v>
      </c>
      <c r="AD7" s="184">
        <f t="shared" si="14"/>
        <v>164</v>
      </c>
    </row>
    <row r="8" spans="2:34">
      <c r="B8" s="193" t="s">
        <v>1322</v>
      </c>
      <c r="C8" s="175">
        <f>COUNTIFS('Full Customer List'!$I:$I,"&gt;"&amp;'Client Retention'!C$134,'Full Customer List'!$I:$I,"&lt;"&amp;'Client Retention'!C$135)</f>
        <v>28</v>
      </c>
      <c r="D8" s="175">
        <f>COUNTIFS('Full Customer List'!$I:$I,"&gt;"&amp;'Client Retention'!D$134,'Full Customer List'!$I:$I,"&lt;"&amp;'Client Retention'!D$135)</f>
        <v>88</v>
      </c>
      <c r="E8" s="199">
        <f>SUM(J8:U8)</f>
        <v>102</v>
      </c>
      <c r="F8" s="199">
        <f>SUM(V8:AD8)</f>
        <v>62</v>
      </c>
      <c r="H8" s="199">
        <f>SUM(S8:AD8)</f>
        <v>94</v>
      </c>
      <c r="J8" s="197">
        <f>COUNTIFS('Full Customer List'!$I:$I,'Client Retention'!J$5)</f>
        <v>9</v>
      </c>
      <c r="K8" s="197">
        <f>COUNTIFS('Full Customer List'!$I:$I,'Client Retention'!K$5)</f>
        <v>5</v>
      </c>
      <c r="L8" s="197">
        <f>COUNTIFS('Full Customer List'!$I:$I,'Client Retention'!L$5)</f>
        <v>8</v>
      </c>
      <c r="M8" s="197">
        <f>COUNTIFS('Full Customer List'!$I:$I,'Client Retention'!M$5)</f>
        <v>9</v>
      </c>
      <c r="N8" s="197">
        <f>COUNTIFS('Full Customer List'!$I:$I,'Client Retention'!N$5)</f>
        <v>9</v>
      </c>
      <c r="O8" s="197">
        <f>COUNTIFS('Full Customer List'!$I:$I,'Client Retention'!O$5)</f>
        <v>7</v>
      </c>
      <c r="P8" s="197">
        <f>COUNTIFS('Full Customer List'!$I:$I,'Client Retention'!P$5)</f>
        <v>7</v>
      </c>
      <c r="Q8" s="197">
        <f>COUNTIFS('Full Customer List'!$I:$I,'Client Retention'!Q$5)</f>
        <v>8</v>
      </c>
      <c r="R8" s="197">
        <f>COUNTIFS('Full Customer List'!$I:$I,'Client Retention'!R$5)</f>
        <v>8</v>
      </c>
      <c r="S8" s="197">
        <f>COUNTIFS('Full Customer List'!$I:$I,'Client Retention'!S$5)</f>
        <v>14</v>
      </c>
      <c r="T8" s="197">
        <f>COUNTIFS('Full Customer List'!$I:$I,'Client Retention'!T$5)</f>
        <v>7</v>
      </c>
      <c r="U8" s="197">
        <f>COUNTIFS('Full Customer List'!$I:$I,'Client Retention'!U$5)</f>
        <v>11</v>
      </c>
      <c r="V8" s="197">
        <f>COUNTIFS('Full Customer List'!$I:$I,'Client Retention'!V$5)</f>
        <v>11</v>
      </c>
      <c r="W8" s="197">
        <f>COUNTIFS('Full Customer List'!$I:$I,'Client Retention'!W$5)</f>
        <v>11</v>
      </c>
      <c r="X8" s="197">
        <f>COUNTIFS('Full Customer List'!$I:$I,'Client Retention'!X$5)</f>
        <v>6</v>
      </c>
      <c r="Y8" s="197">
        <f>COUNTIFS('Full Customer List'!$I:$I,'Client Retention'!Y$5)</f>
        <v>11</v>
      </c>
      <c r="Z8" s="197">
        <f>COUNTIFS('Full Customer List'!$I:$I,'Client Retention'!Z$5)</f>
        <v>7</v>
      </c>
      <c r="AA8" s="197">
        <f>COUNTIFS('Full Customer List'!$I:$I,'Client Retention'!AA$5)</f>
        <v>4</v>
      </c>
      <c r="AB8" s="197">
        <f>COUNTIFS('Full Customer List'!$I:$I,'Client Retention'!AB$5)</f>
        <v>5</v>
      </c>
      <c r="AC8" s="197">
        <f>COUNTIFS('Full Customer List'!$I:$I,'Client Retention'!AC$5)</f>
        <v>3</v>
      </c>
      <c r="AD8" s="197">
        <f>COUNTIFS('Full Customer List'!$I:$I,'Client Retention'!AD$5)</f>
        <v>4</v>
      </c>
    </row>
    <row r="9" spans="2:34">
      <c r="B9" s="269" t="s">
        <v>1551</v>
      </c>
      <c r="E9" s="199">
        <f t="shared" ref="E9:E11" si="15">SUM(J9:U9)</f>
        <v>-33</v>
      </c>
      <c r="F9" s="199">
        <f t="shared" ref="F9:F11" si="16">SUM(V9:AD9)</f>
        <v>-30</v>
      </c>
      <c r="H9" s="199">
        <f t="shared" ref="H9:H11" si="17">SUM(S9:AD9)</f>
        <v>-42</v>
      </c>
      <c r="J9" s="197">
        <f>-COUNTIFS('Full Customer List'!$J:$J,J$1,'Full Customer List'!$H:$H,'Client Retention'!$AF9)</f>
        <v>-1</v>
      </c>
      <c r="K9" s="197">
        <f>-COUNTIFS('Full Customer List'!$J:$J,K$1,'Full Customer List'!$H:$H,'Client Retention'!$AF9)</f>
        <v>-2</v>
      </c>
      <c r="L9" s="197">
        <f>-COUNTIFS('Full Customer List'!$J:$J,L$1,'Full Customer List'!$H:$H,'Client Retention'!$AF9)</f>
        <v>-1</v>
      </c>
      <c r="M9" s="197">
        <f>-COUNTIFS('Full Customer List'!$J:$J,M$1,'Full Customer List'!$H:$H,'Client Retention'!$AF9)</f>
        <v>-3</v>
      </c>
      <c r="N9" s="197">
        <f>-COUNTIFS('Full Customer List'!$J:$J,N$1,'Full Customer List'!$H:$H,'Client Retention'!$AF9)</f>
        <v>-1</v>
      </c>
      <c r="O9" s="197">
        <f>-COUNTIFS('Full Customer List'!$J:$J,O$1,'Full Customer List'!$H:$H,'Client Retention'!$AF9)</f>
        <v>-6</v>
      </c>
      <c r="P9" s="197">
        <f>-COUNTIFS('Full Customer List'!$J:$J,P$1,'Full Customer List'!$H:$H,'Client Retention'!$AF9)</f>
        <v>-3</v>
      </c>
      <c r="Q9" s="197">
        <f>-COUNTIFS('Full Customer List'!$J:$J,Q$1,'Full Customer List'!$H:$H,'Client Retention'!$AF9)</f>
        <v>-2</v>
      </c>
      <c r="R9" s="197">
        <f>-COUNTIFS('Full Customer List'!$J:$J,R$1,'Full Customer List'!$H:$H,'Client Retention'!$AF9)</f>
        <v>-2</v>
      </c>
      <c r="S9" s="197">
        <f>-COUNTIFS('Full Customer List'!$J:$J,S$1,'Full Customer List'!$H:$H,'Client Retention'!$AF9)</f>
        <v>-1</v>
      </c>
      <c r="T9" s="197">
        <f>-COUNTIFS('Full Customer List'!$J:$J,T$1,'Full Customer List'!$H:$H,'Client Retention'!$AF9)</f>
        <v>-3</v>
      </c>
      <c r="U9" s="197">
        <f>-COUNTIFS('Full Customer List'!$J:$J,U$1,'Full Customer List'!$H:$H,'Client Retention'!$AF9)</f>
        <v>-8</v>
      </c>
      <c r="V9" s="197">
        <f>-COUNTIFS('Full Customer List'!$J:$J,V$1,'Full Customer List'!$H:$H,'Client Retention'!$AF9)</f>
        <v>-2</v>
      </c>
      <c r="W9" s="197">
        <f>-COUNTIFS('Full Customer List'!$J:$J,W$1,'Full Customer List'!$H:$H,'Client Retention'!$AF9)</f>
        <v>-2</v>
      </c>
      <c r="X9" s="197">
        <f>-COUNTIFS('Full Customer List'!$J:$J,X$1,'Full Customer List'!$H:$H,'Client Retention'!$AF9)</f>
        <v>-4</v>
      </c>
      <c r="Y9" s="197">
        <f>-COUNTIFS('Full Customer List'!$J:$J,Y$1,'Full Customer List'!$H:$H,'Client Retention'!$AF9)</f>
        <v>-3</v>
      </c>
      <c r="Z9" s="197">
        <f>-COUNTIFS('Full Customer List'!$J:$J,Z$1,'Full Customer List'!$H:$H,'Client Retention'!$AF9)</f>
        <v>-13</v>
      </c>
      <c r="AA9" s="197">
        <f>-COUNTIFS('Full Customer List'!$J:$J,AA$1,'Full Customer List'!$H:$H,'Client Retention'!$AF9)</f>
        <v>-4</v>
      </c>
      <c r="AB9" s="197">
        <f>-COUNTIFS('Full Customer List'!$J:$J,AB$1,'Full Customer List'!$H:$H,'Client Retention'!$AF9)</f>
        <v>-2</v>
      </c>
      <c r="AC9" s="197">
        <f>-COUNTIFS('Full Customer List'!$J:$J,AC$1,'Full Customer List'!$H:$H,'Client Retention'!$AF9)</f>
        <v>0</v>
      </c>
      <c r="AD9" s="197">
        <f>-COUNTIFS('Full Customer List'!$J:$J,AD$1,'Full Customer List'!$H:$H,'Client Retention'!$AF9)</f>
        <v>0</v>
      </c>
      <c r="AF9" s="175" t="s">
        <v>509</v>
      </c>
    </row>
    <row r="10" spans="2:34">
      <c r="B10" s="269" t="s">
        <v>1552</v>
      </c>
      <c r="E10" s="199">
        <f t="shared" si="15"/>
        <v>-24</v>
      </c>
      <c r="F10" s="199">
        <f t="shared" si="16"/>
        <v>-21</v>
      </c>
      <c r="H10" s="199">
        <f t="shared" si="17"/>
        <v>-30</v>
      </c>
      <c r="J10" s="197">
        <f>-COUNTIFS('Full Customer List'!$J:$J,J$1,'Full Customer List'!$H:$H,'Client Retention'!$AF10)</f>
        <v>-6</v>
      </c>
      <c r="K10" s="197">
        <f>-COUNTIFS('Full Customer List'!$J:$J,K$1,'Full Customer List'!$H:$H,'Client Retention'!$AF10)</f>
        <v>-2</v>
      </c>
      <c r="L10" s="197">
        <f>-COUNTIFS('Full Customer List'!$J:$J,L$1,'Full Customer List'!$H:$H,'Client Retention'!$AF10)</f>
        <v>-1</v>
      </c>
      <c r="M10" s="197">
        <f>-COUNTIFS('Full Customer List'!$J:$J,M$1,'Full Customer List'!$H:$H,'Client Retention'!$AF10)</f>
        <v>-1</v>
      </c>
      <c r="N10" s="197">
        <f>-COUNTIFS('Full Customer List'!$J:$J,N$1,'Full Customer List'!$H:$H,'Client Retention'!$AF10)</f>
        <v>-2</v>
      </c>
      <c r="O10" s="197">
        <f>-COUNTIFS('Full Customer List'!$J:$J,O$1,'Full Customer List'!$H:$H,'Client Retention'!$AF10)</f>
        <v>-1</v>
      </c>
      <c r="P10" s="197">
        <f>-COUNTIFS('Full Customer List'!$J:$J,P$1,'Full Customer List'!$H:$H,'Client Retention'!$AF10)</f>
        <v>0</v>
      </c>
      <c r="Q10" s="197">
        <f>-COUNTIFS('Full Customer List'!$J:$J,Q$1,'Full Customer List'!$H:$H,'Client Retention'!$AF10)</f>
        <v>0</v>
      </c>
      <c r="R10" s="197">
        <f>-COUNTIFS('Full Customer List'!$J:$J,R$1,'Full Customer List'!$H:$H,'Client Retention'!$AF10)</f>
        <v>-2</v>
      </c>
      <c r="S10" s="197">
        <f>-COUNTIFS('Full Customer List'!$J:$J,S$1,'Full Customer List'!$H:$H,'Client Retention'!$AF10)</f>
        <v>0</v>
      </c>
      <c r="T10" s="197">
        <f>-COUNTIFS('Full Customer List'!$J:$J,T$1,'Full Customer List'!$H:$H,'Client Retention'!$AF10)</f>
        <v>-5</v>
      </c>
      <c r="U10" s="197">
        <f>-COUNTIFS('Full Customer List'!$J:$J,U$1,'Full Customer List'!$H:$H,'Client Retention'!$AF10)</f>
        <v>-4</v>
      </c>
      <c r="V10" s="197">
        <f>-COUNTIFS('Full Customer List'!$J:$J,V$1,'Full Customer List'!$H:$H,'Client Retention'!$AF10)</f>
        <v>-2</v>
      </c>
      <c r="W10" s="197">
        <f>-COUNTIFS('Full Customer List'!$J:$J,W$1,'Full Customer List'!$H:$H,'Client Retention'!$AF10)</f>
        <v>0</v>
      </c>
      <c r="X10" s="197">
        <f>-COUNTIFS('Full Customer List'!$J:$J,X$1,'Full Customer List'!$H:$H,'Client Retention'!$AF10)</f>
        <v>0</v>
      </c>
      <c r="Y10" s="197">
        <f>-COUNTIFS('Full Customer List'!$J:$J,Y$1,'Full Customer List'!$H:$H,'Client Retention'!$AF10)</f>
        <v>-1</v>
      </c>
      <c r="Z10" s="197">
        <f>-COUNTIFS('Full Customer List'!$J:$J,Z$1,'Full Customer List'!$H:$H,'Client Retention'!$AF10)</f>
        <v>-2</v>
      </c>
      <c r="AA10" s="197">
        <f>-COUNTIFS('Full Customer List'!$J:$J,AA$1,'Full Customer List'!$H:$H,'Client Retention'!$AF10)</f>
        <v>0</v>
      </c>
      <c r="AB10" s="197">
        <f>-COUNTIFS('Full Customer List'!$J:$J,AB$1,'Full Customer List'!$H:$H,'Client Retention'!$AF10)</f>
        <v>-16</v>
      </c>
      <c r="AC10" s="197">
        <f>-COUNTIFS('Full Customer List'!$J:$J,AC$1,'Full Customer List'!$H:$H,'Client Retention'!$AF10)</f>
        <v>0</v>
      </c>
      <c r="AD10" s="197">
        <f>-COUNTIFS('Full Customer List'!$J:$J,AD$1,'Full Customer List'!$H:$H,'Client Retention'!$AF10)</f>
        <v>0</v>
      </c>
      <c r="AF10" s="175" t="s">
        <v>510</v>
      </c>
    </row>
    <row r="11" spans="2:34">
      <c r="B11" s="269" t="s">
        <v>1553</v>
      </c>
      <c r="E11" s="199">
        <f t="shared" si="15"/>
        <v>-2</v>
      </c>
      <c r="F11" s="199">
        <f t="shared" si="16"/>
        <v>-9</v>
      </c>
      <c r="H11" s="199">
        <f t="shared" si="17"/>
        <v>-10</v>
      </c>
      <c r="J11" s="197">
        <f>-COUNTIFS('Full Customer List'!$J:$J,J$1,'Full Customer List'!$H:$H,'Client Retention'!$AF11)</f>
        <v>0</v>
      </c>
      <c r="K11" s="197">
        <f>-COUNTIFS('Full Customer List'!$J:$J,K$1,'Full Customer List'!$H:$H,'Client Retention'!$AF11)</f>
        <v>0</v>
      </c>
      <c r="L11" s="197">
        <f>-COUNTIFS('Full Customer List'!$J:$J,L$1,'Full Customer List'!$H:$H,'Client Retention'!$AF11)</f>
        <v>0</v>
      </c>
      <c r="M11" s="197">
        <f>-COUNTIFS('Full Customer List'!$J:$J,M$1,'Full Customer List'!$H:$H,'Client Retention'!$AF11)</f>
        <v>0</v>
      </c>
      <c r="N11" s="197">
        <f>-COUNTIFS('Full Customer List'!$J:$J,N$1,'Full Customer List'!$H:$H,'Client Retention'!$AF11)</f>
        <v>0</v>
      </c>
      <c r="O11" s="197">
        <f>-COUNTIFS('Full Customer List'!$J:$J,O$1,'Full Customer List'!$H:$H,'Client Retention'!$AF11)</f>
        <v>0</v>
      </c>
      <c r="P11" s="197">
        <f>-COUNTIFS('Full Customer List'!$J:$J,P$1,'Full Customer List'!$H:$H,'Client Retention'!$AF11)</f>
        <v>0</v>
      </c>
      <c r="Q11" s="197">
        <f>-COUNTIFS('Full Customer List'!$J:$J,Q$1,'Full Customer List'!$H:$H,'Client Retention'!$AF11)</f>
        <v>0</v>
      </c>
      <c r="R11" s="197">
        <f>-COUNTIFS('Full Customer List'!$J:$J,R$1,'Full Customer List'!$H:$H,'Client Retention'!$AF11)</f>
        <v>-1</v>
      </c>
      <c r="S11" s="197">
        <f>-COUNTIFS('Full Customer List'!$J:$J,S$1,'Full Customer List'!$H:$H,'Client Retention'!$AF11)</f>
        <v>0</v>
      </c>
      <c r="T11" s="197">
        <f>-COUNTIFS('Full Customer List'!$J:$J,T$1,'Full Customer List'!$H:$H,'Client Retention'!$AF11)</f>
        <v>-1</v>
      </c>
      <c r="U11" s="197">
        <f>-COUNTIFS('Full Customer List'!$J:$J,U$1,'Full Customer List'!$H:$H,'Client Retention'!$AF11)</f>
        <v>0</v>
      </c>
      <c r="V11" s="197">
        <f>-COUNTIFS('Full Customer List'!$J:$J,V$1,'Full Customer List'!$H:$H,'Client Retention'!$AF11)</f>
        <v>0</v>
      </c>
      <c r="W11" s="197">
        <f>-COUNTIFS('Full Customer List'!$J:$J,W$1,'Full Customer List'!$H:$H,'Client Retention'!$AF11)</f>
        <v>0</v>
      </c>
      <c r="X11" s="197">
        <f>-COUNTIFS('Full Customer List'!$J:$J,X$1,'Full Customer List'!$H:$H,'Client Retention'!$AF11)</f>
        <v>-3</v>
      </c>
      <c r="Y11" s="197">
        <f>-COUNTIFS('Full Customer List'!$J:$J,Y$1,'Full Customer List'!$H:$H,'Client Retention'!$AF11)</f>
        <v>-1</v>
      </c>
      <c r="Z11" s="197">
        <f>-COUNTIFS('Full Customer List'!$J:$J,Z$1,'Full Customer List'!$H:$H,'Client Retention'!$AF11)</f>
        <v>-1</v>
      </c>
      <c r="AA11" s="197">
        <f>-COUNTIFS('Full Customer List'!$J:$J,AA$1,'Full Customer List'!$H:$H,'Client Retention'!$AF11)</f>
        <v>0</v>
      </c>
      <c r="AB11" s="197">
        <f>-COUNTIFS('Full Customer List'!$J:$J,AB$1,'Full Customer List'!$H:$H,'Client Retention'!$AF11)</f>
        <v>-2</v>
      </c>
      <c r="AC11" s="197">
        <f>-COUNTIFS('Full Customer List'!$J:$J,AC$1,'Full Customer List'!$H:$H,'Client Retention'!$AF11)</f>
        <v>-2</v>
      </c>
      <c r="AD11" s="197">
        <f>-COUNTIFS('Full Customer List'!$J:$J,AD$1,'Full Customer List'!$H:$H,'Client Retention'!$AF11)</f>
        <v>0</v>
      </c>
      <c r="AF11" s="175" t="s">
        <v>1554</v>
      </c>
    </row>
    <row r="12" spans="2:34" ht="12" customHeight="1">
      <c r="B12" s="259" t="s">
        <v>1555</v>
      </c>
      <c r="C12" s="262">
        <f>-'Client Departures'!B13</f>
        <v>-20</v>
      </c>
      <c r="D12" s="262">
        <f>-'Client Departures'!B14</f>
        <v>-34</v>
      </c>
      <c r="E12" s="260">
        <f>SUM(J12:U12)</f>
        <v>-59</v>
      </c>
      <c r="F12" s="260">
        <f>SUM(V12:AD12)</f>
        <v>-60</v>
      </c>
      <c r="G12" s="261"/>
      <c r="H12" s="260">
        <f>SUM(S12:AD12)</f>
        <v>-82</v>
      </c>
      <c r="I12" s="281"/>
      <c r="J12" s="262">
        <f>-COUNTIFS('Full Customer List'!$J:$J,J$1)</f>
        <v>-7</v>
      </c>
      <c r="K12" s="262">
        <f>-COUNTIFS('Full Customer List'!$J:$J,K$1)</f>
        <v>-4</v>
      </c>
      <c r="L12" s="262">
        <f>-COUNTIFS('Full Customer List'!$J:$J,L$1)</f>
        <v>-2</v>
      </c>
      <c r="M12" s="262">
        <f>-COUNTIFS('Full Customer List'!$J:$J,M$1)</f>
        <v>-4</v>
      </c>
      <c r="N12" s="262">
        <f>-COUNTIFS('Full Customer List'!$J:$J,N$1)</f>
        <v>-3</v>
      </c>
      <c r="O12" s="262">
        <f>-COUNTIFS('Full Customer List'!$J:$J,O$1)</f>
        <v>-7</v>
      </c>
      <c r="P12" s="262">
        <f>-COUNTIFS('Full Customer List'!$J:$J,P$1)</f>
        <v>-3</v>
      </c>
      <c r="Q12" s="262">
        <f>-COUNTIFS('Full Customer List'!$J:$J,Q$1)</f>
        <v>-2</v>
      </c>
      <c r="R12" s="262">
        <f>-COUNTIFS('Full Customer List'!$J:$J,R$1)</f>
        <v>-5</v>
      </c>
      <c r="S12" s="262">
        <f>-COUNTIFS('Full Customer List'!$J:$J,S$1)</f>
        <v>-1</v>
      </c>
      <c r="T12" s="262">
        <f>-COUNTIFS('Full Customer List'!$J:$J,T$1)</f>
        <v>-9</v>
      </c>
      <c r="U12" s="262">
        <f>-COUNTIFS('Full Customer List'!$J:$J,U$1)</f>
        <v>-12</v>
      </c>
      <c r="V12" s="262">
        <f>-COUNTIFS('Full Customer List'!$J:$J,V$1)</f>
        <v>-4</v>
      </c>
      <c r="W12" s="262">
        <f>-COUNTIFS('Full Customer List'!$J:$J,W$1)</f>
        <v>-2</v>
      </c>
      <c r="X12" s="262">
        <f>-COUNTIFS('Full Customer List'!$J:$J,X$1)</f>
        <v>-7</v>
      </c>
      <c r="Y12" s="262">
        <f>-COUNTIFS('Full Customer List'!$J:$J,Y$1)</f>
        <v>-5</v>
      </c>
      <c r="Z12" s="262">
        <f>-COUNTIFS('Full Customer List'!$J:$J,Z$1)</f>
        <v>-16</v>
      </c>
      <c r="AA12" s="262">
        <f>-COUNTIFS('Full Customer List'!$J:$J,AA$1)</f>
        <v>-4</v>
      </c>
      <c r="AB12" s="262">
        <f>-COUNTIFS('Full Customer List'!$J:$J,AB$1)</f>
        <v>-20</v>
      </c>
      <c r="AC12" s="262">
        <f>-COUNTIFS('Full Customer List'!$J:$J,AC$1)</f>
        <v>-2</v>
      </c>
      <c r="AD12" s="262">
        <f>-COUNTIFS('Full Customer List'!$J:$J,AD$1)</f>
        <v>0</v>
      </c>
    </row>
    <row r="13" spans="2:34" ht="12" customHeight="1">
      <c r="B13" s="263" t="s">
        <v>1323</v>
      </c>
      <c r="C13" s="264">
        <f>+D7</f>
        <v>69</v>
      </c>
      <c r="D13" s="264">
        <f>+E7</f>
        <v>123</v>
      </c>
      <c r="E13" s="264">
        <f>+F7</f>
        <v>166</v>
      </c>
      <c r="F13" s="265">
        <f>+$AD13</f>
        <v>168</v>
      </c>
      <c r="H13" s="268">
        <f>+$AD13</f>
        <v>168</v>
      </c>
      <c r="J13" s="266">
        <f t="shared" ref="J13" si="18">+K7</f>
        <v>125</v>
      </c>
      <c r="K13" s="264">
        <f t="shared" ref="K13" si="19">+L7</f>
        <v>126</v>
      </c>
      <c r="L13" s="264">
        <f t="shared" ref="L13" si="20">+M7</f>
        <v>132</v>
      </c>
      <c r="M13" s="264">
        <f t="shared" ref="M13" si="21">+N7</f>
        <v>137</v>
      </c>
      <c r="N13" s="264">
        <f t="shared" ref="N13" si="22">+O7</f>
        <v>143</v>
      </c>
      <c r="O13" s="264">
        <f t="shared" ref="O13" si="23">+P7</f>
        <v>143</v>
      </c>
      <c r="P13" s="264">
        <f>+Q7</f>
        <v>147</v>
      </c>
      <c r="Q13" s="264">
        <f t="shared" ref="Q13:Y13" si="24">+R7</f>
        <v>153</v>
      </c>
      <c r="R13" s="264">
        <f t="shared" si="24"/>
        <v>156</v>
      </c>
      <c r="S13" s="266">
        <f t="shared" si="24"/>
        <v>169</v>
      </c>
      <c r="T13" s="264">
        <f t="shared" si="24"/>
        <v>167</v>
      </c>
      <c r="U13" s="264">
        <f t="shared" si="24"/>
        <v>166</v>
      </c>
      <c r="V13" s="264">
        <f t="shared" si="24"/>
        <v>173</v>
      </c>
      <c r="W13" s="264">
        <f t="shared" si="24"/>
        <v>182</v>
      </c>
      <c r="X13" s="264">
        <f t="shared" si="24"/>
        <v>181</v>
      </c>
      <c r="Y13" s="264">
        <f t="shared" si="24"/>
        <v>187</v>
      </c>
      <c r="Z13" s="264">
        <f t="shared" ref="Z13" si="25">+AA7</f>
        <v>178</v>
      </c>
      <c r="AA13" s="264">
        <f t="shared" ref="AA13" si="26">+AB7</f>
        <v>178</v>
      </c>
      <c r="AB13" s="264">
        <f t="shared" ref="AB13" si="27">+AC7</f>
        <v>163</v>
      </c>
      <c r="AC13" s="264">
        <f t="shared" ref="AC13" si="28">+AD7</f>
        <v>164</v>
      </c>
      <c r="AD13" s="267">
        <f>COUNTIFS('Full Customer List'!$C:$C,"Active")</f>
        <v>168</v>
      </c>
    </row>
    <row r="14" spans="2:34" ht="3.95" customHeight="1">
      <c r="B14" s="182"/>
      <c r="C14" s="236"/>
      <c r="D14" s="236"/>
      <c r="E14" s="236"/>
      <c r="F14" s="236"/>
      <c r="H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7"/>
      <c r="AC14" s="237"/>
      <c r="AD14" s="237"/>
    </row>
    <row r="15" spans="2:34" ht="12" customHeight="1">
      <c r="B15" s="238" t="s">
        <v>1541</v>
      </c>
      <c r="C15" s="240">
        <f>(C8+C7)/C7-1</f>
        <v>0.45901639344262302</v>
      </c>
      <c r="D15" s="240">
        <f>(D8+D7)/D7-1</f>
        <v>1.2753623188405796</v>
      </c>
      <c r="E15" s="240">
        <f>(E8+E7)/E7-1</f>
        <v>0.8292682926829269</v>
      </c>
      <c r="F15" s="251">
        <f>(F8+F7)/F7-1</f>
        <v>0.37349397590361444</v>
      </c>
      <c r="G15" s="252"/>
      <c r="H15" s="253">
        <f>(H8+H7)/H7-1</f>
        <v>0.60256410256410264</v>
      </c>
      <c r="J15" s="250">
        <f t="shared" ref="J15:AB15" si="29">(J8+J7)/J7-1</f>
        <v>7.3170731707317138E-2</v>
      </c>
      <c r="K15" s="240">
        <f t="shared" si="29"/>
        <v>4.0000000000000036E-2</v>
      </c>
      <c r="L15" s="240">
        <f t="shared" si="29"/>
        <v>6.3492063492063489E-2</v>
      </c>
      <c r="M15" s="240">
        <f t="shared" si="29"/>
        <v>6.8181818181818121E-2</v>
      </c>
      <c r="N15" s="240">
        <f t="shared" si="29"/>
        <v>6.5693430656934337E-2</v>
      </c>
      <c r="O15" s="240">
        <f t="shared" si="29"/>
        <v>4.8951048951048959E-2</v>
      </c>
      <c r="P15" s="240">
        <f t="shared" si="29"/>
        <v>4.8951048951048959E-2</v>
      </c>
      <c r="Q15" s="240">
        <f t="shared" si="29"/>
        <v>5.4421768707483054E-2</v>
      </c>
      <c r="R15" s="240">
        <f t="shared" si="29"/>
        <v>5.2287581699346442E-2</v>
      </c>
      <c r="S15" s="250">
        <f t="shared" si="29"/>
        <v>8.9743589743589647E-2</v>
      </c>
      <c r="T15" s="240">
        <f t="shared" si="29"/>
        <v>4.1420118343195256E-2</v>
      </c>
      <c r="U15" s="240">
        <f t="shared" si="29"/>
        <v>6.5868263473053856E-2</v>
      </c>
      <c r="V15" s="240">
        <f t="shared" si="29"/>
        <v>6.6265060240963791E-2</v>
      </c>
      <c r="W15" s="240">
        <f t="shared" si="29"/>
        <v>6.3583815028901647E-2</v>
      </c>
      <c r="X15" s="240">
        <f t="shared" si="29"/>
        <v>3.2967032967033072E-2</v>
      </c>
      <c r="Y15" s="240">
        <f t="shared" si="29"/>
        <v>6.0773480662983381E-2</v>
      </c>
      <c r="Z15" s="240">
        <f t="shared" si="29"/>
        <v>3.7433155080213831E-2</v>
      </c>
      <c r="AA15" s="240">
        <f t="shared" si="29"/>
        <v>2.2471910112359605E-2</v>
      </c>
      <c r="AB15" s="240">
        <f t="shared" si="29"/>
        <v>2.8089887640449396E-2</v>
      </c>
      <c r="AC15" s="240">
        <f t="shared" ref="AC15:AD15" si="30">(AC8+AC7)/AC7-1</f>
        <v>1.8404907975460016E-2</v>
      </c>
      <c r="AD15" s="251">
        <f t="shared" si="30"/>
        <v>2.4390243902439046E-2</v>
      </c>
    </row>
    <row r="16" spans="2:34">
      <c r="B16" s="241" t="s">
        <v>1542</v>
      </c>
      <c r="C16" s="243">
        <f>(C12+C7)/C7-1</f>
        <v>-0.32786885245901642</v>
      </c>
      <c r="D16" s="243">
        <f>(D12+D7)/D7-1</f>
        <v>-0.49275362318840576</v>
      </c>
      <c r="E16" s="243">
        <f>(E12+E7)/E7-1</f>
        <v>-0.47967479674796742</v>
      </c>
      <c r="F16" s="244">
        <f>(F12+F7)/F7-1</f>
        <v>-0.36144578313253017</v>
      </c>
      <c r="G16" s="252"/>
      <c r="H16" s="246">
        <f>(H12+H7)/H7-1</f>
        <v>-0.52564102564102566</v>
      </c>
      <c r="J16" s="245">
        <f t="shared" ref="J16:AB16" si="31">(J12+J7)/J7-1</f>
        <v>-5.6910569105691033E-2</v>
      </c>
      <c r="K16" s="243">
        <f t="shared" si="31"/>
        <v>-3.2000000000000028E-2</v>
      </c>
      <c r="L16" s="243">
        <f t="shared" si="31"/>
        <v>-1.5873015873015928E-2</v>
      </c>
      <c r="M16" s="243">
        <f t="shared" si="31"/>
        <v>-3.0303030303030276E-2</v>
      </c>
      <c r="N16" s="243">
        <f t="shared" si="31"/>
        <v>-2.1897810218978075E-2</v>
      </c>
      <c r="O16" s="243">
        <f t="shared" si="31"/>
        <v>-4.8951048951048959E-2</v>
      </c>
      <c r="P16" s="243">
        <f t="shared" si="31"/>
        <v>-2.0979020979020935E-2</v>
      </c>
      <c r="Q16" s="243">
        <f t="shared" si="31"/>
        <v>-1.3605442176870763E-2</v>
      </c>
      <c r="R16" s="243">
        <f t="shared" si="31"/>
        <v>-3.2679738562091498E-2</v>
      </c>
      <c r="S16" s="245">
        <f t="shared" si="31"/>
        <v>-6.4102564102563875E-3</v>
      </c>
      <c r="T16" s="243">
        <f t="shared" si="31"/>
        <v>-5.3254437869822535E-2</v>
      </c>
      <c r="U16" s="243">
        <f t="shared" si="31"/>
        <v>-7.1856287425149712E-2</v>
      </c>
      <c r="V16" s="243">
        <f t="shared" si="31"/>
        <v>-2.4096385542168641E-2</v>
      </c>
      <c r="W16" s="243">
        <f t="shared" si="31"/>
        <v>-1.1560693641618491E-2</v>
      </c>
      <c r="X16" s="243">
        <f t="shared" si="31"/>
        <v>-3.8461538461538436E-2</v>
      </c>
      <c r="Y16" s="243">
        <f t="shared" si="31"/>
        <v>-2.7624309392265234E-2</v>
      </c>
      <c r="Z16" s="243">
        <f t="shared" si="31"/>
        <v>-8.5561497326203217E-2</v>
      </c>
      <c r="AA16" s="243">
        <f t="shared" si="31"/>
        <v>-2.2471910112359605E-2</v>
      </c>
      <c r="AB16" s="243">
        <f t="shared" si="31"/>
        <v>-0.11235955056179781</v>
      </c>
      <c r="AC16" s="243">
        <f t="shared" ref="AC16:AD16" si="32">(AC12+AC7)/AC7-1</f>
        <v>-1.2269938650306789E-2</v>
      </c>
      <c r="AD16" s="244">
        <f t="shared" si="32"/>
        <v>0</v>
      </c>
    </row>
    <row r="17" spans="2:34" ht="3.95" customHeight="1">
      <c r="B17" s="182"/>
      <c r="C17" s="186"/>
      <c r="D17" s="186"/>
    </row>
    <row r="18" spans="2:34" ht="24">
      <c r="B18" s="161" t="s">
        <v>1316</v>
      </c>
      <c r="C18" s="178" t="s">
        <v>1324</v>
      </c>
      <c r="D18" s="178" t="s">
        <v>3</v>
      </c>
      <c r="E18" s="178" t="s">
        <v>4</v>
      </c>
      <c r="F18" s="178" t="s">
        <v>1326</v>
      </c>
      <c r="G18" s="195"/>
      <c r="H18" s="178" t="s">
        <v>1550</v>
      </c>
      <c r="J18" s="194">
        <v>45658</v>
      </c>
      <c r="K18" s="194">
        <f t="shared" ref="K18" si="33">EOMONTH(J18,0)+1</f>
        <v>45689</v>
      </c>
      <c r="L18" s="194">
        <f t="shared" ref="L18" si="34">EOMONTH(K18,0)+1</f>
        <v>45717</v>
      </c>
      <c r="M18" s="194">
        <f t="shared" ref="M18" si="35">EOMONTH(L18,0)+1</f>
        <v>45748</v>
      </c>
      <c r="N18" s="194">
        <f t="shared" ref="N18" si="36">EOMONTH(M18,0)+1</f>
        <v>45778</v>
      </c>
      <c r="O18" s="194">
        <f t="shared" ref="O18" si="37">EOMONTH(N18,0)+1</f>
        <v>45809</v>
      </c>
      <c r="P18" s="194">
        <f t="shared" ref="P18" si="38">EOMONTH(O18,0)+1</f>
        <v>45839</v>
      </c>
      <c r="Q18" s="194">
        <v>45870</v>
      </c>
      <c r="R18" s="194">
        <f t="shared" ref="R18" si="39">EOMONTH(Q18,0)+1</f>
        <v>45901</v>
      </c>
      <c r="S18" s="194">
        <f t="shared" ref="S18" si="40">EOMONTH(R18,0)+1</f>
        <v>45931</v>
      </c>
      <c r="T18" s="194">
        <f t="shared" ref="T18" si="41">EOMONTH(S18,0)+1</f>
        <v>45962</v>
      </c>
      <c r="U18" s="194">
        <f t="shared" ref="U18" si="42">EOMONTH(T18,0)+1</f>
        <v>45992</v>
      </c>
      <c r="V18" s="194">
        <f t="shared" ref="V18" si="43">EOMONTH(U18,0)+1</f>
        <v>46023</v>
      </c>
      <c r="W18" s="194">
        <f t="shared" ref="W18" si="44">EOMONTH(V18,0)+1</f>
        <v>46054</v>
      </c>
      <c r="X18" s="194">
        <f t="shared" ref="X18" si="45">EOMONTH(W18,0)+1</f>
        <v>46082</v>
      </c>
      <c r="Y18" s="194">
        <f t="shared" ref="Y18" si="46">EOMONTH(X18,0)+1</f>
        <v>46113</v>
      </c>
      <c r="Z18" s="194">
        <f t="shared" ref="Z18" si="47">EOMONTH(Y18,0)+1</f>
        <v>46143</v>
      </c>
      <c r="AA18" s="194">
        <f t="shared" ref="AA18" si="48">EOMONTH(Z18,0)+1</f>
        <v>46174</v>
      </c>
      <c r="AB18" s="194">
        <f t="shared" ref="AB18" si="49">EOMONTH(AA18,0)+1</f>
        <v>46204</v>
      </c>
      <c r="AC18" s="194">
        <f t="shared" ref="AC18" si="50">EOMONTH(AB18,0)+1</f>
        <v>46235</v>
      </c>
      <c r="AD18" s="194">
        <f t="shared" ref="AD18" si="51">EOMONTH(AC18,0)+1</f>
        <v>46266</v>
      </c>
      <c r="AE18" s="189"/>
      <c r="AF18" s="189"/>
      <c r="AG18" s="189"/>
      <c r="AH18" s="189"/>
    </row>
    <row r="19" spans="2:34">
      <c r="B19" s="188" t="s">
        <v>1564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5" t="s">
        <v>1321</v>
      </c>
      <c r="C20" s="184"/>
      <c r="D20" s="184"/>
      <c r="E20" s="184">
        <f>+E26-E21-E25</f>
        <v>102</v>
      </c>
      <c r="F20" s="184">
        <f>+F26-F21-F25</f>
        <v>146</v>
      </c>
      <c r="H20" s="184">
        <f t="shared" ref="H20" si="52">+H26-H21-H25</f>
        <v>140</v>
      </c>
      <c r="J20" s="184">
        <f t="shared" ref="J20:Z20" si="53">+J26-J21-J25</f>
        <v>102</v>
      </c>
      <c r="K20" s="184">
        <f t="shared" si="53"/>
        <v>107</v>
      </c>
      <c r="L20" s="184">
        <f t="shared" si="53"/>
        <v>109</v>
      </c>
      <c r="M20" s="184">
        <f t="shared" si="53"/>
        <v>115</v>
      </c>
      <c r="N20" s="184">
        <f t="shared" si="53"/>
        <v>120</v>
      </c>
      <c r="O20" s="184">
        <f t="shared" si="53"/>
        <v>127</v>
      </c>
      <c r="P20" s="184">
        <f t="shared" si="53"/>
        <v>127</v>
      </c>
      <c r="Q20" s="184">
        <f t="shared" si="53"/>
        <v>132</v>
      </c>
      <c r="R20" s="184">
        <f t="shared" si="53"/>
        <v>137</v>
      </c>
      <c r="S20" s="184">
        <f t="shared" si="53"/>
        <v>140</v>
      </c>
      <c r="T20" s="184">
        <f t="shared" si="53"/>
        <v>145</v>
      </c>
      <c r="U20" s="184">
        <f t="shared" si="53"/>
        <v>144</v>
      </c>
      <c r="V20" s="184">
        <f t="shared" si="53"/>
        <v>146</v>
      </c>
      <c r="W20" s="184">
        <f t="shared" si="53"/>
        <v>153</v>
      </c>
      <c r="X20" s="184">
        <f t="shared" si="53"/>
        <v>161</v>
      </c>
      <c r="Y20" s="184">
        <f t="shared" si="53"/>
        <v>162</v>
      </c>
      <c r="Z20" s="184">
        <f t="shared" si="53"/>
        <v>168</v>
      </c>
      <c r="AA20" s="184">
        <f>+AA26-AA21-AA25</f>
        <v>160</v>
      </c>
      <c r="AB20" s="184">
        <f>+AB26-AB21-AB25</f>
        <v>160</v>
      </c>
      <c r="AC20" s="184">
        <f t="shared" ref="AC20:AD20" si="54">+AC26-AC21-AC25</f>
        <v>161</v>
      </c>
      <c r="AD20" s="184">
        <f t="shared" si="54"/>
        <v>162</v>
      </c>
    </row>
    <row r="21" spans="2:34">
      <c r="B21" s="193" t="s">
        <v>1322</v>
      </c>
      <c r="E21" s="199">
        <f>SUM(J21:U21)</f>
        <v>90</v>
      </c>
      <c r="F21" s="199">
        <f>SUM(V21:AD21)</f>
        <v>59</v>
      </c>
      <c r="H21" s="199">
        <f>SUM(S21:AD21)</f>
        <v>83</v>
      </c>
      <c r="J21" s="197">
        <f>+J34+J47+J73</f>
        <v>9</v>
      </c>
      <c r="K21" s="197">
        <f t="shared" ref="K21:AD21" si="55">+K34+K47+K73</f>
        <v>5</v>
      </c>
      <c r="L21" s="197">
        <f t="shared" si="55"/>
        <v>8</v>
      </c>
      <c r="M21" s="197">
        <f t="shared" si="55"/>
        <v>9</v>
      </c>
      <c r="N21" s="197">
        <f t="shared" si="55"/>
        <v>9</v>
      </c>
      <c r="O21" s="197">
        <f t="shared" si="55"/>
        <v>6</v>
      </c>
      <c r="P21" s="197">
        <f t="shared" si="55"/>
        <v>7</v>
      </c>
      <c r="Q21" s="197">
        <f t="shared" si="55"/>
        <v>7</v>
      </c>
      <c r="R21" s="197">
        <f t="shared" si="55"/>
        <v>6</v>
      </c>
      <c r="S21" s="197">
        <f t="shared" si="55"/>
        <v>6</v>
      </c>
      <c r="T21" s="197">
        <f t="shared" si="55"/>
        <v>7</v>
      </c>
      <c r="U21" s="197">
        <f t="shared" si="55"/>
        <v>11</v>
      </c>
      <c r="V21" s="197">
        <f t="shared" si="55"/>
        <v>10</v>
      </c>
      <c r="W21" s="197">
        <f t="shared" si="55"/>
        <v>9</v>
      </c>
      <c r="X21" s="197">
        <f t="shared" si="55"/>
        <v>6</v>
      </c>
      <c r="Y21" s="197">
        <f t="shared" si="55"/>
        <v>11</v>
      </c>
      <c r="Z21" s="197">
        <f t="shared" si="55"/>
        <v>7</v>
      </c>
      <c r="AA21" s="197">
        <f t="shared" si="55"/>
        <v>4</v>
      </c>
      <c r="AB21" s="197">
        <f t="shared" si="55"/>
        <v>5</v>
      </c>
      <c r="AC21" s="197">
        <f t="shared" si="55"/>
        <v>3</v>
      </c>
      <c r="AD21" s="197">
        <f t="shared" si="55"/>
        <v>4</v>
      </c>
    </row>
    <row r="22" spans="2:34">
      <c r="B22" s="269" t="s">
        <v>1551</v>
      </c>
      <c r="E22" s="199">
        <f t="shared" ref="E22:E24" si="56">SUM(J22:U22)</f>
        <v>-26</v>
      </c>
      <c r="F22" s="199">
        <f t="shared" ref="F22:F24" si="57">SUM(V22:AD22)</f>
        <v>-25</v>
      </c>
      <c r="H22" s="199">
        <f t="shared" ref="H22:H24" si="58">SUM(S22:AD22)</f>
        <v>-34</v>
      </c>
      <c r="J22" s="197">
        <f t="shared" ref="J22:Y25" si="59">+J35+J48+J74</f>
        <v>0</v>
      </c>
      <c r="K22" s="197">
        <f t="shared" ref="K22:AD22" si="60">+K35+K48+K74</f>
        <v>-2</v>
      </c>
      <c r="L22" s="197">
        <f t="shared" si="60"/>
        <v>-1</v>
      </c>
      <c r="M22" s="197">
        <f t="shared" si="60"/>
        <v>-3</v>
      </c>
      <c r="N22" s="197">
        <f t="shared" si="60"/>
        <v>0</v>
      </c>
      <c r="O22" s="197">
        <f t="shared" si="60"/>
        <v>-5</v>
      </c>
      <c r="P22" s="197">
        <f t="shared" si="60"/>
        <v>-2</v>
      </c>
      <c r="Q22" s="197">
        <f t="shared" si="60"/>
        <v>-2</v>
      </c>
      <c r="R22" s="197">
        <f t="shared" si="60"/>
        <v>-2</v>
      </c>
      <c r="S22" s="197">
        <f t="shared" si="60"/>
        <v>-1</v>
      </c>
      <c r="T22" s="197">
        <f t="shared" si="60"/>
        <v>-3</v>
      </c>
      <c r="U22" s="197">
        <f t="shared" si="60"/>
        <v>-5</v>
      </c>
      <c r="V22" s="197">
        <f t="shared" si="60"/>
        <v>-1</v>
      </c>
      <c r="W22" s="197">
        <f t="shared" si="60"/>
        <v>-1</v>
      </c>
      <c r="X22" s="197">
        <f t="shared" si="60"/>
        <v>-2</v>
      </c>
      <c r="Y22" s="197">
        <f t="shared" si="60"/>
        <v>-3</v>
      </c>
      <c r="Z22" s="197">
        <f t="shared" si="60"/>
        <v>-12</v>
      </c>
      <c r="AA22" s="197">
        <f t="shared" si="60"/>
        <v>-4</v>
      </c>
      <c r="AB22" s="197">
        <f t="shared" si="60"/>
        <v>-2</v>
      </c>
      <c r="AC22" s="197">
        <f t="shared" si="60"/>
        <v>0</v>
      </c>
      <c r="AD22" s="197">
        <f t="shared" si="60"/>
        <v>0</v>
      </c>
    </row>
    <row r="23" spans="2:34">
      <c r="B23" s="269" t="s">
        <v>1552</v>
      </c>
      <c r="E23" s="199">
        <f t="shared" si="56"/>
        <v>-20</v>
      </c>
      <c r="F23" s="199">
        <f t="shared" si="57"/>
        <v>-6</v>
      </c>
      <c r="H23" s="199">
        <f t="shared" si="58"/>
        <v>-15</v>
      </c>
      <c r="J23" s="197">
        <f t="shared" si="59"/>
        <v>-4</v>
      </c>
      <c r="K23" s="197">
        <f t="shared" ref="K23:AD23" si="61">+K36+K49+K75</f>
        <v>-1</v>
      </c>
      <c r="L23" s="197">
        <f t="shared" si="61"/>
        <v>-1</v>
      </c>
      <c r="M23" s="197">
        <f t="shared" si="61"/>
        <v>-1</v>
      </c>
      <c r="N23" s="197">
        <f t="shared" si="61"/>
        <v>-2</v>
      </c>
      <c r="O23" s="197">
        <f t="shared" si="61"/>
        <v>-1</v>
      </c>
      <c r="P23" s="197">
        <f t="shared" si="61"/>
        <v>0</v>
      </c>
      <c r="Q23" s="197">
        <f t="shared" si="61"/>
        <v>0</v>
      </c>
      <c r="R23" s="197">
        <f t="shared" si="61"/>
        <v>-1</v>
      </c>
      <c r="S23" s="197">
        <f t="shared" si="61"/>
        <v>0</v>
      </c>
      <c r="T23" s="197">
        <f t="shared" si="61"/>
        <v>-5</v>
      </c>
      <c r="U23" s="197">
        <f t="shared" si="61"/>
        <v>-4</v>
      </c>
      <c r="V23" s="197">
        <f t="shared" si="61"/>
        <v>-2</v>
      </c>
      <c r="W23" s="197">
        <f t="shared" si="61"/>
        <v>0</v>
      </c>
      <c r="X23" s="197">
        <f t="shared" si="61"/>
        <v>0</v>
      </c>
      <c r="Y23" s="197">
        <f t="shared" si="61"/>
        <v>-1</v>
      </c>
      <c r="Z23" s="197">
        <f t="shared" si="61"/>
        <v>-2</v>
      </c>
      <c r="AA23" s="197">
        <f t="shared" si="61"/>
        <v>0</v>
      </c>
      <c r="AB23" s="197">
        <f t="shared" si="61"/>
        <v>-1</v>
      </c>
      <c r="AC23" s="197">
        <f t="shared" si="61"/>
        <v>0</v>
      </c>
      <c r="AD23" s="197">
        <f t="shared" si="61"/>
        <v>0</v>
      </c>
    </row>
    <row r="24" spans="2:34">
      <c r="B24" s="269" t="s">
        <v>1553</v>
      </c>
      <c r="E24" s="199">
        <f t="shared" si="56"/>
        <v>0</v>
      </c>
      <c r="F24" s="199">
        <f t="shared" si="57"/>
        <v>-8</v>
      </c>
      <c r="H24" s="199">
        <f t="shared" si="58"/>
        <v>-8</v>
      </c>
      <c r="J24" s="197">
        <f t="shared" si="59"/>
        <v>0</v>
      </c>
      <c r="K24" s="197">
        <f t="shared" ref="K24:AD24" si="62">+K37+K50+K76</f>
        <v>0</v>
      </c>
      <c r="L24" s="197">
        <f t="shared" si="62"/>
        <v>0</v>
      </c>
      <c r="M24" s="197">
        <f t="shared" si="62"/>
        <v>0</v>
      </c>
      <c r="N24" s="197">
        <f t="shared" si="62"/>
        <v>0</v>
      </c>
      <c r="O24" s="197">
        <f t="shared" si="62"/>
        <v>0</v>
      </c>
      <c r="P24" s="197">
        <f t="shared" si="62"/>
        <v>0</v>
      </c>
      <c r="Q24" s="197">
        <f t="shared" si="62"/>
        <v>0</v>
      </c>
      <c r="R24" s="197">
        <f t="shared" si="62"/>
        <v>0</v>
      </c>
      <c r="S24" s="197">
        <f t="shared" si="62"/>
        <v>0</v>
      </c>
      <c r="T24" s="197">
        <f t="shared" si="62"/>
        <v>0</v>
      </c>
      <c r="U24" s="197">
        <f t="shared" si="62"/>
        <v>0</v>
      </c>
      <c r="V24" s="197">
        <f t="shared" si="62"/>
        <v>0</v>
      </c>
      <c r="W24" s="197">
        <f t="shared" si="62"/>
        <v>0</v>
      </c>
      <c r="X24" s="197">
        <f t="shared" si="62"/>
        <v>-3</v>
      </c>
      <c r="Y24" s="197">
        <f t="shared" si="62"/>
        <v>-1</v>
      </c>
      <c r="Z24" s="197">
        <f t="shared" si="62"/>
        <v>-1</v>
      </c>
      <c r="AA24" s="197">
        <f t="shared" si="62"/>
        <v>0</v>
      </c>
      <c r="AB24" s="197">
        <f t="shared" si="62"/>
        <v>-1</v>
      </c>
      <c r="AC24" s="197">
        <f t="shared" si="62"/>
        <v>-2</v>
      </c>
      <c r="AD24" s="197">
        <f t="shared" si="62"/>
        <v>0</v>
      </c>
    </row>
    <row r="25" spans="2:34" ht="12" customHeight="1">
      <c r="B25" s="259" t="s">
        <v>1555</v>
      </c>
      <c r="C25" s="262"/>
      <c r="D25" s="262"/>
      <c r="E25" s="260">
        <f>SUM(J25:U25)</f>
        <v>-46</v>
      </c>
      <c r="F25" s="260">
        <f>SUM(V25:AD25)</f>
        <v>-39</v>
      </c>
      <c r="G25" s="261"/>
      <c r="H25" s="260">
        <f>SUM(S25:AD25)</f>
        <v>-57</v>
      </c>
      <c r="I25" s="281"/>
      <c r="J25" s="262">
        <f t="shared" si="59"/>
        <v>-4</v>
      </c>
      <c r="K25" s="262">
        <f t="shared" ref="K25:AD25" si="63">+K38+K51+K77</f>
        <v>-3</v>
      </c>
      <c r="L25" s="262">
        <f t="shared" si="63"/>
        <v>-2</v>
      </c>
      <c r="M25" s="262">
        <f t="shared" si="63"/>
        <v>-4</v>
      </c>
      <c r="N25" s="262">
        <f t="shared" si="63"/>
        <v>-2</v>
      </c>
      <c r="O25" s="262">
        <f t="shared" si="63"/>
        <v>-6</v>
      </c>
      <c r="P25" s="262">
        <f t="shared" si="63"/>
        <v>-2</v>
      </c>
      <c r="Q25" s="262">
        <f t="shared" si="63"/>
        <v>-2</v>
      </c>
      <c r="R25" s="262">
        <f t="shared" si="63"/>
        <v>-3</v>
      </c>
      <c r="S25" s="262">
        <f t="shared" si="63"/>
        <v>-1</v>
      </c>
      <c r="T25" s="262">
        <f t="shared" si="63"/>
        <v>-8</v>
      </c>
      <c r="U25" s="262">
        <f t="shared" si="63"/>
        <v>-9</v>
      </c>
      <c r="V25" s="262">
        <f t="shared" si="63"/>
        <v>-3</v>
      </c>
      <c r="W25" s="262">
        <f t="shared" si="63"/>
        <v>-1</v>
      </c>
      <c r="X25" s="262">
        <f t="shared" si="63"/>
        <v>-5</v>
      </c>
      <c r="Y25" s="262">
        <f t="shared" si="63"/>
        <v>-5</v>
      </c>
      <c r="Z25" s="262">
        <f t="shared" si="63"/>
        <v>-15</v>
      </c>
      <c r="AA25" s="262">
        <f t="shared" si="63"/>
        <v>-4</v>
      </c>
      <c r="AB25" s="262">
        <f t="shared" si="63"/>
        <v>-4</v>
      </c>
      <c r="AC25" s="262">
        <f t="shared" si="63"/>
        <v>-2</v>
      </c>
      <c r="AD25" s="262">
        <f t="shared" si="63"/>
        <v>0</v>
      </c>
    </row>
    <row r="26" spans="2:34" ht="12" customHeight="1">
      <c r="B26" s="263" t="s">
        <v>1323</v>
      </c>
      <c r="C26" s="264"/>
      <c r="D26" s="264"/>
      <c r="E26" s="264">
        <f>+F20</f>
        <v>146</v>
      </c>
      <c r="F26" s="265">
        <f>+$AD26</f>
        <v>166</v>
      </c>
      <c r="H26" s="268">
        <f>+$AD26</f>
        <v>166</v>
      </c>
      <c r="J26" s="266">
        <f t="shared" ref="J26" si="64">+K20</f>
        <v>107</v>
      </c>
      <c r="K26" s="264">
        <f t="shared" ref="K26" si="65">+L20</f>
        <v>109</v>
      </c>
      <c r="L26" s="264">
        <f t="shared" ref="L26" si="66">+M20</f>
        <v>115</v>
      </c>
      <c r="M26" s="264">
        <f t="shared" ref="M26" si="67">+N20</f>
        <v>120</v>
      </c>
      <c r="N26" s="264">
        <f t="shared" ref="N26" si="68">+O20</f>
        <v>127</v>
      </c>
      <c r="O26" s="264">
        <f t="shared" ref="O26" si="69">+P20</f>
        <v>127</v>
      </c>
      <c r="P26" s="264">
        <f>+Q20</f>
        <v>132</v>
      </c>
      <c r="Q26" s="264">
        <f t="shared" ref="Q26" si="70">+R20</f>
        <v>137</v>
      </c>
      <c r="R26" s="264">
        <f t="shared" ref="R26" si="71">+S20</f>
        <v>140</v>
      </c>
      <c r="S26" s="266">
        <f t="shared" ref="S26" si="72">+T20</f>
        <v>145</v>
      </c>
      <c r="T26" s="264">
        <f t="shared" ref="T26" si="73">+U20</f>
        <v>144</v>
      </c>
      <c r="U26" s="264">
        <f t="shared" ref="U26" si="74">+V20</f>
        <v>146</v>
      </c>
      <c r="V26" s="264">
        <f t="shared" ref="V26" si="75">+W20</f>
        <v>153</v>
      </c>
      <c r="W26" s="264">
        <f t="shared" ref="W26" si="76">+X20</f>
        <v>161</v>
      </c>
      <c r="X26" s="264">
        <f t="shared" ref="X26" si="77">+Y20</f>
        <v>162</v>
      </c>
      <c r="Y26" s="264">
        <f t="shared" ref="Y26" si="78">+Z20</f>
        <v>168</v>
      </c>
      <c r="Z26" s="264">
        <f t="shared" ref="Z26" si="79">+AA20</f>
        <v>160</v>
      </c>
      <c r="AA26" s="264">
        <f>+AB20</f>
        <v>160</v>
      </c>
      <c r="AB26" s="264">
        <f>+AB39+AB52</f>
        <v>161</v>
      </c>
      <c r="AC26" s="264">
        <f t="shared" ref="AC26:AD26" si="80">+AC39+AC52</f>
        <v>162</v>
      </c>
      <c r="AD26" s="267">
        <f t="shared" si="80"/>
        <v>166</v>
      </c>
    </row>
    <row r="27" spans="2:34" ht="3.95" customHeight="1">
      <c r="B27" s="182"/>
      <c r="C27" s="236"/>
      <c r="D27" s="236"/>
      <c r="E27" s="236"/>
      <c r="F27" s="236"/>
      <c r="H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7"/>
      <c r="AC27" s="237"/>
      <c r="AD27" s="237"/>
    </row>
    <row r="28" spans="2:34" ht="12" customHeight="1">
      <c r="B28" s="238" t="s">
        <v>1541</v>
      </c>
      <c r="C28" s="239"/>
      <c r="D28" s="239"/>
      <c r="E28" s="240">
        <f>(E21+E20)/E20-1</f>
        <v>0.88235294117647056</v>
      </c>
      <c r="F28" s="251">
        <f>(F21+F20)/F20-1</f>
        <v>0.40410958904109595</v>
      </c>
      <c r="G28" s="252"/>
      <c r="H28" s="253">
        <f>(H21+H20)/H20-1</f>
        <v>0.59285714285714275</v>
      </c>
      <c r="J28" s="250">
        <f t="shared" ref="J28:AB28" si="81">(J21+J20)/J20-1</f>
        <v>8.8235294117646967E-2</v>
      </c>
      <c r="K28" s="240">
        <f t="shared" si="81"/>
        <v>4.6728971962616717E-2</v>
      </c>
      <c r="L28" s="240">
        <f t="shared" si="81"/>
        <v>7.3394495412844041E-2</v>
      </c>
      <c r="M28" s="240">
        <f t="shared" si="81"/>
        <v>7.8260869565217384E-2</v>
      </c>
      <c r="N28" s="240">
        <f t="shared" si="81"/>
        <v>7.4999999999999956E-2</v>
      </c>
      <c r="O28" s="240">
        <f t="shared" si="81"/>
        <v>4.7244094488188892E-2</v>
      </c>
      <c r="P28" s="240">
        <f t="shared" si="81"/>
        <v>5.5118110236220375E-2</v>
      </c>
      <c r="Q28" s="240">
        <f t="shared" si="81"/>
        <v>5.3030303030302983E-2</v>
      </c>
      <c r="R28" s="240">
        <f t="shared" si="81"/>
        <v>4.3795620437956151E-2</v>
      </c>
      <c r="S28" s="250">
        <f t="shared" si="81"/>
        <v>4.2857142857142927E-2</v>
      </c>
      <c r="T28" s="240">
        <f t="shared" si="81"/>
        <v>4.8275862068965614E-2</v>
      </c>
      <c r="U28" s="240">
        <f t="shared" si="81"/>
        <v>7.638888888888884E-2</v>
      </c>
      <c r="V28" s="240">
        <f t="shared" si="81"/>
        <v>6.8493150684931559E-2</v>
      </c>
      <c r="W28" s="240">
        <f t="shared" si="81"/>
        <v>5.8823529411764719E-2</v>
      </c>
      <c r="X28" s="240">
        <f t="shared" si="81"/>
        <v>3.7267080745341685E-2</v>
      </c>
      <c r="Y28" s="240">
        <f t="shared" si="81"/>
        <v>6.7901234567901314E-2</v>
      </c>
      <c r="Z28" s="240">
        <f t="shared" si="81"/>
        <v>4.1666666666666741E-2</v>
      </c>
      <c r="AA28" s="240">
        <f t="shared" si="81"/>
        <v>2.4999999999999911E-2</v>
      </c>
      <c r="AB28" s="240">
        <f t="shared" si="81"/>
        <v>3.125E-2</v>
      </c>
      <c r="AC28" s="240">
        <f t="shared" ref="AC28:AD28" si="82">(AC21+AC20)/AC20-1</f>
        <v>1.8633540372670732E-2</v>
      </c>
      <c r="AD28" s="251">
        <f t="shared" si="82"/>
        <v>2.4691358024691468E-2</v>
      </c>
    </row>
    <row r="29" spans="2:34">
      <c r="B29" s="241" t="s">
        <v>1542</v>
      </c>
      <c r="C29" s="242"/>
      <c r="D29" s="242"/>
      <c r="E29" s="243">
        <f>(E25+E20)/E20-1</f>
        <v>-0.4509803921568627</v>
      </c>
      <c r="F29" s="244">
        <f>(F25+F20)/F20-1</f>
        <v>-0.26712328767123283</v>
      </c>
      <c r="G29" s="252"/>
      <c r="H29" s="246">
        <f>(H25+H20)/H20-1</f>
        <v>-0.40714285714285714</v>
      </c>
      <c r="J29" s="245">
        <f t="shared" ref="J29:AB29" si="83">(J25+J20)/J20-1</f>
        <v>-3.9215686274509776E-2</v>
      </c>
      <c r="K29" s="243">
        <f t="shared" si="83"/>
        <v>-2.8037383177570097E-2</v>
      </c>
      <c r="L29" s="243">
        <f t="shared" si="83"/>
        <v>-1.834862385321101E-2</v>
      </c>
      <c r="M29" s="243">
        <f t="shared" si="83"/>
        <v>-3.4782608695652195E-2</v>
      </c>
      <c r="N29" s="243">
        <f t="shared" si="83"/>
        <v>-1.6666666666666718E-2</v>
      </c>
      <c r="O29" s="243">
        <f t="shared" si="83"/>
        <v>-4.7244094488189003E-2</v>
      </c>
      <c r="P29" s="243">
        <f t="shared" si="83"/>
        <v>-1.5748031496062964E-2</v>
      </c>
      <c r="Q29" s="243">
        <f t="shared" si="83"/>
        <v>-1.5151515151515138E-2</v>
      </c>
      <c r="R29" s="243">
        <f t="shared" si="83"/>
        <v>-2.1897810218978075E-2</v>
      </c>
      <c r="S29" s="245">
        <f t="shared" si="83"/>
        <v>-7.1428571428571175E-3</v>
      </c>
      <c r="T29" s="243">
        <f t="shared" si="83"/>
        <v>-5.5172413793103448E-2</v>
      </c>
      <c r="U29" s="243">
        <f t="shared" si="83"/>
        <v>-6.25E-2</v>
      </c>
      <c r="V29" s="243">
        <f t="shared" si="83"/>
        <v>-2.0547945205479423E-2</v>
      </c>
      <c r="W29" s="243">
        <f t="shared" si="83"/>
        <v>-6.5359477124182774E-3</v>
      </c>
      <c r="X29" s="243">
        <f t="shared" si="83"/>
        <v>-3.105590062111796E-2</v>
      </c>
      <c r="Y29" s="243">
        <f t="shared" si="83"/>
        <v>-3.0864197530864224E-2</v>
      </c>
      <c r="Z29" s="243">
        <f t="shared" si="83"/>
        <v>-8.9285714285714302E-2</v>
      </c>
      <c r="AA29" s="243">
        <f t="shared" si="83"/>
        <v>-2.5000000000000022E-2</v>
      </c>
      <c r="AB29" s="243">
        <f t="shared" si="83"/>
        <v>-2.5000000000000022E-2</v>
      </c>
      <c r="AC29" s="243">
        <f t="shared" ref="AC29:AD29" si="84">(AC25+AC20)/AC20-1</f>
        <v>-1.2422360248447228E-2</v>
      </c>
      <c r="AD29" s="244">
        <f t="shared" si="84"/>
        <v>0</v>
      </c>
    </row>
    <row r="30" spans="2:34" ht="3.95" customHeight="1">
      <c r="B30" s="182"/>
      <c r="C30" s="186"/>
      <c r="D30" s="186"/>
    </row>
    <row r="31" spans="2:34" ht="24">
      <c r="B31" s="161" t="s">
        <v>1316</v>
      </c>
      <c r="C31" s="178" t="s">
        <v>1324</v>
      </c>
      <c r="D31" s="178" t="s">
        <v>3</v>
      </c>
      <c r="E31" s="178" t="s">
        <v>4</v>
      </c>
      <c r="F31" s="178" t="s">
        <v>1326</v>
      </c>
      <c r="G31" s="195"/>
      <c r="H31" s="178" t="s">
        <v>1550</v>
      </c>
      <c r="J31" s="194">
        <v>45658</v>
      </c>
      <c r="K31" s="194">
        <f t="shared" ref="K31" si="85">EOMONTH(J31,0)+1</f>
        <v>45689</v>
      </c>
      <c r="L31" s="194">
        <f t="shared" ref="L31" si="86">EOMONTH(K31,0)+1</f>
        <v>45717</v>
      </c>
      <c r="M31" s="194">
        <f t="shared" ref="M31" si="87">EOMONTH(L31,0)+1</f>
        <v>45748</v>
      </c>
      <c r="N31" s="194">
        <f t="shared" ref="N31" si="88">EOMONTH(M31,0)+1</f>
        <v>45778</v>
      </c>
      <c r="O31" s="194">
        <f t="shared" ref="O31" si="89">EOMONTH(N31,0)+1</f>
        <v>45809</v>
      </c>
      <c r="P31" s="194">
        <f t="shared" ref="P31" si="90">EOMONTH(O31,0)+1</f>
        <v>45839</v>
      </c>
      <c r="Q31" s="194">
        <v>45870</v>
      </c>
      <c r="R31" s="194">
        <f t="shared" ref="R31" si="91">EOMONTH(Q31,0)+1</f>
        <v>45901</v>
      </c>
      <c r="S31" s="194">
        <f t="shared" ref="S31" si="92">EOMONTH(R31,0)+1</f>
        <v>45931</v>
      </c>
      <c r="T31" s="194">
        <f t="shared" ref="T31" si="93">EOMONTH(S31,0)+1</f>
        <v>45962</v>
      </c>
      <c r="U31" s="194">
        <f t="shared" ref="U31" si="94">EOMONTH(T31,0)+1</f>
        <v>45992</v>
      </c>
      <c r="V31" s="194">
        <f t="shared" ref="V31" si="95">EOMONTH(U31,0)+1</f>
        <v>46023</v>
      </c>
      <c r="W31" s="194">
        <f t="shared" ref="W31" si="96">EOMONTH(V31,0)+1</f>
        <v>46054</v>
      </c>
      <c r="X31" s="194">
        <f t="shared" ref="X31" si="97">EOMONTH(W31,0)+1</f>
        <v>46082</v>
      </c>
      <c r="Y31" s="194">
        <f t="shared" ref="Y31" si="98">EOMONTH(X31,0)+1</f>
        <v>46113</v>
      </c>
      <c r="Z31" s="194">
        <f t="shared" ref="Z31" si="99">EOMONTH(Y31,0)+1</f>
        <v>46143</v>
      </c>
      <c r="AA31" s="194">
        <f t="shared" ref="AA31" si="100">EOMONTH(Z31,0)+1</f>
        <v>46174</v>
      </c>
      <c r="AB31" s="194">
        <f t="shared" ref="AB31" si="101">EOMONTH(AA31,0)+1</f>
        <v>46204</v>
      </c>
      <c r="AC31" s="194">
        <f t="shared" ref="AC31" si="102">EOMONTH(AB31,0)+1</f>
        <v>46235</v>
      </c>
      <c r="AD31" s="194">
        <f t="shared" ref="AD31" si="103">EOMONTH(AC31,0)+1</f>
        <v>46266</v>
      </c>
      <c r="AE31" s="189"/>
      <c r="AF31" s="222" t="s">
        <v>1306</v>
      </c>
      <c r="AG31" s="189"/>
    </row>
    <row r="32" spans="2:34">
      <c r="B32" s="188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5" t="s">
        <v>1321</v>
      </c>
      <c r="C33" s="184"/>
      <c r="D33" s="184"/>
      <c r="E33" s="184">
        <f>+E39-E34-E38</f>
        <v>59</v>
      </c>
      <c r="F33" s="184">
        <f>+F39-F34-F38</f>
        <v>115</v>
      </c>
      <c r="H33" s="184">
        <f>+H39-H34-H38</f>
        <v>100</v>
      </c>
      <c r="J33" s="184">
        <f t="shared" ref="J33:AD33" si="104">+J39-J34-J38</f>
        <v>59</v>
      </c>
      <c r="K33" s="184">
        <f t="shared" si="104"/>
        <v>66</v>
      </c>
      <c r="L33" s="184">
        <f t="shared" si="104"/>
        <v>68</v>
      </c>
      <c r="M33" s="184">
        <f t="shared" si="104"/>
        <v>74</v>
      </c>
      <c r="N33" s="184">
        <f t="shared" si="104"/>
        <v>81</v>
      </c>
      <c r="O33" s="184">
        <f t="shared" si="104"/>
        <v>86</v>
      </c>
      <c r="P33" s="184">
        <f t="shared" si="104"/>
        <v>89</v>
      </c>
      <c r="Q33" s="184">
        <f t="shared" si="104"/>
        <v>92</v>
      </c>
      <c r="R33" s="184">
        <f t="shared" si="104"/>
        <v>96</v>
      </c>
      <c r="S33" s="184">
        <f t="shared" si="104"/>
        <v>100</v>
      </c>
      <c r="T33" s="184">
        <f t="shared" si="104"/>
        <v>104</v>
      </c>
      <c r="U33" s="184">
        <f t="shared" si="104"/>
        <v>109</v>
      </c>
      <c r="V33" s="184">
        <f t="shared" si="104"/>
        <v>115</v>
      </c>
      <c r="W33" s="184">
        <f t="shared" si="104"/>
        <v>121</v>
      </c>
      <c r="X33" s="184">
        <f t="shared" si="104"/>
        <v>126</v>
      </c>
      <c r="Y33" s="184">
        <f t="shared" si="104"/>
        <v>127</v>
      </c>
      <c r="Z33" s="184">
        <f t="shared" si="104"/>
        <v>131</v>
      </c>
      <c r="AA33" s="184">
        <f t="shared" si="104"/>
        <v>131</v>
      </c>
      <c r="AB33" s="184">
        <f t="shared" si="104"/>
        <v>132</v>
      </c>
      <c r="AC33" s="184">
        <f t="shared" si="104"/>
        <v>133</v>
      </c>
      <c r="AD33" s="184">
        <f t="shared" si="104"/>
        <v>134</v>
      </c>
    </row>
    <row r="34" spans="2:34">
      <c r="B34" s="193" t="s">
        <v>1322</v>
      </c>
      <c r="E34" s="199">
        <f>SUM(J34:U34)</f>
        <v>59</v>
      </c>
      <c r="F34" s="199">
        <f>SUM(V34:AD34)</f>
        <v>48</v>
      </c>
      <c r="H34" s="199">
        <f>SUM(S34:AD34)</f>
        <v>64</v>
      </c>
      <c r="J34" s="197">
        <f>COUNTIFS('Full Customer List'!$I:$I,'Client Retention'!J$5,'Full Customer List'!$E:$E,'Client Retention'!$AF$31)</f>
        <v>7</v>
      </c>
      <c r="K34" s="197">
        <f>COUNTIFS('Full Customer List'!$I:$I,'Client Retention'!K$5,'Full Customer List'!$E:$E,'Client Retention'!$AF$31)</f>
        <v>2</v>
      </c>
      <c r="L34" s="197">
        <f>COUNTIFS('Full Customer List'!$I:$I,'Client Retention'!L$5,'Full Customer List'!$E:$E,'Client Retention'!$AF$31)</f>
        <v>6</v>
      </c>
      <c r="M34" s="197">
        <f>COUNTIFS('Full Customer List'!$I:$I,'Client Retention'!M$5,'Full Customer List'!$E:$E,'Client Retention'!$AF$31)</f>
        <v>7</v>
      </c>
      <c r="N34" s="197">
        <f>COUNTIFS('Full Customer List'!$I:$I,'Client Retention'!N$5,'Full Customer List'!$E:$E,'Client Retention'!$AF$31)</f>
        <v>5</v>
      </c>
      <c r="O34" s="197">
        <f>COUNTIFS('Full Customer List'!$I:$I,'Client Retention'!O$5,'Full Customer List'!$E:$E,'Client Retention'!$AF$31)</f>
        <v>3</v>
      </c>
      <c r="P34" s="197">
        <f>COUNTIFS('Full Customer List'!$I:$I,'Client Retention'!P$5,'Full Customer List'!$E:$E,'Client Retention'!$AF$31)</f>
        <v>5</v>
      </c>
      <c r="Q34" s="197">
        <f>COUNTIFS('Full Customer List'!$I:$I,'Client Retention'!Q$5,'Full Customer List'!$E:$E,'Client Retention'!$AF$31)</f>
        <v>4</v>
      </c>
      <c r="R34" s="197">
        <f>COUNTIFS('Full Customer List'!$I:$I,'Client Retention'!R$5,'Full Customer List'!$E:$E,'Client Retention'!$AF$31)</f>
        <v>4</v>
      </c>
      <c r="S34" s="197">
        <f>COUNTIFS('Full Customer List'!$I:$I,'Client Retention'!S$5,'Full Customer List'!$E:$E,'Client Retention'!$AF$31)</f>
        <v>4</v>
      </c>
      <c r="T34" s="197">
        <f>COUNTIFS('Full Customer List'!$I:$I,'Client Retention'!T$5,'Full Customer List'!$E:$E,'Client Retention'!$AF$31)</f>
        <v>5</v>
      </c>
      <c r="U34" s="197">
        <f>COUNTIFS('Full Customer List'!$I:$I,'Client Retention'!U$5,'Full Customer List'!$E:$E,'Client Retention'!$AF$31)</f>
        <v>7</v>
      </c>
      <c r="V34" s="197">
        <f>COUNTIFS('Full Customer List'!$I:$I,'Client Retention'!V$5,'Full Customer List'!$E:$E,'Client Retention'!$AF$31)</f>
        <v>7</v>
      </c>
      <c r="W34" s="197">
        <f>COUNTIFS('Full Customer List'!$I:$I,'Client Retention'!W$5,'Full Customer List'!$E:$E,'Client Retention'!$AF$31)</f>
        <v>6</v>
      </c>
      <c r="X34" s="197">
        <f>COUNTIFS('Full Customer List'!$I:$I,'Client Retention'!X$5,'Full Customer List'!$E:$E,'Client Retention'!$AF$31)</f>
        <v>5</v>
      </c>
      <c r="Y34" s="197">
        <f>COUNTIFS('Full Customer List'!$I:$I,'Client Retention'!Y$5,'Full Customer List'!$E:$E,'Client Retention'!$AF$31)</f>
        <v>8</v>
      </c>
      <c r="Z34" s="197">
        <f>COUNTIFS('Full Customer List'!$I:$I,'Client Retention'!Z$5,'Full Customer List'!$E:$E,'Client Retention'!$AF$31)</f>
        <v>7</v>
      </c>
      <c r="AA34" s="197">
        <f>COUNTIFS('Full Customer List'!$I:$I,'Client Retention'!AA$5,'Full Customer List'!$E:$E,'Client Retention'!$AF$31)</f>
        <v>4</v>
      </c>
      <c r="AB34" s="197">
        <f>COUNTIFS('Full Customer List'!$I:$I,'Client Retention'!AB$5,'Full Customer List'!$E:$E,'Client Retention'!$AF$31)</f>
        <v>4</v>
      </c>
      <c r="AC34" s="197">
        <f>COUNTIFS('Full Customer List'!$I:$I,'Client Retention'!AC$5,'Full Customer List'!$E:$E,'Client Retention'!$AF$31)</f>
        <v>3</v>
      </c>
      <c r="AD34" s="197">
        <f>COUNTIFS('Full Customer List'!$I:$I,'Client Retention'!AD$5,'Full Customer List'!$E:$E,'Client Retention'!$AF$31)</f>
        <v>4</v>
      </c>
    </row>
    <row r="35" spans="2:34">
      <c r="B35" s="269" t="s">
        <v>1551</v>
      </c>
      <c r="E35" s="199">
        <f t="shared" ref="E35" si="105">SUM(J35:U35)</f>
        <v>-2</v>
      </c>
      <c r="F35" s="199">
        <f t="shared" ref="F35" si="106">SUM(V35:AD35)</f>
        <v>-14</v>
      </c>
      <c r="H35" s="199">
        <f t="shared" ref="H35" si="107">SUM(S35:AD35)</f>
        <v>-14</v>
      </c>
      <c r="J35" s="197">
        <f>-COUNTIFS('Full Customer List'!$J:$J,J$1,'Full Customer List'!$E:$E,'Client Retention'!$AF$31,'Full Customer List'!$H:$H,'Client Retention'!$AF35)</f>
        <v>0</v>
      </c>
      <c r="K35" s="197">
        <f>-COUNTIFS('Full Customer List'!$J:$J,K$1,'Full Customer List'!$E:$E,'Client Retention'!$AF$31,'Full Customer List'!$H:$H,'Client Retention'!$AF35)</f>
        <v>0</v>
      </c>
      <c r="L35" s="197">
        <f>-COUNTIFS('Full Customer List'!$J:$J,L$1,'Full Customer List'!$E:$E,'Client Retention'!$AF$31,'Full Customer List'!$H:$H,'Client Retention'!$AF35)</f>
        <v>0</v>
      </c>
      <c r="M35" s="197">
        <f>-COUNTIFS('Full Customer List'!$J:$J,M$1,'Full Customer List'!$E:$E,'Client Retention'!$AF$31,'Full Customer List'!$H:$H,'Client Retention'!$AF35)</f>
        <v>0</v>
      </c>
      <c r="N35" s="197">
        <f>-COUNTIFS('Full Customer List'!$J:$J,N$1,'Full Customer List'!$E:$E,'Client Retention'!$AF$31,'Full Customer List'!$H:$H,'Client Retention'!$AF35)</f>
        <v>0</v>
      </c>
      <c r="O35" s="197">
        <f>-COUNTIFS('Full Customer List'!$J:$J,O$1,'Full Customer List'!$E:$E,'Client Retention'!$AF$31,'Full Customer List'!$H:$H,'Client Retention'!$AF35)</f>
        <v>0</v>
      </c>
      <c r="P35" s="197">
        <f>-COUNTIFS('Full Customer List'!$J:$J,P$1,'Full Customer List'!$E:$E,'Client Retention'!$AF$31,'Full Customer List'!$H:$H,'Client Retention'!$AF35)</f>
        <v>-2</v>
      </c>
      <c r="Q35" s="197">
        <f>-COUNTIFS('Full Customer List'!$J:$J,Q$1,'Full Customer List'!$E:$E,'Client Retention'!$AF$31,'Full Customer List'!$H:$H,'Client Retention'!$AF35)</f>
        <v>0</v>
      </c>
      <c r="R35" s="197">
        <f>-COUNTIFS('Full Customer List'!$J:$J,R$1,'Full Customer List'!$E:$E,'Client Retention'!$AF$31,'Full Customer List'!$H:$H,'Client Retention'!$AF35)</f>
        <v>0</v>
      </c>
      <c r="S35" s="197">
        <f>-COUNTIFS('Full Customer List'!$J:$J,S$1,'Full Customer List'!$E:$E,'Client Retention'!$AF$31,'Full Customer List'!$H:$H,'Client Retention'!$AF35)</f>
        <v>0</v>
      </c>
      <c r="T35" s="197">
        <f>-COUNTIFS('Full Customer List'!$J:$J,T$1,'Full Customer List'!$E:$E,'Client Retention'!$AF$31,'Full Customer List'!$H:$H,'Client Retention'!$AF35)</f>
        <v>0</v>
      </c>
      <c r="U35" s="197">
        <f>-COUNTIFS('Full Customer List'!$J:$J,U$1,'Full Customer List'!$E:$E,'Client Retention'!$AF$31,'Full Customer List'!$H:$H,'Client Retention'!$AF35)</f>
        <v>0</v>
      </c>
      <c r="V35" s="197">
        <f>-COUNTIFS('Full Customer List'!$J:$J,V$1,'Full Customer List'!$E:$E,'Client Retention'!$AF$31,'Full Customer List'!$H:$H,'Client Retention'!$AF35)</f>
        <v>0</v>
      </c>
      <c r="W35" s="197">
        <f>-COUNTIFS('Full Customer List'!$J:$J,W$1,'Full Customer List'!$E:$E,'Client Retention'!$AF$31,'Full Customer List'!$H:$H,'Client Retention'!$AF35)</f>
        <v>-1</v>
      </c>
      <c r="X35" s="197">
        <f>-COUNTIFS('Full Customer List'!$J:$J,X$1,'Full Customer List'!$E:$E,'Client Retention'!$AF$31,'Full Customer List'!$H:$H,'Client Retention'!$AF35)</f>
        <v>-2</v>
      </c>
      <c r="Y35" s="197">
        <f>-COUNTIFS('Full Customer List'!$J:$J,Y$1,'Full Customer List'!$E:$E,'Client Retention'!$AF$31,'Full Customer List'!$H:$H,'Client Retention'!$AF35)</f>
        <v>-2</v>
      </c>
      <c r="Z35" s="197">
        <f>-COUNTIFS('Full Customer List'!$J:$J,Z$1,'Full Customer List'!$E:$E,'Client Retention'!$AF$31,'Full Customer List'!$H:$H,'Client Retention'!$AF35)</f>
        <v>-4</v>
      </c>
      <c r="AA35" s="197">
        <f>-COUNTIFS('Full Customer List'!$J:$J,AA$1,'Full Customer List'!$E:$E,'Client Retention'!$AF$31,'Full Customer List'!$H:$H,'Client Retention'!$AF35)</f>
        <v>-3</v>
      </c>
      <c r="AB35" s="197">
        <f>-COUNTIFS('Full Customer List'!$J:$J,AB$1,'Full Customer List'!$E:$E,'Client Retention'!$AF$31,'Full Customer List'!$H:$H,'Client Retention'!$AF35)</f>
        <v>-2</v>
      </c>
      <c r="AC35" s="197">
        <f>-COUNTIFS('Full Customer List'!$J:$J,AC$1,'Full Customer List'!$E:$E,'Client Retention'!$AF$31,'Full Customer List'!$H:$H,'Client Retention'!$AF35)</f>
        <v>0</v>
      </c>
      <c r="AD35" s="197">
        <f>-COUNTIFS('Full Customer List'!$J:$J,AD$1,'Full Customer List'!$E:$E,'Client Retention'!$AF$31,'Full Customer List'!$H:$H,'Client Retention'!$AF35)</f>
        <v>0</v>
      </c>
      <c r="AF35" s="175" t="s">
        <v>509</v>
      </c>
    </row>
    <row r="36" spans="2:34">
      <c r="B36" s="269" t="s">
        <v>1552</v>
      </c>
      <c r="E36" s="199">
        <f t="shared" ref="E36" si="108">SUM(J36:U36)</f>
        <v>-1</v>
      </c>
      <c r="F36" s="199">
        <f t="shared" ref="F36" si="109">SUM(V36:AD36)</f>
        <v>-4</v>
      </c>
      <c r="H36" s="199">
        <f t="shared" ref="H36" si="110">SUM(S36:AD36)</f>
        <v>-5</v>
      </c>
      <c r="J36" s="197">
        <f>-COUNTIFS('Full Customer List'!$J:$J,J$1,'Full Customer List'!$E:$E,'Client Retention'!$AF$31,'Full Customer List'!$H:$H,'Client Retention'!$AF36)</f>
        <v>0</v>
      </c>
      <c r="K36" s="197">
        <f>-COUNTIFS('Full Customer List'!$J:$J,K$1,'Full Customer List'!$E:$E,'Client Retention'!$AF$31,'Full Customer List'!$H:$H,'Client Retention'!$AF36)</f>
        <v>0</v>
      </c>
      <c r="L36" s="197">
        <f>-COUNTIFS('Full Customer List'!$J:$J,L$1,'Full Customer List'!$E:$E,'Client Retention'!$AF$31,'Full Customer List'!$H:$H,'Client Retention'!$AF36)</f>
        <v>0</v>
      </c>
      <c r="M36" s="197">
        <f>-COUNTIFS('Full Customer List'!$J:$J,M$1,'Full Customer List'!$E:$E,'Client Retention'!$AF$31,'Full Customer List'!$H:$H,'Client Retention'!$AF36)</f>
        <v>0</v>
      </c>
      <c r="N36" s="197">
        <f>-COUNTIFS('Full Customer List'!$J:$J,N$1,'Full Customer List'!$E:$E,'Client Retention'!$AF$31,'Full Customer List'!$H:$H,'Client Retention'!$AF36)</f>
        <v>0</v>
      </c>
      <c r="O36" s="197">
        <f>-COUNTIFS('Full Customer List'!$J:$J,O$1,'Full Customer List'!$E:$E,'Client Retention'!$AF$31,'Full Customer List'!$H:$H,'Client Retention'!$AF36)</f>
        <v>0</v>
      </c>
      <c r="P36" s="197">
        <f>-COUNTIFS('Full Customer List'!$J:$J,P$1,'Full Customer List'!$E:$E,'Client Retention'!$AF$31,'Full Customer List'!$H:$H,'Client Retention'!$AF36)</f>
        <v>0</v>
      </c>
      <c r="Q36" s="197">
        <f>-COUNTIFS('Full Customer List'!$J:$J,Q$1,'Full Customer List'!$E:$E,'Client Retention'!$AF$31,'Full Customer List'!$H:$H,'Client Retention'!$AF36)</f>
        <v>0</v>
      </c>
      <c r="R36" s="197">
        <f>-COUNTIFS('Full Customer List'!$J:$J,R$1,'Full Customer List'!$E:$E,'Client Retention'!$AF$31,'Full Customer List'!$H:$H,'Client Retention'!$AF36)</f>
        <v>0</v>
      </c>
      <c r="S36" s="197">
        <f>-COUNTIFS('Full Customer List'!$J:$J,S$1,'Full Customer List'!$E:$E,'Client Retention'!$AF$31,'Full Customer List'!$H:$H,'Client Retention'!$AF36)</f>
        <v>0</v>
      </c>
      <c r="T36" s="197">
        <f>-COUNTIFS('Full Customer List'!$J:$J,T$1,'Full Customer List'!$E:$E,'Client Retention'!$AF$31,'Full Customer List'!$H:$H,'Client Retention'!$AF36)</f>
        <v>0</v>
      </c>
      <c r="U36" s="197">
        <f>-COUNTIFS('Full Customer List'!$J:$J,U$1,'Full Customer List'!$E:$E,'Client Retention'!$AF$31,'Full Customer List'!$H:$H,'Client Retention'!$AF36)</f>
        <v>-1</v>
      </c>
      <c r="V36" s="197">
        <f>-COUNTIFS('Full Customer List'!$J:$J,V$1,'Full Customer List'!$E:$E,'Client Retention'!$AF$31,'Full Customer List'!$H:$H,'Client Retention'!$AF36)</f>
        <v>-1</v>
      </c>
      <c r="W36" s="197">
        <f>-COUNTIFS('Full Customer List'!$J:$J,W$1,'Full Customer List'!$E:$E,'Client Retention'!$AF$31,'Full Customer List'!$H:$H,'Client Retention'!$AF36)</f>
        <v>0</v>
      </c>
      <c r="X36" s="197">
        <f>-COUNTIFS('Full Customer List'!$J:$J,X$1,'Full Customer List'!$E:$E,'Client Retention'!$AF$31,'Full Customer List'!$H:$H,'Client Retention'!$AF36)</f>
        <v>0</v>
      </c>
      <c r="Y36" s="197">
        <f>-COUNTIFS('Full Customer List'!$J:$J,Y$1,'Full Customer List'!$E:$E,'Client Retention'!$AF$31,'Full Customer List'!$H:$H,'Client Retention'!$AF36)</f>
        <v>-1</v>
      </c>
      <c r="Z36" s="197">
        <f>-COUNTIFS('Full Customer List'!$J:$J,Z$1,'Full Customer List'!$E:$E,'Client Retention'!$AF$31,'Full Customer List'!$H:$H,'Client Retention'!$AF36)</f>
        <v>-2</v>
      </c>
      <c r="AA36" s="197">
        <f>-COUNTIFS('Full Customer List'!$J:$J,AA$1,'Full Customer List'!$E:$E,'Client Retention'!$AF$31,'Full Customer List'!$H:$H,'Client Retention'!$AF36)</f>
        <v>0</v>
      </c>
      <c r="AB36" s="197">
        <f>-COUNTIFS('Full Customer List'!$J:$J,AB$1,'Full Customer List'!$E:$E,'Client Retention'!$AF$31,'Full Customer List'!$H:$H,'Client Retention'!$AF36)</f>
        <v>0</v>
      </c>
      <c r="AC36" s="197">
        <f>-COUNTIFS('Full Customer List'!$J:$J,AC$1,'Full Customer List'!$E:$E,'Client Retention'!$AF$31,'Full Customer List'!$H:$H,'Client Retention'!$AF36)</f>
        <v>0</v>
      </c>
      <c r="AD36" s="197">
        <f>-COUNTIFS('Full Customer List'!$J:$J,AD$1,'Full Customer List'!$E:$E,'Client Retention'!$AF$31,'Full Customer List'!$H:$H,'Client Retention'!$AF36)</f>
        <v>0</v>
      </c>
      <c r="AF36" s="175" t="s">
        <v>510</v>
      </c>
    </row>
    <row r="37" spans="2:34">
      <c r="B37" s="269" t="s">
        <v>1553</v>
      </c>
      <c r="E37" s="199">
        <f t="shared" ref="E37" si="111">SUM(J37:U37)</f>
        <v>0</v>
      </c>
      <c r="F37" s="199">
        <f t="shared" ref="F37" si="112">SUM(V37:AD37)</f>
        <v>-7</v>
      </c>
      <c r="H37" s="199">
        <f t="shared" ref="H37" si="113">SUM(S37:AD37)</f>
        <v>-7</v>
      </c>
      <c r="J37" s="197">
        <f>-COUNTIFS('Full Customer List'!$J:$J,J$1,'Full Customer List'!$E:$E,'Client Retention'!$AF$31,'Full Customer List'!$H:$H,'Client Retention'!$AF37)</f>
        <v>0</v>
      </c>
      <c r="K37" s="197">
        <f>-COUNTIFS('Full Customer List'!$J:$J,K$1,'Full Customer List'!$E:$E,'Client Retention'!$AF$31,'Full Customer List'!$H:$H,'Client Retention'!$AF37)</f>
        <v>0</v>
      </c>
      <c r="L37" s="197">
        <f>-COUNTIFS('Full Customer List'!$J:$J,L$1,'Full Customer List'!$E:$E,'Client Retention'!$AF$31,'Full Customer List'!$H:$H,'Client Retention'!$AF37)</f>
        <v>0</v>
      </c>
      <c r="M37" s="197">
        <f>-COUNTIFS('Full Customer List'!$J:$J,M$1,'Full Customer List'!$E:$E,'Client Retention'!$AF$31,'Full Customer List'!$H:$H,'Client Retention'!$AF37)</f>
        <v>0</v>
      </c>
      <c r="N37" s="197">
        <f>-COUNTIFS('Full Customer List'!$J:$J,N$1,'Full Customer List'!$E:$E,'Client Retention'!$AF$31,'Full Customer List'!$H:$H,'Client Retention'!$AF37)</f>
        <v>0</v>
      </c>
      <c r="O37" s="197">
        <f>-COUNTIFS('Full Customer List'!$J:$J,O$1,'Full Customer List'!$E:$E,'Client Retention'!$AF$31,'Full Customer List'!$H:$H,'Client Retention'!$AF37)</f>
        <v>0</v>
      </c>
      <c r="P37" s="197">
        <f>-COUNTIFS('Full Customer List'!$J:$J,P$1,'Full Customer List'!$E:$E,'Client Retention'!$AF$31,'Full Customer List'!$H:$H,'Client Retention'!$AF37)</f>
        <v>0</v>
      </c>
      <c r="Q37" s="197">
        <f>-COUNTIFS('Full Customer List'!$J:$J,Q$1,'Full Customer List'!$E:$E,'Client Retention'!$AF$31,'Full Customer List'!$H:$H,'Client Retention'!$AF37)</f>
        <v>0</v>
      </c>
      <c r="R37" s="197">
        <f>-COUNTIFS('Full Customer List'!$J:$J,R$1,'Full Customer List'!$E:$E,'Client Retention'!$AF$31,'Full Customer List'!$H:$H,'Client Retention'!$AF37)</f>
        <v>0</v>
      </c>
      <c r="S37" s="197">
        <f>-COUNTIFS('Full Customer List'!$J:$J,S$1,'Full Customer List'!$E:$E,'Client Retention'!$AF$31,'Full Customer List'!$H:$H,'Client Retention'!$AF37)</f>
        <v>0</v>
      </c>
      <c r="T37" s="197">
        <f>-COUNTIFS('Full Customer List'!$J:$J,T$1,'Full Customer List'!$E:$E,'Client Retention'!$AF$31,'Full Customer List'!$H:$H,'Client Retention'!$AF37)</f>
        <v>0</v>
      </c>
      <c r="U37" s="197">
        <f>-COUNTIFS('Full Customer List'!$J:$J,U$1,'Full Customer List'!$E:$E,'Client Retention'!$AF$31,'Full Customer List'!$H:$H,'Client Retention'!$AF37)</f>
        <v>0</v>
      </c>
      <c r="V37" s="197">
        <f>-COUNTIFS('Full Customer List'!$J:$J,V$1,'Full Customer List'!$E:$E,'Client Retention'!$AF$31,'Full Customer List'!$H:$H,'Client Retention'!$AF37)</f>
        <v>0</v>
      </c>
      <c r="W37" s="197">
        <f>-COUNTIFS('Full Customer List'!$J:$J,W$1,'Full Customer List'!$E:$E,'Client Retention'!$AF$31,'Full Customer List'!$H:$H,'Client Retention'!$AF37)</f>
        <v>0</v>
      </c>
      <c r="X37" s="197">
        <f>-COUNTIFS('Full Customer List'!$J:$J,X$1,'Full Customer List'!$E:$E,'Client Retention'!$AF$31,'Full Customer List'!$H:$H,'Client Retention'!$AF37)</f>
        <v>-2</v>
      </c>
      <c r="Y37" s="197">
        <f>-COUNTIFS('Full Customer List'!$J:$J,Y$1,'Full Customer List'!$E:$E,'Client Retention'!$AF$31,'Full Customer List'!$H:$H,'Client Retention'!$AF37)</f>
        <v>-1</v>
      </c>
      <c r="Z37" s="197">
        <f>-COUNTIFS('Full Customer List'!$J:$J,Z$1,'Full Customer List'!$E:$E,'Client Retention'!$AF$31,'Full Customer List'!$H:$H,'Client Retention'!$AF37)</f>
        <v>-1</v>
      </c>
      <c r="AA37" s="197">
        <f>-COUNTIFS('Full Customer List'!$J:$J,AA$1,'Full Customer List'!$E:$E,'Client Retention'!$AF$31,'Full Customer List'!$H:$H,'Client Retention'!$AF37)</f>
        <v>0</v>
      </c>
      <c r="AB37" s="197">
        <f>-COUNTIFS('Full Customer List'!$J:$J,AB$1,'Full Customer List'!$E:$E,'Client Retention'!$AF$31,'Full Customer List'!$H:$H,'Client Retention'!$AF37)</f>
        <v>-1</v>
      </c>
      <c r="AC37" s="197">
        <f>-COUNTIFS('Full Customer List'!$J:$J,AC$1,'Full Customer List'!$E:$E,'Client Retention'!$AF$31,'Full Customer List'!$H:$H,'Client Retention'!$AF37)</f>
        <v>-2</v>
      </c>
      <c r="AD37" s="197">
        <f>-COUNTIFS('Full Customer List'!$J:$J,AD$1,'Full Customer List'!$E:$E,'Client Retention'!$AF$31,'Full Customer List'!$H:$H,'Client Retention'!$AF37)</f>
        <v>0</v>
      </c>
      <c r="AF37" s="175" t="s">
        <v>1554</v>
      </c>
    </row>
    <row r="38" spans="2:34" ht="12" customHeight="1">
      <c r="B38" s="259" t="s">
        <v>1555</v>
      </c>
      <c r="C38" s="262"/>
      <c r="D38" s="262"/>
      <c r="E38" s="260">
        <f>SUM(J38:U38)</f>
        <v>-3</v>
      </c>
      <c r="F38" s="260">
        <f>SUM(V38:AD38)</f>
        <v>-25</v>
      </c>
      <c r="G38" s="261"/>
      <c r="H38" s="260">
        <f>SUM(S38:AD38)</f>
        <v>-26</v>
      </c>
      <c r="I38" s="281"/>
      <c r="J38" s="262">
        <f>-COUNTIFS('Full Customer List'!$J:$J,J$1,'Full Customer List'!$E:$E,'Client Retention'!$AF$31)</f>
        <v>0</v>
      </c>
      <c r="K38" s="262">
        <f>-COUNTIFS('Full Customer List'!$J:$J,K$1,'Full Customer List'!$E:$E,'Client Retention'!$AF$31)</f>
        <v>0</v>
      </c>
      <c r="L38" s="262">
        <f>-COUNTIFS('Full Customer List'!$J:$J,L$1,'Full Customer List'!$E:$E,'Client Retention'!$AF$31)</f>
        <v>0</v>
      </c>
      <c r="M38" s="262">
        <f>-COUNTIFS('Full Customer List'!$J:$J,M$1,'Full Customer List'!$E:$E,'Client Retention'!$AF$31)</f>
        <v>0</v>
      </c>
      <c r="N38" s="262">
        <f>-COUNTIFS('Full Customer List'!$J:$J,N$1,'Full Customer List'!$E:$E,'Client Retention'!$AF$31)</f>
        <v>0</v>
      </c>
      <c r="O38" s="262">
        <f>-COUNTIFS('Full Customer List'!$J:$J,O$1,'Full Customer List'!$E:$E,'Client Retention'!$AF$31)</f>
        <v>0</v>
      </c>
      <c r="P38" s="262">
        <f>-COUNTIFS('Full Customer List'!$J:$J,P$1,'Full Customer List'!$E:$E,'Client Retention'!$AF$31)</f>
        <v>-2</v>
      </c>
      <c r="Q38" s="262">
        <f>-COUNTIFS('Full Customer List'!$J:$J,Q$1,'Full Customer List'!$E:$E,'Client Retention'!$AF$31)</f>
        <v>0</v>
      </c>
      <c r="R38" s="262">
        <f>-COUNTIFS('Full Customer List'!$J:$J,R$1,'Full Customer List'!$E:$E,'Client Retention'!$AF$31)</f>
        <v>0</v>
      </c>
      <c r="S38" s="262">
        <f>-COUNTIFS('Full Customer List'!$J:$J,S$1,'Full Customer List'!$E:$E,'Client Retention'!$AF$31)</f>
        <v>0</v>
      </c>
      <c r="T38" s="262">
        <f>-COUNTIFS('Full Customer List'!$J:$J,T$1,'Full Customer List'!$E:$E,'Client Retention'!$AF$31)</f>
        <v>0</v>
      </c>
      <c r="U38" s="262">
        <f>-COUNTIFS('Full Customer List'!$J:$J,U$1,'Full Customer List'!$E:$E,'Client Retention'!$AF$31)</f>
        <v>-1</v>
      </c>
      <c r="V38" s="262">
        <f>-COUNTIFS('Full Customer List'!$J:$J,V$1,'Full Customer List'!$E:$E,'Client Retention'!$AF$31)</f>
        <v>-1</v>
      </c>
      <c r="W38" s="262">
        <f>-COUNTIFS('Full Customer List'!$J:$J,W$1,'Full Customer List'!$E:$E,'Client Retention'!$AF$31)</f>
        <v>-1</v>
      </c>
      <c r="X38" s="262">
        <f>-COUNTIFS('Full Customer List'!$J:$J,X$1,'Full Customer List'!$E:$E,'Client Retention'!$AF$31)</f>
        <v>-4</v>
      </c>
      <c r="Y38" s="262">
        <f>-COUNTIFS('Full Customer List'!$J:$J,Y$1,'Full Customer List'!$E:$E,'Client Retention'!$AF$31)</f>
        <v>-4</v>
      </c>
      <c r="Z38" s="262">
        <f>-COUNTIFS('Full Customer List'!$J:$J,Z$1,'Full Customer List'!$E:$E,'Client Retention'!$AF$31)</f>
        <v>-7</v>
      </c>
      <c r="AA38" s="262">
        <f>-COUNTIFS('Full Customer List'!$J:$J,AA$1,'Full Customer List'!$E:$E,'Client Retention'!$AF$31)</f>
        <v>-3</v>
      </c>
      <c r="AB38" s="262">
        <f>-COUNTIFS('Full Customer List'!$J:$J,AB$1,'Full Customer List'!$E:$E,'Client Retention'!$AF$31)</f>
        <v>-3</v>
      </c>
      <c r="AC38" s="262">
        <f>-COUNTIFS('Full Customer List'!$J:$J,AC$1,'Full Customer List'!$E:$E,'Client Retention'!$AF$31)</f>
        <v>-2</v>
      </c>
      <c r="AD38" s="262">
        <f>-COUNTIFS('Full Customer List'!$J:$J,AD$1,'Full Customer List'!$E:$E,'Client Retention'!$AF$31)</f>
        <v>0</v>
      </c>
    </row>
    <row r="39" spans="2:34" ht="12" customHeight="1">
      <c r="B39" s="263" t="s">
        <v>1323</v>
      </c>
      <c r="C39" s="264"/>
      <c r="D39" s="264"/>
      <c r="E39" s="264">
        <f>+F33</f>
        <v>115</v>
      </c>
      <c r="F39" s="265">
        <f>+$AD39</f>
        <v>138</v>
      </c>
      <c r="H39" s="268">
        <f>+$AD39</f>
        <v>138</v>
      </c>
      <c r="J39" s="266">
        <f t="shared" ref="J39:AC39" si="114">+K33</f>
        <v>66</v>
      </c>
      <c r="K39" s="264">
        <f t="shared" si="114"/>
        <v>68</v>
      </c>
      <c r="L39" s="264">
        <f t="shared" si="114"/>
        <v>74</v>
      </c>
      <c r="M39" s="264">
        <f t="shared" si="114"/>
        <v>81</v>
      </c>
      <c r="N39" s="264">
        <f t="shared" si="114"/>
        <v>86</v>
      </c>
      <c r="O39" s="264">
        <f t="shared" si="114"/>
        <v>89</v>
      </c>
      <c r="P39" s="264">
        <f t="shared" si="114"/>
        <v>92</v>
      </c>
      <c r="Q39" s="264">
        <f t="shared" si="114"/>
        <v>96</v>
      </c>
      <c r="R39" s="264">
        <f t="shared" si="114"/>
        <v>100</v>
      </c>
      <c r="S39" s="266">
        <f t="shared" si="114"/>
        <v>104</v>
      </c>
      <c r="T39" s="264">
        <f t="shared" si="114"/>
        <v>109</v>
      </c>
      <c r="U39" s="264">
        <f t="shared" si="114"/>
        <v>115</v>
      </c>
      <c r="V39" s="264">
        <f t="shared" si="114"/>
        <v>121</v>
      </c>
      <c r="W39" s="264">
        <f t="shared" si="114"/>
        <v>126</v>
      </c>
      <c r="X39" s="264">
        <f t="shared" si="114"/>
        <v>127</v>
      </c>
      <c r="Y39" s="264">
        <f t="shared" si="114"/>
        <v>131</v>
      </c>
      <c r="Z39" s="264">
        <f t="shared" si="114"/>
        <v>131</v>
      </c>
      <c r="AA39" s="264">
        <f t="shared" si="114"/>
        <v>132</v>
      </c>
      <c r="AB39" s="264">
        <f t="shared" si="114"/>
        <v>133</v>
      </c>
      <c r="AC39" s="264">
        <f t="shared" si="114"/>
        <v>134</v>
      </c>
      <c r="AD39" s="267">
        <f>COUNTIFS('Full Customer List'!$C:$C,"Active",'Full Customer List'!$E:$E,'Client Retention'!$AF31)</f>
        <v>138</v>
      </c>
    </row>
    <row r="40" spans="2:34" ht="3.95" customHeight="1">
      <c r="B40" s="182"/>
      <c r="C40" s="236"/>
      <c r="D40" s="236"/>
      <c r="E40" s="236"/>
      <c r="F40" s="236"/>
      <c r="H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7"/>
      <c r="AC40" s="237"/>
      <c r="AD40" s="237"/>
    </row>
    <row r="41" spans="2:34" ht="12" customHeight="1">
      <c r="B41" s="238" t="s">
        <v>1541</v>
      </c>
      <c r="C41" s="239"/>
      <c r="D41" s="239"/>
      <c r="E41" s="240">
        <f>(E34+E33)/E33-1</f>
        <v>1</v>
      </c>
      <c r="F41" s="251">
        <f>(F34+F33)/F33-1</f>
        <v>0.41739130434782612</v>
      </c>
      <c r="G41" s="252"/>
      <c r="H41" s="253">
        <f>(H34+H33)/H33-1</f>
        <v>0.6399999999999999</v>
      </c>
      <c r="J41" s="250">
        <f t="shared" ref="J41:AD41" si="115">(J34+J33)/J33-1</f>
        <v>0.11864406779661008</v>
      </c>
      <c r="K41" s="240">
        <f t="shared" si="115"/>
        <v>3.0303030303030276E-2</v>
      </c>
      <c r="L41" s="240">
        <f t="shared" si="115"/>
        <v>8.8235294117646967E-2</v>
      </c>
      <c r="M41" s="240">
        <f t="shared" si="115"/>
        <v>9.4594594594594517E-2</v>
      </c>
      <c r="N41" s="240">
        <f t="shared" si="115"/>
        <v>6.1728395061728447E-2</v>
      </c>
      <c r="O41" s="240">
        <f t="shared" si="115"/>
        <v>3.488372093023262E-2</v>
      </c>
      <c r="P41" s="240">
        <f t="shared" si="115"/>
        <v>5.6179775280898792E-2</v>
      </c>
      <c r="Q41" s="240">
        <f t="shared" si="115"/>
        <v>4.3478260869565188E-2</v>
      </c>
      <c r="R41" s="240">
        <f t="shared" si="115"/>
        <v>4.1666666666666741E-2</v>
      </c>
      <c r="S41" s="250">
        <f t="shared" si="115"/>
        <v>4.0000000000000036E-2</v>
      </c>
      <c r="T41" s="240">
        <f t="shared" si="115"/>
        <v>4.8076923076923128E-2</v>
      </c>
      <c r="U41" s="240">
        <f t="shared" si="115"/>
        <v>6.4220183486238591E-2</v>
      </c>
      <c r="V41" s="240">
        <f t="shared" si="115"/>
        <v>6.0869565217391397E-2</v>
      </c>
      <c r="W41" s="240">
        <f t="shared" si="115"/>
        <v>4.9586776859504189E-2</v>
      </c>
      <c r="X41" s="240">
        <f t="shared" si="115"/>
        <v>3.9682539682539764E-2</v>
      </c>
      <c r="Y41" s="240">
        <f t="shared" si="115"/>
        <v>6.2992125984252079E-2</v>
      </c>
      <c r="Z41" s="240">
        <f t="shared" si="115"/>
        <v>5.3435114503816772E-2</v>
      </c>
      <c r="AA41" s="240">
        <f t="shared" si="115"/>
        <v>3.0534351145038219E-2</v>
      </c>
      <c r="AB41" s="240">
        <f t="shared" si="115"/>
        <v>3.0303030303030276E-2</v>
      </c>
      <c r="AC41" s="240">
        <f t="shared" si="115"/>
        <v>2.2556390977443552E-2</v>
      </c>
      <c r="AD41" s="251">
        <f t="shared" si="115"/>
        <v>2.9850746268656803E-2</v>
      </c>
    </row>
    <row r="42" spans="2:34">
      <c r="B42" s="241" t="s">
        <v>1542</v>
      </c>
      <c r="C42" s="242"/>
      <c r="D42" s="242"/>
      <c r="E42" s="243">
        <f>(E38+E33)/E33-1</f>
        <v>-5.084745762711862E-2</v>
      </c>
      <c r="F42" s="244">
        <f>(F38+F33)/F33-1</f>
        <v>-0.21739130434782605</v>
      </c>
      <c r="G42" s="252"/>
      <c r="H42" s="246">
        <f>(H38+H33)/H33-1</f>
        <v>-0.26</v>
      </c>
      <c r="J42" s="245">
        <f t="shared" ref="J42:AD42" si="116">(J38+J33)/J33-1</f>
        <v>0</v>
      </c>
      <c r="K42" s="243">
        <f t="shared" si="116"/>
        <v>0</v>
      </c>
      <c r="L42" s="243">
        <f t="shared" si="116"/>
        <v>0</v>
      </c>
      <c r="M42" s="243">
        <f t="shared" si="116"/>
        <v>0</v>
      </c>
      <c r="N42" s="243">
        <f t="shared" si="116"/>
        <v>0</v>
      </c>
      <c r="O42" s="243">
        <f t="shared" si="116"/>
        <v>0</v>
      </c>
      <c r="P42" s="243">
        <f t="shared" si="116"/>
        <v>-2.2471910112359605E-2</v>
      </c>
      <c r="Q42" s="243">
        <f t="shared" si="116"/>
        <v>0</v>
      </c>
      <c r="R42" s="243">
        <f t="shared" si="116"/>
        <v>0</v>
      </c>
      <c r="S42" s="245">
        <f t="shared" si="116"/>
        <v>0</v>
      </c>
      <c r="T42" s="243">
        <f t="shared" si="116"/>
        <v>0</v>
      </c>
      <c r="U42" s="243">
        <f t="shared" si="116"/>
        <v>-9.1743119266054496E-3</v>
      </c>
      <c r="V42" s="243">
        <f t="shared" si="116"/>
        <v>-8.6956521739129933E-3</v>
      </c>
      <c r="W42" s="243">
        <f t="shared" si="116"/>
        <v>-8.2644628099173278E-3</v>
      </c>
      <c r="X42" s="243">
        <f t="shared" si="116"/>
        <v>-3.1746031746031744E-2</v>
      </c>
      <c r="Y42" s="243">
        <f t="shared" si="116"/>
        <v>-3.1496062992126039E-2</v>
      </c>
      <c r="Z42" s="243">
        <f t="shared" si="116"/>
        <v>-5.3435114503816772E-2</v>
      </c>
      <c r="AA42" s="243">
        <f t="shared" si="116"/>
        <v>-2.2900763358778664E-2</v>
      </c>
      <c r="AB42" s="243">
        <f t="shared" si="116"/>
        <v>-2.2727272727272707E-2</v>
      </c>
      <c r="AC42" s="243">
        <f t="shared" si="116"/>
        <v>-1.5037593984962405E-2</v>
      </c>
      <c r="AD42" s="244">
        <f t="shared" si="116"/>
        <v>0</v>
      </c>
    </row>
    <row r="43" spans="2:34" ht="3.95" customHeight="1"/>
    <row r="44" spans="2:34" ht="24">
      <c r="B44" s="161" t="s">
        <v>1316</v>
      </c>
      <c r="C44" s="178" t="s">
        <v>1324</v>
      </c>
      <c r="D44" s="178" t="s">
        <v>3</v>
      </c>
      <c r="E44" s="178" t="s">
        <v>4</v>
      </c>
      <c r="F44" s="178" t="s">
        <v>1326</v>
      </c>
      <c r="G44" s="195"/>
      <c r="H44" s="178" t="s">
        <v>1550</v>
      </c>
      <c r="J44" s="194">
        <v>45658</v>
      </c>
      <c r="K44" s="194">
        <f t="shared" ref="K44" si="117">EOMONTH(J44,0)+1</f>
        <v>45689</v>
      </c>
      <c r="L44" s="194">
        <f t="shared" ref="L44" si="118">EOMONTH(K44,0)+1</f>
        <v>45717</v>
      </c>
      <c r="M44" s="194">
        <f t="shared" ref="M44" si="119">EOMONTH(L44,0)+1</f>
        <v>45748</v>
      </c>
      <c r="N44" s="194">
        <f t="shared" ref="N44" si="120">EOMONTH(M44,0)+1</f>
        <v>45778</v>
      </c>
      <c r="O44" s="194">
        <f t="shared" ref="O44" si="121">EOMONTH(N44,0)+1</f>
        <v>45809</v>
      </c>
      <c r="P44" s="194">
        <f t="shared" ref="P44" si="122">EOMONTH(O44,0)+1</f>
        <v>45839</v>
      </c>
      <c r="Q44" s="194">
        <v>45870</v>
      </c>
      <c r="R44" s="194">
        <f t="shared" ref="R44" si="123">EOMONTH(Q44,0)+1</f>
        <v>45901</v>
      </c>
      <c r="S44" s="194">
        <f t="shared" ref="S44" si="124">EOMONTH(R44,0)+1</f>
        <v>45931</v>
      </c>
      <c r="T44" s="194">
        <f t="shared" ref="T44" si="125">EOMONTH(S44,0)+1</f>
        <v>45962</v>
      </c>
      <c r="U44" s="194">
        <f t="shared" ref="U44" si="126">EOMONTH(T44,0)+1</f>
        <v>45992</v>
      </c>
      <c r="V44" s="194">
        <f t="shared" ref="V44" si="127">EOMONTH(U44,0)+1</f>
        <v>46023</v>
      </c>
      <c r="W44" s="194">
        <f t="shared" ref="W44" si="128">EOMONTH(V44,0)+1</f>
        <v>46054</v>
      </c>
      <c r="X44" s="194">
        <f t="shared" ref="X44" si="129">EOMONTH(W44,0)+1</f>
        <v>46082</v>
      </c>
      <c r="Y44" s="194">
        <f t="shared" ref="Y44" si="130">EOMONTH(X44,0)+1</f>
        <v>46113</v>
      </c>
      <c r="Z44" s="194">
        <f t="shared" ref="Z44" si="131">EOMONTH(Y44,0)+1</f>
        <v>46143</v>
      </c>
      <c r="AA44" s="194">
        <f t="shared" ref="AA44" si="132">EOMONTH(Z44,0)+1</f>
        <v>46174</v>
      </c>
      <c r="AB44" s="194">
        <f t="shared" ref="AB44" si="133">EOMONTH(AA44,0)+1</f>
        <v>46204</v>
      </c>
      <c r="AC44" s="194">
        <f t="shared" ref="AC44" si="134">EOMONTH(AB44,0)+1</f>
        <v>46235</v>
      </c>
      <c r="AD44" s="194">
        <f t="shared" ref="AD44" si="135">EOMONTH(AC44,0)+1</f>
        <v>46266</v>
      </c>
      <c r="AE44" s="189"/>
      <c r="AF44" s="222" t="s">
        <v>1183</v>
      </c>
      <c r="AG44" s="189"/>
      <c r="AH44" s="189"/>
    </row>
    <row r="45" spans="2:34">
      <c r="B45" s="188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5" t="s">
        <v>1321</v>
      </c>
      <c r="C46" s="184"/>
      <c r="D46" s="184"/>
      <c r="E46" s="184">
        <f>+E52-E47-E51</f>
        <v>13</v>
      </c>
      <c r="F46" s="184">
        <f>+F52-F47-F51</f>
        <v>28</v>
      </c>
      <c r="H46" s="184">
        <f t="shared" ref="H46" si="136">+H52-H47-H51</f>
        <v>23</v>
      </c>
      <c r="J46" s="184">
        <f t="shared" ref="J46:Z46" si="137">+J52-J47-J51</f>
        <v>13</v>
      </c>
      <c r="K46" s="184">
        <f t="shared" si="137"/>
        <v>15</v>
      </c>
      <c r="L46" s="184">
        <f t="shared" si="137"/>
        <v>15</v>
      </c>
      <c r="M46" s="184">
        <f t="shared" si="137"/>
        <v>15</v>
      </c>
      <c r="N46" s="184">
        <f t="shared" si="137"/>
        <v>16</v>
      </c>
      <c r="O46" s="184">
        <f t="shared" si="137"/>
        <v>18</v>
      </c>
      <c r="P46" s="184">
        <f t="shared" si="137"/>
        <v>20</v>
      </c>
      <c r="Q46" s="184">
        <f t="shared" si="137"/>
        <v>21</v>
      </c>
      <c r="R46" s="184">
        <f t="shared" si="137"/>
        <v>23</v>
      </c>
      <c r="S46" s="184">
        <f t="shared" si="137"/>
        <v>23</v>
      </c>
      <c r="T46" s="184">
        <f t="shared" si="137"/>
        <v>24</v>
      </c>
      <c r="U46" s="184">
        <f t="shared" si="137"/>
        <v>25</v>
      </c>
      <c r="V46" s="184">
        <f t="shared" si="137"/>
        <v>28</v>
      </c>
      <c r="W46" s="184">
        <f t="shared" si="137"/>
        <v>31</v>
      </c>
      <c r="X46" s="184">
        <f t="shared" si="137"/>
        <v>34</v>
      </c>
      <c r="Y46" s="184">
        <f t="shared" si="137"/>
        <v>34</v>
      </c>
      <c r="Z46" s="184">
        <f t="shared" si="137"/>
        <v>35</v>
      </c>
      <c r="AA46" s="184">
        <f>+AA52-AA47-AA51</f>
        <v>28</v>
      </c>
      <c r="AB46" s="184">
        <f>+AB52-AB47-AB51</f>
        <v>27</v>
      </c>
      <c r="AC46" s="184">
        <f t="shared" ref="AC46:AD46" si="138">+AC52-AC47-AC51</f>
        <v>28</v>
      </c>
      <c r="AD46" s="184">
        <f t="shared" si="138"/>
        <v>28</v>
      </c>
    </row>
    <row r="47" spans="2:34">
      <c r="B47" s="193" t="s">
        <v>1322</v>
      </c>
      <c r="E47" s="199">
        <f>SUM(J47:U47)</f>
        <v>15</v>
      </c>
      <c r="F47" s="199">
        <f>SUM(V47:AD47)</f>
        <v>10</v>
      </c>
      <c r="H47" s="199">
        <f>SUM(S47:AD47)</f>
        <v>15</v>
      </c>
      <c r="J47" s="197">
        <f>COUNTIFS('Full Customer List'!$I:$I,'Client Retention'!J$5,'Full Customer List'!$E:$E,$AF44)</f>
        <v>2</v>
      </c>
      <c r="K47" s="197">
        <f>COUNTIFS('Full Customer List'!$I:$I,'Client Retention'!K$5,'Full Customer List'!$E:$E,$AF44)</f>
        <v>0</v>
      </c>
      <c r="L47" s="197">
        <f>COUNTIFS('Full Customer List'!$I:$I,'Client Retention'!L$5,'Full Customer List'!$E:$E,$AF44)</f>
        <v>0</v>
      </c>
      <c r="M47" s="197">
        <f>COUNTIFS('Full Customer List'!$I:$I,'Client Retention'!M$5,'Full Customer List'!$E:$E,$AF44)</f>
        <v>1</v>
      </c>
      <c r="N47" s="197">
        <f>COUNTIFS('Full Customer List'!$I:$I,'Client Retention'!N$5,'Full Customer List'!$E:$E,$AF44)</f>
        <v>2</v>
      </c>
      <c r="O47" s="197">
        <f>COUNTIFS('Full Customer List'!$I:$I,'Client Retention'!O$5,'Full Customer List'!$E:$E,$AF44)</f>
        <v>2</v>
      </c>
      <c r="P47" s="197">
        <f>COUNTIFS('Full Customer List'!$I:$I,'Client Retention'!P$5,'Full Customer List'!$E:$E,$AF44)</f>
        <v>1</v>
      </c>
      <c r="Q47" s="197">
        <f>COUNTIFS('Full Customer List'!$I:$I,'Client Retention'!Q$5,'Full Customer List'!$E:$E,$AF44)</f>
        <v>2</v>
      </c>
      <c r="R47" s="197">
        <f>COUNTIFS('Full Customer List'!$I:$I,'Client Retention'!R$5,'Full Customer List'!$E:$E,$AF44)</f>
        <v>0</v>
      </c>
      <c r="S47" s="197">
        <f>COUNTIFS('Full Customer List'!$I:$I,'Client Retention'!S$5,'Full Customer List'!$E:$E,$AF44)</f>
        <v>1</v>
      </c>
      <c r="T47" s="197">
        <f>COUNTIFS('Full Customer List'!$I:$I,'Client Retention'!T$5,'Full Customer List'!$E:$E,$AF44)</f>
        <v>1</v>
      </c>
      <c r="U47" s="197">
        <f>COUNTIFS('Full Customer List'!$I:$I,'Client Retention'!U$5,'Full Customer List'!$E:$E,$AF44)</f>
        <v>3</v>
      </c>
      <c r="V47" s="197">
        <f>COUNTIFS('Full Customer List'!$I:$I,'Client Retention'!V$5,'Full Customer List'!$E:$E,$AF44)</f>
        <v>3</v>
      </c>
      <c r="W47" s="197">
        <f>COUNTIFS('Full Customer List'!$I:$I,'Client Retention'!W$5,'Full Customer List'!$E:$E,$AF44)</f>
        <v>3</v>
      </c>
      <c r="X47" s="197">
        <f>COUNTIFS('Full Customer List'!$I:$I,'Client Retention'!X$5,'Full Customer List'!$E:$E,$AF44)</f>
        <v>1</v>
      </c>
      <c r="Y47" s="197">
        <f>COUNTIFS('Full Customer List'!$I:$I,'Client Retention'!Y$5,'Full Customer List'!$E:$E,$AF44)</f>
        <v>2</v>
      </c>
      <c r="Z47" s="197">
        <f>COUNTIFS('Full Customer List'!$I:$I,'Client Retention'!Z$5,'Full Customer List'!$E:$E,$AF44)</f>
        <v>0</v>
      </c>
      <c r="AA47" s="197">
        <f>COUNTIFS('Full Customer List'!$I:$I,'Client Retention'!AA$5,'Full Customer List'!$E:$E,$AF44)</f>
        <v>0</v>
      </c>
      <c r="AB47" s="197">
        <f>COUNTIFS('Full Customer List'!$I:$I,'Client Retention'!AB$5,'Full Customer List'!$E:$E,$AF44)</f>
        <v>1</v>
      </c>
      <c r="AC47" s="197">
        <f>COUNTIFS('Full Customer List'!$I:$I,'Client Retention'!AC$5,'Full Customer List'!$E:$E,$AF44)</f>
        <v>0</v>
      </c>
      <c r="AD47" s="197">
        <f>COUNTIFS('Full Customer List'!$I:$I,'Client Retention'!AD$5,'Full Customer List'!$E:$E,$AF44)</f>
        <v>0</v>
      </c>
    </row>
    <row r="48" spans="2:34">
      <c r="B48" s="269" t="s">
        <v>1551</v>
      </c>
      <c r="E48" s="199">
        <f t="shared" ref="E48:E50" si="139">SUM(J48:U48)</f>
        <v>0</v>
      </c>
      <c r="F48" s="199">
        <f t="shared" ref="F48:F50" si="140">SUM(V48:AD48)</f>
        <v>-9</v>
      </c>
      <c r="H48" s="199">
        <f t="shared" ref="H48:H50" si="141">SUM(S48:AD48)</f>
        <v>-9</v>
      </c>
      <c r="J48" s="197">
        <f>-COUNTIFS('Full Customer List'!$J:$J,J$1,'Full Customer List'!$E:$E,$AF44,'Full Customer List'!$H:$H,'Client Retention'!$AF48)</f>
        <v>0</v>
      </c>
      <c r="K48" s="197">
        <f>-COUNTIFS('Full Customer List'!$J:$J,K$1,'Full Customer List'!$E:$E,$AF44,'Full Customer List'!$H:$H,'Client Retention'!$AF48)</f>
        <v>0</v>
      </c>
      <c r="L48" s="197">
        <f>-COUNTIFS('Full Customer List'!$J:$J,L$1,'Full Customer List'!$E:$E,$AF44,'Full Customer List'!$H:$H,'Client Retention'!$AF48)</f>
        <v>0</v>
      </c>
      <c r="M48" s="197">
        <f>-COUNTIFS('Full Customer List'!$J:$J,M$1,'Full Customer List'!$E:$E,$AF44,'Full Customer List'!$H:$H,'Client Retention'!$AF48)</f>
        <v>0</v>
      </c>
      <c r="N48" s="197">
        <f>-COUNTIFS('Full Customer List'!$J:$J,N$1,'Full Customer List'!$E:$E,$AF44,'Full Customer List'!$H:$H,'Client Retention'!$AF48)</f>
        <v>0</v>
      </c>
      <c r="O48" s="197">
        <f>-COUNTIFS('Full Customer List'!$J:$J,O$1,'Full Customer List'!$E:$E,$AF44,'Full Customer List'!$H:$H,'Client Retention'!$AF48)</f>
        <v>0</v>
      </c>
      <c r="P48" s="197">
        <f>-COUNTIFS('Full Customer List'!$J:$J,P$1,'Full Customer List'!$E:$E,$AF44,'Full Customer List'!$H:$H,'Client Retention'!$AF48)</f>
        <v>0</v>
      </c>
      <c r="Q48" s="197">
        <f>-COUNTIFS('Full Customer List'!$J:$J,Q$1,'Full Customer List'!$E:$E,$AF44,'Full Customer List'!$H:$H,'Client Retention'!$AF48)</f>
        <v>0</v>
      </c>
      <c r="R48" s="197">
        <f>-COUNTIFS('Full Customer List'!$J:$J,R$1,'Full Customer List'!$E:$E,$AF44,'Full Customer List'!$H:$H,'Client Retention'!$AF48)</f>
        <v>0</v>
      </c>
      <c r="S48" s="197">
        <f>-COUNTIFS('Full Customer List'!$J:$J,S$1,'Full Customer List'!$E:$E,$AF44,'Full Customer List'!$H:$H,'Client Retention'!$AF48)</f>
        <v>0</v>
      </c>
      <c r="T48" s="197">
        <f>-COUNTIFS('Full Customer List'!$J:$J,T$1,'Full Customer List'!$E:$E,$AF44,'Full Customer List'!$H:$H,'Client Retention'!$AF48)</f>
        <v>0</v>
      </c>
      <c r="U48" s="197">
        <f>-COUNTIFS('Full Customer List'!$J:$J,U$1,'Full Customer List'!$E:$E,$AF44,'Full Customer List'!$H:$H,'Client Retention'!$AF48)</f>
        <v>0</v>
      </c>
      <c r="V48" s="197">
        <f>-COUNTIFS('Full Customer List'!$J:$J,V$1,'Full Customer List'!$E:$E,$AF44,'Full Customer List'!$H:$H,'Client Retention'!$AF48)</f>
        <v>0</v>
      </c>
      <c r="W48" s="197">
        <f>-COUNTIFS('Full Customer List'!$J:$J,W$1,'Full Customer List'!$E:$E,$AF44,'Full Customer List'!$H:$H,'Client Retention'!$AF48)</f>
        <v>0</v>
      </c>
      <c r="X48" s="197">
        <f>-COUNTIFS('Full Customer List'!$J:$J,X$1,'Full Customer List'!$E:$E,$AF44,'Full Customer List'!$H:$H,'Client Retention'!$AF48)</f>
        <v>0</v>
      </c>
      <c r="Y48" s="197">
        <f>-COUNTIFS('Full Customer List'!$J:$J,Y$1,'Full Customer List'!$E:$E,$AF44,'Full Customer List'!$H:$H,'Client Retention'!$AF48)</f>
        <v>-1</v>
      </c>
      <c r="Z48" s="197">
        <f>-COUNTIFS('Full Customer List'!$J:$J,Z$1,'Full Customer List'!$E:$E,$AF44,'Full Customer List'!$H:$H,'Client Retention'!$AF48)</f>
        <v>-7</v>
      </c>
      <c r="AA48" s="197">
        <f>-COUNTIFS('Full Customer List'!$J:$J,AA$1,'Full Customer List'!$E:$E,$AF44,'Full Customer List'!$H:$H,'Client Retention'!$AF48)</f>
        <v>-1</v>
      </c>
      <c r="AB48" s="197">
        <f>-COUNTIFS('Full Customer List'!$J:$J,AB$1,'Full Customer List'!$E:$E,$AF44,'Full Customer List'!$H:$H,'Client Retention'!$AF48)</f>
        <v>0</v>
      </c>
      <c r="AC48" s="197">
        <f>-COUNTIFS('Full Customer List'!$J:$J,AC$1,'Full Customer List'!$E:$E,$AF44,'Full Customer List'!$H:$H,'Client Retention'!$AF48)</f>
        <v>0</v>
      </c>
      <c r="AD48" s="197">
        <f>-COUNTIFS('Full Customer List'!$J:$J,AD$1,'Full Customer List'!$E:$E,$AF44,'Full Customer List'!$H:$H,'Client Retention'!$AF48)</f>
        <v>0</v>
      </c>
      <c r="AF48" s="175" t="s">
        <v>509</v>
      </c>
    </row>
    <row r="49" spans="2:34">
      <c r="B49" s="269" t="s">
        <v>1552</v>
      </c>
      <c r="E49" s="199">
        <f t="shared" si="139"/>
        <v>0</v>
      </c>
      <c r="F49" s="199">
        <f t="shared" si="140"/>
        <v>0</v>
      </c>
      <c r="H49" s="199">
        <f t="shared" si="141"/>
        <v>0</v>
      </c>
      <c r="J49" s="197">
        <f>-COUNTIFS('Full Customer List'!$J:$J,J$1,'Full Customer List'!$E:$E,$AF44,'Full Customer List'!$H:$H,'Client Retention'!$AF49)</f>
        <v>0</v>
      </c>
      <c r="K49" s="197">
        <f>-COUNTIFS('Full Customer List'!$J:$J,K$1,'Full Customer List'!$E:$E,$AF44,'Full Customer List'!$H:$H,'Client Retention'!$AF49)</f>
        <v>0</v>
      </c>
      <c r="L49" s="197">
        <f>-COUNTIFS('Full Customer List'!$J:$J,L$1,'Full Customer List'!$E:$E,$AF44,'Full Customer List'!$H:$H,'Client Retention'!$AF49)</f>
        <v>0</v>
      </c>
      <c r="M49" s="197">
        <f>-COUNTIFS('Full Customer List'!$J:$J,M$1,'Full Customer List'!$E:$E,$AF44,'Full Customer List'!$H:$H,'Client Retention'!$AF49)</f>
        <v>0</v>
      </c>
      <c r="N49" s="197">
        <f>-COUNTIFS('Full Customer List'!$J:$J,N$1,'Full Customer List'!$E:$E,$AF44,'Full Customer List'!$H:$H,'Client Retention'!$AF49)</f>
        <v>0</v>
      </c>
      <c r="O49" s="197">
        <f>-COUNTIFS('Full Customer List'!$J:$J,O$1,'Full Customer List'!$E:$E,$AF44,'Full Customer List'!$H:$H,'Client Retention'!$AF49)</f>
        <v>0</v>
      </c>
      <c r="P49" s="197">
        <f>-COUNTIFS('Full Customer List'!$J:$J,P$1,'Full Customer List'!$E:$E,$AF44,'Full Customer List'!$H:$H,'Client Retention'!$AF49)</f>
        <v>0</v>
      </c>
      <c r="Q49" s="197">
        <f>-COUNTIFS('Full Customer List'!$J:$J,Q$1,'Full Customer List'!$E:$E,$AF44,'Full Customer List'!$H:$H,'Client Retention'!$AF49)</f>
        <v>0</v>
      </c>
      <c r="R49" s="197">
        <f>-COUNTIFS('Full Customer List'!$J:$J,R$1,'Full Customer List'!$E:$E,$AF44,'Full Customer List'!$H:$H,'Client Retention'!$AF49)</f>
        <v>0</v>
      </c>
      <c r="S49" s="197">
        <f>-COUNTIFS('Full Customer List'!$J:$J,S$1,'Full Customer List'!$E:$E,$AF44,'Full Customer List'!$H:$H,'Client Retention'!$AF49)</f>
        <v>0</v>
      </c>
      <c r="T49" s="197">
        <f>-COUNTIFS('Full Customer List'!$J:$J,T$1,'Full Customer List'!$E:$E,$AF44,'Full Customer List'!$H:$H,'Client Retention'!$AF49)</f>
        <v>0</v>
      </c>
      <c r="U49" s="197">
        <f>-COUNTIFS('Full Customer List'!$J:$J,U$1,'Full Customer List'!$E:$E,$AF44,'Full Customer List'!$H:$H,'Client Retention'!$AF49)</f>
        <v>0</v>
      </c>
      <c r="V49" s="197">
        <f>-COUNTIFS('Full Customer List'!$J:$J,V$1,'Full Customer List'!$E:$E,$AF44,'Full Customer List'!$H:$H,'Client Retention'!$AF49)</f>
        <v>0</v>
      </c>
      <c r="W49" s="197">
        <f>-COUNTIFS('Full Customer List'!$J:$J,W$1,'Full Customer List'!$E:$E,$AF44,'Full Customer List'!$H:$H,'Client Retention'!$AF49)</f>
        <v>0</v>
      </c>
      <c r="X49" s="197">
        <f>-COUNTIFS('Full Customer List'!$J:$J,X$1,'Full Customer List'!$E:$E,$AF44,'Full Customer List'!$H:$H,'Client Retention'!$AF49)</f>
        <v>0</v>
      </c>
      <c r="Y49" s="197">
        <f>-COUNTIFS('Full Customer List'!$J:$J,Y$1,'Full Customer List'!$E:$E,$AF44,'Full Customer List'!$H:$H,'Client Retention'!$AF49)</f>
        <v>0</v>
      </c>
      <c r="Z49" s="197">
        <f>-COUNTIFS('Full Customer List'!$J:$J,Z$1,'Full Customer List'!$E:$E,$AF44,'Full Customer List'!$H:$H,'Client Retention'!$AF49)</f>
        <v>0</v>
      </c>
      <c r="AA49" s="197">
        <f>-COUNTIFS('Full Customer List'!$J:$J,AA$1,'Full Customer List'!$E:$E,$AF44,'Full Customer List'!$H:$H,'Client Retention'!$AF49)</f>
        <v>0</v>
      </c>
      <c r="AB49" s="197">
        <f>-COUNTIFS('Full Customer List'!$J:$J,AB$1,'Full Customer List'!$E:$E,$AF44,'Full Customer List'!$H:$H,'Client Retention'!$AF49)</f>
        <v>0</v>
      </c>
      <c r="AC49" s="197">
        <f>-COUNTIFS('Full Customer List'!$J:$J,AC$1,'Full Customer List'!$E:$E,$AF44,'Full Customer List'!$H:$H,'Client Retention'!$AF49)</f>
        <v>0</v>
      </c>
      <c r="AD49" s="197">
        <f>-COUNTIFS('Full Customer List'!$J:$J,AD$1,'Full Customer List'!$E:$E,$AF44,'Full Customer List'!$H:$H,'Client Retention'!$AF49)</f>
        <v>0</v>
      </c>
      <c r="AF49" s="175" t="s">
        <v>510</v>
      </c>
    </row>
    <row r="50" spans="2:34">
      <c r="B50" s="269" t="s">
        <v>1553</v>
      </c>
      <c r="E50" s="199">
        <f t="shared" si="139"/>
        <v>0</v>
      </c>
      <c r="F50" s="199">
        <f t="shared" si="140"/>
        <v>-1</v>
      </c>
      <c r="H50" s="199">
        <f t="shared" si="141"/>
        <v>-1</v>
      </c>
      <c r="J50" s="197">
        <f>-COUNTIFS('Full Customer List'!$J:$J,J$1,'Full Customer List'!$E:$E,$AF44,'Full Customer List'!$H:$H,'Client Retention'!$AF50)</f>
        <v>0</v>
      </c>
      <c r="K50" s="197">
        <f>-COUNTIFS('Full Customer List'!$J:$J,K$1,'Full Customer List'!$E:$E,$AF44,'Full Customer List'!$H:$H,'Client Retention'!$AF50)</f>
        <v>0</v>
      </c>
      <c r="L50" s="197">
        <f>-COUNTIFS('Full Customer List'!$J:$J,L$1,'Full Customer List'!$E:$E,$AF44,'Full Customer List'!$H:$H,'Client Retention'!$AF50)</f>
        <v>0</v>
      </c>
      <c r="M50" s="197">
        <f>-COUNTIFS('Full Customer List'!$J:$J,M$1,'Full Customer List'!$E:$E,$AF44,'Full Customer List'!$H:$H,'Client Retention'!$AF50)</f>
        <v>0</v>
      </c>
      <c r="N50" s="197">
        <f>-COUNTIFS('Full Customer List'!$J:$J,N$1,'Full Customer List'!$E:$E,$AF44,'Full Customer List'!$H:$H,'Client Retention'!$AF50)</f>
        <v>0</v>
      </c>
      <c r="O50" s="197">
        <f>-COUNTIFS('Full Customer List'!$J:$J,O$1,'Full Customer List'!$E:$E,$AF44,'Full Customer List'!$H:$H,'Client Retention'!$AF50)</f>
        <v>0</v>
      </c>
      <c r="P50" s="197">
        <f>-COUNTIFS('Full Customer List'!$J:$J,P$1,'Full Customer List'!$E:$E,$AF44,'Full Customer List'!$H:$H,'Client Retention'!$AF50)</f>
        <v>0</v>
      </c>
      <c r="Q50" s="197">
        <f>-COUNTIFS('Full Customer List'!$J:$J,Q$1,'Full Customer List'!$E:$E,$AF44,'Full Customer List'!$H:$H,'Client Retention'!$AF50)</f>
        <v>0</v>
      </c>
      <c r="R50" s="197">
        <f>-COUNTIFS('Full Customer List'!$J:$J,R$1,'Full Customer List'!$E:$E,$AF44,'Full Customer List'!$H:$H,'Client Retention'!$AF50)</f>
        <v>0</v>
      </c>
      <c r="S50" s="197">
        <f>-COUNTIFS('Full Customer List'!$J:$J,S$1,'Full Customer List'!$E:$E,$AF44,'Full Customer List'!$H:$H,'Client Retention'!$AF50)</f>
        <v>0</v>
      </c>
      <c r="T50" s="197">
        <f>-COUNTIFS('Full Customer List'!$J:$J,T$1,'Full Customer List'!$E:$E,$AF44,'Full Customer List'!$H:$H,'Client Retention'!$AF50)</f>
        <v>0</v>
      </c>
      <c r="U50" s="197">
        <f>-COUNTIFS('Full Customer List'!$J:$J,U$1,'Full Customer List'!$E:$E,$AF44,'Full Customer List'!$H:$H,'Client Retention'!$AF50)</f>
        <v>0</v>
      </c>
      <c r="V50" s="197">
        <f>-COUNTIFS('Full Customer List'!$J:$J,V$1,'Full Customer List'!$E:$E,$AF44,'Full Customer List'!$H:$H,'Client Retention'!$AF50)</f>
        <v>0</v>
      </c>
      <c r="W50" s="197">
        <f>-COUNTIFS('Full Customer List'!$J:$J,W$1,'Full Customer List'!$E:$E,$AF44,'Full Customer List'!$H:$H,'Client Retention'!$AF50)</f>
        <v>0</v>
      </c>
      <c r="X50" s="197">
        <f>-COUNTIFS('Full Customer List'!$J:$J,X$1,'Full Customer List'!$E:$E,$AF44,'Full Customer List'!$H:$H,'Client Retention'!$AF50)</f>
        <v>-1</v>
      </c>
      <c r="Y50" s="197">
        <f>-COUNTIFS('Full Customer List'!$J:$J,Y$1,'Full Customer List'!$E:$E,$AF44,'Full Customer List'!$H:$H,'Client Retention'!$AF50)</f>
        <v>0</v>
      </c>
      <c r="Z50" s="197">
        <f>-COUNTIFS('Full Customer List'!$J:$J,Z$1,'Full Customer List'!$E:$E,$AF44,'Full Customer List'!$H:$H,'Client Retention'!$AF50)</f>
        <v>0</v>
      </c>
      <c r="AA50" s="197">
        <f>-COUNTIFS('Full Customer List'!$J:$J,AA$1,'Full Customer List'!$E:$E,$AF44,'Full Customer List'!$H:$H,'Client Retention'!$AF50)</f>
        <v>0</v>
      </c>
      <c r="AB50" s="197">
        <f>-COUNTIFS('Full Customer List'!$J:$J,AB$1,'Full Customer List'!$E:$E,$AF44,'Full Customer List'!$H:$H,'Client Retention'!$AF50)</f>
        <v>0</v>
      </c>
      <c r="AC50" s="197">
        <f>-COUNTIFS('Full Customer List'!$J:$J,AC$1,'Full Customer List'!$E:$E,$AF44,'Full Customer List'!$H:$H,'Client Retention'!$AF50)</f>
        <v>0</v>
      </c>
      <c r="AD50" s="197">
        <f>-COUNTIFS('Full Customer List'!$J:$J,AD$1,'Full Customer List'!$E:$E,$AF44,'Full Customer List'!$H:$H,'Client Retention'!$AF50)</f>
        <v>0</v>
      </c>
      <c r="AF50" s="175" t="s">
        <v>1554</v>
      </c>
    </row>
    <row r="51" spans="2:34" ht="12" customHeight="1">
      <c r="B51" s="259" t="s">
        <v>1555</v>
      </c>
      <c r="C51" s="262"/>
      <c r="D51" s="262"/>
      <c r="E51" s="260">
        <f>SUM(J51:U51)</f>
        <v>0</v>
      </c>
      <c r="F51" s="260">
        <f>SUM(V51:AD51)</f>
        <v>-10</v>
      </c>
      <c r="G51" s="261"/>
      <c r="H51" s="260">
        <f>SUM(S51:AD51)</f>
        <v>-10</v>
      </c>
      <c r="I51" s="281"/>
      <c r="J51" s="262">
        <f>-COUNTIFS('Full Customer List'!$J:$J,J$1,'Full Customer List'!$E:$E,$AF44)</f>
        <v>0</v>
      </c>
      <c r="K51" s="262">
        <f>-COUNTIFS('Full Customer List'!$J:$J,K$1,'Full Customer List'!$E:$E,$AF44)</f>
        <v>0</v>
      </c>
      <c r="L51" s="262">
        <f>-COUNTIFS('Full Customer List'!$J:$J,L$1,'Full Customer List'!$E:$E,$AF44)</f>
        <v>0</v>
      </c>
      <c r="M51" s="262">
        <f>-COUNTIFS('Full Customer List'!$J:$J,M$1,'Full Customer List'!$E:$E,$AF44)</f>
        <v>0</v>
      </c>
      <c r="N51" s="262">
        <f>-COUNTIFS('Full Customer List'!$J:$J,N$1,'Full Customer List'!$E:$E,$AF44)</f>
        <v>0</v>
      </c>
      <c r="O51" s="262">
        <f>-COUNTIFS('Full Customer List'!$J:$J,O$1,'Full Customer List'!$E:$E,$AF44)</f>
        <v>0</v>
      </c>
      <c r="P51" s="262">
        <f>-COUNTIFS('Full Customer List'!$J:$J,P$1,'Full Customer List'!$E:$E,$AF44)</f>
        <v>0</v>
      </c>
      <c r="Q51" s="262">
        <f>-COUNTIFS('Full Customer List'!$J:$J,Q$1,'Full Customer List'!$E:$E,$AF44)</f>
        <v>0</v>
      </c>
      <c r="R51" s="262">
        <f>-COUNTIFS('Full Customer List'!$J:$J,R$1,'Full Customer List'!$E:$E,$AF44)</f>
        <v>0</v>
      </c>
      <c r="S51" s="262">
        <f>-COUNTIFS('Full Customer List'!$J:$J,S$1,'Full Customer List'!$E:$E,$AF44)</f>
        <v>0</v>
      </c>
      <c r="T51" s="262">
        <f>-COUNTIFS('Full Customer List'!$J:$J,T$1,'Full Customer List'!$E:$E,$AF44)</f>
        <v>0</v>
      </c>
      <c r="U51" s="262">
        <f>-COUNTIFS('Full Customer List'!$J:$J,U$1,'Full Customer List'!$E:$E,$AF44)</f>
        <v>0</v>
      </c>
      <c r="V51" s="262">
        <f>-COUNTIFS('Full Customer List'!$J:$J,V$1,'Full Customer List'!$E:$E,$AF44)</f>
        <v>0</v>
      </c>
      <c r="W51" s="262">
        <f>-COUNTIFS('Full Customer List'!$J:$J,W$1,'Full Customer List'!$E:$E,$AF44)</f>
        <v>0</v>
      </c>
      <c r="X51" s="262">
        <f>-COUNTIFS('Full Customer List'!$J:$J,X$1,'Full Customer List'!$E:$E,$AF44)</f>
        <v>-1</v>
      </c>
      <c r="Y51" s="262">
        <f>-COUNTIFS('Full Customer List'!$J:$J,Y$1,'Full Customer List'!$E:$E,$AF44)</f>
        <v>-1</v>
      </c>
      <c r="Z51" s="262">
        <f>-COUNTIFS('Full Customer List'!$J:$J,Z$1,'Full Customer List'!$E:$E,$AF44)</f>
        <v>-7</v>
      </c>
      <c r="AA51" s="262">
        <f>-COUNTIFS('Full Customer List'!$J:$J,AA$1,'Full Customer List'!$E:$E,$AF44)</f>
        <v>-1</v>
      </c>
      <c r="AB51" s="262">
        <f>-COUNTIFS('Full Customer List'!$J:$J,AB$1,'Full Customer List'!$E:$E,$AF44)</f>
        <v>0</v>
      </c>
      <c r="AC51" s="262">
        <f>-COUNTIFS('Full Customer List'!$J:$J,AC$1,'Full Customer List'!$E:$E,$AF44)</f>
        <v>0</v>
      </c>
      <c r="AD51" s="262">
        <f>-COUNTIFS('Full Customer List'!$J:$J,AD$1,'Full Customer List'!$E:$E,$AF44)</f>
        <v>0</v>
      </c>
    </row>
    <row r="52" spans="2:34" ht="12" customHeight="1">
      <c r="B52" s="263" t="s">
        <v>1323</v>
      </c>
      <c r="C52" s="264"/>
      <c r="D52" s="264"/>
      <c r="E52" s="264">
        <f>+F46</f>
        <v>28</v>
      </c>
      <c r="F52" s="265">
        <f>+$AD52</f>
        <v>28</v>
      </c>
      <c r="H52" s="268">
        <f>+$AD52</f>
        <v>28</v>
      </c>
      <c r="J52" s="266">
        <f t="shared" ref="J52:AC52" si="142">+K46</f>
        <v>15</v>
      </c>
      <c r="K52" s="264">
        <f t="shared" si="142"/>
        <v>15</v>
      </c>
      <c r="L52" s="264">
        <f t="shared" si="142"/>
        <v>15</v>
      </c>
      <c r="M52" s="264">
        <f t="shared" si="142"/>
        <v>16</v>
      </c>
      <c r="N52" s="264">
        <f t="shared" si="142"/>
        <v>18</v>
      </c>
      <c r="O52" s="264">
        <f t="shared" si="142"/>
        <v>20</v>
      </c>
      <c r="P52" s="264">
        <f t="shared" si="142"/>
        <v>21</v>
      </c>
      <c r="Q52" s="264">
        <f t="shared" si="142"/>
        <v>23</v>
      </c>
      <c r="R52" s="264">
        <f t="shared" si="142"/>
        <v>23</v>
      </c>
      <c r="S52" s="266">
        <f t="shared" si="142"/>
        <v>24</v>
      </c>
      <c r="T52" s="264">
        <f t="shared" si="142"/>
        <v>25</v>
      </c>
      <c r="U52" s="264">
        <f t="shared" si="142"/>
        <v>28</v>
      </c>
      <c r="V52" s="264">
        <f t="shared" si="142"/>
        <v>31</v>
      </c>
      <c r="W52" s="264">
        <f t="shared" si="142"/>
        <v>34</v>
      </c>
      <c r="X52" s="264">
        <f t="shared" si="142"/>
        <v>34</v>
      </c>
      <c r="Y52" s="264">
        <f t="shared" si="142"/>
        <v>35</v>
      </c>
      <c r="Z52" s="264">
        <f t="shared" si="142"/>
        <v>28</v>
      </c>
      <c r="AA52" s="264">
        <f t="shared" si="142"/>
        <v>27</v>
      </c>
      <c r="AB52" s="264">
        <f t="shared" si="142"/>
        <v>28</v>
      </c>
      <c r="AC52" s="264">
        <f t="shared" si="142"/>
        <v>28</v>
      </c>
      <c r="AD52" s="267">
        <f>COUNTIFS('Full Customer List'!$C:$C,"Active",'Full Customer List'!$E:$E,'Client Retention'!$AF44)</f>
        <v>28</v>
      </c>
    </row>
    <row r="53" spans="2:34" ht="3.95" customHeight="1">
      <c r="B53" s="182"/>
      <c r="C53" s="236"/>
      <c r="D53" s="236"/>
      <c r="E53" s="236"/>
      <c r="F53" s="236"/>
      <c r="H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7"/>
      <c r="AC53" s="237"/>
      <c r="AD53" s="237"/>
    </row>
    <row r="54" spans="2:34" ht="12" customHeight="1">
      <c r="B54" s="238" t="s">
        <v>1541</v>
      </c>
      <c r="C54" s="239"/>
      <c r="D54" s="239"/>
      <c r="E54" s="240">
        <f>(E47+E46)/E46-1</f>
        <v>1.1538461538461537</v>
      </c>
      <c r="F54" s="251">
        <f>(F47+F46)/F46-1</f>
        <v>0.35714285714285721</v>
      </c>
      <c r="G54" s="252"/>
      <c r="H54" s="253">
        <f>(H47+H46)/H46-1</f>
        <v>0.65217391304347827</v>
      </c>
      <c r="J54" s="250">
        <f t="shared" ref="J54:AB54" si="143">(J47+J46)/J46-1</f>
        <v>0.15384615384615374</v>
      </c>
      <c r="K54" s="240">
        <f t="shared" si="143"/>
        <v>0</v>
      </c>
      <c r="L54" s="240">
        <f t="shared" si="143"/>
        <v>0</v>
      </c>
      <c r="M54" s="240">
        <f t="shared" si="143"/>
        <v>6.6666666666666652E-2</v>
      </c>
      <c r="N54" s="240">
        <f t="shared" si="143"/>
        <v>0.125</v>
      </c>
      <c r="O54" s="240">
        <f t="shared" si="143"/>
        <v>0.11111111111111116</v>
      </c>
      <c r="P54" s="240">
        <f t="shared" si="143"/>
        <v>5.0000000000000044E-2</v>
      </c>
      <c r="Q54" s="240">
        <f t="shared" si="143"/>
        <v>9.5238095238095344E-2</v>
      </c>
      <c r="R54" s="240">
        <f t="shared" si="143"/>
        <v>0</v>
      </c>
      <c r="S54" s="250">
        <f t="shared" si="143"/>
        <v>4.3478260869565188E-2</v>
      </c>
      <c r="T54" s="240">
        <f t="shared" si="143"/>
        <v>4.1666666666666741E-2</v>
      </c>
      <c r="U54" s="240">
        <f t="shared" si="143"/>
        <v>0.12000000000000011</v>
      </c>
      <c r="V54" s="240">
        <f t="shared" si="143"/>
        <v>0.10714285714285721</v>
      </c>
      <c r="W54" s="240">
        <f t="shared" si="143"/>
        <v>9.6774193548387011E-2</v>
      </c>
      <c r="X54" s="240">
        <f t="shared" si="143"/>
        <v>2.9411764705882248E-2</v>
      </c>
      <c r="Y54" s="240">
        <f t="shared" si="143"/>
        <v>5.8823529411764719E-2</v>
      </c>
      <c r="Z54" s="240">
        <f t="shared" si="143"/>
        <v>0</v>
      </c>
      <c r="AA54" s="240">
        <f t="shared" si="143"/>
        <v>0</v>
      </c>
      <c r="AB54" s="240">
        <f t="shared" si="143"/>
        <v>3.7037037037036979E-2</v>
      </c>
      <c r="AC54" s="240">
        <f t="shared" ref="AC54:AD54" si="144">(AC47+AC46)/AC46-1</f>
        <v>0</v>
      </c>
      <c r="AD54" s="251">
        <f t="shared" si="144"/>
        <v>0</v>
      </c>
    </row>
    <row r="55" spans="2:34" ht="12" customHeight="1">
      <c r="B55" s="241" t="s">
        <v>1542</v>
      </c>
      <c r="C55" s="242"/>
      <c r="D55" s="242"/>
      <c r="E55" s="243">
        <f>(E51+E46)/E46-1</f>
        <v>0</v>
      </c>
      <c r="F55" s="244">
        <f>(F51+F46)/F46-1</f>
        <v>-0.3571428571428571</v>
      </c>
      <c r="G55" s="252"/>
      <c r="H55" s="246">
        <f>(H51+H46)/H46-1</f>
        <v>-0.43478260869565222</v>
      </c>
      <c r="J55" s="245">
        <f t="shared" ref="J55:AB55" si="145">(J51+J46)/J46-1</f>
        <v>0</v>
      </c>
      <c r="K55" s="243">
        <f t="shared" si="145"/>
        <v>0</v>
      </c>
      <c r="L55" s="243">
        <f t="shared" si="145"/>
        <v>0</v>
      </c>
      <c r="M55" s="243">
        <f t="shared" si="145"/>
        <v>0</v>
      </c>
      <c r="N55" s="243">
        <f t="shared" si="145"/>
        <v>0</v>
      </c>
      <c r="O55" s="243">
        <f t="shared" si="145"/>
        <v>0</v>
      </c>
      <c r="P55" s="243">
        <f t="shared" si="145"/>
        <v>0</v>
      </c>
      <c r="Q55" s="243">
        <f t="shared" si="145"/>
        <v>0</v>
      </c>
      <c r="R55" s="243">
        <f t="shared" si="145"/>
        <v>0</v>
      </c>
      <c r="S55" s="245">
        <f t="shared" si="145"/>
        <v>0</v>
      </c>
      <c r="T55" s="243">
        <f t="shared" si="145"/>
        <v>0</v>
      </c>
      <c r="U55" s="243">
        <f t="shared" si="145"/>
        <v>0</v>
      </c>
      <c r="V55" s="243">
        <f t="shared" si="145"/>
        <v>0</v>
      </c>
      <c r="W55" s="243">
        <f t="shared" si="145"/>
        <v>0</v>
      </c>
      <c r="X55" s="243">
        <f t="shared" si="145"/>
        <v>-2.9411764705882359E-2</v>
      </c>
      <c r="Y55" s="243">
        <f t="shared" si="145"/>
        <v>-2.9411764705882359E-2</v>
      </c>
      <c r="Z55" s="243">
        <f t="shared" si="145"/>
        <v>-0.19999999999999996</v>
      </c>
      <c r="AA55" s="243">
        <f t="shared" si="145"/>
        <v>-3.5714285714285698E-2</v>
      </c>
      <c r="AB55" s="243">
        <f t="shared" si="145"/>
        <v>0</v>
      </c>
      <c r="AC55" s="243">
        <f t="shared" ref="AC55:AD55" si="146">(AC51+AC46)/AC46-1</f>
        <v>0</v>
      </c>
      <c r="AD55" s="244">
        <f t="shared" si="146"/>
        <v>0</v>
      </c>
    </row>
    <row r="56" spans="2:34" ht="3.95" customHeight="1">
      <c r="AF56" s="222"/>
    </row>
    <row r="57" spans="2:34" ht="24">
      <c r="B57" s="161" t="s">
        <v>1316</v>
      </c>
      <c r="C57" s="178" t="s">
        <v>1324</v>
      </c>
      <c r="D57" s="178" t="s">
        <v>3</v>
      </c>
      <c r="E57" s="178" t="s">
        <v>4</v>
      </c>
      <c r="F57" s="178" t="s">
        <v>1326</v>
      </c>
      <c r="G57" s="195"/>
      <c r="H57" s="178" t="s">
        <v>1550</v>
      </c>
      <c r="J57" s="194">
        <v>45658</v>
      </c>
      <c r="K57" s="194">
        <f t="shared" ref="K57" si="147">EOMONTH(J57,0)+1</f>
        <v>45689</v>
      </c>
      <c r="L57" s="194">
        <f t="shared" ref="L57" si="148">EOMONTH(K57,0)+1</f>
        <v>45717</v>
      </c>
      <c r="M57" s="194">
        <f t="shared" ref="M57" si="149">EOMONTH(L57,0)+1</f>
        <v>45748</v>
      </c>
      <c r="N57" s="194">
        <f t="shared" ref="N57" si="150">EOMONTH(M57,0)+1</f>
        <v>45778</v>
      </c>
      <c r="O57" s="194">
        <f t="shared" ref="O57" si="151">EOMONTH(N57,0)+1</f>
        <v>45809</v>
      </c>
      <c r="P57" s="194">
        <f t="shared" ref="P57" si="152">EOMONTH(O57,0)+1</f>
        <v>45839</v>
      </c>
      <c r="Q57" s="194">
        <v>45870</v>
      </c>
      <c r="R57" s="194">
        <f t="shared" ref="R57" si="153">EOMONTH(Q57,0)+1</f>
        <v>45901</v>
      </c>
      <c r="S57" s="194">
        <f t="shared" ref="S57" si="154">EOMONTH(R57,0)+1</f>
        <v>45931</v>
      </c>
      <c r="T57" s="194">
        <f t="shared" ref="T57" si="155">EOMONTH(S57,0)+1</f>
        <v>45962</v>
      </c>
      <c r="U57" s="194">
        <f t="shared" ref="U57" si="156">EOMONTH(T57,0)+1</f>
        <v>45992</v>
      </c>
      <c r="V57" s="194">
        <f t="shared" ref="V57" si="157">EOMONTH(U57,0)+1</f>
        <v>46023</v>
      </c>
      <c r="W57" s="194">
        <f t="shared" ref="W57" si="158">EOMONTH(V57,0)+1</f>
        <v>46054</v>
      </c>
      <c r="X57" s="194">
        <f t="shared" ref="X57" si="159">EOMONTH(W57,0)+1</f>
        <v>46082</v>
      </c>
      <c r="Y57" s="194">
        <f t="shared" ref="Y57" si="160">EOMONTH(X57,0)+1</f>
        <v>46113</v>
      </c>
      <c r="Z57" s="194">
        <f t="shared" ref="Z57" si="161">EOMONTH(Y57,0)+1</f>
        <v>46143</v>
      </c>
      <c r="AA57" s="194">
        <f t="shared" ref="AA57" si="162">EOMONTH(Z57,0)+1</f>
        <v>46174</v>
      </c>
      <c r="AB57" s="194">
        <f t="shared" ref="AB57" si="163">EOMONTH(AA57,0)+1</f>
        <v>46204</v>
      </c>
      <c r="AC57" s="194">
        <f t="shared" ref="AC57" si="164">EOMONTH(AB57,0)+1</f>
        <v>46235</v>
      </c>
      <c r="AD57" s="194">
        <f t="shared" ref="AD57" si="165">EOMONTH(AC57,0)+1</f>
        <v>46266</v>
      </c>
      <c r="AE57" s="189"/>
      <c r="AF57" s="222" t="s">
        <v>1307</v>
      </c>
      <c r="AG57" s="189"/>
      <c r="AH57" s="189"/>
    </row>
    <row r="58" spans="2:34">
      <c r="B58" s="188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2"/>
      <c r="AG58" s="6"/>
      <c r="AH58" s="6"/>
    </row>
    <row r="59" spans="2:34">
      <c r="B59" s="175" t="s">
        <v>1321</v>
      </c>
      <c r="C59" s="184"/>
      <c r="D59" s="184"/>
      <c r="E59" s="184">
        <f>+E65-E60-E64</f>
        <v>32</v>
      </c>
      <c r="F59" s="184">
        <f>+F65-F60-F64</f>
        <v>23</v>
      </c>
      <c r="H59" s="184">
        <f t="shared" ref="H59" si="166">+H65-H60-H64</f>
        <v>26</v>
      </c>
      <c r="J59" s="184">
        <f t="shared" ref="J59:Z59" si="167">+J65-J60-J64</f>
        <v>32</v>
      </c>
      <c r="K59" s="184">
        <f t="shared" si="167"/>
        <v>29</v>
      </c>
      <c r="L59" s="184">
        <f t="shared" si="167"/>
        <v>28</v>
      </c>
      <c r="M59" s="184">
        <f t="shared" si="167"/>
        <v>28</v>
      </c>
      <c r="N59" s="184">
        <f t="shared" si="167"/>
        <v>28</v>
      </c>
      <c r="O59" s="184">
        <f t="shared" si="167"/>
        <v>27</v>
      </c>
      <c r="P59" s="184">
        <f t="shared" si="167"/>
        <v>27</v>
      </c>
      <c r="Q59" s="184">
        <f t="shared" si="167"/>
        <v>26</v>
      </c>
      <c r="R59" s="184">
        <f t="shared" si="167"/>
        <v>27</v>
      </c>
      <c r="S59" s="184">
        <f t="shared" si="167"/>
        <v>26</v>
      </c>
      <c r="T59" s="184">
        <f t="shared" si="167"/>
        <v>26</v>
      </c>
      <c r="U59" s="184">
        <f t="shared" si="167"/>
        <v>26</v>
      </c>
      <c r="V59" s="184">
        <f t="shared" si="167"/>
        <v>23</v>
      </c>
      <c r="W59" s="184">
        <f t="shared" si="167"/>
        <v>22</v>
      </c>
      <c r="X59" s="184">
        <f t="shared" si="167"/>
        <v>21</v>
      </c>
      <c r="Y59" s="184">
        <f t="shared" si="167"/>
        <v>19</v>
      </c>
      <c r="Z59" s="184">
        <f t="shared" si="167"/>
        <v>19</v>
      </c>
      <c r="AA59" s="184">
        <f>+AA65-AA60-AA64</f>
        <v>18</v>
      </c>
      <c r="AB59" s="184">
        <f>+AB65-AB60-AB64</f>
        <v>18</v>
      </c>
      <c r="AC59" s="184">
        <f t="shared" ref="AC59:AD59" si="168">+AC65-AC60-AC64</f>
        <v>2</v>
      </c>
      <c r="AD59" s="184">
        <f t="shared" si="168"/>
        <v>2</v>
      </c>
      <c r="AF59" s="222"/>
    </row>
    <row r="60" spans="2:34">
      <c r="B60" s="193" t="s">
        <v>1322</v>
      </c>
      <c r="E60" s="199">
        <f>SUM(J60:U60)</f>
        <v>2</v>
      </c>
      <c r="F60" s="199">
        <f>SUM(V60:AD60)</f>
        <v>0</v>
      </c>
      <c r="H60" s="199">
        <f>SUM(S60:AD60)</f>
        <v>0</v>
      </c>
      <c r="J60" s="197">
        <f>COUNTIFS('Full Customer List'!$I:$I,'Client Retention'!J$5,'Full Customer List'!$E:$E,$AF57)</f>
        <v>0</v>
      </c>
      <c r="K60" s="197">
        <f>COUNTIFS('Full Customer List'!$I:$I,'Client Retention'!K$5,'Full Customer List'!$E:$E,$AF57)</f>
        <v>0</v>
      </c>
      <c r="L60" s="197">
        <f>COUNTIFS('Full Customer List'!$I:$I,'Client Retention'!L$5,'Full Customer List'!$E:$E,$AF57)</f>
        <v>0</v>
      </c>
      <c r="M60" s="197">
        <f>COUNTIFS('Full Customer List'!$I:$I,'Client Retention'!M$5,'Full Customer List'!$E:$E,$AF57)</f>
        <v>0</v>
      </c>
      <c r="N60" s="197">
        <f>COUNTIFS('Full Customer List'!$I:$I,'Client Retention'!N$5,'Full Customer List'!$E:$E,$AF57)</f>
        <v>0</v>
      </c>
      <c r="O60" s="197">
        <f>COUNTIFS('Full Customer List'!$I:$I,'Client Retention'!O$5,'Full Customer List'!$E:$E,$AF57)</f>
        <v>1</v>
      </c>
      <c r="P60" s="197">
        <f>COUNTIFS('Full Customer List'!$I:$I,'Client Retention'!P$5,'Full Customer List'!$E:$E,$AF57)</f>
        <v>0</v>
      </c>
      <c r="Q60" s="197">
        <f>COUNTIFS('Full Customer List'!$I:$I,'Client Retention'!Q$5,'Full Customer List'!$E:$E,$AF57)</f>
        <v>1</v>
      </c>
      <c r="R60" s="197">
        <f>COUNTIFS('Full Customer List'!$I:$I,'Client Retention'!R$5,'Full Customer List'!$E:$E,$AF57)</f>
        <v>0</v>
      </c>
      <c r="S60" s="197">
        <f>COUNTIFS('Full Customer List'!$I:$I,'Client Retention'!S$5,'Full Customer List'!$E:$E,$AF57)</f>
        <v>0</v>
      </c>
      <c r="T60" s="197">
        <f>COUNTIFS('Full Customer List'!$I:$I,'Client Retention'!T$5,'Full Customer List'!$E:$E,$AF57)</f>
        <v>0</v>
      </c>
      <c r="U60" s="197">
        <f>COUNTIFS('Full Customer List'!$I:$I,'Client Retention'!U$5,'Full Customer List'!$E:$E,$AF57)</f>
        <v>0</v>
      </c>
      <c r="V60" s="197">
        <f>COUNTIFS('Full Customer List'!$I:$I,'Client Retention'!V$5,'Full Customer List'!$E:$E,$AF57)</f>
        <v>0</v>
      </c>
      <c r="W60" s="197">
        <f>COUNTIFS('Full Customer List'!$I:$I,'Client Retention'!W$5,'Full Customer List'!$E:$E,$AF57)</f>
        <v>0</v>
      </c>
      <c r="X60" s="197">
        <f>COUNTIFS('Full Customer List'!$I:$I,'Client Retention'!X$5,'Full Customer List'!$E:$E,$AF57)</f>
        <v>0</v>
      </c>
      <c r="Y60" s="197">
        <f>COUNTIFS('Full Customer List'!$I:$I,'Client Retention'!Y$5,'Full Customer List'!$E:$E,$AF57)</f>
        <v>0</v>
      </c>
      <c r="Z60" s="197">
        <f>COUNTIFS('Full Customer List'!$I:$I,'Client Retention'!Z$5,'Full Customer List'!$E:$E,$AF57)</f>
        <v>0</v>
      </c>
      <c r="AA60" s="197">
        <f>COUNTIFS('Full Customer List'!$I:$I,'Client Retention'!AA$5,'Full Customer List'!$E:$E,$AF57)</f>
        <v>0</v>
      </c>
      <c r="AB60" s="197">
        <f>COUNTIFS('Full Customer List'!$I:$I,'Client Retention'!AB$5,'Full Customer List'!$E:$E,$AF57)</f>
        <v>0</v>
      </c>
      <c r="AC60" s="197">
        <f>COUNTIFS('Full Customer List'!$I:$I,'Client Retention'!AC$5,'Full Customer List'!$E:$E,$AF57)</f>
        <v>0</v>
      </c>
      <c r="AD60" s="197">
        <f>COUNTIFS('Full Customer List'!$I:$I,'Client Retention'!AD$5,'Full Customer List'!$E:$E,$AF57)</f>
        <v>0</v>
      </c>
      <c r="AF60" s="222"/>
    </row>
    <row r="61" spans="2:34">
      <c r="B61" s="269" t="s">
        <v>1551</v>
      </c>
      <c r="E61" s="199">
        <f t="shared" ref="E61:E63" si="169">SUM(J61:U61)</f>
        <v>-7</v>
      </c>
      <c r="F61" s="199">
        <f t="shared" ref="F61:F63" si="170">SUM(V61:AD61)</f>
        <v>-5</v>
      </c>
      <c r="H61" s="199">
        <f t="shared" ref="H61:H63" si="171">SUM(S61:AD61)</f>
        <v>-8</v>
      </c>
      <c r="J61" s="197">
        <f>-COUNTIFS('Full Customer List'!$J:$J,J$1,'Full Customer List'!$E:$E,$AF57,'Full Customer List'!$H:$H,'Client Retention'!$AF61)</f>
        <v>-1</v>
      </c>
      <c r="K61" s="197">
        <f>-COUNTIFS('Full Customer List'!$J:$J,K$1,'Full Customer List'!$E:$E,$AF57,'Full Customer List'!$H:$H,'Client Retention'!$AF61)</f>
        <v>0</v>
      </c>
      <c r="L61" s="197">
        <f>-COUNTIFS('Full Customer List'!$J:$J,L$1,'Full Customer List'!$E:$E,$AF57,'Full Customer List'!$H:$H,'Client Retention'!$AF61)</f>
        <v>0</v>
      </c>
      <c r="M61" s="197">
        <f>-COUNTIFS('Full Customer List'!$J:$J,M$1,'Full Customer List'!$E:$E,$AF57,'Full Customer List'!$H:$H,'Client Retention'!$AF61)</f>
        <v>0</v>
      </c>
      <c r="N61" s="197">
        <f>-COUNTIFS('Full Customer List'!$J:$J,N$1,'Full Customer List'!$E:$E,$AF57,'Full Customer List'!$H:$H,'Client Retention'!$AF61)</f>
        <v>-1</v>
      </c>
      <c r="O61" s="197">
        <f>-COUNTIFS('Full Customer List'!$J:$J,O$1,'Full Customer List'!$E:$E,$AF57,'Full Customer List'!$H:$H,'Client Retention'!$AF61)</f>
        <v>-1</v>
      </c>
      <c r="P61" s="197">
        <f>-COUNTIFS('Full Customer List'!$J:$J,P$1,'Full Customer List'!$E:$E,$AF57,'Full Customer List'!$H:$H,'Client Retention'!$AF61)</f>
        <v>-1</v>
      </c>
      <c r="Q61" s="197">
        <f>-COUNTIFS('Full Customer List'!$J:$J,Q$1,'Full Customer List'!$E:$E,$AF57,'Full Customer List'!$H:$H,'Client Retention'!$AF61)</f>
        <v>0</v>
      </c>
      <c r="R61" s="197">
        <f>-COUNTIFS('Full Customer List'!$J:$J,R$1,'Full Customer List'!$E:$E,$AF57,'Full Customer List'!$H:$H,'Client Retention'!$AF61)</f>
        <v>0</v>
      </c>
      <c r="S61" s="197">
        <f>-COUNTIFS('Full Customer List'!$J:$J,S$1,'Full Customer List'!$E:$E,$AF57,'Full Customer List'!$H:$H,'Client Retention'!$AF61)</f>
        <v>0</v>
      </c>
      <c r="T61" s="197">
        <f>-COUNTIFS('Full Customer List'!$J:$J,T$1,'Full Customer List'!$E:$E,$AF57,'Full Customer List'!$H:$H,'Client Retention'!$AF61)</f>
        <v>0</v>
      </c>
      <c r="U61" s="197">
        <f>-COUNTIFS('Full Customer List'!$J:$J,U$1,'Full Customer List'!$E:$E,$AF57,'Full Customer List'!$H:$H,'Client Retention'!$AF61)</f>
        <v>-3</v>
      </c>
      <c r="V61" s="197">
        <f>-COUNTIFS('Full Customer List'!$J:$J,V$1,'Full Customer List'!$E:$E,$AF57,'Full Customer List'!$H:$H,'Client Retention'!$AF61)</f>
        <v>-1</v>
      </c>
      <c r="W61" s="197">
        <f>-COUNTIFS('Full Customer List'!$J:$J,W$1,'Full Customer List'!$E:$E,$AF57,'Full Customer List'!$H:$H,'Client Retention'!$AF61)</f>
        <v>-1</v>
      </c>
      <c r="X61" s="197">
        <f>-COUNTIFS('Full Customer List'!$J:$J,X$1,'Full Customer List'!$E:$E,$AF57,'Full Customer List'!$H:$H,'Client Retention'!$AF61)</f>
        <v>-2</v>
      </c>
      <c r="Y61" s="197">
        <f>-COUNTIFS('Full Customer List'!$J:$J,Y$1,'Full Customer List'!$E:$E,$AF57,'Full Customer List'!$H:$H,'Client Retention'!$AF61)</f>
        <v>0</v>
      </c>
      <c r="Z61" s="197">
        <f>-COUNTIFS('Full Customer List'!$J:$J,Z$1,'Full Customer List'!$E:$E,$AF57,'Full Customer List'!$H:$H,'Client Retention'!$AF61)</f>
        <v>-1</v>
      </c>
      <c r="AA61" s="197">
        <f>-COUNTIFS('Full Customer List'!$J:$J,AA$1,'Full Customer List'!$E:$E,$AF57,'Full Customer List'!$H:$H,'Client Retention'!$AF61)</f>
        <v>0</v>
      </c>
      <c r="AB61" s="197">
        <f>-COUNTIFS('Full Customer List'!$J:$J,AB$1,'Full Customer List'!$E:$E,$AF57,'Full Customer List'!$H:$H,'Client Retention'!$AF61)</f>
        <v>0</v>
      </c>
      <c r="AC61" s="197">
        <f>-COUNTIFS('Full Customer List'!$J:$J,AC$1,'Full Customer List'!$E:$E,$AF57,'Full Customer List'!$H:$H,'Client Retention'!$AF61)</f>
        <v>0</v>
      </c>
      <c r="AD61" s="197">
        <f>-COUNTIFS('Full Customer List'!$J:$J,AD$1,'Full Customer List'!$E:$E,$AF57,'Full Customer List'!$H:$H,'Client Retention'!$AF61)</f>
        <v>0</v>
      </c>
      <c r="AF61" s="175" t="s">
        <v>509</v>
      </c>
    </row>
    <row r="62" spans="2:34">
      <c r="B62" s="269" t="s">
        <v>1552</v>
      </c>
      <c r="E62" s="199">
        <f t="shared" si="169"/>
        <v>-4</v>
      </c>
      <c r="F62" s="199">
        <f t="shared" si="170"/>
        <v>-15</v>
      </c>
      <c r="H62" s="199">
        <f t="shared" si="171"/>
        <v>-15</v>
      </c>
      <c r="J62" s="197">
        <f>-COUNTIFS('Full Customer List'!$J:$J,J$1,'Full Customer List'!$E:$E,$AF57,'Full Customer List'!$H:$H,'Client Retention'!$AF62)</f>
        <v>-2</v>
      </c>
      <c r="K62" s="197">
        <f>-COUNTIFS('Full Customer List'!$J:$J,K$1,'Full Customer List'!$E:$E,$AF57,'Full Customer List'!$H:$H,'Client Retention'!$AF62)</f>
        <v>-1</v>
      </c>
      <c r="L62" s="197">
        <f>-COUNTIFS('Full Customer List'!$J:$J,L$1,'Full Customer List'!$E:$E,$AF57,'Full Customer List'!$H:$H,'Client Retention'!$AF62)</f>
        <v>0</v>
      </c>
      <c r="M62" s="197">
        <f>-COUNTIFS('Full Customer List'!$J:$J,M$1,'Full Customer List'!$E:$E,$AF57,'Full Customer List'!$H:$H,'Client Retention'!$AF62)</f>
        <v>0</v>
      </c>
      <c r="N62" s="197">
        <f>-COUNTIFS('Full Customer List'!$J:$J,N$1,'Full Customer List'!$E:$E,$AF57,'Full Customer List'!$H:$H,'Client Retention'!$AF62)</f>
        <v>0</v>
      </c>
      <c r="O62" s="197">
        <f>-COUNTIFS('Full Customer List'!$J:$J,O$1,'Full Customer List'!$E:$E,$AF57,'Full Customer List'!$H:$H,'Client Retention'!$AF62)</f>
        <v>0</v>
      </c>
      <c r="P62" s="197">
        <f>-COUNTIFS('Full Customer List'!$J:$J,P$1,'Full Customer List'!$E:$E,$AF57,'Full Customer List'!$H:$H,'Client Retention'!$AF62)</f>
        <v>0</v>
      </c>
      <c r="Q62" s="197">
        <f>-COUNTIFS('Full Customer List'!$J:$J,Q$1,'Full Customer List'!$E:$E,$AF57,'Full Customer List'!$H:$H,'Client Retention'!$AF62)</f>
        <v>0</v>
      </c>
      <c r="R62" s="197">
        <f>-COUNTIFS('Full Customer List'!$J:$J,R$1,'Full Customer List'!$E:$E,$AF57,'Full Customer List'!$H:$H,'Client Retention'!$AF62)</f>
        <v>-1</v>
      </c>
      <c r="S62" s="197">
        <f>-COUNTIFS('Full Customer List'!$J:$J,S$1,'Full Customer List'!$E:$E,$AF57,'Full Customer List'!$H:$H,'Client Retention'!$AF62)</f>
        <v>0</v>
      </c>
      <c r="T62" s="197">
        <f>-COUNTIFS('Full Customer List'!$J:$J,T$1,'Full Customer List'!$E:$E,$AF57,'Full Customer List'!$H:$H,'Client Retention'!$AF62)</f>
        <v>0</v>
      </c>
      <c r="U62" s="197">
        <f>-COUNTIFS('Full Customer List'!$J:$J,U$1,'Full Customer List'!$E:$E,$AF57,'Full Customer List'!$H:$H,'Client Retention'!$AF62)</f>
        <v>0</v>
      </c>
      <c r="V62" s="197">
        <f>-COUNTIFS('Full Customer List'!$J:$J,V$1,'Full Customer List'!$E:$E,$AF57,'Full Customer List'!$H:$H,'Client Retention'!$AF62)</f>
        <v>0</v>
      </c>
      <c r="W62" s="197">
        <f>-COUNTIFS('Full Customer List'!$J:$J,W$1,'Full Customer List'!$E:$E,$AF57,'Full Customer List'!$H:$H,'Client Retention'!$AF62)</f>
        <v>0</v>
      </c>
      <c r="X62" s="197">
        <f>-COUNTIFS('Full Customer List'!$J:$J,X$1,'Full Customer List'!$E:$E,$AF57,'Full Customer List'!$H:$H,'Client Retention'!$AF62)</f>
        <v>0</v>
      </c>
      <c r="Y62" s="197">
        <f>-COUNTIFS('Full Customer List'!$J:$J,Y$1,'Full Customer List'!$E:$E,$AF57,'Full Customer List'!$H:$H,'Client Retention'!$AF62)</f>
        <v>0</v>
      </c>
      <c r="Z62" s="197">
        <f>-COUNTIFS('Full Customer List'!$J:$J,Z$1,'Full Customer List'!$E:$E,$AF57,'Full Customer List'!$H:$H,'Client Retention'!$AF62)</f>
        <v>0</v>
      </c>
      <c r="AA62" s="197">
        <f>-COUNTIFS('Full Customer List'!$J:$J,AA$1,'Full Customer List'!$E:$E,$AF57,'Full Customer List'!$H:$H,'Client Retention'!$AF62)</f>
        <v>0</v>
      </c>
      <c r="AB62" s="197">
        <f>-COUNTIFS('Full Customer List'!$J:$J,AB$1,'Full Customer List'!$E:$E,$AF57,'Full Customer List'!$H:$H,'Client Retention'!$AF62)</f>
        <v>-15</v>
      </c>
      <c r="AC62" s="197">
        <f>-COUNTIFS('Full Customer List'!$J:$J,AC$1,'Full Customer List'!$E:$E,$AF57,'Full Customer List'!$H:$H,'Client Retention'!$AF62)</f>
        <v>0</v>
      </c>
      <c r="AD62" s="197">
        <f>-COUNTIFS('Full Customer List'!$J:$J,AD$1,'Full Customer List'!$E:$E,$AF57,'Full Customer List'!$H:$H,'Client Retention'!$AF62)</f>
        <v>0</v>
      </c>
      <c r="AF62" s="175" t="s">
        <v>510</v>
      </c>
    </row>
    <row r="63" spans="2:34">
      <c r="B63" s="269" t="s">
        <v>1553</v>
      </c>
      <c r="E63" s="199">
        <f t="shared" si="169"/>
        <v>0</v>
      </c>
      <c r="F63" s="199">
        <f t="shared" si="170"/>
        <v>-1</v>
      </c>
      <c r="H63" s="199">
        <f t="shared" si="171"/>
        <v>-1</v>
      </c>
      <c r="J63" s="197">
        <f>-COUNTIFS('Full Customer List'!$J:$J,J$1,'Full Customer List'!$E:$E,$AF57,'Full Customer List'!$H:$H,'Client Retention'!$AF63)</f>
        <v>0</v>
      </c>
      <c r="K63" s="197">
        <f>-COUNTIFS('Full Customer List'!$J:$J,K$1,'Full Customer List'!$E:$E,$AF57,'Full Customer List'!$H:$H,'Client Retention'!$AF63)</f>
        <v>0</v>
      </c>
      <c r="L63" s="197">
        <f>-COUNTIFS('Full Customer List'!$J:$J,L$1,'Full Customer List'!$E:$E,$AF57,'Full Customer List'!$H:$H,'Client Retention'!$AF63)</f>
        <v>0</v>
      </c>
      <c r="M63" s="197">
        <f>-COUNTIFS('Full Customer List'!$J:$J,M$1,'Full Customer List'!$E:$E,$AF57,'Full Customer List'!$H:$H,'Client Retention'!$AF63)</f>
        <v>0</v>
      </c>
      <c r="N63" s="197">
        <f>-COUNTIFS('Full Customer List'!$J:$J,N$1,'Full Customer List'!$E:$E,$AF57,'Full Customer List'!$H:$H,'Client Retention'!$AF63)</f>
        <v>0</v>
      </c>
      <c r="O63" s="197">
        <f>-COUNTIFS('Full Customer List'!$J:$J,O$1,'Full Customer List'!$E:$E,$AF57,'Full Customer List'!$H:$H,'Client Retention'!$AF63)</f>
        <v>0</v>
      </c>
      <c r="P63" s="197">
        <f>-COUNTIFS('Full Customer List'!$J:$J,P$1,'Full Customer List'!$E:$E,$AF57,'Full Customer List'!$H:$H,'Client Retention'!$AF63)</f>
        <v>0</v>
      </c>
      <c r="Q63" s="197">
        <f>-COUNTIFS('Full Customer List'!$J:$J,Q$1,'Full Customer List'!$E:$E,$AF57,'Full Customer List'!$H:$H,'Client Retention'!$AF63)</f>
        <v>0</v>
      </c>
      <c r="R63" s="197">
        <f>-COUNTIFS('Full Customer List'!$J:$J,R$1,'Full Customer List'!$E:$E,$AF57,'Full Customer List'!$H:$H,'Client Retention'!$AF63)</f>
        <v>0</v>
      </c>
      <c r="S63" s="197">
        <f>-COUNTIFS('Full Customer List'!$J:$J,S$1,'Full Customer List'!$E:$E,$AF57,'Full Customer List'!$H:$H,'Client Retention'!$AF63)</f>
        <v>0</v>
      </c>
      <c r="T63" s="197">
        <f>-COUNTIFS('Full Customer List'!$J:$J,T$1,'Full Customer List'!$E:$E,$AF57,'Full Customer List'!$H:$H,'Client Retention'!$AF63)</f>
        <v>0</v>
      </c>
      <c r="U63" s="197">
        <f>-COUNTIFS('Full Customer List'!$J:$J,U$1,'Full Customer List'!$E:$E,$AF57,'Full Customer List'!$H:$H,'Client Retention'!$AF63)</f>
        <v>0</v>
      </c>
      <c r="V63" s="197">
        <f>-COUNTIFS('Full Customer List'!$J:$J,V$1,'Full Customer List'!$E:$E,$AF57,'Full Customer List'!$H:$H,'Client Retention'!$AF63)</f>
        <v>0</v>
      </c>
      <c r="W63" s="197">
        <f>-COUNTIFS('Full Customer List'!$J:$J,W$1,'Full Customer List'!$E:$E,$AF57,'Full Customer List'!$H:$H,'Client Retention'!$AF63)</f>
        <v>0</v>
      </c>
      <c r="X63" s="197">
        <f>-COUNTIFS('Full Customer List'!$J:$J,X$1,'Full Customer List'!$E:$E,$AF57,'Full Customer List'!$H:$H,'Client Retention'!$AF63)</f>
        <v>0</v>
      </c>
      <c r="Y63" s="197">
        <f>-COUNTIFS('Full Customer List'!$J:$J,Y$1,'Full Customer List'!$E:$E,$AF57,'Full Customer List'!$H:$H,'Client Retention'!$AF63)</f>
        <v>0</v>
      </c>
      <c r="Z63" s="197">
        <f>-COUNTIFS('Full Customer List'!$J:$J,Z$1,'Full Customer List'!$E:$E,$AF57,'Full Customer List'!$H:$H,'Client Retention'!$AF63)</f>
        <v>0</v>
      </c>
      <c r="AA63" s="197">
        <f>-COUNTIFS('Full Customer List'!$J:$J,AA$1,'Full Customer List'!$E:$E,$AF57,'Full Customer List'!$H:$H,'Client Retention'!$AF63)</f>
        <v>0</v>
      </c>
      <c r="AB63" s="197">
        <f>-COUNTIFS('Full Customer List'!$J:$J,AB$1,'Full Customer List'!$E:$E,$AF57,'Full Customer List'!$H:$H,'Client Retention'!$AF63)</f>
        <v>-1</v>
      </c>
      <c r="AC63" s="197">
        <f>-COUNTIFS('Full Customer List'!$J:$J,AC$1,'Full Customer List'!$E:$E,$AF57,'Full Customer List'!$H:$H,'Client Retention'!$AF63)</f>
        <v>0</v>
      </c>
      <c r="AD63" s="197">
        <f>-COUNTIFS('Full Customer List'!$J:$J,AD$1,'Full Customer List'!$E:$E,$AF57,'Full Customer List'!$H:$H,'Client Retention'!$AF63)</f>
        <v>0</v>
      </c>
      <c r="AF63" s="175" t="s">
        <v>1554</v>
      </c>
    </row>
    <row r="64" spans="2:34" ht="12" customHeight="1">
      <c r="B64" s="259" t="s">
        <v>1555</v>
      </c>
      <c r="C64" s="262"/>
      <c r="D64" s="262"/>
      <c r="E64" s="260">
        <f>SUM(J64:U64)</f>
        <v>-11</v>
      </c>
      <c r="F64" s="260">
        <f>SUM(V64:AD64)</f>
        <v>-21</v>
      </c>
      <c r="G64" s="261"/>
      <c r="H64" s="260">
        <f>SUM(S64:AD64)</f>
        <v>-24</v>
      </c>
      <c r="I64" s="281"/>
      <c r="J64" s="262">
        <f>-COUNTIFS('Full Customer List'!$J:$J,J$1,'Full Customer List'!$E:$E,$AF57)</f>
        <v>-3</v>
      </c>
      <c r="K64" s="262">
        <f>-COUNTIFS('Full Customer List'!$J:$J,K$1,'Full Customer List'!$E:$E,$AF57)</f>
        <v>-1</v>
      </c>
      <c r="L64" s="262">
        <f>-COUNTIFS('Full Customer List'!$J:$J,L$1,'Full Customer List'!$E:$E,$AF57)</f>
        <v>0</v>
      </c>
      <c r="M64" s="262">
        <f>-COUNTIFS('Full Customer List'!$J:$J,M$1,'Full Customer List'!$E:$E,$AF57)</f>
        <v>0</v>
      </c>
      <c r="N64" s="262">
        <f>-COUNTIFS('Full Customer List'!$J:$J,N$1,'Full Customer List'!$E:$E,$AF57)</f>
        <v>-1</v>
      </c>
      <c r="O64" s="262">
        <f>-COUNTIFS('Full Customer List'!$J:$J,O$1,'Full Customer List'!$E:$E,$AF57)</f>
        <v>-1</v>
      </c>
      <c r="P64" s="262">
        <f>-COUNTIFS('Full Customer List'!$J:$J,P$1,'Full Customer List'!$E:$E,$AF57)</f>
        <v>-1</v>
      </c>
      <c r="Q64" s="262">
        <f>-COUNTIFS('Full Customer List'!$J:$J,Q$1,'Full Customer List'!$E:$E,$AF57)</f>
        <v>0</v>
      </c>
      <c r="R64" s="262">
        <f>-COUNTIFS('Full Customer List'!$J:$J,R$1,'Full Customer List'!$E:$E,$AF57)</f>
        <v>-1</v>
      </c>
      <c r="S64" s="262">
        <f>-COUNTIFS('Full Customer List'!$J:$J,S$1,'Full Customer List'!$E:$E,$AF57)</f>
        <v>0</v>
      </c>
      <c r="T64" s="262">
        <f>-COUNTIFS('Full Customer List'!$J:$J,T$1,'Full Customer List'!$E:$E,$AF57)</f>
        <v>0</v>
      </c>
      <c r="U64" s="262">
        <f>-COUNTIFS('Full Customer List'!$J:$J,U$1,'Full Customer List'!$E:$E,$AF57)</f>
        <v>-3</v>
      </c>
      <c r="V64" s="262">
        <f>-COUNTIFS('Full Customer List'!$J:$J,V$1,'Full Customer List'!$E:$E,$AF57)</f>
        <v>-1</v>
      </c>
      <c r="W64" s="262">
        <f>-COUNTIFS('Full Customer List'!$J:$J,W$1,'Full Customer List'!$E:$E,$AF57)</f>
        <v>-1</v>
      </c>
      <c r="X64" s="262">
        <f>-COUNTIFS('Full Customer List'!$J:$J,X$1,'Full Customer List'!$E:$E,$AF57)</f>
        <v>-2</v>
      </c>
      <c r="Y64" s="262">
        <f>-COUNTIFS('Full Customer List'!$J:$J,Y$1,'Full Customer List'!$E:$E,$AF57)</f>
        <v>0</v>
      </c>
      <c r="Z64" s="262">
        <f>-COUNTIFS('Full Customer List'!$J:$J,Z$1,'Full Customer List'!$E:$E,$AF57)</f>
        <v>-1</v>
      </c>
      <c r="AA64" s="262">
        <f>-COUNTIFS('Full Customer List'!$J:$J,AA$1,'Full Customer List'!$E:$E,$AF57)</f>
        <v>0</v>
      </c>
      <c r="AB64" s="262">
        <f>-COUNTIFS('Full Customer List'!$J:$J,AB$1,'Full Customer List'!$E:$E,$AF57)</f>
        <v>-16</v>
      </c>
      <c r="AC64" s="262">
        <f>-COUNTIFS('Full Customer List'!$J:$J,AC$1,'Full Customer List'!$E:$E,$AF57)</f>
        <v>0</v>
      </c>
      <c r="AD64" s="262">
        <f>-COUNTIFS('Full Customer List'!$J:$J,AD$1,'Full Customer List'!$E:$E,$AF57)</f>
        <v>0</v>
      </c>
    </row>
    <row r="65" spans="2:34" ht="12" customHeight="1">
      <c r="B65" s="263" t="s">
        <v>1323</v>
      </c>
      <c r="C65" s="264"/>
      <c r="D65" s="264"/>
      <c r="E65" s="264">
        <f>+F59</f>
        <v>23</v>
      </c>
      <c r="F65" s="265">
        <f>+$AD65</f>
        <v>2</v>
      </c>
      <c r="H65" s="268">
        <f>+$AD65</f>
        <v>2</v>
      </c>
      <c r="J65" s="266">
        <f t="shared" ref="J65:AC65" si="172">+K59</f>
        <v>29</v>
      </c>
      <c r="K65" s="264">
        <f t="shared" si="172"/>
        <v>28</v>
      </c>
      <c r="L65" s="264">
        <f t="shared" si="172"/>
        <v>28</v>
      </c>
      <c r="M65" s="264">
        <f t="shared" si="172"/>
        <v>28</v>
      </c>
      <c r="N65" s="264">
        <f t="shared" si="172"/>
        <v>27</v>
      </c>
      <c r="O65" s="264">
        <f t="shared" si="172"/>
        <v>27</v>
      </c>
      <c r="P65" s="264">
        <f t="shared" si="172"/>
        <v>26</v>
      </c>
      <c r="Q65" s="264">
        <f t="shared" si="172"/>
        <v>27</v>
      </c>
      <c r="R65" s="264">
        <f t="shared" si="172"/>
        <v>26</v>
      </c>
      <c r="S65" s="266">
        <f t="shared" si="172"/>
        <v>26</v>
      </c>
      <c r="T65" s="264">
        <f t="shared" si="172"/>
        <v>26</v>
      </c>
      <c r="U65" s="264">
        <f t="shared" si="172"/>
        <v>23</v>
      </c>
      <c r="V65" s="264">
        <f t="shared" si="172"/>
        <v>22</v>
      </c>
      <c r="W65" s="264">
        <f t="shared" si="172"/>
        <v>21</v>
      </c>
      <c r="X65" s="264">
        <f t="shared" si="172"/>
        <v>19</v>
      </c>
      <c r="Y65" s="264">
        <f t="shared" si="172"/>
        <v>19</v>
      </c>
      <c r="Z65" s="264">
        <f t="shared" si="172"/>
        <v>18</v>
      </c>
      <c r="AA65" s="264">
        <f t="shared" si="172"/>
        <v>18</v>
      </c>
      <c r="AB65" s="264">
        <f t="shared" si="172"/>
        <v>2</v>
      </c>
      <c r="AC65" s="264">
        <f t="shared" si="172"/>
        <v>2</v>
      </c>
      <c r="AD65" s="267">
        <f>COUNTIFS('Full Customer List'!$C:$C,"Active",'Full Customer List'!$E:$E,'Client Retention'!$AF57)</f>
        <v>2</v>
      </c>
    </row>
    <row r="66" spans="2:34" ht="3.95" customHeight="1">
      <c r="B66" s="182"/>
      <c r="C66" s="236"/>
      <c r="D66" s="236"/>
      <c r="E66" s="236"/>
      <c r="F66" s="236"/>
      <c r="H66" s="236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  <c r="AB66" s="237"/>
      <c r="AC66" s="237"/>
      <c r="AD66" s="237"/>
      <c r="AF66" s="222"/>
    </row>
    <row r="67" spans="2:34" ht="12" customHeight="1">
      <c r="B67" s="238" t="s">
        <v>1541</v>
      </c>
      <c r="C67" s="239"/>
      <c r="D67" s="239"/>
      <c r="E67" s="240">
        <f>(E60+E59)/E59-1</f>
        <v>6.25E-2</v>
      </c>
      <c r="F67" s="251">
        <f>(F60+F59)/F59-1</f>
        <v>0</v>
      </c>
      <c r="G67" s="252"/>
      <c r="H67" s="253">
        <f>(H60+H59)/H59-1</f>
        <v>0</v>
      </c>
      <c r="J67" s="250">
        <f t="shared" ref="J67:AB67" si="173">(J60+J59)/J59-1</f>
        <v>0</v>
      </c>
      <c r="K67" s="240">
        <f t="shared" si="173"/>
        <v>0</v>
      </c>
      <c r="L67" s="240">
        <f t="shared" si="173"/>
        <v>0</v>
      </c>
      <c r="M67" s="240">
        <f t="shared" si="173"/>
        <v>0</v>
      </c>
      <c r="N67" s="240">
        <f t="shared" si="173"/>
        <v>0</v>
      </c>
      <c r="O67" s="240">
        <f t="shared" si="173"/>
        <v>3.7037037037036979E-2</v>
      </c>
      <c r="P67" s="240">
        <f t="shared" si="173"/>
        <v>0</v>
      </c>
      <c r="Q67" s="240">
        <f t="shared" si="173"/>
        <v>3.8461538461538547E-2</v>
      </c>
      <c r="R67" s="240">
        <f t="shared" si="173"/>
        <v>0</v>
      </c>
      <c r="S67" s="250">
        <f t="shared" si="173"/>
        <v>0</v>
      </c>
      <c r="T67" s="240">
        <f t="shared" si="173"/>
        <v>0</v>
      </c>
      <c r="U67" s="240">
        <f t="shared" si="173"/>
        <v>0</v>
      </c>
      <c r="V67" s="240">
        <f t="shared" si="173"/>
        <v>0</v>
      </c>
      <c r="W67" s="240">
        <f t="shared" si="173"/>
        <v>0</v>
      </c>
      <c r="X67" s="240">
        <f t="shared" si="173"/>
        <v>0</v>
      </c>
      <c r="Y67" s="240">
        <f t="shared" si="173"/>
        <v>0</v>
      </c>
      <c r="Z67" s="240">
        <f t="shared" si="173"/>
        <v>0</v>
      </c>
      <c r="AA67" s="240">
        <f t="shared" si="173"/>
        <v>0</v>
      </c>
      <c r="AB67" s="240">
        <f t="shared" si="173"/>
        <v>0</v>
      </c>
      <c r="AC67" s="240">
        <f t="shared" ref="AC67:AD67" si="174">(AC60+AC59)/AC59-1</f>
        <v>0</v>
      </c>
      <c r="AD67" s="251">
        <f t="shared" si="174"/>
        <v>0</v>
      </c>
      <c r="AF67" s="222"/>
    </row>
    <row r="68" spans="2:34" ht="12" customHeight="1">
      <c r="B68" s="241" t="s">
        <v>1542</v>
      </c>
      <c r="C68" s="242"/>
      <c r="D68" s="242"/>
      <c r="E68" s="243">
        <f>(E64+E59)/E59-1</f>
        <v>-0.34375</v>
      </c>
      <c r="F68" s="244">
        <f>(F64+F59)/F59-1</f>
        <v>-0.91304347826086962</v>
      </c>
      <c r="G68" s="252"/>
      <c r="H68" s="246">
        <f>(H64+H59)/H59-1</f>
        <v>-0.92307692307692313</v>
      </c>
      <c r="J68" s="245">
        <f t="shared" ref="J68:AB68" si="175">(J64+J59)/J59-1</f>
        <v>-9.375E-2</v>
      </c>
      <c r="K68" s="243">
        <f t="shared" si="175"/>
        <v>-3.4482758620689613E-2</v>
      </c>
      <c r="L68" s="243">
        <f t="shared" si="175"/>
        <v>0</v>
      </c>
      <c r="M68" s="243">
        <f t="shared" si="175"/>
        <v>0</v>
      </c>
      <c r="N68" s="243">
        <f t="shared" si="175"/>
        <v>-3.5714285714285698E-2</v>
      </c>
      <c r="O68" s="243">
        <f t="shared" si="175"/>
        <v>-3.703703703703709E-2</v>
      </c>
      <c r="P68" s="243">
        <f t="shared" si="175"/>
        <v>-3.703703703703709E-2</v>
      </c>
      <c r="Q68" s="243">
        <f t="shared" si="175"/>
        <v>0</v>
      </c>
      <c r="R68" s="243">
        <f t="shared" si="175"/>
        <v>-3.703703703703709E-2</v>
      </c>
      <c r="S68" s="245">
        <f t="shared" si="175"/>
        <v>0</v>
      </c>
      <c r="T68" s="243">
        <f t="shared" si="175"/>
        <v>0</v>
      </c>
      <c r="U68" s="243">
        <f t="shared" si="175"/>
        <v>-0.11538461538461542</v>
      </c>
      <c r="V68" s="243">
        <f t="shared" si="175"/>
        <v>-4.3478260869565188E-2</v>
      </c>
      <c r="W68" s="243">
        <f t="shared" si="175"/>
        <v>-4.5454545454545414E-2</v>
      </c>
      <c r="X68" s="243">
        <f t="shared" si="175"/>
        <v>-9.5238095238095233E-2</v>
      </c>
      <c r="Y68" s="243">
        <f t="shared" si="175"/>
        <v>0</v>
      </c>
      <c r="Z68" s="243">
        <f t="shared" si="175"/>
        <v>-5.2631578947368474E-2</v>
      </c>
      <c r="AA68" s="243">
        <f t="shared" si="175"/>
        <v>0</v>
      </c>
      <c r="AB68" s="243">
        <f t="shared" si="175"/>
        <v>-0.88888888888888884</v>
      </c>
      <c r="AC68" s="243">
        <f t="shared" ref="AC68:AD68" si="176">(AC64+AC59)/AC59-1</f>
        <v>0</v>
      </c>
      <c r="AD68" s="244">
        <f t="shared" si="176"/>
        <v>0</v>
      </c>
      <c r="AF68" s="222"/>
    </row>
    <row r="69" spans="2:34" ht="3.95" customHeight="1">
      <c r="AF69" s="222"/>
    </row>
    <row r="70" spans="2:34" ht="24">
      <c r="B70" s="161" t="s">
        <v>1316</v>
      </c>
      <c r="C70" s="178" t="s">
        <v>1324</v>
      </c>
      <c r="D70" s="178" t="s">
        <v>3</v>
      </c>
      <c r="E70" s="178" t="s">
        <v>4</v>
      </c>
      <c r="F70" s="178" t="s">
        <v>1326</v>
      </c>
      <c r="G70" s="195"/>
      <c r="H70" s="178" t="s">
        <v>1550</v>
      </c>
      <c r="J70" s="194">
        <v>45658</v>
      </c>
      <c r="K70" s="194">
        <f t="shared" ref="K70" si="177">EOMONTH(J70,0)+1</f>
        <v>45689</v>
      </c>
      <c r="L70" s="194">
        <f t="shared" ref="L70" si="178">EOMONTH(K70,0)+1</f>
        <v>45717</v>
      </c>
      <c r="M70" s="194">
        <f t="shared" ref="M70" si="179">EOMONTH(L70,0)+1</f>
        <v>45748</v>
      </c>
      <c r="N70" s="194">
        <f t="shared" ref="N70" si="180">EOMONTH(M70,0)+1</f>
        <v>45778</v>
      </c>
      <c r="O70" s="194">
        <f t="shared" ref="O70" si="181">EOMONTH(N70,0)+1</f>
        <v>45809</v>
      </c>
      <c r="P70" s="194">
        <f t="shared" ref="P70" si="182">EOMONTH(O70,0)+1</f>
        <v>45839</v>
      </c>
      <c r="Q70" s="194">
        <v>45870</v>
      </c>
      <c r="R70" s="194">
        <f t="shared" ref="R70" si="183">EOMONTH(Q70,0)+1</f>
        <v>45901</v>
      </c>
      <c r="S70" s="194">
        <f t="shared" ref="S70" si="184">EOMONTH(R70,0)+1</f>
        <v>45931</v>
      </c>
      <c r="T70" s="194">
        <f t="shared" ref="T70" si="185">EOMONTH(S70,0)+1</f>
        <v>45962</v>
      </c>
      <c r="U70" s="194">
        <f t="shared" ref="U70" si="186">EOMONTH(T70,0)+1</f>
        <v>45992</v>
      </c>
      <c r="V70" s="194">
        <f t="shared" ref="V70" si="187">EOMONTH(U70,0)+1</f>
        <v>46023</v>
      </c>
      <c r="W70" s="194">
        <f t="shared" ref="W70" si="188">EOMONTH(V70,0)+1</f>
        <v>46054</v>
      </c>
      <c r="X70" s="194">
        <f t="shared" ref="X70" si="189">EOMONTH(W70,0)+1</f>
        <v>46082</v>
      </c>
      <c r="Y70" s="194">
        <f t="shared" ref="Y70" si="190">EOMONTH(X70,0)+1</f>
        <v>46113</v>
      </c>
      <c r="Z70" s="194">
        <f t="shared" ref="Z70" si="191">EOMONTH(Y70,0)+1</f>
        <v>46143</v>
      </c>
      <c r="AA70" s="194">
        <f t="shared" ref="AA70" si="192">EOMONTH(Z70,0)+1</f>
        <v>46174</v>
      </c>
      <c r="AB70" s="194">
        <f t="shared" ref="AB70" si="193">EOMONTH(AA70,0)+1</f>
        <v>46204</v>
      </c>
      <c r="AC70" s="194">
        <f t="shared" ref="AC70" si="194">EOMONTH(AB70,0)+1</f>
        <v>46235</v>
      </c>
      <c r="AD70" s="194">
        <f t="shared" ref="AD70" si="195">EOMONTH(AC70,0)+1</f>
        <v>46266</v>
      </c>
      <c r="AE70" s="189"/>
      <c r="AF70" s="222" t="s">
        <v>1308</v>
      </c>
      <c r="AG70" s="189"/>
      <c r="AH70" s="189"/>
    </row>
    <row r="71" spans="2:34">
      <c r="B71" s="188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5" t="s">
        <v>1321</v>
      </c>
      <c r="C72" s="184"/>
      <c r="D72" s="184"/>
      <c r="E72" s="184">
        <f>+E78-E73-E77</f>
        <v>30</v>
      </c>
      <c r="F72" s="184">
        <f>+F78-F73-F77</f>
        <v>3</v>
      </c>
      <c r="H72" s="184">
        <f t="shared" ref="H72" si="196">+H78-H73-H77</f>
        <v>17</v>
      </c>
      <c r="J72" s="184">
        <f t="shared" ref="J72:Z72" si="197">+J78-J73-J77</f>
        <v>30</v>
      </c>
      <c r="K72" s="184">
        <f t="shared" si="197"/>
        <v>26</v>
      </c>
      <c r="L72" s="184">
        <f t="shared" si="197"/>
        <v>26</v>
      </c>
      <c r="M72" s="184">
        <f t="shared" si="197"/>
        <v>26</v>
      </c>
      <c r="N72" s="184">
        <f t="shared" si="197"/>
        <v>23</v>
      </c>
      <c r="O72" s="184">
        <f t="shared" si="197"/>
        <v>23</v>
      </c>
      <c r="P72" s="184">
        <f t="shared" si="197"/>
        <v>18</v>
      </c>
      <c r="Q72" s="184">
        <f t="shared" si="197"/>
        <v>19</v>
      </c>
      <c r="R72" s="184">
        <f t="shared" si="197"/>
        <v>18</v>
      </c>
      <c r="S72" s="184">
        <f t="shared" si="197"/>
        <v>17</v>
      </c>
      <c r="T72" s="184">
        <f t="shared" si="197"/>
        <v>17</v>
      </c>
      <c r="U72" s="184">
        <f t="shared" si="197"/>
        <v>10</v>
      </c>
      <c r="V72" s="184">
        <f t="shared" si="197"/>
        <v>3</v>
      </c>
      <c r="W72" s="184">
        <f t="shared" si="197"/>
        <v>1</v>
      </c>
      <c r="X72" s="184">
        <f t="shared" si="197"/>
        <v>1</v>
      </c>
      <c r="Y72" s="184">
        <f t="shared" si="197"/>
        <v>1</v>
      </c>
      <c r="Z72" s="184">
        <f t="shared" si="197"/>
        <v>2</v>
      </c>
      <c r="AA72" s="184">
        <f>+AA78-AA73-AA77</f>
        <v>1</v>
      </c>
      <c r="AB72" s="184">
        <f>+AB78-AB73-AB77</f>
        <v>1</v>
      </c>
      <c r="AC72" s="184">
        <f t="shared" ref="AC72:AD72" si="198">+AC78-AC73-AC77</f>
        <v>0</v>
      </c>
      <c r="AD72" s="184">
        <f t="shared" si="198"/>
        <v>0</v>
      </c>
    </row>
    <row r="73" spans="2:34">
      <c r="B73" s="193" t="s">
        <v>1322</v>
      </c>
      <c r="E73" s="199">
        <f>SUM(J73:U73)</f>
        <v>16</v>
      </c>
      <c r="F73" s="199">
        <f>SUM(V73:AD73)</f>
        <v>1</v>
      </c>
      <c r="H73" s="199">
        <f>SUM(S73:AD73)</f>
        <v>4</v>
      </c>
      <c r="J73" s="197">
        <f>COUNTIFS('Full Customer List'!$I:$I,'Client Retention'!J$5,'Full Customer List'!$E:$E,$AF70)</f>
        <v>0</v>
      </c>
      <c r="K73" s="197">
        <f>COUNTIFS('Full Customer List'!$I:$I,'Client Retention'!K$5,'Full Customer List'!$E:$E,$AF70)</f>
        <v>3</v>
      </c>
      <c r="L73" s="197">
        <f>COUNTIFS('Full Customer List'!$I:$I,'Client Retention'!L$5,'Full Customer List'!$E:$E,$AF70)</f>
        <v>2</v>
      </c>
      <c r="M73" s="197">
        <f>COUNTIFS('Full Customer List'!$I:$I,'Client Retention'!M$5,'Full Customer List'!$E:$E,$AF70)</f>
        <v>1</v>
      </c>
      <c r="N73" s="197">
        <f>COUNTIFS('Full Customer List'!$I:$I,'Client Retention'!N$5,'Full Customer List'!$E:$E,$AF70)</f>
        <v>2</v>
      </c>
      <c r="O73" s="197">
        <f>COUNTIFS('Full Customer List'!$I:$I,'Client Retention'!O$5,'Full Customer List'!$E:$E,$AF70)</f>
        <v>1</v>
      </c>
      <c r="P73" s="197">
        <f>COUNTIFS('Full Customer List'!$I:$I,'Client Retention'!P$5,'Full Customer List'!$E:$E,$AF70)</f>
        <v>1</v>
      </c>
      <c r="Q73" s="197">
        <f>COUNTIFS('Full Customer List'!$I:$I,'Client Retention'!Q$5,'Full Customer List'!$E:$E,$AF70)</f>
        <v>1</v>
      </c>
      <c r="R73" s="197">
        <f>COUNTIFS('Full Customer List'!$I:$I,'Client Retention'!R$5,'Full Customer List'!$E:$E,$AF70)</f>
        <v>2</v>
      </c>
      <c r="S73" s="197">
        <f>COUNTIFS('Full Customer List'!$I:$I,'Client Retention'!S$5,'Full Customer List'!$E:$E,$AF70)</f>
        <v>1</v>
      </c>
      <c r="T73" s="197">
        <f>COUNTIFS('Full Customer List'!$I:$I,'Client Retention'!T$5,'Full Customer List'!$E:$E,$AF70)</f>
        <v>1</v>
      </c>
      <c r="U73" s="197">
        <f>COUNTIFS('Full Customer List'!$I:$I,'Client Retention'!U$5,'Full Customer List'!$E:$E,$AF70)</f>
        <v>1</v>
      </c>
      <c r="V73" s="197">
        <f>COUNTIFS('Full Customer List'!$I:$I,'Client Retention'!V$5,'Full Customer List'!$E:$E,$AF70)</f>
        <v>0</v>
      </c>
      <c r="W73" s="197">
        <f>COUNTIFS('Full Customer List'!$I:$I,'Client Retention'!W$5,'Full Customer List'!$E:$E,$AF70)</f>
        <v>0</v>
      </c>
      <c r="X73" s="197">
        <f>COUNTIFS('Full Customer List'!$I:$I,'Client Retention'!X$5,'Full Customer List'!$E:$E,$AF70)</f>
        <v>0</v>
      </c>
      <c r="Y73" s="197">
        <f>COUNTIFS('Full Customer List'!$I:$I,'Client Retention'!Y$5,'Full Customer List'!$E:$E,$AF70)</f>
        <v>1</v>
      </c>
      <c r="Z73" s="197">
        <f>COUNTIFS('Full Customer List'!$I:$I,'Client Retention'!Z$5,'Full Customer List'!$E:$E,$AF70)</f>
        <v>0</v>
      </c>
      <c r="AA73" s="197">
        <f>COUNTIFS('Full Customer List'!$I:$I,'Client Retention'!AA$5,'Full Customer List'!$E:$E,$AF70)</f>
        <v>0</v>
      </c>
      <c r="AB73" s="197">
        <f>COUNTIFS('Full Customer List'!$I:$I,'Client Retention'!AB$5,'Full Customer List'!$E:$E,$AF70)</f>
        <v>0</v>
      </c>
      <c r="AC73" s="197">
        <f>COUNTIFS('Full Customer List'!$I:$I,'Client Retention'!AC$5,'Full Customer List'!$E:$E,$AF70)</f>
        <v>0</v>
      </c>
      <c r="AD73" s="197">
        <f>COUNTIFS('Full Customer List'!$I:$I,'Client Retention'!AD$5,'Full Customer List'!$E:$E,$AF70)</f>
        <v>0</v>
      </c>
    </row>
    <row r="74" spans="2:34">
      <c r="B74" s="269" t="s">
        <v>1551</v>
      </c>
      <c r="E74" s="199">
        <f t="shared" ref="E74:E76" si="199">SUM(J74:U74)</f>
        <v>-24</v>
      </c>
      <c r="F74" s="199">
        <f t="shared" ref="F74:F76" si="200">SUM(V74:AD74)</f>
        <v>-2</v>
      </c>
      <c r="H74" s="199">
        <f t="shared" ref="H74:H76" si="201">SUM(S74:AD74)</f>
        <v>-11</v>
      </c>
      <c r="J74" s="197">
        <f>-COUNTIFS('Full Customer List'!$J:$J,J$1,'Full Customer List'!$E:$E,$AF70,'Full Customer List'!$H:$H,'Client Retention'!$AF74)</f>
        <v>0</v>
      </c>
      <c r="K74" s="197">
        <f>-COUNTIFS('Full Customer List'!$J:$J,K$1,'Full Customer List'!$E:$E,$AF70,'Full Customer List'!$H:$H,'Client Retention'!$AF74)</f>
        <v>-2</v>
      </c>
      <c r="L74" s="197">
        <f>-COUNTIFS('Full Customer List'!$J:$J,L$1,'Full Customer List'!$E:$E,$AF70,'Full Customer List'!$H:$H,'Client Retention'!$AF74)</f>
        <v>-1</v>
      </c>
      <c r="M74" s="197">
        <f>-COUNTIFS('Full Customer List'!$J:$J,M$1,'Full Customer List'!$E:$E,$AF70,'Full Customer List'!$H:$H,'Client Retention'!$AF74)</f>
        <v>-3</v>
      </c>
      <c r="N74" s="197">
        <f>-COUNTIFS('Full Customer List'!$J:$J,N$1,'Full Customer List'!$E:$E,$AF70,'Full Customer List'!$H:$H,'Client Retention'!$AF74)</f>
        <v>0</v>
      </c>
      <c r="O74" s="197">
        <f>-COUNTIFS('Full Customer List'!$J:$J,O$1,'Full Customer List'!$E:$E,$AF70,'Full Customer List'!$H:$H,'Client Retention'!$AF74)</f>
        <v>-5</v>
      </c>
      <c r="P74" s="197">
        <f>-COUNTIFS('Full Customer List'!$J:$J,P$1,'Full Customer List'!$E:$E,$AF70,'Full Customer List'!$H:$H,'Client Retention'!$AF74)</f>
        <v>0</v>
      </c>
      <c r="Q74" s="197">
        <f>-COUNTIFS('Full Customer List'!$J:$J,Q$1,'Full Customer List'!$E:$E,$AF70,'Full Customer List'!$H:$H,'Client Retention'!$AF74)</f>
        <v>-2</v>
      </c>
      <c r="R74" s="197">
        <f>-COUNTIFS('Full Customer List'!$J:$J,R$1,'Full Customer List'!$E:$E,$AF70,'Full Customer List'!$H:$H,'Client Retention'!$AF74)</f>
        <v>-2</v>
      </c>
      <c r="S74" s="197">
        <f>-COUNTIFS('Full Customer List'!$J:$J,S$1,'Full Customer List'!$E:$E,$AF70,'Full Customer List'!$H:$H,'Client Retention'!$AF74)</f>
        <v>-1</v>
      </c>
      <c r="T74" s="197">
        <f>-COUNTIFS('Full Customer List'!$J:$J,T$1,'Full Customer List'!$E:$E,$AF70,'Full Customer List'!$H:$H,'Client Retention'!$AF74)</f>
        <v>-3</v>
      </c>
      <c r="U74" s="197">
        <f>-COUNTIFS('Full Customer List'!$J:$J,U$1,'Full Customer List'!$E:$E,$AF70,'Full Customer List'!$H:$H,'Client Retention'!$AF74)</f>
        <v>-5</v>
      </c>
      <c r="V74" s="197">
        <f>-COUNTIFS('Full Customer List'!$J:$J,V$1,'Full Customer List'!$E:$E,$AF70,'Full Customer List'!$H:$H,'Client Retention'!$AF74)</f>
        <v>-1</v>
      </c>
      <c r="W74" s="197">
        <f>-COUNTIFS('Full Customer List'!$J:$J,W$1,'Full Customer List'!$E:$E,$AF70,'Full Customer List'!$H:$H,'Client Retention'!$AF74)</f>
        <v>0</v>
      </c>
      <c r="X74" s="197">
        <f>-COUNTIFS('Full Customer List'!$J:$J,X$1,'Full Customer List'!$E:$E,$AF70,'Full Customer List'!$H:$H,'Client Retention'!$AF74)</f>
        <v>0</v>
      </c>
      <c r="Y74" s="197">
        <f>-COUNTIFS('Full Customer List'!$J:$J,Y$1,'Full Customer List'!$E:$E,$AF70,'Full Customer List'!$H:$H,'Client Retention'!$AF74)</f>
        <v>0</v>
      </c>
      <c r="Z74" s="197">
        <f>-COUNTIFS('Full Customer List'!$J:$J,Z$1,'Full Customer List'!$E:$E,$AF70,'Full Customer List'!$H:$H,'Client Retention'!$AF74)</f>
        <v>-1</v>
      </c>
      <c r="AA74" s="197">
        <f>-COUNTIFS('Full Customer List'!$J:$J,AA$1,'Full Customer List'!$E:$E,$AF70,'Full Customer List'!$H:$H,'Client Retention'!$AF74)</f>
        <v>0</v>
      </c>
      <c r="AB74" s="197">
        <f>-COUNTIFS('Full Customer List'!$J:$J,AB$1,'Full Customer List'!$E:$E,$AF70,'Full Customer List'!$H:$H,'Client Retention'!$AF74)</f>
        <v>0</v>
      </c>
      <c r="AC74" s="197">
        <f>-COUNTIFS('Full Customer List'!$J:$J,AC$1,'Full Customer List'!$E:$E,$AF70,'Full Customer List'!$H:$H,'Client Retention'!$AF74)</f>
        <v>0</v>
      </c>
      <c r="AD74" s="197">
        <f>-COUNTIFS('Full Customer List'!$J:$J,AD$1,'Full Customer List'!$E:$E,$AF70,'Full Customer List'!$H:$H,'Client Retention'!$AF74)</f>
        <v>0</v>
      </c>
      <c r="AF74" s="175" t="s">
        <v>509</v>
      </c>
    </row>
    <row r="75" spans="2:34">
      <c r="B75" s="269" t="s">
        <v>1552</v>
      </c>
      <c r="E75" s="199">
        <f t="shared" si="199"/>
        <v>-19</v>
      </c>
      <c r="F75" s="199">
        <f t="shared" si="200"/>
        <v>-2</v>
      </c>
      <c r="H75" s="199">
        <f t="shared" si="201"/>
        <v>-10</v>
      </c>
      <c r="J75" s="197">
        <f>-COUNTIFS('Full Customer List'!$J:$J,J$1,'Full Customer List'!$E:$E,$AF70,'Full Customer List'!$H:$H,'Client Retention'!$AF75)</f>
        <v>-4</v>
      </c>
      <c r="K75" s="197">
        <f>-COUNTIFS('Full Customer List'!$J:$J,K$1,'Full Customer List'!$E:$E,$AF70,'Full Customer List'!$H:$H,'Client Retention'!$AF75)</f>
        <v>-1</v>
      </c>
      <c r="L75" s="197">
        <f>-COUNTIFS('Full Customer List'!$J:$J,L$1,'Full Customer List'!$E:$E,$AF70,'Full Customer List'!$H:$H,'Client Retention'!$AF75)</f>
        <v>-1</v>
      </c>
      <c r="M75" s="197">
        <f>-COUNTIFS('Full Customer List'!$J:$J,M$1,'Full Customer List'!$E:$E,$AF70,'Full Customer List'!$H:$H,'Client Retention'!$AF75)</f>
        <v>-1</v>
      </c>
      <c r="N75" s="197">
        <f>-COUNTIFS('Full Customer List'!$J:$J,N$1,'Full Customer List'!$E:$E,$AF70,'Full Customer List'!$H:$H,'Client Retention'!$AF75)</f>
        <v>-2</v>
      </c>
      <c r="O75" s="197">
        <f>-COUNTIFS('Full Customer List'!$J:$J,O$1,'Full Customer List'!$E:$E,$AF70,'Full Customer List'!$H:$H,'Client Retention'!$AF75)</f>
        <v>-1</v>
      </c>
      <c r="P75" s="197">
        <f>-COUNTIFS('Full Customer List'!$J:$J,P$1,'Full Customer List'!$E:$E,$AF70,'Full Customer List'!$H:$H,'Client Retention'!$AF75)</f>
        <v>0</v>
      </c>
      <c r="Q75" s="197">
        <f>-COUNTIFS('Full Customer List'!$J:$J,Q$1,'Full Customer List'!$E:$E,$AF70,'Full Customer List'!$H:$H,'Client Retention'!$AF75)</f>
        <v>0</v>
      </c>
      <c r="R75" s="197">
        <f>-COUNTIFS('Full Customer List'!$J:$J,R$1,'Full Customer List'!$E:$E,$AF70,'Full Customer List'!$H:$H,'Client Retention'!$AF75)</f>
        <v>-1</v>
      </c>
      <c r="S75" s="197">
        <f>-COUNTIFS('Full Customer List'!$J:$J,S$1,'Full Customer List'!$E:$E,$AF70,'Full Customer List'!$H:$H,'Client Retention'!$AF75)</f>
        <v>0</v>
      </c>
      <c r="T75" s="197">
        <f>-COUNTIFS('Full Customer List'!$J:$J,T$1,'Full Customer List'!$E:$E,$AF70,'Full Customer List'!$H:$H,'Client Retention'!$AF75)</f>
        <v>-5</v>
      </c>
      <c r="U75" s="197">
        <f>-COUNTIFS('Full Customer List'!$J:$J,U$1,'Full Customer List'!$E:$E,$AF70,'Full Customer List'!$H:$H,'Client Retention'!$AF75)</f>
        <v>-3</v>
      </c>
      <c r="V75" s="197">
        <f>-COUNTIFS('Full Customer List'!$J:$J,V$1,'Full Customer List'!$E:$E,$AF70,'Full Customer List'!$H:$H,'Client Retention'!$AF75)</f>
        <v>-1</v>
      </c>
      <c r="W75" s="197">
        <f>-COUNTIFS('Full Customer List'!$J:$J,W$1,'Full Customer List'!$E:$E,$AF70,'Full Customer List'!$H:$H,'Client Retention'!$AF75)</f>
        <v>0</v>
      </c>
      <c r="X75" s="197">
        <f>-COUNTIFS('Full Customer List'!$J:$J,X$1,'Full Customer List'!$E:$E,$AF70,'Full Customer List'!$H:$H,'Client Retention'!$AF75)</f>
        <v>0</v>
      </c>
      <c r="Y75" s="197">
        <f>-COUNTIFS('Full Customer List'!$J:$J,Y$1,'Full Customer List'!$E:$E,$AF70,'Full Customer List'!$H:$H,'Client Retention'!$AF75)</f>
        <v>0</v>
      </c>
      <c r="Z75" s="197">
        <f>-COUNTIFS('Full Customer List'!$J:$J,Z$1,'Full Customer List'!$E:$E,$AF70,'Full Customer List'!$H:$H,'Client Retention'!$AF75)</f>
        <v>0</v>
      </c>
      <c r="AA75" s="197">
        <f>-COUNTIFS('Full Customer List'!$J:$J,AA$1,'Full Customer List'!$E:$E,$AF70,'Full Customer List'!$H:$H,'Client Retention'!$AF75)</f>
        <v>0</v>
      </c>
      <c r="AB75" s="197">
        <f>-COUNTIFS('Full Customer List'!$J:$J,AB$1,'Full Customer List'!$E:$E,$AF70,'Full Customer List'!$H:$H,'Client Retention'!$AF75)</f>
        <v>-1</v>
      </c>
      <c r="AC75" s="197">
        <f>-COUNTIFS('Full Customer List'!$J:$J,AC$1,'Full Customer List'!$E:$E,$AF70,'Full Customer List'!$H:$H,'Client Retention'!$AF75)</f>
        <v>0</v>
      </c>
      <c r="AD75" s="197">
        <f>-COUNTIFS('Full Customer List'!$J:$J,AD$1,'Full Customer List'!$E:$E,$AF70,'Full Customer List'!$H:$H,'Client Retention'!$AF75)</f>
        <v>0</v>
      </c>
      <c r="AF75" s="175" t="s">
        <v>510</v>
      </c>
    </row>
    <row r="76" spans="2:34">
      <c r="B76" s="269" t="s">
        <v>1553</v>
      </c>
      <c r="E76" s="199">
        <f t="shared" si="199"/>
        <v>0</v>
      </c>
      <c r="F76" s="199">
        <f t="shared" si="200"/>
        <v>0</v>
      </c>
      <c r="H76" s="199">
        <f t="shared" si="201"/>
        <v>0</v>
      </c>
      <c r="J76" s="197">
        <f>-COUNTIFS('Full Customer List'!$J:$J,J$1,'Full Customer List'!$E:$E,$AF70,'Full Customer List'!$H:$H,'Client Retention'!$AF76)</f>
        <v>0</v>
      </c>
      <c r="K76" s="197">
        <f>-COUNTIFS('Full Customer List'!$J:$J,K$1,'Full Customer List'!$E:$E,$AF70,'Full Customer List'!$H:$H,'Client Retention'!$AF76)</f>
        <v>0</v>
      </c>
      <c r="L76" s="197">
        <f>-COUNTIFS('Full Customer List'!$J:$J,L$1,'Full Customer List'!$E:$E,$AF70,'Full Customer List'!$H:$H,'Client Retention'!$AF76)</f>
        <v>0</v>
      </c>
      <c r="M76" s="197">
        <f>-COUNTIFS('Full Customer List'!$J:$J,M$1,'Full Customer List'!$E:$E,$AF70,'Full Customer List'!$H:$H,'Client Retention'!$AF76)</f>
        <v>0</v>
      </c>
      <c r="N76" s="197">
        <f>-COUNTIFS('Full Customer List'!$J:$J,N$1,'Full Customer List'!$E:$E,$AF70,'Full Customer List'!$H:$H,'Client Retention'!$AF76)</f>
        <v>0</v>
      </c>
      <c r="O76" s="197">
        <f>-COUNTIFS('Full Customer List'!$J:$J,O$1,'Full Customer List'!$E:$E,$AF70,'Full Customer List'!$H:$H,'Client Retention'!$AF76)</f>
        <v>0</v>
      </c>
      <c r="P76" s="197">
        <f>-COUNTIFS('Full Customer List'!$J:$J,P$1,'Full Customer List'!$E:$E,$AF70,'Full Customer List'!$H:$H,'Client Retention'!$AF76)</f>
        <v>0</v>
      </c>
      <c r="Q76" s="197">
        <f>-COUNTIFS('Full Customer List'!$J:$J,Q$1,'Full Customer List'!$E:$E,$AF70,'Full Customer List'!$H:$H,'Client Retention'!$AF76)</f>
        <v>0</v>
      </c>
      <c r="R76" s="197">
        <f>-COUNTIFS('Full Customer List'!$J:$J,R$1,'Full Customer List'!$E:$E,$AF70,'Full Customer List'!$H:$H,'Client Retention'!$AF76)</f>
        <v>0</v>
      </c>
      <c r="S76" s="197">
        <f>-COUNTIFS('Full Customer List'!$J:$J,S$1,'Full Customer List'!$E:$E,$AF70,'Full Customer List'!$H:$H,'Client Retention'!$AF76)</f>
        <v>0</v>
      </c>
      <c r="T76" s="197">
        <f>-COUNTIFS('Full Customer List'!$J:$J,T$1,'Full Customer List'!$E:$E,$AF70,'Full Customer List'!$H:$H,'Client Retention'!$AF76)</f>
        <v>0</v>
      </c>
      <c r="U76" s="197">
        <f>-COUNTIFS('Full Customer List'!$J:$J,U$1,'Full Customer List'!$E:$E,$AF70,'Full Customer List'!$H:$H,'Client Retention'!$AF76)</f>
        <v>0</v>
      </c>
      <c r="V76" s="197">
        <f>-COUNTIFS('Full Customer List'!$J:$J,V$1,'Full Customer List'!$E:$E,$AF70,'Full Customer List'!$H:$H,'Client Retention'!$AF76)</f>
        <v>0</v>
      </c>
      <c r="W76" s="197">
        <f>-COUNTIFS('Full Customer List'!$J:$J,W$1,'Full Customer List'!$E:$E,$AF70,'Full Customer List'!$H:$H,'Client Retention'!$AF76)</f>
        <v>0</v>
      </c>
      <c r="X76" s="197">
        <f>-COUNTIFS('Full Customer List'!$J:$J,X$1,'Full Customer List'!$E:$E,$AF70,'Full Customer List'!$H:$H,'Client Retention'!$AF76)</f>
        <v>0</v>
      </c>
      <c r="Y76" s="197">
        <f>-COUNTIFS('Full Customer List'!$J:$J,Y$1,'Full Customer List'!$E:$E,$AF70,'Full Customer List'!$H:$H,'Client Retention'!$AF76)</f>
        <v>0</v>
      </c>
      <c r="Z76" s="197">
        <f>-COUNTIFS('Full Customer List'!$J:$J,Z$1,'Full Customer List'!$E:$E,$AF70,'Full Customer List'!$H:$H,'Client Retention'!$AF76)</f>
        <v>0</v>
      </c>
      <c r="AA76" s="197">
        <f>-COUNTIFS('Full Customer List'!$J:$J,AA$1,'Full Customer List'!$E:$E,$AF70,'Full Customer List'!$H:$H,'Client Retention'!$AF76)</f>
        <v>0</v>
      </c>
      <c r="AB76" s="197">
        <f>-COUNTIFS('Full Customer List'!$J:$J,AB$1,'Full Customer List'!$E:$E,$AF70,'Full Customer List'!$H:$H,'Client Retention'!$AF76)</f>
        <v>0</v>
      </c>
      <c r="AC76" s="197">
        <f>-COUNTIFS('Full Customer List'!$J:$J,AC$1,'Full Customer List'!$E:$E,$AF70,'Full Customer List'!$H:$H,'Client Retention'!$AF76)</f>
        <v>0</v>
      </c>
      <c r="AD76" s="197">
        <f>-COUNTIFS('Full Customer List'!$J:$J,AD$1,'Full Customer List'!$E:$E,$AF70,'Full Customer List'!$H:$H,'Client Retention'!$AF76)</f>
        <v>0</v>
      </c>
      <c r="AF76" s="175" t="s">
        <v>1554</v>
      </c>
    </row>
    <row r="77" spans="2:34" ht="12" customHeight="1">
      <c r="B77" s="259" t="s">
        <v>1555</v>
      </c>
      <c r="C77" s="262"/>
      <c r="D77" s="262"/>
      <c r="E77" s="260">
        <f>SUM(J77:U77)</f>
        <v>-43</v>
      </c>
      <c r="F77" s="260">
        <f>SUM(V77:AD77)</f>
        <v>-4</v>
      </c>
      <c r="G77" s="261"/>
      <c r="H77" s="260">
        <f>SUM(S77:AD77)</f>
        <v>-21</v>
      </c>
      <c r="I77" s="281"/>
      <c r="J77" s="262">
        <f>-COUNTIFS('Full Customer List'!$J:$J,J$1,'Full Customer List'!$E:$E,$AF70)</f>
        <v>-4</v>
      </c>
      <c r="K77" s="262">
        <f>-COUNTIFS('Full Customer List'!$J:$J,K$1,'Full Customer List'!$E:$E,$AF70)</f>
        <v>-3</v>
      </c>
      <c r="L77" s="262">
        <f>-COUNTIFS('Full Customer List'!$J:$J,L$1,'Full Customer List'!$E:$E,$AF70)</f>
        <v>-2</v>
      </c>
      <c r="M77" s="262">
        <f>-COUNTIFS('Full Customer List'!$J:$J,M$1,'Full Customer List'!$E:$E,$AF70)</f>
        <v>-4</v>
      </c>
      <c r="N77" s="262">
        <f>-COUNTIFS('Full Customer List'!$J:$J,N$1,'Full Customer List'!$E:$E,$AF70)</f>
        <v>-2</v>
      </c>
      <c r="O77" s="262">
        <f>-COUNTIFS('Full Customer List'!$J:$J,O$1,'Full Customer List'!$E:$E,$AF70)</f>
        <v>-6</v>
      </c>
      <c r="P77" s="262">
        <f>-COUNTIFS('Full Customer List'!$J:$J,P$1,'Full Customer List'!$E:$E,$AF70)</f>
        <v>0</v>
      </c>
      <c r="Q77" s="262">
        <f>-COUNTIFS('Full Customer List'!$J:$J,Q$1,'Full Customer List'!$E:$E,$AF70)</f>
        <v>-2</v>
      </c>
      <c r="R77" s="262">
        <f>-COUNTIFS('Full Customer List'!$J:$J,R$1,'Full Customer List'!$E:$E,$AF70)</f>
        <v>-3</v>
      </c>
      <c r="S77" s="262">
        <f>-COUNTIFS('Full Customer List'!$J:$J,S$1,'Full Customer List'!$E:$E,$AF70)</f>
        <v>-1</v>
      </c>
      <c r="T77" s="262">
        <f>-COUNTIFS('Full Customer List'!$J:$J,T$1,'Full Customer List'!$E:$E,$AF70)</f>
        <v>-8</v>
      </c>
      <c r="U77" s="262">
        <f>-COUNTIFS('Full Customer List'!$J:$J,U$1,'Full Customer List'!$E:$E,$AF70)</f>
        <v>-8</v>
      </c>
      <c r="V77" s="262">
        <f>-COUNTIFS('Full Customer List'!$J:$J,V$1,'Full Customer List'!$E:$E,$AF70)</f>
        <v>-2</v>
      </c>
      <c r="W77" s="262">
        <f>-COUNTIFS('Full Customer List'!$J:$J,W$1,'Full Customer List'!$E:$E,$AF70)</f>
        <v>0</v>
      </c>
      <c r="X77" s="262">
        <f>-COUNTIFS('Full Customer List'!$J:$J,X$1,'Full Customer List'!$E:$E,$AF70)</f>
        <v>0</v>
      </c>
      <c r="Y77" s="262">
        <f>-COUNTIFS('Full Customer List'!$J:$J,Y$1,'Full Customer List'!$E:$E,$AF70)</f>
        <v>0</v>
      </c>
      <c r="Z77" s="262">
        <f>-COUNTIFS('Full Customer List'!$J:$J,Z$1,'Full Customer List'!$E:$E,$AF70)</f>
        <v>-1</v>
      </c>
      <c r="AA77" s="262">
        <f>-COUNTIFS('Full Customer List'!$J:$J,AA$1,'Full Customer List'!$E:$E,$AF70)</f>
        <v>0</v>
      </c>
      <c r="AB77" s="262">
        <f>-COUNTIFS('Full Customer List'!$J:$J,AB$1,'Full Customer List'!$E:$E,$AF70)</f>
        <v>-1</v>
      </c>
      <c r="AC77" s="262">
        <f>-COUNTIFS('Full Customer List'!$J:$J,AC$1,'Full Customer List'!$E:$E,$AF70)</f>
        <v>0</v>
      </c>
      <c r="AD77" s="262">
        <f>-COUNTIFS('Full Customer List'!$J:$J,AD$1,'Full Customer List'!$E:$E,$AF70)</f>
        <v>0</v>
      </c>
    </row>
    <row r="78" spans="2:34" ht="12" customHeight="1">
      <c r="B78" s="263" t="s">
        <v>1323</v>
      </c>
      <c r="C78" s="264"/>
      <c r="D78" s="264"/>
      <c r="E78" s="264">
        <f>+F72</f>
        <v>3</v>
      </c>
      <c r="F78" s="265">
        <f>+$AD78</f>
        <v>0</v>
      </c>
      <c r="H78" s="268">
        <f>+$AD78</f>
        <v>0</v>
      </c>
      <c r="J78" s="266">
        <f t="shared" ref="J78:AC78" si="202">+K72</f>
        <v>26</v>
      </c>
      <c r="K78" s="264">
        <f t="shared" si="202"/>
        <v>26</v>
      </c>
      <c r="L78" s="264">
        <f t="shared" si="202"/>
        <v>26</v>
      </c>
      <c r="M78" s="264">
        <f t="shared" si="202"/>
        <v>23</v>
      </c>
      <c r="N78" s="264">
        <f t="shared" si="202"/>
        <v>23</v>
      </c>
      <c r="O78" s="264">
        <f t="shared" si="202"/>
        <v>18</v>
      </c>
      <c r="P78" s="264">
        <f t="shared" si="202"/>
        <v>19</v>
      </c>
      <c r="Q78" s="264">
        <f t="shared" si="202"/>
        <v>18</v>
      </c>
      <c r="R78" s="264">
        <f t="shared" si="202"/>
        <v>17</v>
      </c>
      <c r="S78" s="266">
        <f t="shared" si="202"/>
        <v>17</v>
      </c>
      <c r="T78" s="264">
        <f t="shared" si="202"/>
        <v>10</v>
      </c>
      <c r="U78" s="264">
        <f t="shared" si="202"/>
        <v>3</v>
      </c>
      <c r="V78" s="264">
        <f t="shared" si="202"/>
        <v>1</v>
      </c>
      <c r="W78" s="264">
        <f t="shared" si="202"/>
        <v>1</v>
      </c>
      <c r="X78" s="264">
        <f t="shared" si="202"/>
        <v>1</v>
      </c>
      <c r="Y78" s="264">
        <f t="shared" si="202"/>
        <v>2</v>
      </c>
      <c r="Z78" s="264">
        <f t="shared" si="202"/>
        <v>1</v>
      </c>
      <c r="AA78" s="264">
        <f t="shared" si="202"/>
        <v>1</v>
      </c>
      <c r="AB78" s="264">
        <f t="shared" si="202"/>
        <v>0</v>
      </c>
      <c r="AC78" s="264">
        <f t="shared" si="202"/>
        <v>0</v>
      </c>
      <c r="AD78" s="265">
        <f>COUNTIFS('Full Customer List'!$C:$C,"Active",'Full Customer List'!$E:$E,'Client Retention'!$AF70)</f>
        <v>0</v>
      </c>
    </row>
    <row r="79" spans="2:34" ht="3.95" customHeight="1">
      <c r="B79" s="182"/>
      <c r="C79" s="236"/>
      <c r="D79" s="236"/>
      <c r="E79" s="236"/>
      <c r="F79" s="236"/>
      <c r="H79" s="236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  <c r="AB79" s="237"/>
      <c r="AC79" s="237"/>
      <c r="AD79" s="237"/>
    </row>
    <row r="80" spans="2:34" ht="12" customHeight="1">
      <c r="B80" s="238" t="s">
        <v>1541</v>
      </c>
      <c r="C80" s="239"/>
      <c r="D80" s="239"/>
      <c r="E80" s="240">
        <f>(E73+E72)/E72-1</f>
        <v>0.53333333333333344</v>
      </c>
      <c r="F80" s="251">
        <f>(F73+F72)/F72-1</f>
        <v>0.33333333333333326</v>
      </c>
      <c r="G80" s="252"/>
      <c r="H80" s="253">
        <f>(H73+H72)/H72-1</f>
        <v>0.23529411764705888</v>
      </c>
      <c r="J80" s="250">
        <f t="shared" ref="J80:AB80" si="203">(J73+J72)/J72-1</f>
        <v>0</v>
      </c>
      <c r="K80" s="240">
        <f t="shared" si="203"/>
        <v>0.11538461538461542</v>
      </c>
      <c r="L80" s="240">
        <f t="shared" si="203"/>
        <v>7.6923076923076872E-2</v>
      </c>
      <c r="M80" s="240">
        <f t="shared" si="203"/>
        <v>3.8461538461538547E-2</v>
      </c>
      <c r="N80" s="240">
        <f t="shared" si="203"/>
        <v>8.6956521739130377E-2</v>
      </c>
      <c r="O80" s="240">
        <f t="shared" si="203"/>
        <v>4.3478260869565188E-2</v>
      </c>
      <c r="P80" s="240">
        <f t="shared" si="203"/>
        <v>5.555555555555558E-2</v>
      </c>
      <c r="Q80" s="240">
        <f t="shared" si="203"/>
        <v>5.2631578947368363E-2</v>
      </c>
      <c r="R80" s="240">
        <f t="shared" si="203"/>
        <v>0.11111111111111116</v>
      </c>
      <c r="S80" s="250">
        <f t="shared" si="203"/>
        <v>5.8823529411764719E-2</v>
      </c>
      <c r="T80" s="240">
        <f t="shared" si="203"/>
        <v>5.8823529411764719E-2</v>
      </c>
      <c r="U80" s="240">
        <f t="shared" si="203"/>
        <v>0.10000000000000009</v>
      </c>
      <c r="V80" s="240">
        <f t="shared" si="203"/>
        <v>0</v>
      </c>
      <c r="W80" s="240">
        <f t="shared" si="203"/>
        <v>0</v>
      </c>
      <c r="X80" s="240">
        <f t="shared" si="203"/>
        <v>0</v>
      </c>
      <c r="Y80" s="240">
        <f t="shared" si="203"/>
        <v>1</v>
      </c>
      <c r="Z80" s="240">
        <f t="shared" si="203"/>
        <v>0</v>
      </c>
      <c r="AA80" s="240">
        <f t="shared" si="203"/>
        <v>0</v>
      </c>
      <c r="AB80" s="240">
        <f t="shared" si="203"/>
        <v>0</v>
      </c>
      <c r="AC80" s="240">
        <f>IFERROR((AC73+AC72)/AC72-1,0)</f>
        <v>0</v>
      </c>
      <c r="AD80" s="251">
        <f>IFERROR((AD73+AD72)/AD72-1,0)</f>
        <v>0</v>
      </c>
    </row>
    <row r="81" spans="2:37" ht="12" customHeight="1">
      <c r="B81" s="241" t="s">
        <v>1542</v>
      </c>
      <c r="C81" s="242"/>
      <c r="D81" s="242"/>
      <c r="E81" s="243">
        <f>(E77+E72)/E72-1</f>
        <v>-1.4333333333333333</v>
      </c>
      <c r="F81" s="244">
        <f>(F77+F72)/F72-1</f>
        <v>-1.3333333333333333</v>
      </c>
      <c r="G81" s="252"/>
      <c r="H81" s="246">
        <f>(H77+H72)/H72-1</f>
        <v>-1.2352941176470589</v>
      </c>
      <c r="J81" s="245">
        <f t="shared" ref="J81:AB81" si="204">(J77+J72)/J72-1</f>
        <v>-0.1333333333333333</v>
      </c>
      <c r="K81" s="243">
        <f t="shared" si="204"/>
        <v>-0.11538461538461542</v>
      </c>
      <c r="L81" s="243">
        <f t="shared" si="204"/>
        <v>-7.6923076923076872E-2</v>
      </c>
      <c r="M81" s="243">
        <f t="shared" si="204"/>
        <v>-0.15384615384615385</v>
      </c>
      <c r="N81" s="243">
        <f t="shared" si="204"/>
        <v>-8.6956521739130488E-2</v>
      </c>
      <c r="O81" s="243">
        <f t="shared" si="204"/>
        <v>-0.26086956521739135</v>
      </c>
      <c r="P81" s="243">
        <f t="shared" si="204"/>
        <v>0</v>
      </c>
      <c r="Q81" s="243">
        <f t="shared" si="204"/>
        <v>-0.10526315789473684</v>
      </c>
      <c r="R81" s="243">
        <f t="shared" si="204"/>
        <v>-0.16666666666666663</v>
      </c>
      <c r="S81" s="245">
        <f t="shared" si="204"/>
        <v>-5.8823529411764719E-2</v>
      </c>
      <c r="T81" s="243">
        <f t="shared" si="204"/>
        <v>-0.47058823529411764</v>
      </c>
      <c r="U81" s="243">
        <f t="shared" si="204"/>
        <v>-0.8</v>
      </c>
      <c r="V81" s="243">
        <f t="shared" si="204"/>
        <v>-0.66666666666666674</v>
      </c>
      <c r="W81" s="243">
        <f t="shared" si="204"/>
        <v>0</v>
      </c>
      <c r="X81" s="243">
        <f t="shared" si="204"/>
        <v>0</v>
      </c>
      <c r="Y81" s="243">
        <f t="shared" si="204"/>
        <v>0</v>
      </c>
      <c r="Z81" s="243">
        <f t="shared" si="204"/>
        <v>-0.5</v>
      </c>
      <c r="AA81" s="243">
        <f t="shared" si="204"/>
        <v>0</v>
      </c>
      <c r="AB81" s="243">
        <f t="shared" si="204"/>
        <v>-1</v>
      </c>
      <c r="AC81" s="243">
        <f t="shared" ref="AC81:AD81" si="205">IFERROR((AC77+AC72)/AC72-1,0)</f>
        <v>0</v>
      </c>
      <c r="AD81" s="244">
        <f t="shared" si="205"/>
        <v>0</v>
      </c>
    </row>
    <row r="82" spans="2:37" ht="3.95" customHeight="1">
      <c r="AF82" s="222"/>
    </row>
    <row r="83" spans="2:37" ht="24">
      <c r="B83" s="161" t="s">
        <v>1316</v>
      </c>
      <c r="C83" s="178" t="s">
        <v>1324</v>
      </c>
      <c r="D83" s="178" t="s">
        <v>3</v>
      </c>
      <c r="E83" s="178" t="s">
        <v>4</v>
      </c>
      <c r="F83" s="178" t="s">
        <v>1326</v>
      </c>
      <c r="G83" s="195"/>
      <c r="H83" s="178" t="s">
        <v>1550</v>
      </c>
      <c r="J83" s="194">
        <v>45658</v>
      </c>
      <c r="K83" s="194">
        <f t="shared" ref="K83" si="206">EOMONTH(J83,0)+1</f>
        <v>45689</v>
      </c>
      <c r="L83" s="194">
        <f t="shared" ref="L83" si="207">EOMONTH(K83,0)+1</f>
        <v>45717</v>
      </c>
      <c r="M83" s="194">
        <f t="shared" ref="M83" si="208">EOMONTH(L83,0)+1</f>
        <v>45748</v>
      </c>
      <c r="N83" s="194">
        <f t="shared" ref="N83" si="209">EOMONTH(M83,0)+1</f>
        <v>45778</v>
      </c>
      <c r="O83" s="194">
        <f t="shared" ref="O83" si="210">EOMONTH(N83,0)+1</f>
        <v>45809</v>
      </c>
      <c r="P83" s="194">
        <f t="shared" ref="P83" si="211">EOMONTH(O83,0)+1</f>
        <v>45839</v>
      </c>
      <c r="Q83" s="194">
        <v>45870</v>
      </c>
      <c r="R83" s="194">
        <f t="shared" ref="R83" si="212">EOMONTH(Q83,0)+1</f>
        <v>45901</v>
      </c>
      <c r="S83" s="194">
        <f t="shared" ref="S83" si="213">EOMONTH(R83,0)+1</f>
        <v>45931</v>
      </c>
      <c r="T83" s="194">
        <f t="shared" ref="T83" si="214">EOMONTH(S83,0)+1</f>
        <v>45962</v>
      </c>
      <c r="U83" s="194">
        <f t="shared" ref="U83" si="215">EOMONTH(T83,0)+1</f>
        <v>45992</v>
      </c>
      <c r="V83" s="194">
        <f t="shared" ref="V83" si="216">EOMONTH(U83,0)+1</f>
        <v>46023</v>
      </c>
      <c r="W83" s="194">
        <f t="shared" ref="W83" si="217">EOMONTH(V83,0)+1</f>
        <v>46054</v>
      </c>
      <c r="X83" s="194">
        <f t="shared" ref="X83" si="218">EOMONTH(W83,0)+1</f>
        <v>46082</v>
      </c>
      <c r="Y83" s="194">
        <f t="shared" ref="Y83" si="219">EOMONTH(X83,0)+1</f>
        <v>46113</v>
      </c>
      <c r="Z83" s="194">
        <f t="shared" ref="Z83" si="220">EOMONTH(Y83,0)+1</f>
        <v>46143</v>
      </c>
      <c r="AA83" s="194">
        <f t="shared" ref="AA83" si="221">EOMONTH(Z83,0)+1</f>
        <v>46174</v>
      </c>
      <c r="AB83" s="194">
        <f t="shared" ref="AB83" si="222">EOMONTH(AA83,0)+1</f>
        <v>46204</v>
      </c>
      <c r="AC83" s="194">
        <f t="shared" ref="AC83" si="223">EOMONTH(AB83,0)+1</f>
        <v>46235</v>
      </c>
      <c r="AD83" s="194">
        <f t="shared" ref="AD83" si="224">EOMONTH(AC83,0)+1</f>
        <v>46266</v>
      </c>
      <c r="AE83" s="189"/>
      <c r="AF83" s="247" t="s">
        <v>1309</v>
      </c>
      <c r="AG83" s="189"/>
      <c r="AH83" s="189"/>
    </row>
    <row r="84" spans="2:37">
      <c r="B84" s="188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5" t="s">
        <v>1321</v>
      </c>
      <c r="C85" s="184"/>
      <c r="D85" s="184"/>
      <c r="E85" s="184">
        <f>+E91-E86-E90</f>
        <v>-11</v>
      </c>
      <c r="F85" s="184">
        <f>+F91-F86-F90</f>
        <v>-3</v>
      </c>
      <c r="H85" s="184">
        <f t="shared" ref="H85" si="225">+H91-H86-H90</f>
        <v>-10</v>
      </c>
      <c r="J85" s="184">
        <f t="shared" ref="J85:Z85" si="226">+J91-J86-J90</f>
        <v>-11</v>
      </c>
      <c r="K85" s="184">
        <f t="shared" si="226"/>
        <v>-11</v>
      </c>
      <c r="L85" s="184">
        <f t="shared" si="226"/>
        <v>-11</v>
      </c>
      <c r="M85" s="184">
        <f t="shared" si="226"/>
        <v>-11</v>
      </c>
      <c r="N85" s="184">
        <f t="shared" si="226"/>
        <v>-11</v>
      </c>
      <c r="O85" s="184">
        <f t="shared" si="226"/>
        <v>-11</v>
      </c>
      <c r="P85" s="184">
        <f t="shared" si="226"/>
        <v>-11</v>
      </c>
      <c r="Q85" s="184">
        <f t="shared" si="226"/>
        <v>-11</v>
      </c>
      <c r="R85" s="184">
        <f t="shared" si="226"/>
        <v>-11</v>
      </c>
      <c r="S85" s="184">
        <f t="shared" si="226"/>
        <v>-10</v>
      </c>
      <c r="T85" s="184">
        <f t="shared" si="226"/>
        <v>-2</v>
      </c>
      <c r="U85" s="184">
        <f t="shared" si="226"/>
        <v>-3</v>
      </c>
      <c r="V85" s="184">
        <f t="shared" si="226"/>
        <v>-3</v>
      </c>
      <c r="W85" s="184">
        <f t="shared" si="226"/>
        <v>-2</v>
      </c>
      <c r="X85" s="184">
        <f t="shared" si="226"/>
        <v>0</v>
      </c>
      <c r="Y85" s="184">
        <f t="shared" si="226"/>
        <v>0</v>
      </c>
      <c r="Z85" s="184">
        <f t="shared" si="226"/>
        <v>0</v>
      </c>
      <c r="AA85" s="184">
        <f>+AA91-AA86-AA90</f>
        <v>0</v>
      </c>
      <c r="AB85" s="184">
        <f>+AB91-AB86-AB90</f>
        <v>0</v>
      </c>
      <c r="AC85" s="184">
        <f t="shared" ref="AC85:AD85" si="227">+AC91-AC86-AC90</f>
        <v>0</v>
      </c>
      <c r="AD85" s="184">
        <f t="shared" si="227"/>
        <v>0</v>
      </c>
    </row>
    <row r="86" spans="2:37">
      <c r="B86" s="193" t="s">
        <v>1322</v>
      </c>
      <c r="E86" s="199">
        <f>SUM(J86:U86)</f>
        <v>10</v>
      </c>
      <c r="F86" s="199">
        <f>SUM(V86:AD86)</f>
        <v>3</v>
      </c>
      <c r="H86" s="199">
        <f>SUM(S86:AD86)</f>
        <v>11</v>
      </c>
      <c r="J86" s="197">
        <f>COUNTIFS('Full Customer List'!$I:$I,'Client Retention'!J$5,'Full Customer List'!$E:$E,$AF83)</f>
        <v>0</v>
      </c>
      <c r="K86" s="197">
        <f>COUNTIFS('Full Customer List'!$I:$I,'Client Retention'!K$5,'Full Customer List'!$E:$E,$AF83)</f>
        <v>0</v>
      </c>
      <c r="L86" s="197">
        <f>COUNTIFS('Full Customer List'!$I:$I,'Client Retention'!L$5,'Full Customer List'!$E:$E,$AF83)</f>
        <v>0</v>
      </c>
      <c r="M86" s="197">
        <f>COUNTIFS('Full Customer List'!$I:$I,'Client Retention'!M$5,'Full Customer List'!$E:$E,$AF83)</f>
        <v>0</v>
      </c>
      <c r="N86" s="197">
        <f>COUNTIFS('Full Customer List'!$I:$I,'Client Retention'!N$5,'Full Customer List'!$E:$E,$AF83)</f>
        <v>0</v>
      </c>
      <c r="O86" s="197">
        <f>COUNTIFS('Full Customer List'!$I:$I,'Client Retention'!O$5,'Full Customer List'!$E:$E,$AF83)</f>
        <v>0</v>
      </c>
      <c r="P86" s="197">
        <f>COUNTIFS('Full Customer List'!$I:$I,'Client Retention'!P$5,'Full Customer List'!$E:$E,$AF83)</f>
        <v>0</v>
      </c>
      <c r="Q86" s="197">
        <f>COUNTIFS('Full Customer List'!$I:$I,'Client Retention'!Q$5,'Full Customer List'!$E:$E,$AF83)</f>
        <v>0</v>
      </c>
      <c r="R86" s="197">
        <f>COUNTIFS('Full Customer List'!$I:$I,'Client Retention'!R$5,'Full Customer List'!$E:$E,$AF83)</f>
        <v>2</v>
      </c>
      <c r="S86" s="197">
        <f>COUNTIFS('Full Customer List'!$I:$I,'Client Retention'!S$5,'Full Customer List'!$E:$E,$AF83)</f>
        <v>8</v>
      </c>
      <c r="T86" s="197">
        <f>COUNTIFS('Full Customer List'!$I:$I,'Client Retention'!T$5,'Full Customer List'!$E:$E,$AF83)</f>
        <v>0</v>
      </c>
      <c r="U86" s="197">
        <f>COUNTIFS('Full Customer List'!$I:$I,'Client Retention'!U$5,'Full Customer List'!$E:$E,$AF83)</f>
        <v>0</v>
      </c>
      <c r="V86" s="197">
        <f>COUNTIFS('Full Customer List'!$I:$I,'Client Retention'!V$5,'Full Customer List'!$E:$E,$AF83)</f>
        <v>1</v>
      </c>
      <c r="W86" s="197">
        <f>COUNTIFS('Full Customer List'!$I:$I,'Client Retention'!W$5,'Full Customer List'!$E:$E,$AF83)</f>
        <v>2</v>
      </c>
      <c r="X86" s="197">
        <f>COUNTIFS('Full Customer List'!$I:$I,'Client Retention'!X$5,'Full Customer List'!$E:$E,$AF83)</f>
        <v>0</v>
      </c>
      <c r="Y86" s="197">
        <f>COUNTIFS('Full Customer List'!$I:$I,'Client Retention'!Y$5,'Full Customer List'!$E:$E,$AF83)</f>
        <v>0</v>
      </c>
      <c r="Z86" s="197">
        <f>COUNTIFS('Full Customer List'!$I:$I,'Client Retention'!Z$5,'Full Customer List'!$E:$E,$AF83)</f>
        <v>0</v>
      </c>
      <c r="AA86" s="197">
        <f>COUNTIFS('Full Customer List'!$I:$I,'Client Retention'!AA$5,'Full Customer List'!$E:$E,$AF83)</f>
        <v>0</v>
      </c>
      <c r="AB86" s="197">
        <f>COUNTIFS('Full Customer List'!$I:$I,'Client Retention'!AB$5,'Full Customer List'!$E:$E,$AF83)</f>
        <v>0</v>
      </c>
      <c r="AC86" s="197">
        <f>COUNTIFS('Full Customer List'!$I:$I,'Client Retention'!AC$5,'Full Customer List'!$E:$E,$AF83)</f>
        <v>0</v>
      </c>
      <c r="AD86" s="197">
        <f>COUNTIFS('Full Customer List'!$I:$I,'Client Retention'!AD$5,'Full Customer List'!$E:$E,$AF83)</f>
        <v>0</v>
      </c>
    </row>
    <row r="87" spans="2:37">
      <c r="B87" s="269" t="s">
        <v>1551</v>
      </c>
      <c r="E87" s="199">
        <f t="shared" ref="E87:E89" si="228">SUM(J87:U87)</f>
        <v>0</v>
      </c>
      <c r="F87" s="199">
        <f t="shared" ref="F87:F89" si="229">SUM(V87:AD87)</f>
        <v>0</v>
      </c>
      <c r="H87" s="199">
        <f t="shared" ref="H87:H89" si="230">SUM(S87:AD87)</f>
        <v>0</v>
      </c>
      <c r="J87" s="197">
        <f>-COUNTIFS('Full Customer List'!$J:$J,J$1,'Full Customer List'!$E:$E,$AF83,'Full Customer List'!$H:$H,'Client Retention'!$AF87)</f>
        <v>0</v>
      </c>
      <c r="K87" s="197">
        <f>-COUNTIFS('Full Customer List'!$J:$J,K$1,'Full Customer List'!$E:$E,$AF83,'Full Customer List'!$H:$H,'Client Retention'!$AF87)</f>
        <v>0</v>
      </c>
      <c r="L87" s="197">
        <f>-COUNTIFS('Full Customer List'!$J:$J,L$1,'Full Customer List'!$E:$E,$AF83,'Full Customer List'!$H:$H,'Client Retention'!$AF87)</f>
        <v>0</v>
      </c>
      <c r="M87" s="197">
        <f>-COUNTIFS('Full Customer List'!$J:$J,M$1,'Full Customer List'!$E:$E,$AF83,'Full Customer List'!$H:$H,'Client Retention'!$AF87)</f>
        <v>0</v>
      </c>
      <c r="N87" s="197">
        <f>-COUNTIFS('Full Customer List'!$J:$J,N$1,'Full Customer List'!$E:$E,$AF83,'Full Customer List'!$H:$H,'Client Retention'!$AF87)</f>
        <v>0</v>
      </c>
      <c r="O87" s="197">
        <f>-COUNTIFS('Full Customer List'!$J:$J,O$1,'Full Customer List'!$E:$E,$AF83,'Full Customer List'!$H:$H,'Client Retention'!$AF87)</f>
        <v>0</v>
      </c>
      <c r="P87" s="197">
        <f>-COUNTIFS('Full Customer List'!$J:$J,P$1,'Full Customer List'!$E:$E,$AF83,'Full Customer List'!$H:$H,'Client Retention'!$AF87)</f>
        <v>0</v>
      </c>
      <c r="Q87" s="197">
        <f>-COUNTIFS('Full Customer List'!$J:$J,Q$1,'Full Customer List'!$E:$E,$AF83,'Full Customer List'!$H:$H,'Client Retention'!$AF87)</f>
        <v>0</v>
      </c>
      <c r="R87" s="197">
        <f>-COUNTIFS('Full Customer List'!$J:$J,R$1,'Full Customer List'!$E:$E,$AF83,'Full Customer List'!$H:$H,'Client Retention'!$AF87)</f>
        <v>0</v>
      </c>
      <c r="S87" s="197">
        <f>-COUNTIFS('Full Customer List'!$J:$J,S$1,'Full Customer List'!$E:$E,$AF83,'Full Customer List'!$H:$H,'Client Retention'!$AF87)</f>
        <v>0</v>
      </c>
      <c r="T87" s="197">
        <f>-COUNTIFS('Full Customer List'!$J:$J,T$1,'Full Customer List'!$E:$E,$AF83,'Full Customer List'!$H:$H,'Client Retention'!$AF87)</f>
        <v>0</v>
      </c>
      <c r="U87" s="197">
        <f>-COUNTIFS('Full Customer List'!$J:$J,U$1,'Full Customer List'!$E:$E,$AF83,'Full Customer List'!$H:$H,'Client Retention'!$AF87)</f>
        <v>0</v>
      </c>
      <c r="V87" s="197">
        <f>-COUNTIFS('Full Customer List'!$J:$J,V$1,'Full Customer List'!$E:$E,$AF83,'Full Customer List'!$H:$H,'Client Retention'!$AF87)</f>
        <v>0</v>
      </c>
      <c r="W87" s="197">
        <f>-COUNTIFS('Full Customer List'!$J:$J,W$1,'Full Customer List'!$E:$E,$AF83,'Full Customer List'!$H:$H,'Client Retention'!$AF87)</f>
        <v>0</v>
      </c>
      <c r="X87" s="197">
        <f>-COUNTIFS('Full Customer List'!$J:$J,X$1,'Full Customer List'!$E:$E,$AF83,'Full Customer List'!$H:$H,'Client Retention'!$AF87)</f>
        <v>0</v>
      </c>
      <c r="Y87" s="197">
        <f>-COUNTIFS('Full Customer List'!$J:$J,Y$1,'Full Customer List'!$E:$E,$AF83,'Full Customer List'!$H:$H,'Client Retention'!$AF87)</f>
        <v>0</v>
      </c>
      <c r="Z87" s="197">
        <f>-COUNTIFS('Full Customer List'!$J:$J,Z$1,'Full Customer List'!$E:$E,$AF83,'Full Customer List'!$H:$H,'Client Retention'!$AF87)</f>
        <v>0</v>
      </c>
      <c r="AA87" s="197">
        <f>-COUNTIFS('Full Customer List'!$J:$J,AA$1,'Full Customer List'!$E:$E,$AF83,'Full Customer List'!$H:$H,'Client Retention'!$AF87)</f>
        <v>0</v>
      </c>
      <c r="AB87" s="197">
        <f>-COUNTIFS('Full Customer List'!$J:$J,AB$1,'Full Customer List'!$E:$E,$AF83,'Full Customer List'!$H:$H,'Client Retention'!$AF87)</f>
        <v>0</v>
      </c>
      <c r="AC87" s="197">
        <f>-COUNTIFS('Full Customer List'!$J:$J,AC$1,'Full Customer List'!$E:$E,$AF83,'Full Customer List'!$H:$H,'Client Retention'!$AF87)</f>
        <v>0</v>
      </c>
      <c r="AD87" s="197">
        <f>-COUNTIFS('Full Customer List'!$J:$J,AD$1,'Full Customer List'!$E:$E,$AF83,'Full Customer List'!$H:$H,'Client Retention'!$AF87)</f>
        <v>0</v>
      </c>
      <c r="AF87" s="175" t="s">
        <v>509</v>
      </c>
    </row>
    <row r="88" spans="2:37">
      <c r="B88" s="269" t="s">
        <v>1552</v>
      </c>
      <c r="E88" s="199">
        <f t="shared" si="228"/>
        <v>0</v>
      </c>
      <c r="F88" s="199">
        <f t="shared" si="229"/>
        <v>0</v>
      </c>
      <c r="H88" s="199">
        <f t="shared" si="230"/>
        <v>0</v>
      </c>
      <c r="J88" s="197">
        <f>-COUNTIFS('Full Customer List'!$J:$J,J$1,'Full Customer List'!$E:$E,$AF83,'Full Customer List'!$H:$H,'Client Retention'!$AF88)</f>
        <v>0</v>
      </c>
      <c r="K88" s="197">
        <f>-COUNTIFS('Full Customer List'!$J:$J,K$1,'Full Customer List'!$E:$E,$AF83,'Full Customer List'!$H:$H,'Client Retention'!$AF88)</f>
        <v>0</v>
      </c>
      <c r="L88" s="197">
        <f>-COUNTIFS('Full Customer List'!$J:$J,L$1,'Full Customer List'!$E:$E,$AF83,'Full Customer List'!$H:$H,'Client Retention'!$AF88)</f>
        <v>0</v>
      </c>
      <c r="M88" s="197">
        <f>-COUNTIFS('Full Customer List'!$J:$J,M$1,'Full Customer List'!$E:$E,$AF83,'Full Customer List'!$H:$H,'Client Retention'!$AF88)</f>
        <v>0</v>
      </c>
      <c r="N88" s="197">
        <f>-COUNTIFS('Full Customer List'!$J:$J,N$1,'Full Customer List'!$E:$E,$AF83,'Full Customer List'!$H:$H,'Client Retention'!$AF88)</f>
        <v>0</v>
      </c>
      <c r="O88" s="197">
        <f>-COUNTIFS('Full Customer List'!$J:$J,O$1,'Full Customer List'!$E:$E,$AF83,'Full Customer List'!$H:$H,'Client Retention'!$AF88)</f>
        <v>0</v>
      </c>
      <c r="P88" s="197">
        <f>-COUNTIFS('Full Customer List'!$J:$J,P$1,'Full Customer List'!$E:$E,$AF83,'Full Customer List'!$H:$H,'Client Retention'!$AF88)</f>
        <v>0</v>
      </c>
      <c r="Q88" s="197">
        <f>-COUNTIFS('Full Customer List'!$J:$J,Q$1,'Full Customer List'!$E:$E,$AF83,'Full Customer List'!$H:$H,'Client Retention'!$AF88)</f>
        <v>0</v>
      </c>
      <c r="R88" s="197">
        <f>-COUNTIFS('Full Customer List'!$J:$J,R$1,'Full Customer List'!$E:$E,$AF83,'Full Customer List'!$H:$H,'Client Retention'!$AF88)</f>
        <v>0</v>
      </c>
      <c r="S88" s="197">
        <f>-COUNTIFS('Full Customer List'!$J:$J,S$1,'Full Customer List'!$E:$E,$AF83,'Full Customer List'!$H:$H,'Client Retention'!$AF88)</f>
        <v>0</v>
      </c>
      <c r="T88" s="197">
        <f>-COUNTIFS('Full Customer List'!$J:$J,T$1,'Full Customer List'!$E:$E,$AF83,'Full Customer List'!$H:$H,'Client Retention'!$AF88)</f>
        <v>0</v>
      </c>
      <c r="U88" s="197">
        <f>-COUNTIFS('Full Customer List'!$J:$J,U$1,'Full Customer List'!$E:$E,$AF83,'Full Customer List'!$H:$H,'Client Retention'!$AF88)</f>
        <v>0</v>
      </c>
      <c r="V88" s="197">
        <f>-COUNTIFS('Full Customer List'!$J:$J,V$1,'Full Customer List'!$E:$E,$AF83,'Full Customer List'!$H:$H,'Client Retention'!$AF88)</f>
        <v>0</v>
      </c>
      <c r="W88" s="197">
        <f>-COUNTIFS('Full Customer List'!$J:$J,W$1,'Full Customer List'!$E:$E,$AF83,'Full Customer List'!$H:$H,'Client Retention'!$AF88)</f>
        <v>0</v>
      </c>
      <c r="X88" s="197">
        <f>-COUNTIFS('Full Customer List'!$J:$J,X$1,'Full Customer List'!$E:$E,$AF83,'Full Customer List'!$H:$H,'Client Retention'!$AF88)</f>
        <v>0</v>
      </c>
      <c r="Y88" s="197">
        <f>-COUNTIFS('Full Customer List'!$J:$J,Y$1,'Full Customer List'!$E:$E,$AF83,'Full Customer List'!$H:$H,'Client Retention'!$AF88)</f>
        <v>0</v>
      </c>
      <c r="Z88" s="197">
        <f>-COUNTIFS('Full Customer List'!$J:$J,Z$1,'Full Customer List'!$E:$E,$AF83,'Full Customer List'!$H:$H,'Client Retention'!$AF88)</f>
        <v>0</v>
      </c>
      <c r="AA88" s="197">
        <f>-COUNTIFS('Full Customer List'!$J:$J,AA$1,'Full Customer List'!$E:$E,$AF83,'Full Customer List'!$H:$H,'Client Retention'!$AF88)</f>
        <v>0</v>
      </c>
      <c r="AB88" s="197">
        <f>-COUNTIFS('Full Customer List'!$J:$J,AB$1,'Full Customer List'!$E:$E,$AF83,'Full Customer List'!$H:$H,'Client Retention'!$AF88)</f>
        <v>0</v>
      </c>
      <c r="AC88" s="197">
        <f>-COUNTIFS('Full Customer List'!$J:$J,AC$1,'Full Customer List'!$E:$E,$AF83,'Full Customer List'!$H:$H,'Client Retention'!$AF88)</f>
        <v>0</v>
      </c>
      <c r="AD88" s="197">
        <f>-COUNTIFS('Full Customer List'!$J:$J,AD$1,'Full Customer List'!$E:$E,$AF83,'Full Customer List'!$H:$H,'Client Retention'!$AF88)</f>
        <v>0</v>
      </c>
      <c r="AF88" s="175" t="s">
        <v>510</v>
      </c>
    </row>
    <row r="89" spans="2:37">
      <c r="B89" s="269" t="s">
        <v>1553</v>
      </c>
      <c r="E89" s="199">
        <f t="shared" si="228"/>
        <v>-2</v>
      </c>
      <c r="F89" s="199">
        <f t="shared" si="229"/>
        <v>0</v>
      </c>
      <c r="H89" s="199">
        <f t="shared" si="230"/>
        <v>-1</v>
      </c>
      <c r="J89" s="197">
        <f>-COUNTIFS('Full Customer List'!$J:$J,J$1,'Full Customer List'!$E:$E,$AF83,'Full Customer List'!$H:$H,'Client Retention'!$AF89)</f>
        <v>0</v>
      </c>
      <c r="K89" s="197">
        <f>-COUNTIFS('Full Customer List'!$J:$J,K$1,'Full Customer List'!$E:$E,$AF83,'Full Customer List'!$H:$H,'Client Retention'!$AF89)</f>
        <v>0</v>
      </c>
      <c r="L89" s="197">
        <f>-COUNTIFS('Full Customer List'!$J:$J,L$1,'Full Customer List'!$E:$E,$AF83,'Full Customer List'!$H:$H,'Client Retention'!$AF89)</f>
        <v>0</v>
      </c>
      <c r="M89" s="197">
        <f>-COUNTIFS('Full Customer List'!$J:$J,M$1,'Full Customer List'!$E:$E,$AF83,'Full Customer List'!$H:$H,'Client Retention'!$AF89)</f>
        <v>0</v>
      </c>
      <c r="N89" s="197">
        <f>-COUNTIFS('Full Customer List'!$J:$J,N$1,'Full Customer List'!$E:$E,$AF83,'Full Customer List'!$H:$H,'Client Retention'!$AF89)</f>
        <v>0</v>
      </c>
      <c r="O89" s="197">
        <f>-COUNTIFS('Full Customer List'!$J:$J,O$1,'Full Customer List'!$E:$E,$AF83,'Full Customer List'!$H:$H,'Client Retention'!$AF89)</f>
        <v>0</v>
      </c>
      <c r="P89" s="197">
        <f>-COUNTIFS('Full Customer List'!$J:$J,P$1,'Full Customer List'!$E:$E,$AF83,'Full Customer List'!$H:$H,'Client Retention'!$AF89)</f>
        <v>0</v>
      </c>
      <c r="Q89" s="197">
        <f>-COUNTIFS('Full Customer List'!$J:$J,Q$1,'Full Customer List'!$E:$E,$AF83,'Full Customer List'!$H:$H,'Client Retention'!$AF89)</f>
        <v>0</v>
      </c>
      <c r="R89" s="197">
        <f>-COUNTIFS('Full Customer List'!$J:$J,R$1,'Full Customer List'!$E:$E,$AF83,'Full Customer List'!$H:$H,'Client Retention'!$AF89)</f>
        <v>-1</v>
      </c>
      <c r="S89" s="197">
        <f>-COUNTIFS('Full Customer List'!$J:$J,S$1,'Full Customer List'!$E:$E,$AF83,'Full Customer List'!$H:$H,'Client Retention'!$AF89)</f>
        <v>0</v>
      </c>
      <c r="T89" s="197">
        <f>-COUNTIFS('Full Customer List'!$J:$J,T$1,'Full Customer List'!$E:$E,$AF83,'Full Customer List'!$H:$H,'Client Retention'!$AF89)</f>
        <v>-1</v>
      </c>
      <c r="U89" s="197">
        <f>-COUNTIFS('Full Customer List'!$J:$J,U$1,'Full Customer List'!$E:$E,$AF83,'Full Customer List'!$H:$H,'Client Retention'!$AF89)</f>
        <v>0</v>
      </c>
      <c r="V89" s="197">
        <f>-COUNTIFS('Full Customer List'!$J:$J,V$1,'Full Customer List'!$E:$E,$AF83,'Full Customer List'!$H:$H,'Client Retention'!$AF89)</f>
        <v>0</v>
      </c>
      <c r="W89" s="197">
        <f>-COUNTIFS('Full Customer List'!$J:$J,W$1,'Full Customer List'!$E:$E,$AF83,'Full Customer List'!$H:$H,'Client Retention'!$AF89)</f>
        <v>0</v>
      </c>
      <c r="X89" s="197">
        <f>-COUNTIFS('Full Customer List'!$J:$J,X$1,'Full Customer List'!$E:$E,$AF83,'Full Customer List'!$H:$H,'Client Retention'!$AF89)</f>
        <v>0</v>
      </c>
      <c r="Y89" s="197">
        <f>-COUNTIFS('Full Customer List'!$J:$J,Y$1,'Full Customer List'!$E:$E,$AF83,'Full Customer List'!$H:$H,'Client Retention'!$AF89)</f>
        <v>0</v>
      </c>
      <c r="Z89" s="197">
        <f>-COUNTIFS('Full Customer List'!$J:$J,Z$1,'Full Customer List'!$E:$E,$AF83,'Full Customer List'!$H:$H,'Client Retention'!$AF89)</f>
        <v>0</v>
      </c>
      <c r="AA89" s="197">
        <f>-COUNTIFS('Full Customer List'!$J:$J,AA$1,'Full Customer List'!$E:$E,$AF83,'Full Customer List'!$H:$H,'Client Retention'!$AF89)</f>
        <v>0</v>
      </c>
      <c r="AB89" s="197">
        <f>-COUNTIFS('Full Customer List'!$J:$J,AB$1,'Full Customer List'!$E:$E,$AF83,'Full Customer List'!$H:$H,'Client Retention'!$AF89)</f>
        <v>0</v>
      </c>
      <c r="AC89" s="197">
        <f>-COUNTIFS('Full Customer List'!$J:$J,AC$1,'Full Customer List'!$E:$E,$AF83,'Full Customer List'!$H:$H,'Client Retention'!$AF89)</f>
        <v>0</v>
      </c>
      <c r="AD89" s="197">
        <f>-COUNTIFS('Full Customer List'!$J:$J,AD$1,'Full Customer List'!$E:$E,$AF83,'Full Customer List'!$H:$H,'Client Retention'!$AF89)</f>
        <v>0</v>
      </c>
      <c r="AF89" s="175" t="s">
        <v>1554</v>
      </c>
    </row>
    <row r="90" spans="2:37" ht="12" customHeight="1">
      <c r="B90" s="259" t="s">
        <v>1555</v>
      </c>
      <c r="C90" s="262"/>
      <c r="D90" s="262"/>
      <c r="E90" s="260">
        <f>SUM(J90:U90)</f>
        <v>-2</v>
      </c>
      <c r="F90" s="260">
        <f>SUM(V90:AD90)</f>
        <v>0</v>
      </c>
      <c r="G90" s="261"/>
      <c r="H90" s="260">
        <f>SUM(S90:AD90)</f>
        <v>-1</v>
      </c>
      <c r="I90" s="281"/>
      <c r="J90" s="262">
        <f>-COUNTIFS('Full Customer List'!$J:$J,J$1,'Full Customer List'!$E:$E,$AF83)</f>
        <v>0</v>
      </c>
      <c r="K90" s="262">
        <f>-COUNTIFS('Full Customer List'!$J:$J,K$1,'Full Customer List'!$E:$E,$AF83)</f>
        <v>0</v>
      </c>
      <c r="L90" s="262">
        <f>-COUNTIFS('Full Customer List'!$J:$J,L$1,'Full Customer List'!$E:$E,$AF83)</f>
        <v>0</v>
      </c>
      <c r="M90" s="262">
        <f>-COUNTIFS('Full Customer List'!$J:$J,M$1,'Full Customer List'!$E:$E,$AF83)</f>
        <v>0</v>
      </c>
      <c r="N90" s="262">
        <f>-COUNTIFS('Full Customer List'!$J:$J,N$1,'Full Customer List'!$E:$E,$AF83)</f>
        <v>0</v>
      </c>
      <c r="O90" s="262">
        <f>-COUNTIFS('Full Customer List'!$J:$J,O$1,'Full Customer List'!$E:$E,$AF83)</f>
        <v>0</v>
      </c>
      <c r="P90" s="262">
        <f>-COUNTIFS('Full Customer List'!$J:$J,P$1,'Full Customer List'!$E:$E,$AF83)</f>
        <v>0</v>
      </c>
      <c r="Q90" s="262">
        <f>-COUNTIFS('Full Customer List'!$J:$J,Q$1,'Full Customer List'!$E:$E,$AF83)</f>
        <v>0</v>
      </c>
      <c r="R90" s="262">
        <f>-COUNTIFS('Full Customer List'!$J:$J,R$1,'Full Customer List'!$E:$E,$AF83)</f>
        <v>-1</v>
      </c>
      <c r="S90" s="262">
        <f>-COUNTIFS('Full Customer List'!$J:$J,S$1,'Full Customer List'!$E:$E,$AF83)</f>
        <v>0</v>
      </c>
      <c r="T90" s="262">
        <f>-COUNTIFS('Full Customer List'!$J:$J,T$1,'Full Customer List'!$E:$E,$AF83)</f>
        <v>-1</v>
      </c>
      <c r="U90" s="262">
        <f>-COUNTIFS('Full Customer List'!$J:$J,U$1,'Full Customer List'!$E:$E,$AF83)</f>
        <v>0</v>
      </c>
      <c r="V90" s="262">
        <f>-COUNTIFS('Full Customer List'!$J:$J,V$1,'Full Customer List'!$E:$E,$AF83)</f>
        <v>0</v>
      </c>
      <c r="W90" s="262">
        <f>-COUNTIFS('Full Customer List'!$J:$J,W$1,'Full Customer List'!$E:$E,$AF83)</f>
        <v>0</v>
      </c>
      <c r="X90" s="262">
        <f>-COUNTIFS('Full Customer List'!$J:$J,X$1,'Full Customer List'!$E:$E,$AF83)</f>
        <v>0</v>
      </c>
      <c r="Y90" s="262">
        <f>-COUNTIFS('Full Customer List'!$J:$J,Y$1,'Full Customer List'!$E:$E,$AF83)</f>
        <v>0</v>
      </c>
      <c r="Z90" s="262">
        <f>-COUNTIFS('Full Customer List'!$J:$J,Z$1,'Full Customer List'!$E:$E,$AF83)</f>
        <v>0</v>
      </c>
      <c r="AA90" s="262">
        <f>-COUNTIFS('Full Customer List'!$J:$J,AA$1,'Full Customer List'!$E:$E,$AF83)</f>
        <v>0</v>
      </c>
      <c r="AB90" s="262">
        <f>-COUNTIFS('Full Customer List'!$J:$J,AB$1,'Full Customer List'!$E:$E,$AF83)</f>
        <v>0</v>
      </c>
      <c r="AC90" s="262">
        <f>-COUNTIFS('Full Customer List'!$J:$J,AC$1,'Full Customer List'!$E:$E,$AF83)</f>
        <v>0</v>
      </c>
      <c r="AD90" s="262">
        <f>-COUNTIFS('Full Customer List'!$J:$J,AD$1,'Full Customer List'!$E:$E,$AF83)</f>
        <v>0</v>
      </c>
    </row>
    <row r="91" spans="2:37" ht="12" customHeight="1">
      <c r="B91" s="263" t="s">
        <v>1323</v>
      </c>
      <c r="C91" s="264"/>
      <c r="D91" s="264"/>
      <c r="E91" s="264">
        <f>+F85</f>
        <v>-3</v>
      </c>
      <c r="F91" s="265">
        <f>+$AD91</f>
        <v>0</v>
      </c>
      <c r="H91" s="268">
        <f>+$AD91</f>
        <v>0</v>
      </c>
      <c r="J91" s="266">
        <f t="shared" ref="J91:AC91" si="231">+K85</f>
        <v>-11</v>
      </c>
      <c r="K91" s="264">
        <f t="shared" si="231"/>
        <v>-11</v>
      </c>
      <c r="L91" s="264">
        <f t="shared" si="231"/>
        <v>-11</v>
      </c>
      <c r="M91" s="264">
        <f t="shared" si="231"/>
        <v>-11</v>
      </c>
      <c r="N91" s="264">
        <f t="shared" si="231"/>
        <v>-11</v>
      </c>
      <c r="O91" s="264">
        <f t="shared" si="231"/>
        <v>-11</v>
      </c>
      <c r="P91" s="264">
        <f t="shared" si="231"/>
        <v>-11</v>
      </c>
      <c r="Q91" s="264">
        <f t="shared" si="231"/>
        <v>-11</v>
      </c>
      <c r="R91" s="264">
        <f t="shared" si="231"/>
        <v>-10</v>
      </c>
      <c r="S91" s="264">
        <f t="shared" si="231"/>
        <v>-2</v>
      </c>
      <c r="T91" s="264">
        <f t="shared" si="231"/>
        <v>-3</v>
      </c>
      <c r="U91" s="264">
        <f t="shared" si="231"/>
        <v>-3</v>
      </c>
      <c r="V91" s="264">
        <f t="shared" si="231"/>
        <v>-2</v>
      </c>
      <c r="W91" s="264">
        <f t="shared" si="231"/>
        <v>0</v>
      </c>
      <c r="X91" s="264">
        <f t="shared" si="231"/>
        <v>0</v>
      </c>
      <c r="Y91" s="264">
        <f t="shared" si="231"/>
        <v>0</v>
      </c>
      <c r="Z91" s="264">
        <f t="shared" si="231"/>
        <v>0</v>
      </c>
      <c r="AA91" s="264">
        <f t="shared" si="231"/>
        <v>0</v>
      </c>
      <c r="AB91" s="264">
        <f t="shared" si="231"/>
        <v>0</v>
      </c>
      <c r="AC91" s="264">
        <f t="shared" si="231"/>
        <v>0</v>
      </c>
      <c r="AD91" s="265">
        <f>COUNTIFS('Full Customer List'!$C:$C,"Active",'Full Customer List'!$E:$E,'Client Retention'!$AF83)</f>
        <v>0</v>
      </c>
    </row>
    <row r="92" spans="2:37" ht="3.95" customHeight="1">
      <c r="B92" s="182"/>
      <c r="C92" s="236"/>
      <c r="D92" s="236"/>
      <c r="E92" s="236"/>
      <c r="F92" s="236"/>
      <c r="H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  <c r="AA92" s="236"/>
      <c r="AB92" s="237"/>
      <c r="AC92" s="237"/>
      <c r="AD92" s="237"/>
    </row>
    <row r="93" spans="2:37" ht="12" customHeight="1">
      <c r="B93" s="238" t="s">
        <v>1541</v>
      </c>
      <c r="C93" s="239"/>
      <c r="D93" s="239"/>
      <c r="E93" s="240">
        <f>(E86+E85)/E85-1</f>
        <v>-0.90909090909090906</v>
      </c>
      <c r="F93" s="251">
        <f>(F86+F85)/F85-1</f>
        <v>-1</v>
      </c>
      <c r="G93" s="252"/>
      <c r="H93" s="253">
        <f>(H86+H85)/H85-1</f>
        <v>-1.1000000000000001</v>
      </c>
      <c r="J93" s="250">
        <f t="shared" ref="J93:T93" si="232">(J86+J85)/J85-1</f>
        <v>0</v>
      </c>
      <c r="K93" s="240">
        <f t="shared" si="232"/>
        <v>0</v>
      </c>
      <c r="L93" s="240">
        <f t="shared" si="232"/>
        <v>0</v>
      </c>
      <c r="M93" s="240">
        <f t="shared" si="232"/>
        <v>0</v>
      </c>
      <c r="N93" s="240">
        <f t="shared" si="232"/>
        <v>0</v>
      </c>
      <c r="O93" s="240">
        <f t="shared" si="232"/>
        <v>0</v>
      </c>
      <c r="P93" s="240">
        <f t="shared" si="232"/>
        <v>0</v>
      </c>
      <c r="Q93" s="240">
        <f t="shared" si="232"/>
        <v>0</v>
      </c>
      <c r="R93" s="240">
        <f t="shared" si="232"/>
        <v>-0.18181818181818177</v>
      </c>
      <c r="S93" s="240">
        <f t="shared" si="232"/>
        <v>-0.8</v>
      </c>
      <c r="T93" s="240">
        <f t="shared" si="232"/>
        <v>0</v>
      </c>
      <c r="U93" s="240">
        <f t="shared" ref="U93:AD93" si="233">IFERROR((U86+U85)/U85-1,0)</f>
        <v>0</v>
      </c>
      <c r="V93" s="240">
        <f t="shared" si="233"/>
        <v>-0.33333333333333337</v>
      </c>
      <c r="W93" s="240">
        <f t="shared" si="233"/>
        <v>-1</v>
      </c>
      <c r="X93" s="240">
        <f t="shared" si="233"/>
        <v>0</v>
      </c>
      <c r="Y93" s="240">
        <f t="shared" si="233"/>
        <v>0</v>
      </c>
      <c r="Z93" s="240">
        <f t="shared" si="233"/>
        <v>0</v>
      </c>
      <c r="AA93" s="240">
        <f t="shared" si="233"/>
        <v>0</v>
      </c>
      <c r="AB93" s="240">
        <f t="shared" si="233"/>
        <v>0</v>
      </c>
      <c r="AC93" s="240">
        <f t="shared" si="233"/>
        <v>0</v>
      </c>
      <c r="AD93" s="251">
        <f t="shared" si="233"/>
        <v>0</v>
      </c>
    </row>
    <row r="94" spans="2:37" ht="12" customHeight="1">
      <c r="B94" s="241" t="s">
        <v>1542</v>
      </c>
      <c r="C94" s="242"/>
      <c r="D94" s="242"/>
      <c r="E94" s="243">
        <f>(E90+E85)/E85-1</f>
        <v>0.18181818181818188</v>
      </c>
      <c r="F94" s="244">
        <f>(F90+F85)/F85-1</f>
        <v>0</v>
      </c>
      <c r="G94" s="252"/>
      <c r="H94" s="246">
        <f>(H90+H85)/H85-1</f>
        <v>0.10000000000000009</v>
      </c>
      <c r="J94" s="245">
        <f t="shared" ref="J94:W94" si="234">(J90+J85)/J85-1</f>
        <v>0</v>
      </c>
      <c r="K94" s="243">
        <f t="shared" si="234"/>
        <v>0</v>
      </c>
      <c r="L94" s="243">
        <f t="shared" si="234"/>
        <v>0</v>
      </c>
      <c r="M94" s="243">
        <f t="shared" si="234"/>
        <v>0</v>
      </c>
      <c r="N94" s="243">
        <f t="shared" si="234"/>
        <v>0</v>
      </c>
      <c r="O94" s="243">
        <f t="shared" si="234"/>
        <v>0</v>
      </c>
      <c r="P94" s="243">
        <f t="shared" si="234"/>
        <v>0</v>
      </c>
      <c r="Q94" s="243">
        <f t="shared" si="234"/>
        <v>0</v>
      </c>
      <c r="R94" s="243">
        <f t="shared" si="234"/>
        <v>9.0909090909090828E-2</v>
      </c>
      <c r="S94" s="243">
        <f t="shared" si="234"/>
        <v>0</v>
      </c>
      <c r="T94" s="243">
        <f t="shared" si="234"/>
        <v>0.5</v>
      </c>
      <c r="U94" s="243">
        <f t="shared" si="234"/>
        <v>0</v>
      </c>
      <c r="V94" s="243">
        <f t="shared" si="234"/>
        <v>0</v>
      </c>
      <c r="W94" s="243">
        <f t="shared" si="234"/>
        <v>0</v>
      </c>
      <c r="X94" s="243">
        <f>IFERROR((X90+X85)/X85-1,0)</f>
        <v>0</v>
      </c>
      <c r="Y94" s="243">
        <f t="shared" ref="Y94:AD94" si="235">IFERROR((Y90+Y85)/Y85-1,0)</f>
        <v>0</v>
      </c>
      <c r="Z94" s="243">
        <f t="shared" si="235"/>
        <v>0</v>
      </c>
      <c r="AA94" s="243">
        <f t="shared" si="235"/>
        <v>0</v>
      </c>
      <c r="AB94" s="243">
        <f t="shared" si="235"/>
        <v>0</v>
      </c>
      <c r="AC94" s="243">
        <f t="shared" si="235"/>
        <v>0</v>
      </c>
      <c r="AD94" s="244">
        <f t="shared" si="235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200">
        <v>44926</v>
      </c>
      <c r="D134" s="202">
        <f>C135</f>
        <v>45291</v>
      </c>
      <c r="E134" s="202">
        <f>D135</f>
        <v>45657</v>
      </c>
      <c r="AK134"/>
    </row>
    <row r="135" spans="3:37" ht="15">
      <c r="C135" s="201">
        <f>EOMONTH(C134,12)</f>
        <v>45291</v>
      </c>
      <c r="D135" s="201">
        <f>EOMONTH(D134,12)</f>
        <v>45657</v>
      </c>
      <c r="E135" s="201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B6:H6 J6:AH6">
    <cfRule type="expression" dxfId="13" priority="19">
      <formula>$Y$3=1</formula>
    </cfRule>
  </conditionalFormatting>
  <conditionalFormatting sqref="B19:H19 J19:AH19">
    <cfRule type="expression" dxfId="12" priority="7">
      <formula>$Y$3=1</formula>
    </cfRule>
  </conditionalFormatting>
  <conditionalFormatting sqref="B32:H32">
    <cfRule type="expression" dxfId="11" priority="6">
      <formula>$Y$3=1</formula>
    </cfRule>
  </conditionalFormatting>
  <conditionalFormatting sqref="B45:H45">
    <cfRule type="expression" dxfId="10" priority="5">
      <formula>$Y$3=1</formula>
    </cfRule>
  </conditionalFormatting>
  <conditionalFormatting sqref="B58:H58">
    <cfRule type="expression" dxfId="9" priority="4">
      <formula>$Y$3=1</formula>
    </cfRule>
  </conditionalFormatting>
  <conditionalFormatting sqref="B71:H71">
    <cfRule type="expression" dxfId="8" priority="3">
      <formula>$Y$3=1</formula>
    </cfRule>
  </conditionalFormatting>
  <conditionalFormatting sqref="B84:H84">
    <cfRule type="expression" dxfId="7" priority="2">
      <formula>$Y$3=1</formula>
    </cfRule>
  </conditionalFormatting>
  <conditionalFormatting sqref="J32:AH32">
    <cfRule type="expression" dxfId="6" priority="17">
      <formula>$Y$3=1</formula>
    </cfRule>
  </conditionalFormatting>
  <conditionalFormatting sqref="J45:AH45">
    <cfRule type="expression" dxfId="5" priority="13">
      <formula>$Y$3=1</formula>
    </cfRule>
  </conditionalFormatting>
  <conditionalFormatting sqref="J58:AH58">
    <cfRule type="expression" dxfId="4" priority="16">
      <formula>$Y$3=1</formula>
    </cfRule>
  </conditionalFormatting>
  <conditionalFormatting sqref="J71:AH71">
    <cfRule type="expression" dxfId="3" priority="15">
      <formula>$Y$3=1</formula>
    </cfRule>
  </conditionalFormatting>
  <conditionalFormatting sqref="J84:AH84">
    <cfRule type="expression" dxfId="2" priority="10">
      <formula>$Y$3=1</formula>
    </cfRule>
  </conditionalFormatting>
  <conditionalFormatting sqref="A32:XFD42 A45:XFD55 A58:XFD68 A71:XFD81 A84:XFD94 A6:XFD16 A19:XFD29">
    <cfRule type="expression" dxfId="0" priority="1">
      <formula>$AG$3=1</formula>
    </cfRule>
  </conditionalFormatting>
  <pageMargins left="0.7" right="0.7" top="0.75" bottom="0.75" header="0.3" footer="0.3"/>
  <pageSetup scale="45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75" customWidth="1"/>
    <col min="2" max="2" width="28.85546875" style="275" bestFit="1" customWidth="1"/>
    <col min="3" max="13" width="9.140625" style="275"/>
    <col min="14" max="14" width="12.42578125" style="275" customWidth="1"/>
    <col min="15" max="16384" width="9.140625" style="275"/>
  </cols>
  <sheetData>
    <row r="2" spans="2:14" ht="16.5">
      <c r="B2" s="37" t="str">
        <f>+'Client Retention'!B2</f>
        <v>Keystone Bookkeepers</v>
      </c>
    </row>
    <row r="3" spans="2:14">
      <c r="B3" s="38" t="s">
        <v>1556</v>
      </c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8"/>
      <c r="N3" s="278"/>
    </row>
    <row r="5" spans="2:14">
      <c r="B5" s="219" t="s">
        <v>1566</v>
      </c>
    </row>
    <row r="32" spans="2:2">
      <c r="B32" s="219" t="s">
        <v>1565</v>
      </c>
    </row>
    <row r="58" spans="2:2">
      <c r="B58" s="219" t="s">
        <v>1562</v>
      </c>
    </row>
    <row r="85" spans="2:2">
      <c r="B85" s="219" t="s">
        <v>1563</v>
      </c>
    </row>
    <row r="111" spans="2:23">
      <c r="B111" s="276" t="str">
        <f>+'Client Retention'!B19</f>
        <v>Property Manager, STR Owner &amp; Short-Term Rental</v>
      </c>
      <c r="C111" s="194">
        <v>45658</v>
      </c>
      <c r="D111" s="194">
        <f t="shared" ref="D111:I111" si="0">EOMONTH(C111,0)+1</f>
        <v>45689</v>
      </c>
      <c r="E111" s="194">
        <f t="shared" si="0"/>
        <v>45717</v>
      </c>
      <c r="F111" s="194">
        <f t="shared" si="0"/>
        <v>45748</v>
      </c>
      <c r="G111" s="194">
        <f t="shared" si="0"/>
        <v>45778</v>
      </c>
      <c r="H111" s="194">
        <f t="shared" si="0"/>
        <v>45809</v>
      </c>
      <c r="I111" s="194">
        <f t="shared" si="0"/>
        <v>45839</v>
      </c>
      <c r="J111" s="194">
        <v>45870</v>
      </c>
      <c r="K111" s="194">
        <f t="shared" ref="K111:W111" si="1">EOMONTH(J111,0)+1</f>
        <v>45901</v>
      </c>
      <c r="L111" s="194">
        <f t="shared" si="1"/>
        <v>45931</v>
      </c>
      <c r="M111" s="194">
        <f t="shared" si="1"/>
        <v>45962</v>
      </c>
      <c r="N111" s="194">
        <f t="shared" si="1"/>
        <v>45992</v>
      </c>
      <c r="O111" s="194">
        <f t="shared" si="1"/>
        <v>46023</v>
      </c>
      <c r="P111" s="194">
        <f t="shared" si="1"/>
        <v>46054</v>
      </c>
      <c r="Q111" s="194">
        <f t="shared" si="1"/>
        <v>46082</v>
      </c>
      <c r="R111" s="194">
        <f t="shared" si="1"/>
        <v>46113</v>
      </c>
      <c r="S111" s="194">
        <f t="shared" si="1"/>
        <v>46143</v>
      </c>
      <c r="T111" s="194">
        <f t="shared" si="1"/>
        <v>46174</v>
      </c>
      <c r="U111" s="194">
        <f t="shared" si="1"/>
        <v>46204</v>
      </c>
      <c r="V111" s="194">
        <f t="shared" si="1"/>
        <v>46235</v>
      </c>
      <c r="W111" s="194">
        <f t="shared" si="1"/>
        <v>46266</v>
      </c>
    </row>
    <row r="112" spans="2:23">
      <c r="B112" s="275" t="s">
        <v>1557</v>
      </c>
      <c r="C112" s="53">
        <f>+'Client Retention'!J21</f>
        <v>9</v>
      </c>
      <c r="D112" s="53">
        <f>+'Client Retention'!K21</f>
        <v>5</v>
      </c>
      <c r="E112" s="53">
        <f>+'Client Retention'!L21</f>
        <v>8</v>
      </c>
      <c r="F112" s="53">
        <f>+'Client Retention'!M21</f>
        <v>9</v>
      </c>
      <c r="G112" s="53">
        <f>+'Client Retention'!N21</f>
        <v>9</v>
      </c>
      <c r="H112" s="53">
        <f>+'Client Retention'!O21</f>
        <v>6</v>
      </c>
      <c r="I112" s="53">
        <f>+'Client Retention'!P21</f>
        <v>7</v>
      </c>
      <c r="J112" s="53">
        <f>+'Client Retention'!Q21</f>
        <v>7</v>
      </c>
      <c r="K112" s="53">
        <f>+'Client Retention'!R21</f>
        <v>6</v>
      </c>
      <c r="L112" s="53">
        <f>+'Client Retention'!S21</f>
        <v>6</v>
      </c>
      <c r="M112" s="53">
        <f>+'Client Retention'!T21</f>
        <v>7</v>
      </c>
      <c r="N112" s="53">
        <f>+'Client Retention'!U21</f>
        <v>11</v>
      </c>
      <c r="O112" s="53">
        <f>+'Client Retention'!V21</f>
        <v>10</v>
      </c>
      <c r="P112" s="53">
        <f>+'Client Retention'!W21</f>
        <v>9</v>
      </c>
      <c r="Q112" s="53">
        <f>+'Client Retention'!X21</f>
        <v>6</v>
      </c>
      <c r="R112" s="53">
        <f>+'Client Retention'!Y21</f>
        <v>11</v>
      </c>
      <c r="S112" s="53">
        <f>+'Client Retention'!Z21</f>
        <v>7</v>
      </c>
      <c r="T112" s="53">
        <f>+'Client Retention'!AA21</f>
        <v>4</v>
      </c>
      <c r="U112" s="53">
        <f>+'Client Retention'!AB21</f>
        <v>5</v>
      </c>
      <c r="V112" s="53">
        <f>+'Client Retention'!AC21</f>
        <v>3</v>
      </c>
      <c r="W112" s="53">
        <f>+'Client Retention'!AD21</f>
        <v>4</v>
      </c>
    </row>
    <row r="113" spans="2:23">
      <c r="B113" s="275" t="s">
        <v>1558</v>
      </c>
      <c r="C113" s="53">
        <f>-'Client Retention'!J22</f>
        <v>0</v>
      </c>
      <c r="D113" s="53">
        <f>-'Client Retention'!K22</f>
        <v>2</v>
      </c>
      <c r="E113" s="53">
        <f>-'Client Retention'!L22</f>
        <v>1</v>
      </c>
      <c r="F113" s="53">
        <f>-'Client Retention'!M22</f>
        <v>3</v>
      </c>
      <c r="G113" s="53">
        <f>-'Client Retention'!N22</f>
        <v>0</v>
      </c>
      <c r="H113" s="53">
        <f>-'Client Retention'!O22</f>
        <v>5</v>
      </c>
      <c r="I113" s="53">
        <f>-'Client Retention'!P22</f>
        <v>2</v>
      </c>
      <c r="J113" s="53">
        <f>-'Client Retention'!Q22</f>
        <v>2</v>
      </c>
      <c r="K113" s="53">
        <f>-'Client Retention'!R22</f>
        <v>2</v>
      </c>
      <c r="L113" s="53">
        <f>-'Client Retention'!S22</f>
        <v>1</v>
      </c>
      <c r="M113" s="53">
        <f>-'Client Retention'!T22</f>
        <v>3</v>
      </c>
      <c r="N113" s="53">
        <f>-'Client Retention'!U22</f>
        <v>5</v>
      </c>
      <c r="O113" s="53">
        <f>-'Client Retention'!V22</f>
        <v>1</v>
      </c>
      <c r="P113" s="53">
        <f>-'Client Retention'!W22</f>
        <v>1</v>
      </c>
      <c r="Q113" s="53">
        <f>-'Client Retention'!X22</f>
        <v>2</v>
      </c>
      <c r="R113" s="53">
        <f>-'Client Retention'!Y22</f>
        <v>3</v>
      </c>
      <c r="S113" s="53">
        <f>-'Client Retention'!Z22</f>
        <v>12</v>
      </c>
      <c r="T113" s="53">
        <f>-'Client Retention'!AA22</f>
        <v>4</v>
      </c>
      <c r="U113" s="53">
        <f>-'Client Retention'!AB22</f>
        <v>2</v>
      </c>
      <c r="V113" s="53">
        <f>-'Client Retention'!AC22</f>
        <v>0</v>
      </c>
      <c r="W113" s="53">
        <f>-'Client Retention'!AD22</f>
        <v>0</v>
      </c>
    </row>
    <row r="114" spans="2:23">
      <c r="B114" s="275" t="s">
        <v>1559</v>
      </c>
      <c r="C114" s="53">
        <f>-'Client Retention'!J23</f>
        <v>4</v>
      </c>
      <c r="D114" s="53">
        <f>-'Client Retention'!K23</f>
        <v>1</v>
      </c>
      <c r="E114" s="53">
        <f>-'Client Retention'!L23</f>
        <v>1</v>
      </c>
      <c r="F114" s="53">
        <f>-'Client Retention'!M23</f>
        <v>1</v>
      </c>
      <c r="G114" s="53">
        <f>-'Client Retention'!N23</f>
        <v>2</v>
      </c>
      <c r="H114" s="53">
        <f>-'Client Retention'!O23</f>
        <v>1</v>
      </c>
      <c r="I114" s="53">
        <f>-'Client Retention'!P23</f>
        <v>0</v>
      </c>
      <c r="J114" s="53">
        <f>-'Client Retention'!Q23</f>
        <v>0</v>
      </c>
      <c r="K114" s="53">
        <f>-'Client Retention'!R23</f>
        <v>1</v>
      </c>
      <c r="L114" s="53">
        <f>-'Client Retention'!S23</f>
        <v>0</v>
      </c>
      <c r="M114" s="53">
        <f>-'Client Retention'!T23</f>
        <v>5</v>
      </c>
      <c r="N114" s="53">
        <f>-'Client Retention'!U23</f>
        <v>4</v>
      </c>
      <c r="O114" s="53">
        <f>-'Client Retention'!V23</f>
        <v>2</v>
      </c>
      <c r="P114" s="53">
        <f>-'Client Retention'!W23</f>
        <v>0</v>
      </c>
      <c r="Q114" s="53">
        <f>-'Client Retention'!X23</f>
        <v>0</v>
      </c>
      <c r="R114" s="53">
        <f>-'Client Retention'!Y23</f>
        <v>1</v>
      </c>
      <c r="S114" s="53">
        <f>-'Client Retention'!Z23</f>
        <v>2</v>
      </c>
      <c r="T114" s="53">
        <f>-'Client Retention'!AA23</f>
        <v>0</v>
      </c>
      <c r="U114" s="53">
        <f>-'Client Retention'!AB23</f>
        <v>1</v>
      </c>
      <c r="V114" s="53">
        <f>-'Client Retention'!AC23</f>
        <v>0</v>
      </c>
      <c r="W114" s="53">
        <f>-'Client Retention'!AD23</f>
        <v>0</v>
      </c>
    </row>
    <row r="115" spans="2:23">
      <c r="B115" s="275" t="s">
        <v>1560</v>
      </c>
      <c r="C115" s="53">
        <f>-'Client Retention'!J24</f>
        <v>0</v>
      </c>
      <c r="D115" s="53">
        <f>-'Client Retention'!K24</f>
        <v>0</v>
      </c>
      <c r="E115" s="53">
        <f>-'Client Retention'!L24</f>
        <v>0</v>
      </c>
      <c r="F115" s="53">
        <f>-'Client Retention'!M24</f>
        <v>0</v>
      </c>
      <c r="G115" s="53">
        <f>-'Client Retention'!N24</f>
        <v>0</v>
      </c>
      <c r="H115" s="53">
        <f>-'Client Retention'!O24</f>
        <v>0</v>
      </c>
      <c r="I115" s="53">
        <f>-'Client Retention'!P24</f>
        <v>0</v>
      </c>
      <c r="J115" s="53">
        <f>-'Client Retention'!Q24</f>
        <v>0</v>
      </c>
      <c r="K115" s="53">
        <f>-'Client Retention'!R24</f>
        <v>0</v>
      </c>
      <c r="L115" s="53">
        <f>-'Client Retention'!S24</f>
        <v>0</v>
      </c>
      <c r="M115" s="53">
        <f>-'Client Retention'!T24</f>
        <v>0</v>
      </c>
      <c r="N115" s="53">
        <f>-'Client Retention'!U24</f>
        <v>0</v>
      </c>
      <c r="O115" s="53">
        <f>-'Client Retention'!V24</f>
        <v>0</v>
      </c>
      <c r="P115" s="53">
        <f>-'Client Retention'!W24</f>
        <v>0</v>
      </c>
      <c r="Q115" s="53">
        <f>-'Client Retention'!X24</f>
        <v>3</v>
      </c>
      <c r="R115" s="53">
        <f>-'Client Retention'!Y24</f>
        <v>1</v>
      </c>
      <c r="S115" s="53">
        <f>-'Client Retention'!Z24</f>
        <v>1</v>
      </c>
      <c r="T115" s="53">
        <f>-'Client Retention'!AA24</f>
        <v>0</v>
      </c>
      <c r="U115" s="53">
        <f>-'Client Retention'!AB24</f>
        <v>1</v>
      </c>
      <c r="V115" s="53">
        <f>-'Client Retention'!AC24</f>
        <v>2</v>
      </c>
      <c r="W115" s="53">
        <f>-'Client Retention'!AD24</f>
        <v>0</v>
      </c>
    </row>
    <row r="117" spans="2:23">
      <c r="B117" s="276" t="str">
        <f>+B111</f>
        <v>Property Manager, STR Owner &amp; Short-Term Rental</v>
      </c>
      <c r="C117" s="194">
        <v>45658</v>
      </c>
      <c r="D117" s="194">
        <f t="shared" ref="D117" si="2">EOMONTH(C117,0)+1</f>
        <v>45689</v>
      </c>
      <c r="E117" s="194">
        <f t="shared" ref="E117" si="3">EOMONTH(D117,0)+1</f>
        <v>45717</v>
      </c>
      <c r="F117" s="194">
        <f t="shared" ref="F117" si="4">EOMONTH(E117,0)+1</f>
        <v>45748</v>
      </c>
      <c r="G117" s="194">
        <f t="shared" ref="G117" si="5">EOMONTH(F117,0)+1</f>
        <v>45778</v>
      </c>
      <c r="H117" s="194">
        <f t="shared" ref="H117" si="6">EOMONTH(G117,0)+1</f>
        <v>45809</v>
      </c>
      <c r="I117" s="194">
        <f t="shared" ref="I117" si="7">EOMONTH(H117,0)+1</f>
        <v>45839</v>
      </c>
      <c r="J117" s="194">
        <v>45870</v>
      </c>
      <c r="K117" s="194">
        <f t="shared" ref="K117" si="8">EOMONTH(J117,0)+1</f>
        <v>45901</v>
      </c>
      <c r="L117" s="194">
        <f t="shared" ref="L117" si="9">EOMONTH(K117,0)+1</f>
        <v>45931</v>
      </c>
      <c r="M117" s="194">
        <f t="shared" ref="M117" si="10">EOMONTH(L117,0)+1</f>
        <v>45962</v>
      </c>
      <c r="N117" s="194">
        <f t="shared" ref="N117" si="11">EOMONTH(M117,0)+1</f>
        <v>45992</v>
      </c>
      <c r="O117" s="194">
        <f t="shared" ref="O117" si="12">EOMONTH(N117,0)+1</f>
        <v>46023</v>
      </c>
      <c r="P117" s="194">
        <f t="shared" ref="P117" si="13">EOMONTH(O117,0)+1</f>
        <v>46054</v>
      </c>
      <c r="Q117" s="194">
        <f t="shared" ref="Q117" si="14">EOMONTH(P117,0)+1</f>
        <v>46082</v>
      </c>
      <c r="R117" s="194">
        <f t="shared" ref="R117" si="15">EOMONTH(Q117,0)+1</f>
        <v>46113</v>
      </c>
      <c r="S117" s="194">
        <f t="shared" ref="S117" si="16">EOMONTH(R117,0)+1</f>
        <v>46143</v>
      </c>
      <c r="T117" s="194">
        <f t="shared" ref="T117" si="17">EOMONTH(S117,0)+1</f>
        <v>46174</v>
      </c>
      <c r="U117" s="194">
        <f t="shared" ref="U117" si="18">EOMONTH(T117,0)+1</f>
        <v>46204</v>
      </c>
      <c r="V117" s="194">
        <f t="shared" ref="V117" si="19">EOMONTH(U117,0)+1</f>
        <v>46235</v>
      </c>
      <c r="W117" s="194">
        <f t="shared" ref="W117" si="20">EOMONTH(V117,0)+1</f>
        <v>46266</v>
      </c>
    </row>
    <row r="118" spans="2:23">
      <c r="B118" s="275" t="s">
        <v>1557</v>
      </c>
      <c r="C118" s="83">
        <f>+C112</f>
        <v>9</v>
      </c>
      <c r="D118" s="83">
        <f>+D112</f>
        <v>5</v>
      </c>
      <c r="E118" s="83">
        <f>+E112</f>
        <v>8</v>
      </c>
      <c r="F118" s="83">
        <f>+F112</f>
        <v>9</v>
      </c>
      <c r="G118" s="83">
        <f>+G112</f>
        <v>9</v>
      </c>
      <c r="H118" s="83">
        <f>+H112</f>
        <v>6</v>
      </c>
      <c r="I118" s="83">
        <f>+I112</f>
        <v>7</v>
      </c>
      <c r="J118" s="83">
        <f>+J112</f>
        <v>7</v>
      </c>
      <c r="K118" s="83">
        <f>+K112</f>
        <v>6</v>
      </c>
      <c r="L118" s="83">
        <f>+L112</f>
        <v>6</v>
      </c>
      <c r="M118" s="83">
        <f>+M112</f>
        <v>7</v>
      </c>
      <c r="N118" s="83">
        <f>+N112</f>
        <v>11</v>
      </c>
      <c r="O118" s="83">
        <f>+O112</f>
        <v>10</v>
      </c>
      <c r="P118" s="83">
        <f>+P112</f>
        <v>9</v>
      </c>
      <c r="Q118" s="83">
        <f>+Q112</f>
        <v>6</v>
      </c>
      <c r="R118" s="83">
        <f>+R112</f>
        <v>11</v>
      </c>
      <c r="S118" s="83">
        <f>+S112</f>
        <v>7</v>
      </c>
      <c r="T118" s="83">
        <f>+T112</f>
        <v>4</v>
      </c>
      <c r="U118" s="83">
        <f>+U112</f>
        <v>5</v>
      </c>
      <c r="V118" s="83">
        <f>+V112</f>
        <v>3</v>
      </c>
      <c r="W118" s="83">
        <f>+W112</f>
        <v>4</v>
      </c>
    </row>
    <row r="119" spans="2:23">
      <c r="B119" s="275" t="s">
        <v>1561</v>
      </c>
      <c r="C119" s="53">
        <f>-'Client Retention'!J25</f>
        <v>4</v>
      </c>
      <c r="D119" s="53">
        <f>-'Client Retention'!K25</f>
        <v>3</v>
      </c>
      <c r="E119" s="53">
        <f>-'Client Retention'!L25</f>
        <v>2</v>
      </c>
      <c r="F119" s="53">
        <f>-'Client Retention'!M25</f>
        <v>4</v>
      </c>
      <c r="G119" s="53">
        <f>-'Client Retention'!N25</f>
        <v>2</v>
      </c>
      <c r="H119" s="53">
        <f>-'Client Retention'!O25</f>
        <v>6</v>
      </c>
      <c r="I119" s="53">
        <f>-'Client Retention'!P25</f>
        <v>2</v>
      </c>
      <c r="J119" s="53">
        <f>-'Client Retention'!Q25</f>
        <v>2</v>
      </c>
      <c r="K119" s="53">
        <f>-'Client Retention'!R25</f>
        <v>3</v>
      </c>
      <c r="L119" s="53">
        <f>-'Client Retention'!S25</f>
        <v>1</v>
      </c>
      <c r="M119" s="53">
        <f>-'Client Retention'!T25</f>
        <v>8</v>
      </c>
      <c r="N119" s="53">
        <f>-'Client Retention'!U25</f>
        <v>9</v>
      </c>
      <c r="O119" s="53">
        <f>-'Client Retention'!V25</f>
        <v>3</v>
      </c>
      <c r="P119" s="53">
        <f>-'Client Retention'!W25</f>
        <v>1</v>
      </c>
      <c r="Q119" s="53">
        <f>-'Client Retention'!X25</f>
        <v>5</v>
      </c>
      <c r="R119" s="53">
        <f>-'Client Retention'!Y25</f>
        <v>5</v>
      </c>
      <c r="S119" s="53">
        <f>-'Client Retention'!Z25</f>
        <v>15</v>
      </c>
      <c r="T119" s="53">
        <f>-'Client Retention'!AA25</f>
        <v>4</v>
      </c>
      <c r="U119" s="53">
        <f>-'Client Retention'!AB25</f>
        <v>4</v>
      </c>
      <c r="V119" s="53">
        <f>-'Client Retention'!AC25</f>
        <v>2</v>
      </c>
      <c r="W119" s="53">
        <f>-'Client Retention'!AD25</f>
        <v>0</v>
      </c>
    </row>
    <row r="121" spans="2:23">
      <c r="B121" s="276" t="str">
        <f>+'Client Retention'!B32</f>
        <v>Property Manager</v>
      </c>
      <c r="C121" s="194">
        <v>45658</v>
      </c>
      <c r="D121" s="194">
        <f t="shared" ref="D121" si="21">EOMONTH(C121,0)+1</f>
        <v>45689</v>
      </c>
      <c r="E121" s="194">
        <f t="shared" ref="E121" si="22">EOMONTH(D121,0)+1</f>
        <v>45717</v>
      </c>
      <c r="F121" s="194">
        <f t="shared" ref="F121" si="23">EOMONTH(E121,0)+1</f>
        <v>45748</v>
      </c>
      <c r="G121" s="194">
        <f t="shared" ref="G121" si="24">EOMONTH(F121,0)+1</f>
        <v>45778</v>
      </c>
      <c r="H121" s="194">
        <f t="shared" ref="H121" si="25">EOMONTH(G121,0)+1</f>
        <v>45809</v>
      </c>
      <c r="I121" s="194">
        <f t="shared" ref="I121" si="26">EOMONTH(H121,0)+1</f>
        <v>45839</v>
      </c>
      <c r="J121" s="194">
        <v>45870</v>
      </c>
      <c r="K121" s="194">
        <f t="shared" ref="K121" si="27">EOMONTH(J121,0)+1</f>
        <v>45901</v>
      </c>
      <c r="L121" s="194">
        <f t="shared" ref="L121" si="28">EOMONTH(K121,0)+1</f>
        <v>45931</v>
      </c>
      <c r="M121" s="194">
        <f t="shared" ref="M121" si="29">EOMONTH(L121,0)+1</f>
        <v>45962</v>
      </c>
      <c r="N121" s="194">
        <f t="shared" ref="N121" si="30">EOMONTH(M121,0)+1</f>
        <v>45992</v>
      </c>
      <c r="O121" s="194">
        <f t="shared" ref="O121" si="31">EOMONTH(N121,0)+1</f>
        <v>46023</v>
      </c>
      <c r="P121" s="194">
        <f t="shared" ref="P121" si="32">EOMONTH(O121,0)+1</f>
        <v>46054</v>
      </c>
      <c r="Q121" s="194">
        <f t="shared" ref="Q121" si="33">EOMONTH(P121,0)+1</f>
        <v>46082</v>
      </c>
      <c r="R121" s="194">
        <f t="shared" ref="R121" si="34">EOMONTH(Q121,0)+1</f>
        <v>46113</v>
      </c>
      <c r="S121" s="194">
        <f t="shared" ref="S121" si="35">EOMONTH(R121,0)+1</f>
        <v>46143</v>
      </c>
      <c r="T121" s="194">
        <f t="shared" ref="T121" si="36">EOMONTH(S121,0)+1</f>
        <v>46174</v>
      </c>
      <c r="U121" s="194">
        <f t="shared" ref="U121" si="37">EOMONTH(T121,0)+1</f>
        <v>46204</v>
      </c>
      <c r="V121" s="194">
        <f t="shared" ref="V121" si="38">EOMONTH(U121,0)+1</f>
        <v>46235</v>
      </c>
      <c r="W121" s="194">
        <f t="shared" ref="W121" si="39">EOMONTH(V121,0)+1</f>
        <v>46266</v>
      </c>
    </row>
    <row r="122" spans="2:23">
      <c r="B122" s="275" t="s">
        <v>1557</v>
      </c>
      <c r="C122" s="53">
        <f>+'Client Retention'!J34</f>
        <v>7</v>
      </c>
      <c r="D122" s="53">
        <f>+'Client Retention'!K34</f>
        <v>2</v>
      </c>
      <c r="E122" s="53">
        <f>+'Client Retention'!L34</f>
        <v>6</v>
      </c>
      <c r="F122" s="53">
        <f>+'Client Retention'!M34</f>
        <v>7</v>
      </c>
      <c r="G122" s="53">
        <f>+'Client Retention'!N34</f>
        <v>5</v>
      </c>
      <c r="H122" s="53">
        <f>+'Client Retention'!O34</f>
        <v>3</v>
      </c>
      <c r="I122" s="53">
        <f>+'Client Retention'!P34</f>
        <v>5</v>
      </c>
      <c r="J122" s="53">
        <f>+'Client Retention'!Q34</f>
        <v>4</v>
      </c>
      <c r="K122" s="53">
        <f>+'Client Retention'!R34</f>
        <v>4</v>
      </c>
      <c r="L122" s="53">
        <f>+'Client Retention'!S34</f>
        <v>4</v>
      </c>
      <c r="M122" s="53">
        <f>+'Client Retention'!T34</f>
        <v>5</v>
      </c>
      <c r="N122" s="53">
        <f>+'Client Retention'!U34</f>
        <v>7</v>
      </c>
      <c r="O122" s="53">
        <f>+'Client Retention'!V34</f>
        <v>7</v>
      </c>
      <c r="P122" s="53">
        <f>+'Client Retention'!W34</f>
        <v>6</v>
      </c>
      <c r="Q122" s="53">
        <f>+'Client Retention'!X34</f>
        <v>5</v>
      </c>
      <c r="R122" s="53">
        <f>+'Client Retention'!Y34</f>
        <v>8</v>
      </c>
      <c r="S122" s="53">
        <f>+'Client Retention'!Z34</f>
        <v>7</v>
      </c>
      <c r="T122" s="53">
        <f>+'Client Retention'!AA34</f>
        <v>4</v>
      </c>
      <c r="U122" s="53">
        <f>+'Client Retention'!AB34</f>
        <v>4</v>
      </c>
      <c r="V122" s="53">
        <f>+'Client Retention'!AC34</f>
        <v>3</v>
      </c>
      <c r="W122" s="53">
        <f>+'Client Retention'!AD34</f>
        <v>4</v>
      </c>
    </row>
    <row r="123" spans="2:23">
      <c r="B123" s="275" t="s">
        <v>1561</v>
      </c>
      <c r="C123" s="53">
        <f>-'Client Retention'!J38</f>
        <v>0</v>
      </c>
      <c r="D123" s="53">
        <f>-'Client Retention'!K38</f>
        <v>0</v>
      </c>
      <c r="E123" s="53">
        <f>-'Client Retention'!L38</f>
        <v>0</v>
      </c>
      <c r="F123" s="53">
        <f>-'Client Retention'!M38</f>
        <v>0</v>
      </c>
      <c r="G123" s="53">
        <f>-'Client Retention'!N38</f>
        <v>0</v>
      </c>
      <c r="H123" s="53">
        <f>-'Client Retention'!O38</f>
        <v>0</v>
      </c>
      <c r="I123" s="53">
        <f>-'Client Retention'!P38</f>
        <v>2</v>
      </c>
      <c r="J123" s="53">
        <f>-'Client Retention'!Q38</f>
        <v>0</v>
      </c>
      <c r="K123" s="53">
        <f>-'Client Retention'!R38</f>
        <v>0</v>
      </c>
      <c r="L123" s="53">
        <f>-'Client Retention'!S38</f>
        <v>0</v>
      </c>
      <c r="M123" s="53">
        <f>-'Client Retention'!T38</f>
        <v>0</v>
      </c>
      <c r="N123" s="53">
        <f>-'Client Retention'!U38</f>
        <v>1</v>
      </c>
      <c r="O123" s="53">
        <f>-'Client Retention'!V38</f>
        <v>1</v>
      </c>
      <c r="P123" s="53">
        <f>-'Client Retention'!W38</f>
        <v>1</v>
      </c>
      <c r="Q123" s="53">
        <f>-'Client Retention'!X38</f>
        <v>4</v>
      </c>
      <c r="R123" s="53">
        <f>-'Client Retention'!Y38</f>
        <v>4</v>
      </c>
      <c r="S123" s="53">
        <f>-'Client Retention'!Z38</f>
        <v>7</v>
      </c>
      <c r="T123" s="53">
        <f>-'Client Retention'!AA38</f>
        <v>3</v>
      </c>
      <c r="U123" s="53">
        <f>-'Client Retention'!AB38</f>
        <v>3</v>
      </c>
      <c r="V123" s="53">
        <f>-'Client Retention'!AC38</f>
        <v>2</v>
      </c>
      <c r="W123" s="53">
        <f>-'Client Retention'!AD38</f>
        <v>0</v>
      </c>
    </row>
    <row r="125" spans="2:23">
      <c r="B125" s="276" t="str">
        <f>+'Client Retention'!B45</f>
        <v>STR Owner</v>
      </c>
      <c r="C125" s="194">
        <v>45658</v>
      </c>
      <c r="D125" s="194">
        <f t="shared" ref="D125" si="40">EOMONTH(C125,0)+1</f>
        <v>45689</v>
      </c>
      <c r="E125" s="194">
        <f t="shared" ref="E125" si="41">EOMONTH(D125,0)+1</f>
        <v>45717</v>
      </c>
      <c r="F125" s="194">
        <f t="shared" ref="F125" si="42">EOMONTH(E125,0)+1</f>
        <v>45748</v>
      </c>
      <c r="G125" s="194">
        <f t="shared" ref="G125" si="43">EOMONTH(F125,0)+1</f>
        <v>45778</v>
      </c>
      <c r="H125" s="194">
        <f t="shared" ref="H125" si="44">EOMONTH(G125,0)+1</f>
        <v>45809</v>
      </c>
      <c r="I125" s="194">
        <f t="shared" ref="I125" si="45">EOMONTH(H125,0)+1</f>
        <v>45839</v>
      </c>
      <c r="J125" s="194">
        <v>45870</v>
      </c>
      <c r="K125" s="194">
        <f t="shared" ref="K125" si="46">EOMONTH(J125,0)+1</f>
        <v>45901</v>
      </c>
      <c r="L125" s="194">
        <f t="shared" ref="L125" si="47">EOMONTH(K125,0)+1</f>
        <v>45931</v>
      </c>
      <c r="M125" s="194">
        <f t="shared" ref="M125" si="48">EOMONTH(L125,0)+1</f>
        <v>45962</v>
      </c>
      <c r="N125" s="194">
        <f t="shared" ref="N125" si="49">EOMONTH(M125,0)+1</f>
        <v>45992</v>
      </c>
      <c r="O125" s="194">
        <f t="shared" ref="O125" si="50">EOMONTH(N125,0)+1</f>
        <v>46023</v>
      </c>
      <c r="P125" s="194">
        <f t="shared" ref="P125" si="51">EOMONTH(O125,0)+1</f>
        <v>46054</v>
      </c>
      <c r="Q125" s="194">
        <f t="shared" ref="Q125" si="52">EOMONTH(P125,0)+1</f>
        <v>46082</v>
      </c>
      <c r="R125" s="194">
        <f t="shared" ref="R125" si="53">EOMONTH(Q125,0)+1</f>
        <v>46113</v>
      </c>
      <c r="S125" s="194">
        <f t="shared" ref="S125" si="54">EOMONTH(R125,0)+1</f>
        <v>46143</v>
      </c>
      <c r="T125" s="194">
        <f t="shared" ref="T125" si="55">EOMONTH(S125,0)+1</f>
        <v>46174</v>
      </c>
      <c r="U125" s="194">
        <f t="shared" ref="U125" si="56">EOMONTH(T125,0)+1</f>
        <v>46204</v>
      </c>
      <c r="V125" s="194">
        <f t="shared" ref="V125" si="57">EOMONTH(U125,0)+1</f>
        <v>46235</v>
      </c>
      <c r="W125" s="194">
        <f t="shared" ref="W125" si="58">EOMONTH(V125,0)+1</f>
        <v>46266</v>
      </c>
    </row>
    <row r="126" spans="2:23">
      <c r="B126" s="275" t="s">
        <v>1557</v>
      </c>
      <c r="C126" s="53">
        <f>+'Client Retention'!J47</f>
        <v>2</v>
      </c>
      <c r="D126" s="53">
        <f>+'Client Retention'!K47</f>
        <v>0</v>
      </c>
      <c r="E126" s="53">
        <f>+'Client Retention'!L47</f>
        <v>0</v>
      </c>
      <c r="F126" s="53">
        <f>+'Client Retention'!M47</f>
        <v>1</v>
      </c>
      <c r="G126" s="53">
        <f>+'Client Retention'!N47</f>
        <v>2</v>
      </c>
      <c r="H126" s="53">
        <f>+'Client Retention'!O47</f>
        <v>2</v>
      </c>
      <c r="I126" s="53">
        <f>+'Client Retention'!P47</f>
        <v>1</v>
      </c>
      <c r="J126" s="53">
        <f>+'Client Retention'!Q47</f>
        <v>2</v>
      </c>
      <c r="K126" s="53">
        <f>+'Client Retention'!R47</f>
        <v>0</v>
      </c>
      <c r="L126" s="53">
        <f>+'Client Retention'!S47</f>
        <v>1</v>
      </c>
      <c r="M126" s="53">
        <f>+'Client Retention'!T47</f>
        <v>1</v>
      </c>
      <c r="N126" s="53">
        <f>+'Client Retention'!U47</f>
        <v>3</v>
      </c>
      <c r="O126" s="53">
        <f>+'Client Retention'!V47</f>
        <v>3</v>
      </c>
      <c r="P126" s="53">
        <f>+'Client Retention'!W47</f>
        <v>3</v>
      </c>
      <c r="Q126" s="53">
        <f>+'Client Retention'!X47</f>
        <v>1</v>
      </c>
      <c r="R126" s="53">
        <f>+'Client Retention'!Y47</f>
        <v>2</v>
      </c>
      <c r="S126" s="53">
        <f>+'Client Retention'!Z47</f>
        <v>0</v>
      </c>
      <c r="T126" s="53">
        <f>+'Client Retention'!AA47</f>
        <v>0</v>
      </c>
      <c r="U126" s="53">
        <f>+'Client Retention'!AB47</f>
        <v>1</v>
      </c>
      <c r="V126" s="53">
        <f>+'Client Retention'!AC47</f>
        <v>0</v>
      </c>
      <c r="W126" s="53">
        <f>+'Client Retention'!AD47</f>
        <v>0</v>
      </c>
    </row>
    <row r="127" spans="2:23">
      <c r="B127" s="275" t="s">
        <v>1561</v>
      </c>
      <c r="C127" s="53">
        <f>-'Client Retention'!J51</f>
        <v>0</v>
      </c>
      <c r="D127" s="53">
        <f>-'Client Retention'!K51</f>
        <v>0</v>
      </c>
      <c r="E127" s="53">
        <f>-'Client Retention'!L51</f>
        <v>0</v>
      </c>
      <c r="F127" s="53">
        <f>-'Client Retention'!M51</f>
        <v>0</v>
      </c>
      <c r="G127" s="53">
        <f>-'Client Retention'!N51</f>
        <v>0</v>
      </c>
      <c r="H127" s="53">
        <f>-'Client Retention'!O51</f>
        <v>0</v>
      </c>
      <c r="I127" s="53">
        <f>-'Client Retention'!P51</f>
        <v>0</v>
      </c>
      <c r="J127" s="53">
        <f>-'Client Retention'!Q51</f>
        <v>0</v>
      </c>
      <c r="K127" s="53">
        <f>-'Client Retention'!R51</f>
        <v>0</v>
      </c>
      <c r="L127" s="53">
        <f>-'Client Retention'!S51</f>
        <v>0</v>
      </c>
      <c r="M127" s="53">
        <f>-'Client Retention'!T51</f>
        <v>0</v>
      </c>
      <c r="N127" s="53">
        <f>-'Client Retention'!U51</f>
        <v>0</v>
      </c>
      <c r="O127" s="53">
        <f>-'Client Retention'!V51</f>
        <v>0</v>
      </c>
      <c r="P127" s="53">
        <f>-'Client Retention'!W51</f>
        <v>0</v>
      </c>
      <c r="Q127" s="53">
        <f>-'Client Retention'!X51</f>
        <v>1</v>
      </c>
      <c r="R127" s="53">
        <f>-'Client Retention'!Y51</f>
        <v>1</v>
      </c>
      <c r="S127" s="53">
        <f>-'Client Retention'!Z51</f>
        <v>7</v>
      </c>
      <c r="T127" s="53">
        <f>-'Client Retention'!AA51</f>
        <v>1</v>
      </c>
      <c r="U127" s="53">
        <f>-'Client Retention'!AB51</f>
        <v>0</v>
      </c>
      <c r="V127" s="53">
        <f>-'Client Retention'!AC51</f>
        <v>0</v>
      </c>
      <c r="W127" s="53">
        <f>-'Client Retention'!AD51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>
      <selection activeCell="B6" sqref="B6"/>
    </sheetView>
  </sheetViews>
  <sheetFormatPr defaultRowHeight="12"/>
  <cols>
    <col min="1" max="1" width="1.7109375" style="173" customWidth="1"/>
    <col min="2" max="2" width="9.140625" style="173"/>
    <col min="3" max="3" width="11.28515625" style="173" customWidth="1"/>
    <col min="4" max="5" width="23.140625" style="173" bestFit="1" customWidth="1"/>
    <col min="6" max="6" width="9.140625" style="173"/>
    <col min="7" max="7" width="9.28515625" style="173" customWidth="1"/>
    <col min="8" max="8" width="12.28515625" style="173" bestFit="1" customWidth="1"/>
    <col min="9" max="10" width="9.140625" style="173"/>
    <col min="11" max="11" width="10.5703125" style="173" bestFit="1" customWidth="1"/>
    <col min="12" max="16384" width="9.140625" style="173"/>
  </cols>
  <sheetData>
    <row r="2" spans="2:39" ht="16.5">
      <c r="B2" s="37" t="str">
        <f>+'Tech Stack'!B2</f>
        <v>Keystone Bookkeepers</v>
      </c>
    </row>
    <row r="3" spans="2:39">
      <c r="B3" s="38" t="s">
        <v>1300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</row>
    <row r="5" spans="2:39">
      <c r="B5" s="203"/>
      <c r="C5" s="203"/>
      <c r="D5" s="74" t="s">
        <v>1190</v>
      </c>
      <c r="E5" s="205"/>
      <c r="F5" s="206"/>
      <c r="G5" s="203"/>
      <c r="H5" s="258"/>
      <c r="I5" s="74" t="s">
        <v>1318</v>
      </c>
      <c r="J5" s="205"/>
      <c r="K5" s="74" t="s">
        <v>1317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8" t="s">
        <v>471</v>
      </c>
      <c r="C6" s="204" t="s">
        <v>116</v>
      </c>
      <c r="D6" s="191" t="s">
        <v>1304</v>
      </c>
      <c r="E6" s="204" t="s">
        <v>1305</v>
      </c>
      <c r="F6" s="207" t="s">
        <v>1312</v>
      </c>
      <c r="G6" s="204" t="s">
        <v>1327</v>
      </c>
      <c r="H6" s="204" t="s">
        <v>1298</v>
      </c>
      <c r="I6" s="191" t="s">
        <v>1319</v>
      </c>
      <c r="J6" s="204" t="s">
        <v>1320</v>
      </c>
      <c r="K6" s="190">
        <v>45658</v>
      </c>
      <c r="L6" s="190">
        <f>EOMONTH(K6,0)+1</f>
        <v>45689</v>
      </c>
      <c r="M6" s="190">
        <f t="shared" ref="M6:AC6" si="0">EOMONTH(L6,0)+1</f>
        <v>45717</v>
      </c>
      <c r="N6" s="190">
        <f t="shared" si="0"/>
        <v>45748</v>
      </c>
      <c r="O6" s="190">
        <f t="shared" si="0"/>
        <v>45778</v>
      </c>
      <c r="P6" s="190">
        <f t="shared" si="0"/>
        <v>45809</v>
      </c>
      <c r="Q6" s="190">
        <f t="shared" si="0"/>
        <v>45839</v>
      </c>
      <c r="R6" s="190">
        <f t="shared" si="0"/>
        <v>45870</v>
      </c>
      <c r="S6" s="190">
        <f t="shared" si="0"/>
        <v>45901</v>
      </c>
      <c r="T6" s="190">
        <f t="shared" si="0"/>
        <v>45931</v>
      </c>
      <c r="U6" s="190">
        <f t="shared" si="0"/>
        <v>45962</v>
      </c>
      <c r="V6" s="190">
        <f t="shared" si="0"/>
        <v>45992</v>
      </c>
      <c r="W6" s="190">
        <f t="shared" si="0"/>
        <v>46023</v>
      </c>
      <c r="X6" s="190">
        <f t="shared" si="0"/>
        <v>46054</v>
      </c>
      <c r="Y6" s="190">
        <f t="shared" si="0"/>
        <v>46082</v>
      </c>
      <c r="Z6" s="190">
        <f t="shared" si="0"/>
        <v>46113</v>
      </c>
      <c r="AA6" s="190">
        <f t="shared" si="0"/>
        <v>46143</v>
      </c>
      <c r="AB6" s="190">
        <f t="shared" si="0"/>
        <v>46174</v>
      </c>
      <c r="AC6" s="190">
        <f t="shared" si="0"/>
        <v>46204</v>
      </c>
    </row>
    <row r="7" spans="2:39" ht="12" customHeight="1">
      <c r="B7" s="173" t="s">
        <v>501</v>
      </c>
      <c r="C7" s="173" t="str">
        <f>INDEX('Customer List'!$B:$B,MATCH('Full Customer List'!$B7,'Customer List'!$A:$A,0))</f>
        <v>Active</v>
      </c>
      <c r="D7" s="173" t="str">
        <f>INDEX('Customer List'!$C:$C,MATCH('Full Customer List'!$B7,'Customer List'!$A:$A,0))</f>
        <v>Property manager</v>
      </c>
      <c r="E7" s="173" t="str">
        <f>INDEX('Customer List Mapping'!$C:$C,MATCH('Full Customer List'!D7,'Customer List Mapping'!$B:$B,0))</f>
        <v>Property Manager</v>
      </c>
      <c r="F7" s="192">
        <f>INDEX('Customer List'!$K:$K,MATCH('Full Customer List'!$B7,'Customer List'!$A:$A,0))</f>
        <v>206</v>
      </c>
      <c r="G7" s="257">
        <f>INDEX('Revenue by Customer'!$I:$I,MATCH('Full Customer List'!$B7,'Revenue by Customer'!$A:$A,0))</f>
        <v>9193.0300000000007</v>
      </c>
      <c r="H7" s="257" t="str">
        <f>IFERROR(IF(C7="Active","",INDEX('Client Departures'!$G:$G,MATCH('Full Customer List'!$B7,'Client Departures'!$A:$A,0))),"Unclassified")</f>
        <v/>
      </c>
      <c r="I7" s="196">
        <v>45597</v>
      </c>
      <c r="J7" s="196"/>
      <c r="K7" s="192">
        <f>INDEX('Revenue by Customer'!K:K,MATCH('Full Customer List'!$B7,'Revenue by Customer'!$A:$A,0))</f>
        <v>4290</v>
      </c>
      <c r="L7" s="192">
        <f>INDEX('Revenue by Customer'!L:L,MATCH('Full Customer List'!$B7,'Revenue by Customer'!$A:$A,0))</f>
        <v>6665</v>
      </c>
      <c r="M7" s="192">
        <f>INDEX('Revenue by Customer'!M:M,MATCH('Full Customer List'!$B7,'Revenue by Customer'!$A:$A,0))</f>
        <v>15</v>
      </c>
      <c r="N7" s="192">
        <f>INDEX('Revenue by Customer'!N:N,MATCH('Full Customer List'!$B7,'Revenue by Customer'!$A:$A,0))</f>
        <v>4840</v>
      </c>
      <c r="O7" s="192">
        <f>INDEX('Revenue by Customer'!O:O,MATCH('Full Customer List'!$B7,'Revenue by Customer'!$A:$A,0))</f>
        <v>4810</v>
      </c>
      <c r="P7" s="192">
        <f>INDEX('Revenue by Customer'!P:P,MATCH('Full Customer List'!$B7,'Revenue by Customer'!$A:$A,0))</f>
        <v>4840</v>
      </c>
      <c r="Q7" s="192">
        <f>INDEX('Revenue by Customer'!Q:Q,MATCH('Full Customer List'!$B7,'Revenue by Customer'!$A:$A,0))</f>
        <v>5030</v>
      </c>
      <c r="R7" s="192">
        <f>INDEX('Revenue by Customer'!R:R,MATCH('Full Customer List'!$B7,'Revenue by Customer'!$A:$A,0))</f>
        <v>5120</v>
      </c>
      <c r="S7" s="192">
        <f>INDEX('Revenue by Customer'!S:S,MATCH('Full Customer List'!$B7,'Revenue by Customer'!$A:$A,0))</f>
        <v>6282.5</v>
      </c>
      <c r="T7" s="192">
        <f>INDEX('Revenue by Customer'!T:T,MATCH('Full Customer List'!$B7,'Revenue by Customer'!$A:$A,0))</f>
        <v>5310</v>
      </c>
      <c r="U7" s="192">
        <f>INDEX('Revenue by Customer'!U:U,MATCH('Full Customer List'!$B7,'Revenue by Customer'!$A:$A,0))</f>
        <v>6845</v>
      </c>
      <c r="V7" s="192">
        <f>INDEX('Revenue by Customer'!V:V,MATCH('Full Customer List'!$B7,'Revenue by Customer'!$A:$A,0))</f>
        <v>7910</v>
      </c>
      <c r="W7" s="192">
        <f>INDEX('Revenue by Customer'!W:W,MATCH('Full Customer List'!$B7,'Revenue by Customer'!$A:$A,0))</f>
        <v>8715</v>
      </c>
      <c r="X7" s="192">
        <f>INDEX('Revenue by Customer'!X:X,MATCH('Full Customer List'!$B7,'Revenue by Customer'!$A:$A,0))</f>
        <v>11895</v>
      </c>
      <c r="Y7" s="192">
        <f>INDEX('Revenue by Customer'!Y:Y,MATCH('Full Customer List'!$B7,'Revenue by Customer'!$A:$A,0))</f>
        <v>8670</v>
      </c>
      <c r="Z7" s="192">
        <f>INDEX('Revenue by Customer'!Z:Z,MATCH('Full Customer List'!$B7,'Revenue by Customer'!$A:$A,0))</f>
        <v>9380</v>
      </c>
      <c r="AA7" s="192">
        <f>INDEX('Revenue by Customer'!AA:AA,MATCH('Full Customer List'!$B7,'Revenue by Customer'!$A:$A,0))</f>
        <v>8829.09</v>
      </c>
      <c r="AB7" s="192">
        <f>INDEX('Revenue by Customer'!AB:AB,MATCH('Full Customer List'!$B7,'Revenue by Customer'!$A:$A,0))</f>
        <v>9260</v>
      </c>
      <c r="AC7" s="192">
        <f>INDEX('Revenue by Customer'!AC:AC,MATCH('Full Customer List'!$B7,'Revenue by Customer'!$A:$A,0))</f>
        <v>9490</v>
      </c>
    </row>
    <row r="8" spans="2:39" ht="12" customHeight="1">
      <c r="B8" s="173" t="s">
        <v>517</v>
      </c>
      <c r="C8" s="173" t="str">
        <f>INDEX('Customer List'!$B:$B,MATCH('Full Customer List'!$B8,'Customer List'!$A:$A,0))</f>
        <v>Active</v>
      </c>
      <c r="D8" s="173" t="str">
        <f>INDEX('Customer List'!$C:$C,MATCH('Full Customer List'!$B8,'Customer List'!$A:$A,0))</f>
        <v>Property manager</v>
      </c>
      <c r="E8" s="173" t="str">
        <f>INDEX('Customer List Mapping'!$C:$C,MATCH('Full Customer List'!D8,'Customer List Mapping'!$B:$B,0))</f>
        <v>Property Manager</v>
      </c>
      <c r="F8" s="192">
        <f>INDEX('Customer List'!$K:$K,MATCH('Full Customer List'!$B8,'Customer List'!$A:$A,0))</f>
        <v>163</v>
      </c>
      <c r="G8" s="192">
        <f>INDEX('Revenue by Customer'!$I:$I,MATCH('Full Customer List'!$B8,'Revenue by Customer'!$A:$A,0))</f>
        <v>8686</v>
      </c>
      <c r="H8" s="257" t="str">
        <f>IFERROR(IF(C8="Active","",INDEX('Client Departures'!$G:$G,MATCH('Full Customer List'!$B8,'Client Departures'!$A:$A,0))),"Unclassified")</f>
        <v/>
      </c>
      <c r="I8" s="196">
        <v>45931</v>
      </c>
      <c r="J8" s="196"/>
      <c r="K8" s="192" t="str">
        <f>INDEX('Revenue by Customer'!K:K,MATCH('Full Customer List'!$B8,'Revenue by Customer'!$A:$A,0))</f>
        <v/>
      </c>
      <c r="L8" s="192" t="str">
        <f>INDEX('Revenue by Customer'!L:L,MATCH('Full Customer List'!$B8,'Revenue by Customer'!$A:$A,0))</f>
        <v/>
      </c>
      <c r="M8" s="192" t="str">
        <f>INDEX('Revenue by Customer'!M:M,MATCH('Full Customer List'!$B8,'Revenue by Customer'!$A:$A,0))</f>
        <v/>
      </c>
      <c r="N8" s="192" t="str">
        <f>INDEX('Revenue by Customer'!N:N,MATCH('Full Customer List'!$B8,'Revenue by Customer'!$A:$A,0))</f>
        <v/>
      </c>
      <c r="O8" s="192" t="str">
        <f>INDEX('Revenue by Customer'!O:O,MATCH('Full Customer List'!$B8,'Revenue by Customer'!$A:$A,0))</f>
        <v/>
      </c>
      <c r="P8" s="192" t="str">
        <f>INDEX('Revenue by Customer'!P:P,MATCH('Full Customer List'!$B8,'Revenue by Customer'!$A:$A,0))</f>
        <v/>
      </c>
      <c r="Q8" s="192" t="str">
        <f>INDEX('Revenue by Customer'!Q:Q,MATCH('Full Customer List'!$B8,'Revenue by Customer'!$A:$A,0))</f>
        <v/>
      </c>
      <c r="R8" s="192" t="str">
        <f>INDEX('Revenue by Customer'!R:R,MATCH('Full Customer List'!$B8,'Revenue by Customer'!$A:$A,0))</f>
        <v/>
      </c>
      <c r="S8" s="192" t="str">
        <f>INDEX('Revenue by Customer'!S:S,MATCH('Full Customer List'!$B8,'Revenue by Customer'!$A:$A,0))</f>
        <v/>
      </c>
      <c r="T8" s="192">
        <f>INDEX('Revenue by Customer'!T:T,MATCH('Full Customer List'!$B8,'Revenue by Customer'!$A:$A,0))</f>
        <v>7884</v>
      </c>
      <c r="U8" s="192">
        <f>INDEX('Revenue by Customer'!U:U,MATCH('Full Customer List'!$B8,'Revenue by Customer'!$A:$A,0))</f>
        <v>7301</v>
      </c>
      <c r="V8" s="192">
        <f>INDEX('Revenue by Customer'!V:V,MATCH('Full Customer List'!$B8,'Revenue by Customer'!$A:$A,0))</f>
        <v>9160</v>
      </c>
      <c r="W8" s="192">
        <f>INDEX('Revenue by Customer'!W:W,MATCH('Full Customer List'!$B8,'Revenue by Customer'!$A:$A,0))</f>
        <v>6887</v>
      </c>
      <c r="X8" s="192">
        <f>INDEX('Revenue by Customer'!X:X,MATCH('Full Customer List'!$B8,'Revenue by Customer'!$A:$A,0))</f>
        <v>11121</v>
      </c>
      <c r="Y8" s="192">
        <f>INDEX('Revenue by Customer'!Y:Y,MATCH('Full Customer List'!$B8,'Revenue by Customer'!$A:$A,0))</f>
        <v>8269</v>
      </c>
      <c r="Z8" s="192">
        <f>INDEX('Revenue by Customer'!Z:Z,MATCH('Full Customer List'!$B8,'Revenue by Customer'!$A:$A,0))</f>
        <v>8209</v>
      </c>
      <c r="AA8" s="192">
        <f>INDEX('Revenue by Customer'!AA:AA,MATCH('Full Customer List'!$B8,'Revenue by Customer'!$A:$A,0))</f>
        <v>8633</v>
      </c>
      <c r="AB8" s="192">
        <f>INDEX('Revenue by Customer'!AB:AB,MATCH('Full Customer List'!$B8,'Revenue by Customer'!$A:$A,0))</f>
        <v>8633</v>
      </c>
      <c r="AC8" s="192">
        <f>INDEX('Revenue by Customer'!AC:AC,MATCH('Full Customer List'!$B8,'Revenue by Customer'!$A:$A,0))</f>
        <v>8792</v>
      </c>
    </row>
    <row r="9" spans="2:39" ht="12" customHeight="1">
      <c r="B9" s="173" t="s">
        <v>524</v>
      </c>
      <c r="C9" s="173" t="str">
        <f>INDEX('Customer List'!$B:$B,MATCH('Full Customer List'!$B9,'Customer List'!$A:$A,0))</f>
        <v>Active</v>
      </c>
      <c r="D9" s="173" t="str">
        <f>INDEX('Customer List'!$C:$C,MATCH('Full Customer List'!$B9,'Customer List'!$A:$A,0))</f>
        <v>Property manager</v>
      </c>
      <c r="E9" s="173" t="str">
        <f>INDEX('Customer List Mapping'!$C:$C,MATCH('Full Customer List'!D9,'Customer List Mapping'!$B:$B,0))</f>
        <v>Property Manager</v>
      </c>
      <c r="F9" s="192">
        <f>INDEX('Customer List'!$K:$K,MATCH('Full Customer List'!$B9,'Customer List'!$A:$A,0))</f>
        <v>85</v>
      </c>
      <c r="G9" s="192">
        <f>INDEX('Revenue by Customer'!$I:$I,MATCH('Full Customer List'!$B9,'Revenue by Customer'!$A:$A,0))</f>
        <v>3750</v>
      </c>
      <c r="H9" s="257" t="str">
        <f>IFERROR(IF(C9="Active","",INDEX('Client Departures'!$G:$G,MATCH('Full Customer List'!$B9,'Client Departures'!$A:$A,0))),"Unclassified")</f>
        <v/>
      </c>
      <c r="I9" s="196">
        <v>44531</v>
      </c>
      <c r="J9" s="196"/>
      <c r="K9" s="192">
        <f>INDEX('Revenue by Customer'!K:K,MATCH('Full Customer List'!$B9,'Revenue by Customer'!$A:$A,0))</f>
        <v>4835</v>
      </c>
      <c r="L9" s="192">
        <f>INDEX('Revenue by Customer'!L:L,MATCH('Full Customer List'!$B9,'Revenue by Customer'!$A:$A,0))</f>
        <v>3850</v>
      </c>
      <c r="M9" s="192">
        <f>INDEX('Revenue by Customer'!M:M,MATCH('Full Customer List'!$B9,'Revenue by Customer'!$A:$A,0))</f>
        <v>4200</v>
      </c>
      <c r="N9" s="192">
        <f>INDEX('Revenue by Customer'!N:N,MATCH('Full Customer List'!$B9,'Revenue by Customer'!$A:$A,0))</f>
        <v>4400</v>
      </c>
      <c r="O9" s="192">
        <f>INDEX('Revenue by Customer'!O:O,MATCH('Full Customer List'!$B9,'Revenue by Customer'!$A:$A,0))</f>
        <v>4450</v>
      </c>
      <c r="P9" s="192">
        <f>INDEX('Revenue by Customer'!P:P,MATCH('Full Customer List'!$B9,'Revenue by Customer'!$A:$A,0))</f>
        <v>4850</v>
      </c>
      <c r="Q9" s="192">
        <f>INDEX('Revenue by Customer'!Q:Q,MATCH('Full Customer List'!$B9,'Revenue by Customer'!$A:$A,0))</f>
        <v>4800</v>
      </c>
      <c r="R9" s="192">
        <f>INDEX('Revenue by Customer'!R:R,MATCH('Full Customer List'!$B9,'Revenue by Customer'!$A:$A,0))</f>
        <v>4900</v>
      </c>
      <c r="S9" s="192">
        <f>INDEX('Revenue by Customer'!S:S,MATCH('Full Customer List'!$B9,'Revenue by Customer'!$A:$A,0))</f>
        <v>4800</v>
      </c>
      <c r="T9" s="192">
        <f>INDEX('Revenue by Customer'!T:T,MATCH('Full Customer List'!$B9,'Revenue by Customer'!$A:$A,0))</f>
        <v>4600</v>
      </c>
      <c r="U9" s="192">
        <f>INDEX('Revenue by Customer'!U:U,MATCH('Full Customer List'!$B9,'Revenue by Customer'!$A:$A,0))</f>
        <v>4500</v>
      </c>
      <c r="V9" s="192">
        <f>INDEX('Revenue by Customer'!V:V,MATCH('Full Customer List'!$B9,'Revenue by Customer'!$A:$A,0))</f>
        <v>4350</v>
      </c>
      <c r="W9" s="192">
        <f>INDEX('Revenue by Customer'!W:W,MATCH('Full Customer List'!$B9,'Revenue by Customer'!$A:$A,0))</f>
        <v>3470</v>
      </c>
      <c r="X9" s="192">
        <f>INDEX('Revenue by Customer'!X:X,MATCH('Full Customer List'!$B9,'Revenue by Customer'!$A:$A,0))</f>
        <v>5120</v>
      </c>
      <c r="Y9" s="192">
        <f>INDEX('Revenue by Customer'!Y:Y,MATCH('Full Customer List'!$B9,'Revenue by Customer'!$A:$A,0))</f>
        <v>3680</v>
      </c>
      <c r="Z9" s="192">
        <f>INDEX('Revenue by Customer'!Z:Z,MATCH('Full Customer List'!$B9,'Revenue by Customer'!$A:$A,0))</f>
        <v>3722</v>
      </c>
      <c r="AA9" s="192">
        <f>INDEX('Revenue by Customer'!AA:AA,MATCH('Full Customer List'!$B9,'Revenue by Customer'!$A:$A,0))</f>
        <v>3722</v>
      </c>
      <c r="AB9" s="192">
        <f>INDEX('Revenue by Customer'!AB:AB,MATCH('Full Customer List'!$B9,'Revenue by Customer'!$A:$A,0))</f>
        <v>3638</v>
      </c>
      <c r="AC9" s="192">
        <f>INDEX('Revenue by Customer'!AC:AC,MATCH('Full Customer List'!$B9,'Revenue by Customer'!$A:$A,0))</f>
        <v>3890</v>
      </c>
    </row>
    <row r="10" spans="2:39" ht="12" customHeight="1">
      <c r="B10" s="173" t="s">
        <v>529</v>
      </c>
      <c r="C10" s="173" t="str">
        <f>INDEX('Customer List'!$B:$B,MATCH('Full Customer List'!$B10,'Customer List'!$A:$A,0))</f>
        <v>Active</v>
      </c>
      <c r="D10" s="173" t="str">
        <f>INDEX('Customer List'!$C:$C,MATCH('Full Customer List'!$B10,'Customer List'!$A:$A,0))</f>
        <v>Property manager</v>
      </c>
      <c r="E10" s="173" t="str">
        <f>INDEX('Customer List Mapping'!$C:$C,MATCH('Full Customer List'!D10,'Customer List Mapping'!$B:$B,0))</f>
        <v>Property Manager</v>
      </c>
      <c r="F10" s="192">
        <f>INDEX('Customer List'!$K:$K,MATCH('Full Customer List'!$B10,'Customer List'!$A:$A,0))</f>
        <v>99</v>
      </c>
      <c r="G10" s="192">
        <f>INDEX('Revenue by Customer'!$I:$I,MATCH('Full Customer List'!$B10,'Revenue by Customer'!$A:$A,0))</f>
        <v>3773</v>
      </c>
      <c r="H10" s="257" t="str">
        <f>IFERROR(IF(C10="Active","",INDEX('Client Departures'!$G:$G,MATCH('Full Customer List'!$B10,'Client Departures'!$A:$A,0))),"Unclassified")</f>
        <v/>
      </c>
      <c r="I10" s="196">
        <v>45717</v>
      </c>
      <c r="J10" s="196"/>
      <c r="K10" s="192" t="str">
        <f>INDEX('Revenue by Customer'!K:K,MATCH('Full Customer List'!$B10,'Revenue by Customer'!$A:$A,0))</f>
        <v/>
      </c>
      <c r="L10" s="192" t="str">
        <f>INDEX('Revenue by Customer'!L:L,MATCH('Full Customer List'!$B10,'Revenue by Customer'!$A:$A,0))</f>
        <v/>
      </c>
      <c r="M10" s="192">
        <f>INDEX('Revenue by Customer'!M:M,MATCH('Full Customer List'!$B10,'Revenue by Customer'!$A:$A,0))</f>
        <v>6672</v>
      </c>
      <c r="N10" s="192">
        <f>INDEX('Revenue by Customer'!N:N,MATCH('Full Customer List'!$B10,'Revenue by Customer'!$A:$A,0))</f>
        <v>3572</v>
      </c>
      <c r="O10" s="192">
        <f>INDEX('Revenue by Customer'!O:O,MATCH('Full Customer List'!$B10,'Revenue by Customer'!$A:$A,0))</f>
        <v>6728</v>
      </c>
      <c r="P10" s="192">
        <f>INDEX('Revenue by Customer'!P:P,MATCH('Full Customer List'!$B10,'Revenue by Customer'!$A:$A,0))</f>
        <v>3684</v>
      </c>
      <c r="Q10" s="192">
        <f>INDEX('Revenue by Customer'!Q:Q,MATCH('Full Customer List'!$B10,'Revenue by Customer'!$A:$A,0))</f>
        <v>3796</v>
      </c>
      <c r="R10" s="192">
        <f>INDEX('Revenue by Customer'!R:R,MATCH('Full Customer List'!$B10,'Revenue by Customer'!$A:$A,0))</f>
        <v>3852</v>
      </c>
      <c r="S10" s="192">
        <f>INDEX('Revenue by Customer'!S:S,MATCH('Full Customer List'!$B10,'Revenue by Customer'!$A:$A,0))</f>
        <v>3908</v>
      </c>
      <c r="T10" s="192">
        <f>INDEX('Revenue by Customer'!T:T,MATCH('Full Customer List'!$B10,'Revenue by Customer'!$A:$A,0))</f>
        <v>4188</v>
      </c>
      <c r="U10" s="192">
        <f>INDEX('Revenue by Customer'!U:U,MATCH('Full Customer List'!$B10,'Revenue by Customer'!$A:$A,0))</f>
        <v>4132</v>
      </c>
      <c r="V10" s="192">
        <f>INDEX('Revenue by Customer'!V:V,MATCH('Full Customer List'!$B10,'Revenue by Customer'!$A:$A,0))</f>
        <v>4412</v>
      </c>
      <c r="W10" s="192">
        <f>INDEX('Revenue by Customer'!W:W,MATCH('Full Customer List'!$B10,'Revenue by Customer'!$A:$A,0))</f>
        <v>4636</v>
      </c>
      <c r="X10" s="192">
        <f>INDEX('Revenue by Customer'!X:X,MATCH('Full Customer List'!$B10,'Revenue by Customer'!$A:$A,0))</f>
        <v>5891</v>
      </c>
      <c r="Y10" s="192">
        <f>INDEX('Revenue by Customer'!Y:Y,MATCH('Full Customer List'!$B10,'Revenue by Customer'!$A:$A,0))</f>
        <v>3381</v>
      </c>
      <c r="Z10" s="192">
        <f>INDEX('Revenue by Customer'!Z:Z,MATCH('Full Customer List'!$B10,'Revenue by Customer'!$A:$A,0))</f>
        <v>3625</v>
      </c>
      <c r="AA10" s="192">
        <f>INDEX('Revenue by Customer'!AA:AA,MATCH('Full Customer List'!$B10,'Revenue by Customer'!$A:$A,0))</f>
        <v>3736</v>
      </c>
      <c r="AB10" s="192">
        <f>INDEX('Revenue by Customer'!AB:AB,MATCH('Full Customer List'!$B10,'Revenue by Customer'!$A:$A,0))</f>
        <v>3736</v>
      </c>
      <c r="AC10" s="192">
        <f>INDEX('Revenue by Customer'!AC:AC,MATCH('Full Customer List'!$B10,'Revenue by Customer'!$A:$A,0))</f>
        <v>3847</v>
      </c>
    </row>
    <row r="11" spans="2:39" ht="12" customHeight="1">
      <c r="B11" s="173" t="s">
        <v>533</v>
      </c>
      <c r="C11" s="173" t="str">
        <f>INDEX('Customer List'!$B:$B,MATCH('Full Customer List'!$B11,'Customer List'!$A:$A,0))</f>
        <v>Active</v>
      </c>
      <c r="D11" s="173" t="str">
        <f>INDEX('Customer List'!$C:$C,MATCH('Full Customer List'!$B11,'Customer List'!$A:$A,0))</f>
        <v>Property manager</v>
      </c>
      <c r="E11" s="173" t="str">
        <f>INDEX('Customer List Mapping'!$C:$C,MATCH('Full Customer List'!D11,'Customer List Mapping'!$B:$B,0))</f>
        <v>Property Manager</v>
      </c>
      <c r="F11" s="192">
        <f>INDEX('Customer List'!$K:$K,MATCH('Full Customer List'!$B11,'Customer List'!$A:$A,0))</f>
        <v>73</v>
      </c>
      <c r="G11" s="192">
        <f>INDEX('Revenue by Customer'!$I:$I,MATCH('Full Customer List'!$B11,'Revenue by Customer'!$A:$A,0))</f>
        <v>3651</v>
      </c>
      <c r="H11" s="257" t="str">
        <f>IFERROR(IF(C11="Active","",INDEX('Client Departures'!$G:$G,MATCH('Full Customer List'!$B11,'Client Departures'!$A:$A,0))),"Unclassified")</f>
        <v/>
      </c>
      <c r="I11" s="196">
        <v>44713</v>
      </c>
      <c r="J11" s="196"/>
      <c r="K11" s="192">
        <f>INDEX('Revenue by Customer'!K:K,MATCH('Full Customer List'!$B11,'Revenue by Customer'!$A:$A,0))</f>
        <v>4020</v>
      </c>
      <c r="L11" s="192">
        <f>INDEX('Revenue by Customer'!L:L,MATCH('Full Customer List'!$B11,'Revenue by Customer'!$A:$A,0))</f>
        <v>3060</v>
      </c>
      <c r="M11" s="192">
        <f>INDEX('Revenue by Customer'!M:M,MATCH('Full Customer List'!$B11,'Revenue by Customer'!$A:$A,0))</f>
        <v>3240</v>
      </c>
      <c r="N11" s="192">
        <f>INDEX('Revenue by Customer'!N:N,MATCH('Full Customer List'!$B11,'Revenue by Customer'!$A:$A,0))</f>
        <v>3120</v>
      </c>
      <c r="O11" s="192">
        <f>INDEX('Revenue by Customer'!O:O,MATCH('Full Customer List'!$B11,'Revenue by Customer'!$A:$A,0))</f>
        <v>3240</v>
      </c>
      <c r="P11" s="192">
        <f>INDEX('Revenue by Customer'!P:P,MATCH('Full Customer List'!$B11,'Revenue by Customer'!$A:$A,0))</f>
        <v>3120</v>
      </c>
      <c r="Q11" s="192">
        <f>INDEX('Revenue by Customer'!Q:Q,MATCH('Full Customer List'!$B11,'Revenue by Customer'!$A:$A,0))</f>
        <v>3480</v>
      </c>
      <c r="R11" s="192">
        <f>INDEX('Revenue by Customer'!R:R,MATCH('Full Customer List'!$B11,'Revenue by Customer'!$A:$A,0))</f>
        <v>3480</v>
      </c>
      <c r="S11" s="192">
        <f>INDEX('Revenue by Customer'!S:S,MATCH('Full Customer List'!$B11,'Revenue by Customer'!$A:$A,0))</f>
        <v>3780</v>
      </c>
      <c r="T11" s="192">
        <f>INDEX('Revenue by Customer'!T:T,MATCH('Full Customer List'!$B11,'Revenue by Customer'!$A:$A,0))</f>
        <v>3840</v>
      </c>
      <c r="U11" s="192">
        <f>INDEX('Revenue by Customer'!U:U,MATCH('Full Customer List'!$B11,'Revenue by Customer'!$A:$A,0))</f>
        <v>3900</v>
      </c>
      <c r="V11" s="192">
        <f>INDEX('Revenue by Customer'!V:V,MATCH('Full Customer List'!$B11,'Revenue by Customer'!$A:$A,0))</f>
        <v>4020</v>
      </c>
      <c r="W11" s="192">
        <f>INDEX('Revenue by Customer'!W:W,MATCH('Full Customer List'!$B11,'Revenue by Customer'!$A:$A,0))</f>
        <v>4020</v>
      </c>
      <c r="X11" s="192">
        <f>INDEX('Revenue by Customer'!X:X,MATCH('Full Customer List'!$B11,'Revenue by Customer'!$A:$A,0))</f>
        <v>5280</v>
      </c>
      <c r="Y11" s="192">
        <f>INDEX('Revenue by Customer'!Y:Y,MATCH('Full Customer List'!$B11,'Revenue by Customer'!$A:$A,0))</f>
        <v>4155</v>
      </c>
      <c r="Z11" s="192">
        <f>INDEX('Revenue by Customer'!Z:Z,MATCH('Full Customer List'!$B11,'Revenue by Customer'!$A:$A,0))</f>
        <v>3900</v>
      </c>
      <c r="AA11" s="192">
        <f>INDEX('Revenue by Customer'!AA:AA,MATCH('Full Customer List'!$B11,'Revenue by Customer'!$A:$A,0))</f>
        <v>4200</v>
      </c>
      <c r="AB11" s="192">
        <f>INDEX('Revenue by Customer'!AB:AB,MATCH('Full Customer List'!$B11,'Revenue by Customer'!$A:$A,0))</f>
        <v>3400</v>
      </c>
      <c r="AC11" s="192">
        <f>INDEX('Revenue by Customer'!AC:AC,MATCH('Full Customer List'!$B11,'Revenue by Customer'!$A:$A,0))</f>
        <v>3353</v>
      </c>
    </row>
    <row r="12" spans="2:39" ht="12" customHeight="1">
      <c r="B12" s="173" t="s">
        <v>539</v>
      </c>
      <c r="C12" s="173" t="str">
        <f>INDEX('Customer List'!$B:$B,MATCH('Full Customer List'!$B12,'Customer List'!$A:$A,0))</f>
        <v>Active</v>
      </c>
      <c r="D12" s="173" t="str">
        <f>INDEX('Customer List'!$C:$C,MATCH('Full Customer List'!$B12,'Customer List'!$A:$A,0))</f>
        <v>Property manager</v>
      </c>
      <c r="E12" s="173" t="str">
        <f>INDEX('Customer List Mapping'!$C:$C,MATCH('Full Customer List'!D12,'Customer List Mapping'!$B:$B,0))</f>
        <v>Property Manager</v>
      </c>
      <c r="F12" s="192">
        <f>INDEX('Customer List'!$K:$K,MATCH('Full Customer List'!$B12,'Customer List'!$A:$A,0))</f>
        <v>54</v>
      </c>
      <c r="G12" s="192">
        <f>INDEX('Revenue by Customer'!$I:$I,MATCH('Full Customer List'!$B12,'Revenue by Customer'!$A:$A,0))</f>
        <v>3487.3333333333335</v>
      </c>
      <c r="H12" s="257" t="str">
        <f>IFERROR(IF(C12="Active","",INDEX('Client Departures'!$G:$G,MATCH('Full Customer List'!$B12,'Client Departures'!$A:$A,0))),"Unclassified")</f>
        <v/>
      </c>
      <c r="I12" s="196">
        <v>45444</v>
      </c>
      <c r="J12" s="196"/>
      <c r="K12" s="192">
        <f>INDEX('Revenue by Customer'!K:K,MATCH('Full Customer List'!$B12,'Revenue by Customer'!$A:$A,0))</f>
        <v>3221</v>
      </c>
      <c r="L12" s="192">
        <f>INDEX('Revenue by Customer'!L:L,MATCH('Full Customer List'!$B12,'Revenue by Customer'!$A:$A,0))</f>
        <v>3920</v>
      </c>
      <c r="M12" s="192">
        <f>INDEX('Revenue by Customer'!M:M,MATCH('Full Customer List'!$B12,'Revenue by Customer'!$A:$A,0))</f>
        <v>3290</v>
      </c>
      <c r="N12" s="192">
        <f>INDEX('Revenue by Customer'!N:N,MATCH('Full Customer List'!$B12,'Revenue by Customer'!$A:$A,0))</f>
        <v>3384</v>
      </c>
      <c r="O12" s="192">
        <f>INDEX('Revenue by Customer'!O:O,MATCH('Full Customer List'!$B12,'Revenue by Customer'!$A:$A,0))</f>
        <v>3572</v>
      </c>
      <c r="P12" s="192">
        <f>INDEX('Revenue by Customer'!P:P,MATCH('Full Customer List'!$B12,'Revenue by Customer'!$A:$A,0))</f>
        <v>3216</v>
      </c>
      <c r="Q12" s="192">
        <f>INDEX('Revenue by Customer'!Q:Q,MATCH('Full Customer List'!$B12,'Revenue by Customer'!$A:$A,0))</f>
        <v>3298</v>
      </c>
      <c r="R12" s="192">
        <f>INDEX('Revenue by Customer'!R:R,MATCH('Full Customer List'!$B12,'Revenue by Customer'!$A:$A,0))</f>
        <v>3216</v>
      </c>
      <c r="S12" s="192">
        <f>INDEX('Revenue by Customer'!S:S,MATCH('Full Customer List'!$B12,'Revenue by Customer'!$A:$A,0))</f>
        <v>3462</v>
      </c>
      <c r="T12" s="192">
        <f>INDEX('Revenue by Customer'!T:T,MATCH('Full Customer List'!$B12,'Revenue by Customer'!$A:$A,0))</f>
        <v>3626</v>
      </c>
      <c r="U12" s="192">
        <f>INDEX('Revenue by Customer'!U:U,MATCH('Full Customer List'!$B12,'Revenue by Customer'!$A:$A,0))</f>
        <v>4036</v>
      </c>
      <c r="V12" s="192">
        <f>INDEX('Revenue by Customer'!V:V,MATCH('Full Customer List'!$B12,'Revenue by Customer'!$A:$A,0))</f>
        <v>4061</v>
      </c>
      <c r="W12" s="192">
        <f>INDEX('Revenue by Customer'!W:W,MATCH('Full Customer List'!$B12,'Revenue by Customer'!$A:$A,0))</f>
        <v>4036</v>
      </c>
      <c r="X12" s="192">
        <f>INDEX('Revenue by Customer'!X:X,MATCH('Full Customer List'!$B12,'Revenue by Customer'!$A:$A,0))</f>
        <v>4921</v>
      </c>
      <c r="Y12" s="192">
        <f>INDEX('Revenue by Customer'!Y:Y,MATCH('Full Customer List'!$B12,'Revenue by Customer'!$A:$A,0))</f>
        <v>4133</v>
      </c>
      <c r="Z12" s="192">
        <f>INDEX('Revenue by Customer'!Z:Z,MATCH('Full Customer List'!$B12,'Revenue by Customer'!$A:$A,0))</f>
        <v>3805</v>
      </c>
      <c r="AA12" s="192">
        <f>INDEX('Revenue by Customer'!AA:AA,MATCH('Full Customer List'!$B12,'Revenue by Customer'!$A:$A,0))</f>
        <v>3872</v>
      </c>
      <c r="AB12" s="192">
        <f>INDEX('Revenue by Customer'!AB:AB,MATCH('Full Customer List'!$B12,'Revenue by Customer'!$A:$A,0))</f>
        <v>3272</v>
      </c>
      <c r="AC12" s="192">
        <f>INDEX('Revenue by Customer'!AC:AC,MATCH('Full Customer List'!$B12,'Revenue by Customer'!$A:$A,0))</f>
        <v>3318</v>
      </c>
    </row>
    <row r="13" spans="2:39" ht="12" customHeight="1">
      <c r="B13" s="173" t="s">
        <v>542</v>
      </c>
      <c r="C13" s="173" t="str">
        <f>INDEX('Customer List'!$B:$B,MATCH('Full Customer List'!$B13,'Customer List'!$A:$A,0))</f>
        <v>Active</v>
      </c>
      <c r="D13" s="173" t="str">
        <f>INDEX('Customer List'!$C:$C,MATCH('Full Customer List'!$B13,'Customer List'!$A:$A,0))</f>
        <v>Property manager</v>
      </c>
      <c r="E13" s="173" t="str">
        <f>INDEX('Customer List Mapping'!$C:$C,MATCH('Full Customer List'!D13,'Customer List Mapping'!$B:$B,0))</f>
        <v>Property Manager</v>
      </c>
      <c r="F13" s="192">
        <f>INDEX('Customer List'!$K:$K,MATCH('Full Customer List'!$B13,'Customer List'!$A:$A,0))</f>
        <v>81</v>
      </c>
      <c r="G13" s="192">
        <f>INDEX('Revenue by Customer'!$I:$I,MATCH('Full Customer List'!$B13,'Revenue by Customer'!$A:$A,0))</f>
        <v>6357</v>
      </c>
      <c r="H13" s="257" t="str">
        <f>IFERROR(IF(C13="Active","",INDEX('Client Departures'!$G:$G,MATCH('Full Customer List'!$B13,'Client Departures'!$A:$A,0))),"Unclassified")</f>
        <v/>
      </c>
      <c r="I13" s="196">
        <v>45717</v>
      </c>
      <c r="J13" s="196"/>
      <c r="K13" s="192" t="str">
        <f>INDEX('Revenue by Customer'!K:K,MATCH('Full Customer List'!$B13,'Revenue by Customer'!$A:$A,0))</f>
        <v/>
      </c>
      <c r="L13" s="192" t="str">
        <f>INDEX('Revenue by Customer'!L:L,MATCH('Full Customer List'!$B13,'Revenue by Customer'!$A:$A,0))</f>
        <v/>
      </c>
      <c r="M13" s="192">
        <f>INDEX('Revenue by Customer'!M:M,MATCH('Full Customer List'!$B13,'Revenue by Customer'!$A:$A,0))</f>
        <v>3040</v>
      </c>
      <c r="N13" s="192">
        <f>INDEX('Revenue by Customer'!N:N,MATCH('Full Customer List'!$B13,'Revenue by Customer'!$A:$A,0))</f>
        <v>2445</v>
      </c>
      <c r="O13" s="192">
        <f>INDEX('Revenue by Customer'!O:O,MATCH('Full Customer List'!$B13,'Revenue by Customer'!$A:$A,0))</f>
        <v>2090</v>
      </c>
      <c r="P13" s="192">
        <f>INDEX('Revenue by Customer'!P:P,MATCH('Full Customer List'!$B13,'Revenue by Customer'!$A:$A,0))</f>
        <v>2090</v>
      </c>
      <c r="Q13" s="192">
        <f>INDEX('Revenue by Customer'!Q:Q,MATCH('Full Customer List'!$B13,'Revenue by Customer'!$A:$A,0))</f>
        <v>1980</v>
      </c>
      <c r="R13" s="192">
        <f>INDEX('Revenue by Customer'!R:R,MATCH('Full Customer List'!$B13,'Revenue by Customer'!$A:$A,0))</f>
        <v>1870</v>
      </c>
      <c r="S13" s="192">
        <f>INDEX('Revenue by Customer'!S:S,MATCH('Full Customer List'!$B13,'Revenue by Customer'!$A:$A,0))</f>
        <v>2090</v>
      </c>
      <c r="T13" s="192">
        <f>INDEX('Revenue by Customer'!T:T,MATCH('Full Customer List'!$B13,'Revenue by Customer'!$A:$A,0))</f>
        <v>2180</v>
      </c>
      <c r="U13" s="192">
        <f>INDEX('Revenue by Customer'!U:U,MATCH('Full Customer List'!$B13,'Revenue by Customer'!$A:$A,0))</f>
        <v>2289</v>
      </c>
      <c r="V13" s="192">
        <f>INDEX('Revenue by Customer'!V:V,MATCH('Full Customer List'!$B13,'Revenue by Customer'!$A:$A,0))</f>
        <v>2071</v>
      </c>
      <c r="W13" s="192">
        <f>INDEX('Revenue by Customer'!W:W,MATCH('Full Customer List'!$B13,'Revenue by Customer'!$A:$A,0))</f>
        <v>2071</v>
      </c>
      <c r="X13" s="192">
        <f>INDEX('Revenue by Customer'!X:X,MATCH('Full Customer List'!$B13,'Revenue by Customer'!$A:$A,0))</f>
        <v>3100</v>
      </c>
      <c r="Y13" s="192">
        <f>INDEX('Revenue by Customer'!Y:Y,MATCH('Full Customer List'!$B13,'Revenue by Customer'!$A:$A,0))</f>
        <v>2124</v>
      </c>
      <c r="Z13" s="192">
        <f>INDEX('Revenue by Customer'!Z:Z,MATCH('Full Customer List'!$B13,'Revenue by Customer'!$A:$A,0))</f>
        <v>2124</v>
      </c>
      <c r="AA13" s="192">
        <f>INDEX('Revenue by Customer'!AA:AA,MATCH('Full Customer List'!$B13,'Revenue by Customer'!$A:$A,0))</f>
        <v>6260</v>
      </c>
      <c r="AB13" s="192">
        <f>INDEX('Revenue by Customer'!AB:AB,MATCH('Full Customer List'!$B13,'Revenue by Customer'!$A:$A,0))</f>
        <v>6254</v>
      </c>
      <c r="AC13" s="192">
        <f>INDEX('Revenue by Customer'!AC:AC,MATCH('Full Customer List'!$B13,'Revenue by Customer'!$A:$A,0))</f>
        <v>6557</v>
      </c>
    </row>
    <row r="14" spans="2:39" ht="12" customHeight="1">
      <c r="B14" s="173" t="s">
        <v>544</v>
      </c>
      <c r="C14" s="173" t="str">
        <f>INDEX('Customer List'!$B:$B,MATCH('Full Customer List'!$B14,'Customer List'!$A:$A,0))</f>
        <v>Active</v>
      </c>
      <c r="D14" s="173" t="str">
        <f>INDEX('Customer List'!$C:$C,MATCH('Full Customer List'!$B14,'Customer List'!$A:$A,0))</f>
        <v>Property manager</v>
      </c>
      <c r="E14" s="173" t="str">
        <f>INDEX('Customer List Mapping'!$C:$C,MATCH('Full Customer List'!D14,'Customer List Mapping'!$B:$B,0))</f>
        <v>Property Manager</v>
      </c>
      <c r="F14" s="192">
        <f>INDEX('Customer List'!$K:$K,MATCH('Full Customer List'!$B14,'Customer List'!$A:$A,0))</f>
        <v>33</v>
      </c>
      <c r="G14" s="192">
        <f>INDEX('Revenue by Customer'!$I:$I,MATCH('Full Customer List'!$B14,'Revenue by Customer'!$A:$A,0))</f>
        <v>2752.6666666666665</v>
      </c>
      <c r="H14" s="257" t="str">
        <f>IFERROR(IF(C14="Active","",INDEX('Client Departures'!$G:$G,MATCH('Full Customer List'!$B14,'Client Departures'!$A:$A,0))),"Unclassified")</f>
        <v/>
      </c>
      <c r="I14" s="196">
        <v>45323</v>
      </c>
      <c r="J14" s="196"/>
      <c r="K14" s="192">
        <f>INDEX('Revenue by Customer'!K:K,MATCH('Full Customer List'!$B14,'Revenue by Customer'!$A:$A,0))</f>
        <v>2370</v>
      </c>
      <c r="L14" s="192">
        <f>INDEX('Revenue by Customer'!L:L,MATCH('Full Customer List'!$B14,'Revenue by Customer'!$A:$A,0))</f>
        <v>2399</v>
      </c>
      <c r="M14" s="192">
        <f>INDEX('Revenue by Customer'!M:M,MATCH('Full Customer List'!$B14,'Revenue by Customer'!$A:$A,0))</f>
        <v>2399</v>
      </c>
      <c r="N14" s="192">
        <f>INDEX('Revenue by Customer'!N:N,MATCH('Full Customer List'!$B14,'Revenue by Customer'!$A:$A,0))</f>
        <v>2399</v>
      </c>
      <c r="O14" s="192">
        <f>INDEX('Revenue by Customer'!O:O,MATCH('Full Customer List'!$B14,'Revenue by Customer'!$A:$A,0))</f>
        <v>1906</v>
      </c>
      <c r="P14" s="192">
        <f>INDEX('Revenue by Customer'!P:P,MATCH('Full Customer List'!$B14,'Revenue by Customer'!$A:$A,0))</f>
        <v>2447</v>
      </c>
      <c r="Q14" s="192">
        <f>INDEX('Revenue by Customer'!Q:Q,MATCH('Full Customer List'!$B14,'Revenue by Customer'!$A:$A,0))</f>
        <v>2420</v>
      </c>
      <c r="R14" s="192">
        <f>INDEX('Revenue by Customer'!R:R,MATCH('Full Customer List'!$B14,'Revenue by Customer'!$A:$A,0))</f>
        <v>2514</v>
      </c>
      <c r="S14" s="192">
        <f>INDEX('Revenue by Customer'!S:S,MATCH('Full Customer List'!$B14,'Revenue by Customer'!$A:$A,0))</f>
        <v>2467</v>
      </c>
      <c r="T14" s="192">
        <f>INDEX('Revenue by Customer'!T:T,MATCH('Full Customer List'!$B14,'Revenue by Customer'!$A:$A,0))</f>
        <v>2634</v>
      </c>
      <c r="U14" s="192">
        <f>INDEX('Revenue by Customer'!U:U,MATCH('Full Customer List'!$B14,'Revenue by Customer'!$A:$A,0))</f>
        <v>2618</v>
      </c>
      <c r="V14" s="192">
        <f>INDEX('Revenue by Customer'!V:V,MATCH('Full Customer List'!$B14,'Revenue by Customer'!$A:$A,0))</f>
        <v>2694</v>
      </c>
      <c r="W14" s="192">
        <f>INDEX('Revenue by Customer'!W:W,MATCH('Full Customer List'!$B14,'Revenue by Customer'!$A:$A,0))</f>
        <v>2694</v>
      </c>
      <c r="X14" s="192">
        <f>INDEX('Revenue by Customer'!X:X,MATCH('Full Customer List'!$B14,'Revenue by Customer'!$A:$A,0))</f>
        <v>3802</v>
      </c>
      <c r="Y14" s="192">
        <f>INDEX('Revenue by Customer'!Y:Y,MATCH('Full Customer List'!$B14,'Revenue by Customer'!$A:$A,0))</f>
        <v>2708</v>
      </c>
      <c r="Z14" s="192">
        <f>INDEX('Revenue by Customer'!Z:Z,MATCH('Full Customer List'!$B14,'Revenue by Customer'!$A:$A,0))</f>
        <v>2834</v>
      </c>
      <c r="AA14" s="192">
        <f>INDEX('Revenue by Customer'!AA:AA,MATCH('Full Customer List'!$B14,'Revenue by Customer'!$A:$A,0))</f>
        <v>2606</v>
      </c>
      <c r="AB14" s="192">
        <f>INDEX('Revenue by Customer'!AB:AB,MATCH('Full Customer List'!$B14,'Revenue by Customer'!$A:$A,0))</f>
        <v>2839</v>
      </c>
      <c r="AC14" s="192">
        <f>INDEX('Revenue by Customer'!AC:AC,MATCH('Full Customer List'!$B14,'Revenue by Customer'!$A:$A,0))</f>
        <v>2813</v>
      </c>
    </row>
    <row r="15" spans="2:39" ht="12" customHeight="1">
      <c r="B15" s="173" t="s">
        <v>547</v>
      </c>
      <c r="C15" s="173" t="str">
        <f>INDEX('Customer List'!$B:$B,MATCH('Full Customer List'!$B15,'Customer List'!$A:$A,0))</f>
        <v>Active</v>
      </c>
      <c r="D15" s="173" t="str">
        <f>INDEX('Customer List'!$C:$C,MATCH('Full Customer List'!$B15,'Customer List'!$A:$A,0))</f>
        <v>Property manager</v>
      </c>
      <c r="E15" s="173" t="str">
        <f>INDEX('Customer List Mapping'!$C:$C,MATCH('Full Customer List'!D15,'Customer List Mapping'!$B:$B,0))</f>
        <v>Property Manager</v>
      </c>
      <c r="F15" s="192">
        <f>INDEX('Customer List'!$K:$K,MATCH('Full Customer List'!$B15,'Customer List'!$A:$A,0))</f>
        <v>36</v>
      </c>
      <c r="G15" s="192">
        <f>INDEX('Revenue by Customer'!$I:$I,MATCH('Full Customer List'!$B15,'Revenue by Customer'!$A:$A,0))</f>
        <v>2708.7833333333333</v>
      </c>
      <c r="H15" s="257" t="str">
        <f>IFERROR(IF(C15="Active","",INDEX('Client Departures'!$G:$G,MATCH('Full Customer List'!$B15,'Client Departures'!$A:$A,0))),"Unclassified")</f>
        <v/>
      </c>
      <c r="I15" s="196">
        <v>44713</v>
      </c>
      <c r="J15" s="196"/>
      <c r="K15" s="192">
        <f>INDEX('Revenue by Customer'!K:K,MATCH('Full Customer List'!$B15,'Revenue by Customer'!$A:$A,0))</f>
        <v>3206</v>
      </c>
      <c r="L15" s="192">
        <f>INDEX('Revenue by Customer'!L:L,MATCH('Full Customer List'!$B15,'Revenue by Customer'!$A:$A,0))</f>
        <v>2201</v>
      </c>
      <c r="M15" s="192">
        <f>INDEX('Revenue by Customer'!M:M,MATCH('Full Customer List'!$B15,'Revenue by Customer'!$A:$A,0))</f>
        <v>2485</v>
      </c>
      <c r="N15" s="192">
        <f>INDEX('Revenue by Customer'!N:N,MATCH('Full Customer List'!$B15,'Revenue by Customer'!$A:$A,0))</f>
        <v>2201</v>
      </c>
      <c r="O15" s="192">
        <f>INDEX('Revenue by Customer'!O:O,MATCH('Full Customer List'!$B15,'Revenue by Customer'!$A:$A,0))</f>
        <v>2130</v>
      </c>
      <c r="P15" s="192">
        <f>INDEX('Revenue by Customer'!P:P,MATCH('Full Customer List'!$B15,'Revenue by Customer'!$A:$A,0))</f>
        <v>2514</v>
      </c>
      <c r="Q15" s="192">
        <f>INDEX('Revenue by Customer'!Q:Q,MATCH('Full Customer List'!$B15,'Revenue by Customer'!$A:$A,0))</f>
        <v>2534</v>
      </c>
      <c r="R15" s="192">
        <f>INDEX('Revenue by Customer'!R:R,MATCH('Full Customer List'!$B15,'Revenue by Customer'!$A:$A,0))</f>
        <v>2645</v>
      </c>
      <c r="S15" s="192">
        <f>INDEX('Revenue by Customer'!S:S,MATCH('Full Customer List'!$B15,'Revenue by Customer'!$A:$A,0))</f>
        <v>2574</v>
      </c>
      <c r="T15" s="192">
        <f>INDEX('Revenue by Customer'!T:T,MATCH('Full Customer List'!$B15,'Revenue by Customer'!$A:$A,0))</f>
        <v>2880</v>
      </c>
      <c r="U15" s="192">
        <f>INDEX('Revenue by Customer'!U:U,MATCH('Full Customer List'!$B15,'Revenue by Customer'!$A:$A,0))</f>
        <v>2880</v>
      </c>
      <c r="V15" s="192">
        <f>INDEX('Revenue by Customer'!V:V,MATCH('Full Customer List'!$B15,'Revenue by Customer'!$A:$A,0))</f>
        <v>2880</v>
      </c>
      <c r="W15" s="192">
        <f>INDEX('Revenue by Customer'!W:W,MATCH('Full Customer List'!$B15,'Revenue by Customer'!$A:$A,0))</f>
        <v>2329.52</v>
      </c>
      <c r="X15" s="192">
        <f>INDEX('Revenue by Customer'!X:X,MATCH('Full Customer List'!$B15,'Revenue by Customer'!$A:$A,0))</f>
        <v>2941.11</v>
      </c>
      <c r="Y15" s="192">
        <f>INDEX('Revenue by Customer'!Y:Y,MATCH('Full Customer List'!$B15,'Revenue by Customer'!$A:$A,0))</f>
        <v>2730</v>
      </c>
      <c r="Z15" s="192">
        <f>INDEX('Revenue by Customer'!Z:Z,MATCH('Full Customer List'!$B15,'Revenue by Customer'!$A:$A,0))</f>
        <v>2655</v>
      </c>
      <c r="AA15" s="192">
        <f>INDEX('Revenue by Customer'!AA:AA,MATCH('Full Customer List'!$B15,'Revenue by Customer'!$A:$A,0))</f>
        <v>2861</v>
      </c>
      <c r="AB15" s="192">
        <f>INDEX('Revenue by Customer'!AB:AB,MATCH('Full Customer List'!$B15,'Revenue by Customer'!$A:$A,0))</f>
        <v>2800</v>
      </c>
      <c r="AC15" s="192">
        <f>INDEX('Revenue by Customer'!AC:AC,MATCH('Full Customer List'!$B15,'Revenue by Customer'!$A:$A,0))</f>
        <v>2465.35</v>
      </c>
    </row>
    <row r="16" spans="2:39" ht="12" customHeight="1">
      <c r="B16" s="173" t="s">
        <v>549</v>
      </c>
      <c r="C16" s="173" t="str">
        <f>INDEX('Customer List'!$B:$B,MATCH('Full Customer List'!$B16,'Customer List'!$A:$A,0))</f>
        <v>Active</v>
      </c>
      <c r="D16" s="173" t="str">
        <f>INDEX('Customer List'!$C:$C,MATCH('Full Customer List'!$B16,'Customer List'!$A:$A,0))</f>
        <v>Property manager</v>
      </c>
      <c r="E16" s="173" t="str">
        <f>INDEX('Customer List Mapping'!$C:$C,MATCH('Full Customer List'!D16,'Customer List Mapping'!$B:$B,0))</f>
        <v>Property Manager</v>
      </c>
      <c r="F16" s="192">
        <f>INDEX('Customer List'!$K:$K,MATCH('Full Customer List'!$B16,'Customer List'!$A:$A,0))</f>
        <v>38</v>
      </c>
      <c r="G16" s="192">
        <f>INDEX('Revenue by Customer'!$I:$I,MATCH('Full Customer List'!$B16,'Revenue by Customer'!$A:$A,0))</f>
        <v>3075</v>
      </c>
      <c r="H16" s="257" t="str">
        <f>IFERROR(IF(C16="Active","",INDEX('Client Departures'!$G:$G,MATCH('Full Customer List'!$B16,'Client Departures'!$A:$A,0))),"Unclassified")</f>
        <v/>
      </c>
      <c r="I16" s="196">
        <v>45413</v>
      </c>
      <c r="J16" s="196"/>
      <c r="K16" s="192">
        <f>INDEX('Revenue by Customer'!K:K,MATCH('Full Customer List'!$B16,'Revenue by Customer'!$A:$A,0))</f>
        <v>2388.75</v>
      </c>
      <c r="L16" s="192">
        <f>INDEX('Revenue by Customer'!L:L,MATCH('Full Customer List'!$B16,'Revenue by Customer'!$A:$A,0))</f>
        <v>1850</v>
      </c>
      <c r="M16" s="192">
        <f>INDEX('Revenue by Customer'!M:M,MATCH('Full Customer List'!$B16,'Revenue by Customer'!$A:$A,0))</f>
        <v>1385</v>
      </c>
      <c r="N16" s="192">
        <f>INDEX('Revenue by Customer'!N:N,MATCH('Full Customer List'!$B16,'Revenue by Customer'!$A:$A,0))</f>
        <v>1370</v>
      </c>
      <c r="O16" s="192">
        <f>INDEX('Revenue by Customer'!O:O,MATCH('Full Customer List'!$B16,'Revenue by Customer'!$A:$A,0))</f>
        <v>1240</v>
      </c>
      <c r="P16" s="192">
        <f>INDEX('Revenue by Customer'!P:P,MATCH('Full Customer List'!$B16,'Revenue by Customer'!$A:$A,0))</f>
        <v>1175</v>
      </c>
      <c r="Q16" s="192">
        <f>INDEX('Revenue by Customer'!Q:Q,MATCH('Full Customer List'!$B16,'Revenue by Customer'!$A:$A,0))</f>
        <v>1305</v>
      </c>
      <c r="R16" s="192">
        <f>INDEX('Revenue by Customer'!R:R,MATCH('Full Customer List'!$B16,'Revenue by Customer'!$A:$A,0))</f>
        <v>1370</v>
      </c>
      <c r="S16" s="192">
        <f>INDEX('Revenue by Customer'!S:S,MATCH('Full Customer List'!$B16,'Revenue by Customer'!$A:$A,0))</f>
        <v>1435</v>
      </c>
      <c r="T16" s="192">
        <f>INDEX('Revenue by Customer'!T:T,MATCH('Full Customer List'!$B16,'Revenue by Customer'!$A:$A,0))</f>
        <v>1370</v>
      </c>
      <c r="U16" s="192">
        <f>INDEX('Revenue by Customer'!U:U,MATCH('Full Customer List'!$B16,'Revenue by Customer'!$A:$A,0))</f>
        <v>1530</v>
      </c>
      <c r="V16" s="192">
        <f>INDEX('Revenue by Customer'!V:V,MATCH('Full Customer List'!$B16,'Revenue by Customer'!$A:$A,0))</f>
        <v>1500</v>
      </c>
      <c r="W16" s="192">
        <f>INDEX('Revenue by Customer'!W:W,MATCH('Full Customer List'!$B16,'Revenue by Customer'!$A:$A,0))</f>
        <v>3800</v>
      </c>
      <c r="X16" s="192">
        <f>INDEX('Revenue by Customer'!X:X,MATCH('Full Customer List'!$B16,'Revenue by Customer'!$A:$A,0))</f>
        <v>4895</v>
      </c>
      <c r="Y16" s="192">
        <f>INDEX('Revenue by Customer'!Y:Y,MATCH('Full Customer List'!$B16,'Revenue by Customer'!$A:$A,0))</f>
        <v>3450</v>
      </c>
      <c r="Z16" s="192">
        <f>INDEX('Revenue by Customer'!Z:Z,MATCH('Full Customer List'!$B16,'Revenue by Customer'!$A:$A,0))</f>
        <v>3650</v>
      </c>
      <c r="AA16" s="192">
        <f>INDEX('Revenue by Customer'!AA:AA,MATCH('Full Customer List'!$B16,'Revenue by Customer'!$A:$A,0))</f>
        <v>3200</v>
      </c>
      <c r="AB16" s="192">
        <f>INDEX('Revenue by Customer'!AB:AB,MATCH('Full Customer List'!$B16,'Revenue by Customer'!$A:$A,0))</f>
        <v>3050</v>
      </c>
      <c r="AC16" s="192">
        <f>INDEX('Revenue by Customer'!AC:AC,MATCH('Full Customer List'!$B16,'Revenue by Customer'!$A:$A,0))</f>
        <v>2975</v>
      </c>
    </row>
    <row r="17" spans="2:29" ht="12" customHeight="1">
      <c r="B17" s="173" t="s">
        <v>552</v>
      </c>
      <c r="C17" s="173" t="str">
        <f>INDEX('Customer List'!$B:$B,MATCH('Full Customer List'!$B17,'Customer List'!$A:$A,0))</f>
        <v>Active</v>
      </c>
      <c r="D17" s="173" t="str">
        <f>INDEX('Customer List'!$C:$C,MATCH('Full Customer List'!$B17,'Customer List'!$A:$A,0))</f>
        <v>Property manager</v>
      </c>
      <c r="E17" s="173" t="str">
        <f>INDEX('Customer List Mapping'!$C:$C,MATCH('Full Customer List'!D17,'Customer List Mapping'!$B:$B,0))</f>
        <v>Property Manager</v>
      </c>
      <c r="F17" s="192">
        <f>INDEX('Customer List'!$K:$K,MATCH('Full Customer List'!$B17,'Customer List'!$A:$A,0))</f>
        <v>61</v>
      </c>
      <c r="G17" s="192">
        <f>INDEX('Revenue by Customer'!$I:$I,MATCH('Full Customer List'!$B17,'Revenue by Customer'!$A:$A,0))</f>
        <v>2881.6666666666665</v>
      </c>
      <c r="H17" s="257" t="str">
        <f>IFERROR(IF(C17="Active","",INDEX('Client Departures'!$G:$G,MATCH('Full Customer List'!$B17,'Client Departures'!$A:$A,0))),"Unclassified")</f>
        <v/>
      </c>
      <c r="I17" s="196">
        <v>45200</v>
      </c>
      <c r="J17" s="196"/>
      <c r="K17" s="192">
        <f>INDEX('Revenue by Customer'!K:K,MATCH('Full Customer List'!$B17,'Revenue by Customer'!$A:$A,0))</f>
        <v>1650</v>
      </c>
      <c r="L17" s="192">
        <f>INDEX('Revenue by Customer'!L:L,MATCH('Full Customer List'!$B17,'Revenue by Customer'!$A:$A,0))</f>
        <v>2085</v>
      </c>
      <c r="M17" s="192">
        <f>INDEX('Revenue by Customer'!M:M,MATCH('Full Customer List'!$B17,'Revenue by Customer'!$A:$A,0))</f>
        <v>1650</v>
      </c>
      <c r="N17" s="192">
        <f>INDEX('Revenue by Customer'!N:N,MATCH('Full Customer List'!$B17,'Revenue by Customer'!$A:$A,0))</f>
        <v>1800</v>
      </c>
      <c r="O17" s="192">
        <f>INDEX('Revenue by Customer'!O:O,MATCH('Full Customer List'!$B17,'Revenue by Customer'!$A:$A,0))</f>
        <v>1875</v>
      </c>
      <c r="P17" s="192">
        <f>INDEX('Revenue by Customer'!P:P,MATCH('Full Customer List'!$B17,'Revenue by Customer'!$A:$A,0))</f>
        <v>1917</v>
      </c>
      <c r="Q17" s="192">
        <f>INDEX('Revenue by Customer'!Q:Q,MATCH('Full Customer List'!$B17,'Revenue by Customer'!$A:$A,0))</f>
        <v>1501</v>
      </c>
      <c r="R17" s="192">
        <f>INDEX('Revenue by Customer'!R:R,MATCH('Full Customer List'!$B17,'Revenue by Customer'!$A:$A,0))</f>
        <v>2010</v>
      </c>
      <c r="S17" s="192">
        <f>INDEX('Revenue by Customer'!S:S,MATCH('Full Customer List'!$B17,'Revenue by Customer'!$A:$A,0))</f>
        <v>2010</v>
      </c>
      <c r="T17" s="192">
        <f>INDEX('Revenue by Customer'!T:T,MATCH('Full Customer List'!$B17,'Revenue by Customer'!$A:$A,0))</f>
        <v>2020</v>
      </c>
      <c r="U17" s="192">
        <f>INDEX('Revenue by Customer'!U:U,MATCH('Full Customer List'!$B17,'Revenue by Customer'!$A:$A,0))</f>
        <v>2148</v>
      </c>
      <c r="V17" s="192">
        <f>INDEX('Revenue by Customer'!V:V,MATCH('Full Customer List'!$B17,'Revenue by Customer'!$A:$A,0))</f>
        <v>2404</v>
      </c>
      <c r="W17" s="192">
        <f>INDEX('Revenue by Customer'!W:W,MATCH('Full Customer List'!$B17,'Revenue by Customer'!$A:$A,0))</f>
        <v>2468</v>
      </c>
      <c r="X17" s="192">
        <f>INDEX('Revenue by Customer'!X:X,MATCH('Full Customer List'!$B17,'Revenue by Customer'!$A:$A,0))</f>
        <v>2922</v>
      </c>
      <c r="Y17" s="192">
        <f>INDEX('Revenue by Customer'!Y:Y,MATCH('Full Customer List'!$B17,'Revenue by Customer'!$A:$A,0))</f>
        <v>2468</v>
      </c>
      <c r="Z17" s="192">
        <f>INDEX('Revenue by Customer'!Z:Z,MATCH('Full Customer List'!$B17,'Revenue by Customer'!$A:$A,0))</f>
        <v>2532</v>
      </c>
      <c r="AA17" s="192">
        <f>INDEX('Revenue by Customer'!AA:AA,MATCH('Full Customer List'!$B17,'Revenue by Customer'!$A:$A,0))</f>
        <v>2824</v>
      </c>
      <c r="AB17" s="192">
        <f>INDEX('Revenue by Customer'!AB:AB,MATCH('Full Customer List'!$B17,'Revenue by Customer'!$A:$A,0))</f>
        <v>2843</v>
      </c>
      <c r="AC17" s="192">
        <f>INDEX('Revenue by Customer'!AC:AC,MATCH('Full Customer List'!$B17,'Revenue by Customer'!$A:$A,0))</f>
        <v>2978</v>
      </c>
    </row>
    <row r="18" spans="2:29" ht="12" customHeight="1">
      <c r="B18" s="173" t="s">
        <v>556</v>
      </c>
      <c r="C18" s="173" t="str">
        <f>INDEX('Customer List'!$B:$B,MATCH('Full Customer List'!$B18,'Customer List'!$A:$A,0))</f>
        <v>Active</v>
      </c>
      <c r="D18" s="173" t="str">
        <f>INDEX('Customer List'!$C:$C,MATCH('Full Customer List'!$B18,'Customer List'!$A:$A,0))</f>
        <v>Property manager</v>
      </c>
      <c r="E18" s="173" t="str">
        <f>INDEX('Customer List Mapping'!$C:$C,MATCH('Full Customer List'!D18,'Customer List Mapping'!$B:$B,0))</f>
        <v>Property Manager</v>
      </c>
      <c r="F18" s="192">
        <f>INDEX('Customer List'!$K:$K,MATCH('Full Customer List'!$B18,'Customer List'!$A:$A,0))</f>
        <v>27</v>
      </c>
      <c r="G18" s="192">
        <f>INDEX('Revenue by Customer'!$I:$I,MATCH('Full Customer List'!$B18,'Revenue by Customer'!$A:$A,0))</f>
        <v>2432.8733333333334</v>
      </c>
      <c r="H18" s="257" t="str">
        <f>IFERROR(IF(C18="Active","",INDEX('Client Departures'!$G:$G,MATCH('Full Customer List'!$B18,'Client Departures'!$A:$A,0))),"Unclassified")</f>
        <v/>
      </c>
      <c r="I18" s="196">
        <v>45383</v>
      </c>
      <c r="J18" s="196"/>
      <c r="K18" s="192">
        <f>INDEX('Revenue by Customer'!K:K,MATCH('Full Customer List'!$B18,'Revenue by Customer'!$A:$A,0))</f>
        <v>2252</v>
      </c>
      <c r="L18" s="192">
        <f>INDEX('Revenue by Customer'!L:L,MATCH('Full Customer List'!$B18,'Revenue by Customer'!$A:$A,0))</f>
        <v>3817</v>
      </c>
      <c r="M18" s="192">
        <f>INDEX('Revenue by Customer'!M:M,MATCH('Full Customer List'!$B18,'Revenue by Customer'!$A:$A,0))</f>
        <v>1738</v>
      </c>
      <c r="N18" s="192">
        <f>INDEX('Revenue by Customer'!N:N,MATCH('Full Customer List'!$B18,'Revenue by Customer'!$A:$A,0))</f>
        <v>2380</v>
      </c>
      <c r="O18" s="192">
        <f>INDEX('Revenue by Customer'!O:O,MATCH('Full Customer List'!$B18,'Revenue by Customer'!$A:$A,0))</f>
        <v>2285</v>
      </c>
      <c r="P18" s="192">
        <f>INDEX('Revenue by Customer'!P:P,MATCH('Full Customer List'!$B18,'Revenue by Customer'!$A:$A,0))</f>
        <v>2190</v>
      </c>
      <c r="Q18" s="192">
        <f>INDEX('Revenue by Customer'!Q:Q,MATCH('Full Customer List'!$B18,'Revenue by Customer'!$A:$A,0))</f>
        <v>2285</v>
      </c>
      <c r="R18" s="192">
        <f>INDEX('Revenue by Customer'!R:R,MATCH('Full Customer List'!$B18,'Revenue by Customer'!$A:$A,0))</f>
        <v>2285</v>
      </c>
      <c r="S18" s="192">
        <f>INDEX('Revenue by Customer'!S:S,MATCH('Full Customer List'!$B18,'Revenue by Customer'!$A:$A,0))</f>
        <v>2285</v>
      </c>
      <c r="T18" s="192">
        <f>INDEX('Revenue by Customer'!T:T,MATCH('Full Customer List'!$B18,'Revenue by Customer'!$A:$A,0))</f>
        <v>2285</v>
      </c>
      <c r="U18" s="192">
        <f>INDEX('Revenue by Customer'!U:U,MATCH('Full Customer List'!$B18,'Revenue by Customer'!$A:$A,0))</f>
        <v>2362</v>
      </c>
      <c r="V18" s="192">
        <f>INDEX('Revenue by Customer'!V:V,MATCH('Full Customer List'!$B18,'Revenue by Customer'!$A:$A,0))</f>
        <v>2362</v>
      </c>
      <c r="W18" s="192">
        <f>INDEX('Revenue by Customer'!W:W,MATCH('Full Customer List'!$B18,'Revenue by Customer'!$A:$A,0))</f>
        <v>2449</v>
      </c>
      <c r="X18" s="192">
        <f>INDEX('Revenue by Customer'!X:X,MATCH('Full Customer List'!$B18,'Revenue by Customer'!$A:$A,0))</f>
        <v>2654</v>
      </c>
      <c r="Y18" s="192">
        <f>INDEX('Revenue by Customer'!Y:Y,MATCH('Full Customer List'!$B18,'Revenue by Customer'!$A:$A,0))</f>
        <v>2362</v>
      </c>
      <c r="Z18" s="192">
        <f>INDEX('Revenue by Customer'!Z:Z,MATCH('Full Customer List'!$B18,'Revenue by Customer'!$A:$A,0))</f>
        <v>2609</v>
      </c>
      <c r="AA18" s="192">
        <f>INDEX('Revenue by Customer'!AA:AA,MATCH('Full Customer List'!$B18,'Revenue by Customer'!$A:$A,0))</f>
        <v>2202.62</v>
      </c>
      <c r="AB18" s="192">
        <f>INDEX('Revenue by Customer'!AB:AB,MATCH('Full Customer List'!$B18,'Revenue by Customer'!$A:$A,0))</f>
        <v>2502</v>
      </c>
      <c r="AC18" s="192">
        <f>INDEX('Revenue by Customer'!AC:AC,MATCH('Full Customer List'!$B18,'Revenue by Customer'!$A:$A,0))</f>
        <v>2594</v>
      </c>
    </row>
    <row r="19" spans="2:29" ht="12" customHeight="1">
      <c r="B19" s="173" t="s">
        <v>557</v>
      </c>
      <c r="C19" s="173" t="str">
        <f>INDEX('Customer List'!$B:$B,MATCH('Full Customer List'!$B19,'Customer List'!$A:$A,0))</f>
        <v>Active</v>
      </c>
      <c r="D19" s="173" t="str">
        <f>INDEX('Customer List'!$C:$C,MATCH('Full Customer List'!$B19,'Customer List'!$A:$A,0))</f>
        <v>Property manager</v>
      </c>
      <c r="E19" s="173" t="str">
        <f>INDEX('Customer List Mapping'!$C:$C,MATCH('Full Customer List'!D19,'Customer List Mapping'!$B:$B,0))</f>
        <v>Property Manager</v>
      </c>
      <c r="F19" s="192">
        <f>INDEX('Customer List'!$K:$K,MATCH('Full Customer List'!$B19,'Customer List'!$A:$A,0))</f>
        <v>21</v>
      </c>
      <c r="G19" s="192">
        <f>INDEX('Revenue by Customer'!$I:$I,MATCH('Full Customer List'!$B19,'Revenue by Customer'!$A:$A,0))</f>
        <v>2035.6666666666667</v>
      </c>
      <c r="H19" s="257" t="str">
        <f>IFERROR(IF(C19="Active","",INDEX('Client Departures'!$G:$G,MATCH('Full Customer List'!$B19,'Client Departures'!$A:$A,0))),"Unclassified")</f>
        <v/>
      </c>
      <c r="I19" s="196">
        <v>45474</v>
      </c>
      <c r="J19" s="196"/>
      <c r="K19" s="192">
        <f>INDEX('Revenue by Customer'!K:K,MATCH('Full Customer List'!$B19,'Revenue by Customer'!$A:$A,0))</f>
        <v>2775</v>
      </c>
      <c r="L19" s="192">
        <f>INDEX('Revenue by Customer'!L:L,MATCH('Full Customer List'!$B19,'Revenue by Customer'!$A:$A,0))</f>
        <v>3645</v>
      </c>
      <c r="M19" s="192">
        <f>INDEX('Revenue by Customer'!M:M,MATCH('Full Customer List'!$B19,'Revenue by Customer'!$A:$A,0))</f>
        <v>2265</v>
      </c>
      <c r="N19" s="192">
        <f>INDEX('Revenue by Customer'!N:N,MATCH('Full Customer List'!$B19,'Revenue by Customer'!$A:$A,0))</f>
        <v>5125</v>
      </c>
      <c r="O19" s="192">
        <f>INDEX('Revenue by Customer'!O:O,MATCH('Full Customer List'!$B19,'Revenue by Customer'!$A:$A,0))</f>
        <v>2550</v>
      </c>
      <c r="P19" s="192">
        <f>INDEX('Revenue by Customer'!P:P,MATCH('Full Customer List'!$B19,'Revenue by Customer'!$A:$A,0))</f>
        <v>1432.5</v>
      </c>
      <c r="Q19" s="192">
        <f>INDEX('Revenue by Customer'!Q:Q,MATCH('Full Customer List'!$B19,'Revenue by Customer'!$A:$A,0))</f>
        <v>2579</v>
      </c>
      <c r="R19" s="192">
        <f>INDEX('Revenue by Customer'!R:R,MATCH('Full Customer List'!$B19,'Revenue by Customer'!$A:$A,0))</f>
        <v>2378</v>
      </c>
      <c r="S19" s="192">
        <f>INDEX('Revenue by Customer'!S:S,MATCH('Full Customer List'!$B19,'Revenue by Customer'!$A:$A,0))</f>
        <v>2378</v>
      </c>
      <c r="T19" s="192">
        <f>INDEX('Revenue by Customer'!T:T,MATCH('Full Customer List'!$B19,'Revenue by Customer'!$A:$A,0))</f>
        <v>2378</v>
      </c>
      <c r="U19" s="192">
        <f>INDEX('Revenue by Customer'!U:U,MATCH('Full Customer List'!$B19,'Revenue by Customer'!$A:$A,0))</f>
        <v>2311</v>
      </c>
      <c r="V19" s="192">
        <f>INDEX('Revenue by Customer'!V:V,MATCH('Full Customer List'!$B19,'Revenue by Customer'!$A:$A,0))</f>
        <v>2311</v>
      </c>
      <c r="W19" s="192">
        <f>INDEX('Revenue by Customer'!W:W,MATCH('Full Customer List'!$B19,'Revenue by Customer'!$A:$A,0))</f>
        <v>2445</v>
      </c>
      <c r="X19" s="192">
        <f>INDEX('Revenue by Customer'!X:X,MATCH('Full Customer List'!$B19,'Revenue by Customer'!$A:$A,0))</f>
        <v>3149</v>
      </c>
      <c r="Y19" s="192">
        <f>INDEX('Revenue by Customer'!Y:Y,MATCH('Full Customer List'!$B19,'Revenue by Customer'!$A:$A,0))</f>
        <v>3023</v>
      </c>
      <c r="Z19" s="192">
        <f>INDEX('Revenue by Customer'!Z:Z,MATCH('Full Customer List'!$B19,'Revenue by Customer'!$A:$A,0))</f>
        <v>2393</v>
      </c>
      <c r="AA19" s="192">
        <f>INDEX('Revenue by Customer'!AA:AA,MATCH('Full Customer List'!$B19,'Revenue by Customer'!$A:$A,0))</f>
        <v>2378</v>
      </c>
      <c r="AB19" s="192">
        <f>INDEX('Revenue by Customer'!AB:AB,MATCH('Full Customer List'!$B19,'Revenue by Customer'!$A:$A,0))</f>
        <v>1877</v>
      </c>
      <c r="AC19" s="192">
        <f>INDEX('Revenue by Customer'!AC:AC,MATCH('Full Customer List'!$B19,'Revenue by Customer'!$A:$A,0))</f>
        <v>1852</v>
      </c>
    </row>
    <row r="20" spans="2:29" ht="12" customHeight="1">
      <c r="B20" s="173" t="s">
        <v>559</v>
      </c>
      <c r="C20" s="173" t="str">
        <f>INDEX('Customer List'!$B:$B,MATCH('Full Customer List'!$B20,'Customer List'!$A:$A,0))</f>
        <v>Active</v>
      </c>
      <c r="D20" s="173" t="str">
        <f>INDEX('Customer List'!$C:$C,MATCH('Full Customer List'!$B20,'Customer List'!$A:$A,0))</f>
        <v>Property manager</v>
      </c>
      <c r="E20" s="173" t="str">
        <f>INDEX('Customer List Mapping'!$C:$C,MATCH('Full Customer List'!D20,'Customer List Mapping'!$B:$B,0))</f>
        <v>Property Manager</v>
      </c>
      <c r="F20" s="192">
        <f>INDEX('Customer List'!$K:$K,MATCH('Full Customer List'!$B20,'Customer List'!$A:$A,0))</f>
        <v>25</v>
      </c>
      <c r="G20" s="192">
        <f>INDEX('Revenue by Customer'!$I:$I,MATCH('Full Customer List'!$B20,'Revenue by Customer'!$A:$A,0))</f>
        <v>2285</v>
      </c>
      <c r="H20" s="257" t="str">
        <f>IFERROR(IF(C20="Active","",INDEX('Client Departures'!$G:$G,MATCH('Full Customer List'!$B20,'Client Departures'!$A:$A,0))),"Unclassified")</f>
        <v/>
      </c>
      <c r="I20" s="196">
        <v>45292</v>
      </c>
      <c r="J20" s="196"/>
      <c r="K20" s="192">
        <f>INDEX('Revenue by Customer'!K:K,MATCH('Full Customer List'!$B20,'Revenue by Customer'!$A:$A,0))</f>
        <v>2000</v>
      </c>
      <c r="L20" s="192">
        <f>INDEX('Revenue by Customer'!L:L,MATCH('Full Customer List'!$B20,'Revenue by Customer'!$A:$A,0))</f>
        <v>2225</v>
      </c>
      <c r="M20" s="192">
        <f>INDEX('Revenue by Customer'!M:M,MATCH('Full Customer List'!$B20,'Revenue by Customer'!$A:$A,0))</f>
        <v>2095</v>
      </c>
      <c r="N20" s="192">
        <f>INDEX('Revenue by Customer'!N:N,MATCH('Full Customer List'!$B20,'Revenue by Customer'!$A:$A,0))</f>
        <v>2285</v>
      </c>
      <c r="O20" s="192">
        <f>INDEX('Revenue by Customer'!O:O,MATCH('Full Customer List'!$B20,'Revenue by Customer'!$A:$A,0))</f>
        <v>2356.25</v>
      </c>
      <c r="P20" s="192">
        <f>INDEX('Revenue by Customer'!P:P,MATCH('Full Customer List'!$B20,'Revenue by Customer'!$A:$A,0))</f>
        <v>2380</v>
      </c>
      <c r="Q20" s="192">
        <f>INDEX('Revenue by Customer'!Q:Q,MATCH('Full Customer List'!$B20,'Revenue by Customer'!$A:$A,0))</f>
        <v>2193.75</v>
      </c>
      <c r="R20" s="192">
        <f>INDEX('Revenue by Customer'!R:R,MATCH('Full Customer List'!$B20,'Revenue by Customer'!$A:$A,0))</f>
        <v>2275</v>
      </c>
      <c r="S20" s="192">
        <f>INDEX('Revenue by Customer'!S:S,MATCH('Full Customer List'!$B20,'Revenue by Customer'!$A:$A,0))</f>
        <v>2275</v>
      </c>
      <c r="T20" s="192">
        <f>INDEX('Revenue by Customer'!T:T,MATCH('Full Customer List'!$B20,'Revenue by Customer'!$A:$A,0))</f>
        <v>2275</v>
      </c>
      <c r="U20" s="192">
        <f>INDEX('Revenue by Customer'!U:U,MATCH('Full Customer List'!$B20,'Revenue by Customer'!$A:$A,0))</f>
        <v>2525</v>
      </c>
      <c r="V20" s="192">
        <f>INDEX('Revenue by Customer'!V:V,MATCH('Full Customer List'!$B20,'Revenue by Customer'!$A:$A,0))</f>
        <v>2275</v>
      </c>
      <c r="W20" s="192">
        <f>INDEX('Revenue by Customer'!W:W,MATCH('Full Customer List'!$B20,'Revenue by Customer'!$A:$A,0))</f>
        <v>2285</v>
      </c>
      <c r="X20" s="192">
        <f>INDEX('Revenue by Customer'!X:X,MATCH('Full Customer List'!$B20,'Revenue by Customer'!$A:$A,0))</f>
        <v>2585</v>
      </c>
      <c r="Y20" s="192">
        <f>INDEX('Revenue by Customer'!Y:Y,MATCH('Full Customer List'!$B20,'Revenue by Customer'!$A:$A,0))</f>
        <v>2285</v>
      </c>
      <c r="Z20" s="192">
        <f>INDEX('Revenue by Customer'!Z:Z,MATCH('Full Customer List'!$B20,'Revenue by Customer'!$A:$A,0))</f>
        <v>2285</v>
      </c>
      <c r="AA20" s="192">
        <f>INDEX('Revenue by Customer'!AA:AA,MATCH('Full Customer List'!$B20,'Revenue by Customer'!$A:$A,0))</f>
        <v>2285</v>
      </c>
      <c r="AB20" s="192">
        <f>INDEX('Revenue by Customer'!AB:AB,MATCH('Full Customer List'!$B20,'Revenue by Customer'!$A:$A,0))</f>
        <v>2285</v>
      </c>
      <c r="AC20" s="192">
        <f>INDEX('Revenue by Customer'!AC:AC,MATCH('Full Customer List'!$B20,'Revenue by Customer'!$A:$A,0))</f>
        <v>2285</v>
      </c>
    </row>
    <row r="21" spans="2:29" ht="12" customHeight="1">
      <c r="B21" s="173" t="s">
        <v>564</v>
      </c>
      <c r="C21" s="173" t="str">
        <f>INDEX('Customer List'!$B:$B,MATCH('Full Customer List'!$B21,'Customer List'!$A:$A,0))</f>
        <v>Active</v>
      </c>
      <c r="D21" s="173" t="str">
        <f>INDEX('Customer List'!$C:$C,MATCH('Full Customer List'!$B21,'Customer List'!$A:$A,0))</f>
        <v>Property manager</v>
      </c>
      <c r="E21" s="173" t="str">
        <f>INDEX('Customer List Mapping'!$C:$C,MATCH('Full Customer List'!D21,'Customer List Mapping'!$B:$B,0))</f>
        <v>Property Manager</v>
      </c>
      <c r="F21" s="192">
        <f>INDEX('Customer List'!$K:$K,MATCH('Full Customer List'!$B21,'Customer List'!$A:$A,0))</f>
        <v>60</v>
      </c>
      <c r="G21" s="192">
        <f>INDEX('Revenue by Customer'!$I:$I,MATCH('Full Customer List'!$B21,'Revenue by Customer'!$A:$A,0))</f>
        <v>2644.6666666666665</v>
      </c>
      <c r="H21" s="257" t="str">
        <f>IFERROR(IF(C21="Active","",INDEX('Client Departures'!$G:$G,MATCH('Full Customer List'!$B21,'Client Departures'!$A:$A,0))),"Unclassified")</f>
        <v/>
      </c>
      <c r="I21" s="196">
        <v>45778</v>
      </c>
      <c r="J21" s="196"/>
      <c r="K21" s="192" t="str">
        <f>INDEX('Revenue by Customer'!K:K,MATCH('Full Customer List'!$B21,'Revenue by Customer'!$A:$A,0))</f>
        <v/>
      </c>
      <c r="L21" s="192" t="str">
        <f>INDEX('Revenue by Customer'!L:L,MATCH('Full Customer List'!$B21,'Revenue by Customer'!$A:$A,0))</f>
        <v/>
      </c>
      <c r="M21" s="192" t="str">
        <f>INDEX('Revenue by Customer'!M:M,MATCH('Full Customer List'!$B21,'Revenue by Customer'!$A:$A,0))</f>
        <v/>
      </c>
      <c r="N21" s="192" t="str">
        <f>INDEX('Revenue by Customer'!N:N,MATCH('Full Customer List'!$B21,'Revenue by Customer'!$A:$A,0))</f>
        <v/>
      </c>
      <c r="O21" s="192">
        <f>INDEX('Revenue by Customer'!O:O,MATCH('Full Customer List'!$B21,'Revenue by Customer'!$A:$A,0))</f>
        <v>2925</v>
      </c>
      <c r="P21" s="192">
        <f>INDEX('Revenue by Customer'!P:P,MATCH('Full Customer List'!$B21,'Revenue by Customer'!$A:$A,0))</f>
        <v>1675</v>
      </c>
      <c r="Q21" s="192">
        <f>INDEX('Revenue by Customer'!Q:Q,MATCH('Full Customer List'!$B21,'Revenue by Customer'!$A:$A,0))</f>
        <v>1864</v>
      </c>
      <c r="R21" s="192">
        <f>INDEX('Revenue by Customer'!R:R,MATCH('Full Customer List'!$B21,'Revenue by Customer'!$A:$A,0))</f>
        <v>1927</v>
      </c>
      <c r="S21" s="192">
        <f>INDEX('Revenue by Customer'!S:S,MATCH('Full Customer List'!$B21,'Revenue by Customer'!$A:$A,0))</f>
        <v>1990</v>
      </c>
      <c r="T21" s="192">
        <f>INDEX('Revenue by Customer'!T:T,MATCH('Full Customer List'!$B21,'Revenue by Customer'!$A:$A,0))</f>
        <v>2053</v>
      </c>
      <c r="U21" s="192">
        <f>INDEX('Revenue by Customer'!U:U,MATCH('Full Customer List'!$B21,'Revenue by Customer'!$A:$A,0))</f>
        <v>2179</v>
      </c>
      <c r="V21" s="192">
        <f>INDEX('Revenue by Customer'!V:V,MATCH('Full Customer List'!$B21,'Revenue by Customer'!$A:$A,0))</f>
        <v>1801</v>
      </c>
      <c r="W21" s="192">
        <f>INDEX('Revenue by Customer'!W:W,MATCH('Full Customer List'!$B21,'Revenue by Customer'!$A:$A,0))</f>
        <v>2656</v>
      </c>
      <c r="X21" s="192">
        <f>INDEX('Revenue by Customer'!X:X,MATCH('Full Customer List'!$B21,'Revenue by Customer'!$A:$A,0))</f>
        <v>1612</v>
      </c>
      <c r="Y21" s="192">
        <f>INDEX('Revenue by Customer'!Y:Y,MATCH('Full Customer List'!$B21,'Revenue by Customer'!$A:$A,0))</f>
        <v>2431</v>
      </c>
      <c r="Z21" s="192">
        <f>INDEX('Revenue by Customer'!Z:Z,MATCH('Full Customer List'!$B21,'Revenue by Customer'!$A:$A,0))</f>
        <v>2557</v>
      </c>
      <c r="AA21" s="192">
        <f>INDEX('Revenue by Customer'!AA:AA,MATCH('Full Customer List'!$B21,'Revenue by Customer'!$A:$A,0))</f>
        <v>2460</v>
      </c>
      <c r="AB21" s="192">
        <f>INDEX('Revenue by Customer'!AB:AB,MATCH('Full Customer List'!$B21,'Revenue by Customer'!$A:$A,0))</f>
        <v>2732</v>
      </c>
      <c r="AC21" s="192">
        <f>INDEX('Revenue by Customer'!AC:AC,MATCH('Full Customer List'!$B21,'Revenue by Customer'!$A:$A,0))</f>
        <v>2742</v>
      </c>
    </row>
    <row r="22" spans="2:29" ht="12" customHeight="1">
      <c r="B22" s="173" t="s">
        <v>566</v>
      </c>
      <c r="C22" s="173" t="str">
        <f>INDEX('Customer List'!$B:$B,MATCH('Full Customer List'!$B22,'Customer List'!$A:$A,0))</f>
        <v>Former client</v>
      </c>
      <c r="D22" s="173" t="str">
        <f>INDEX('Customer List'!$C:$C,MATCH('Full Customer List'!$B22,'Customer List'!$A:$A,0))</f>
        <v>Property manager</v>
      </c>
      <c r="E22" s="173" t="str">
        <f>INDEX('Customer List Mapping'!$C:$C,MATCH('Full Customer List'!D22,'Customer List Mapping'!$B:$B,0))</f>
        <v>Property Manager</v>
      </c>
      <c r="F22" s="192">
        <f>INDEX('Customer List'!$K:$K,MATCH('Full Customer List'!$B22,'Customer List'!$A:$A,0))</f>
        <v>73</v>
      </c>
      <c r="G22" s="192">
        <f>INDEX('Revenue by Customer'!$I:$I,MATCH('Full Customer List'!$B22,'Revenue by Customer'!$A:$A,0))</f>
        <v>3006.6666666666665</v>
      </c>
      <c r="H22" s="257" t="str">
        <f>IFERROR(IF(C22="Active","",INDEX('Client Departures'!$G:$G,MATCH('Full Customer List'!$B22,'Client Departures'!$A:$A,0))),"Unclassified")</f>
        <v>Yes</v>
      </c>
      <c r="I22" s="196">
        <v>45870</v>
      </c>
      <c r="J22" s="196">
        <v>46142</v>
      </c>
      <c r="K22" s="192" t="str">
        <f>INDEX('Revenue by Customer'!K:K,MATCH('Full Customer List'!$B22,'Revenue by Customer'!$A:$A,0))</f>
        <v/>
      </c>
      <c r="L22" s="192" t="str">
        <f>INDEX('Revenue by Customer'!L:L,MATCH('Full Customer List'!$B22,'Revenue by Customer'!$A:$A,0))</f>
        <v/>
      </c>
      <c r="M22" s="192" t="str">
        <f>INDEX('Revenue by Customer'!M:M,MATCH('Full Customer List'!$B22,'Revenue by Customer'!$A:$A,0))</f>
        <v/>
      </c>
      <c r="N22" s="192" t="str">
        <f>INDEX('Revenue by Customer'!N:N,MATCH('Full Customer List'!$B22,'Revenue by Customer'!$A:$A,0))</f>
        <v/>
      </c>
      <c r="O22" s="192" t="str">
        <f>INDEX('Revenue by Customer'!O:O,MATCH('Full Customer List'!$B22,'Revenue by Customer'!$A:$A,0))</f>
        <v/>
      </c>
      <c r="P22" s="192" t="str">
        <f>INDEX('Revenue by Customer'!P:P,MATCH('Full Customer List'!$B22,'Revenue by Customer'!$A:$A,0))</f>
        <v/>
      </c>
      <c r="Q22" s="192" t="str">
        <f>INDEX('Revenue by Customer'!Q:Q,MATCH('Full Customer List'!$B22,'Revenue by Customer'!$A:$A,0))</f>
        <v/>
      </c>
      <c r="R22" s="192">
        <f>INDEX('Revenue by Customer'!R:R,MATCH('Full Customer List'!$B22,'Revenue by Customer'!$A:$A,0))</f>
        <v>2800</v>
      </c>
      <c r="S22" s="192">
        <f>INDEX('Revenue by Customer'!S:S,MATCH('Full Customer List'!$B22,'Revenue by Customer'!$A:$A,0))</f>
        <v>2800</v>
      </c>
      <c r="T22" s="192">
        <f>INDEX('Revenue by Customer'!T:T,MATCH('Full Customer List'!$B22,'Revenue by Customer'!$A:$A,0))</f>
        <v>3699.5</v>
      </c>
      <c r="U22" s="192">
        <f>INDEX('Revenue by Customer'!U:U,MATCH('Full Customer List'!$B22,'Revenue by Customer'!$A:$A,0))</f>
        <v>2540</v>
      </c>
      <c r="V22" s="192">
        <f>INDEX('Revenue by Customer'!V:V,MATCH('Full Customer List'!$B22,'Revenue by Customer'!$A:$A,0))</f>
        <v>2540</v>
      </c>
      <c r="W22" s="192">
        <f>INDEX('Revenue by Customer'!W:W,MATCH('Full Customer List'!$B22,'Revenue by Customer'!$A:$A,0))</f>
        <v>2620</v>
      </c>
      <c r="X22" s="192">
        <f>INDEX('Revenue by Customer'!X:X,MATCH('Full Customer List'!$B22,'Revenue by Customer'!$A:$A,0))</f>
        <v>3180</v>
      </c>
      <c r="Y22" s="192">
        <f>INDEX('Revenue by Customer'!Y:Y,MATCH('Full Customer List'!$B22,'Revenue by Customer'!$A:$A,0))</f>
        <v>2820</v>
      </c>
      <c r="Z22" s="192">
        <f>INDEX('Revenue by Customer'!Z:Z,MATCH('Full Customer List'!$B22,'Revenue by Customer'!$A:$A,0))</f>
        <v>3020</v>
      </c>
      <c r="AA22" s="192" t="str">
        <f>INDEX('Revenue by Customer'!AA:AA,MATCH('Full Customer List'!$B22,'Revenue by Customer'!$A:$A,0))</f>
        <v/>
      </c>
      <c r="AB22" s="192" t="str">
        <f>INDEX('Revenue by Customer'!AB:AB,MATCH('Full Customer List'!$B22,'Revenue by Customer'!$A:$A,0))</f>
        <v/>
      </c>
      <c r="AC22" s="192" t="str">
        <f>INDEX('Revenue by Customer'!AC:AC,MATCH('Full Customer List'!$B22,'Revenue by Customer'!$A:$A,0))</f>
        <v/>
      </c>
    </row>
    <row r="23" spans="2:29" ht="12" customHeight="1">
      <c r="B23" s="173" t="s">
        <v>572</v>
      </c>
      <c r="C23" s="173" t="str">
        <f>INDEX('Customer List'!$B:$B,MATCH('Full Customer List'!$B23,'Customer List'!$A:$A,0))</f>
        <v>Active</v>
      </c>
      <c r="D23" s="173" t="str">
        <f>INDEX('Customer List'!$C:$C,MATCH('Full Customer List'!$B23,'Customer List'!$A:$A,0))</f>
        <v>Property manager</v>
      </c>
      <c r="E23" s="173" t="str">
        <f>INDEX('Customer List Mapping'!$C:$C,MATCH('Full Customer List'!D23,'Customer List Mapping'!$B:$B,0))</f>
        <v>Property Manager</v>
      </c>
      <c r="F23" s="192">
        <f>INDEX('Customer List'!$K:$K,MATCH('Full Customer List'!$B23,'Customer List'!$A:$A,0))</f>
        <v>42</v>
      </c>
      <c r="G23" s="192">
        <f>INDEX('Revenue by Customer'!$I:$I,MATCH('Full Customer List'!$B23,'Revenue by Customer'!$A:$A,0))</f>
        <v>2335.6666666666665</v>
      </c>
      <c r="H23" s="257" t="str">
        <f>IFERROR(IF(C23="Active","",INDEX('Client Departures'!$G:$G,MATCH('Full Customer List'!$B23,'Client Departures'!$A:$A,0))),"Unclassified")</f>
        <v/>
      </c>
      <c r="I23" s="196">
        <v>45839</v>
      </c>
      <c r="J23" s="196"/>
      <c r="K23" s="192" t="str">
        <f>INDEX('Revenue by Customer'!K:K,MATCH('Full Customer List'!$B23,'Revenue by Customer'!$A:$A,0))</f>
        <v/>
      </c>
      <c r="L23" s="192" t="str">
        <f>INDEX('Revenue by Customer'!L:L,MATCH('Full Customer List'!$B23,'Revenue by Customer'!$A:$A,0))</f>
        <v/>
      </c>
      <c r="M23" s="192" t="str">
        <f>INDEX('Revenue by Customer'!M:M,MATCH('Full Customer List'!$B23,'Revenue by Customer'!$A:$A,0))</f>
        <v/>
      </c>
      <c r="N23" s="192" t="str">
        <f>INDEX('Revenue by Customer'!N:N,MATCH('Full Customer List'!$B23,'Revenue by Customer'!$A:$A,0))</f>
        <v/>
      </c>
      <c r="O23" s="192" t="str">
        <f>INDEX('Revenue by Customer'!O:O,MATCH('Full Customer List'!$B23,'Revenue by Customer'!$A:$A,0))</f>
        <v/>
      </c>
      <c r="P23" s="192" t="str">
        <f>INDEX('Revenue by Customer'!P:P,MATCH('Full Customer List'!$B23,'Revenue by Customer'!$A:$A,0))</f>
        <v/>
      </c>
      <c r="Q23" s="192">
        <f>INDEX('Revenue by Customer'!Q:Q,MATCH('Full Customer List'!$B23,'Revenue by Customer'!$A:$A,0))</f>
        <v>3840</v>
      </c>
      <c r="R23" s="192">
        <f>INDEX('Revenue by Customer'!R:R,MATCH('Full Customer List'!$B23,'Revenue by Customer'!$A:$A,0))</f>
        <v>2025</v>
      </c>
      <c r="S23" s="192">
        <f>INDEX('Revenue by Customer'!S:S,MATCH('Full Customer List'!$B23,'Revenue by Customer'!$A:$A,0))</f>
        <v>1970</v>
      </c>
      <c r="T23" s="192">
        <f>INDEX('Revenue by Customer'!T:T,MATCH('Full Customer List'!$B23,'Revenue by Customer'!$A:$A,0))</f>
        <v>2025</v>
      </c>
      <c r="U23" s="192">
        <f>INDEX('Revenue by Customer'!U:U,MATCH('Full Customer List'!$B23,'Revenue by Customer'!$A:$A,0))</f>
        <v>1970</v>
      </c>
      <c r="V23" s="192">
        <f>INDEX('Revenue by Customer'!V:V,MATCH('Full Customer List'!$B23,'Revenue by Customer'!$A:$A,0))</f>
        <v>2080</v>
      </c>
      <c r="W23" s="192">
        <f>INDEX('Revenue by Customer'!W:W,MATCH('Full Customer List'!$B23,'Revenue by Customer'!$A:$A,0))</f>
        <v>1970</v>
      </c>
      <c r="X23" s="192">
        <f>INDEX('Revenue by Customer'!X:X,MATCH('Full Customer List'!$B23,'Revenue by Customer'!$A:$A,0))</f>
        <v>2235</v>
      </c>
      <c r="Y23" s="192">
        <f>INDEX('Revenue by Customer'!Y:Y,MATCH('Full Customer List'!$B23,'Revenue by Customer'!$A:$A,0))</f>
        <v>2135</v>
      </c>
      <c r="Z23" s="192">
        <f>INDEX('Revenue by Customer'!Z:Z,MATCH('Full Customer List'!$B23,'Revenue by Customer'!$A:$A,0))</f>
        <v>2135</v>
      </c>
      <c r="AA23" s="192">
        <f>INDEX('Revenue by Customer'!AA:AA,MATCH('Full Customer List'!$B23,'Revenue by Customer'!$A:$A,0))</f>
        <v>2410</v>
      </c>
      <c r="AB23" s="192">
        <f>INDEX('Revenue by Customer'!AB:AB,MATCH('Full Customer List'!$B23,'Revenue by Customer'!$A:$A,0))</f>
        <v>2355</v>
      </c>
      <c r="AC23" s="192">
        <f>INDEX('Revenue by Customer'!AC:AC,MATCH('Full Customer List'!$B23,'Revenue by Customer'!$A:$A,0))</f>
        <v>2242</v>
      </c>
    </row>
    <row r="24" spans="2:29" ht="12" customHeight="1">
      <c r="B24" s="173" t="s">
        <v>574</v>
      </c>
      <c r="C24" s="173" t="str">
        <f>INDEX('Customer List'!$B:$B,MATCH('Full Customer List'!$B24,'Customer List'!$A:$A,0))</f>
        <v>Active</v>
      </c>
      <c r="D24" s="173" t="str">
        <f>INDEX('Customer List'!$C:$C,MATCH('Full Customer List'!$B24,'Customer List'!$A:$A,0))</f>
        <v>Property manager</v>
      </c>
      <c r="E24" s="173" t="str">
        <f>INDEX('Customer List Mapping'!$C:$C,MATCH('Full Customer List'!D24,'Customer List Mapping'!$B:$B,0))</f>
        <v>Property Manager</v>
      </c>
      <c r="F24" s="192">
        <f>INDEX('Customer List'!$K:$K,MATCH('Full Customer List'!$B24,'Customer List'!$A:$A,0))</f>
        <v>47</v>
      </c>
      <c r="G24" s="192">
        <f>INDEX('Revenue by Customer'!$I:$I,MATCH('Full Customer List'!$B24,'Revenue by Customer'!$A:$A,0))</f>
        <v>3262.6666666666665</v>
      </c>
      <c r="H24" s="257" t="str">
        <f>IFERROR(IF(C24="Active","",INDEX('Client Departures'!$G:$G,MATCH('Full Customer List'!$B24,'Client Departures'!$A:$A,0))),"Unclassified")</f>
        <v/>
      </c>
      <c r="I24" s="196">
        <v>45231</v>
      </c>
      <c r="J24" s="196"/>
      <c r="K24" s="192">
        <f>INDEX('Revenue by Customer'!K:K,MATCH('Full Customer List'!$B24,'Revenue by Customer'!$A:$A,0))</f>
        <v>733</v>
      </c>
      <c r="L24" s="192">
        <f>INDEX('Revenue by Customer'!L:L,MATCH('Full Customer List'!$B24,'Revenue by Customer'!$A:$A,0))</f>
        <v>869</v>
      </c>
      <c r="M24" s="192">
        <f>INDEX('Revenue by Customer'!M:M,MATCH('Full Customer List'!$B24,'Revenue by Customer'!$A:$A,0))</f>
        <v>869</v>
      </c>
      <c r="N24" s="192">
        <f>INDEX('Revenue by Customer'!N:N,MATCH('Full Customer List'!$B24,'Revenue by Customer'!$A:$A,0))</f>
        <v>926</v>
      </c>
      <c r="O24" s="192">
        <f>INDEX('Revenue by Customer'!O:O,MATCH('Full Customer List'!$B24,'Revenue by Customer'!$A:$A,0))</f>
        <v>1055</v>
      </c>
      <c r="P24" s="192">
        <f>INDEX('Revenue by Customer'!P:P,MATCH('Full Customer List'!$B24,'Revenue by Customer'!$A:$A,0))</f>
        <v>1189</v>
      </c>
      <c r="Q24" s="192">
        <f>INDEX('Revenue by Customer'!Q:Q,MATCH('Full Customer List'!$B24,'Revenue by Customer'!$A:$A,0))</f>
        <v>1457</v>
      </c>
      <c r="R24" s="192">
        <f>INDEX('Revenue by Customer'!R:R,MATCH('Full Customer List'!$B24,'Revenue by Customer'!$A:$A,0))</f>
        <v>1524</v>
      </c>
      <c r="S24" s="192">
        <f>INDEX('Revenue by Customer'!S:S,MATCH('Full Customer List'!$B24,'Revenue by Customer'!$A:$A,0))</f>
        <v>1524</v>
      </c>
      <c r="T24" s="192">
        <f>INDEX('Revenue by Customer'!T:T,MATCH('Full Customer List'!$B24,'Revenue by Customer'!$A:$A,0))</f>
        <v>1524</v>
      </c>
      <c r="U24" s="192">
        <f>INDEX('Revenue by Customer'!U:U,MATCH('Full Customer List'!$B24,'Revenue by Customer'!$A:$A,0))</f>
        <v>1658</v>
      </c>
      <c r="V24" s="192">
        <f>INDEX('Revenue by Customer'!V:V,MATCH('Full Customer List'!$B24,'Revenue by Customer'!$A:$A,0))</f>
        <v>1658</v>
      </c>
      <c r="W24" s="192">
        <f>INDEX('Revenue by Customer'!W:W,MATCH('Full Customer List'!$B24,'Revenue by Customer'!$A:$A,0))</f>
        <v>1658</v>
      </c>
      <c r="X24" s="192">
        <f>INDEX('Revenue by Customer'!X:X,MATCH('Full Customer List'!$B24,'Revenue by Customer'!$A:$A,0))</f>
        <v>2197</v>
      </c>
      <c r="Y24" s="192">
        <f>INDEX('Revenue by Customer'!Y:Y,MATCH('Full Customer List'!$B24,'Revenue by Customer'!$A:$A,0))</f>
        <v>1993</v>
      </c>
      <c r="Z24" s="192">
        <f>INDEX('Revenue by Customer'!Z:Z,MATCH('Full Customer List'!$B24,'Revenue by Customer'!$A:$A,0))</f>
        <v>2003</v>
      </c>
      <c r="AA24" s="192">
        <f>INDEX('Revenue by Customer'!AA:AA,MATCH('Full Customer List'!$B24,'Revenue by Customer'!$A:$A,0))</f>
        <v>2333</v>
      </c>
      <c r="AB24" s="192">
        <f>INDEX('Revenue by Customer'!AB:AB,MATCH('Full Customer List'!$B24,'Revenue by Customer'!$A:$A,0))</f>
        <v>4666</v>
      </c>
      <c r="AC24" s="192">
        <f>INDEX('Revenue by Customer'!AC:AC,MATCH('Full Customer List'!$B24,'Revenue by Customer'!$A:$A,0))</f>
        <v>2789</v>
      </c>
    </row>
    <row r="25" spans="2:29" ht="12" customHeight="1">
      <c r="B25" s="173" t="s">
        <v>576</v>
      </c>
      <c r="C25" s="173" t="str">
        <f>INDEX('Customer List'!$B:$B,MATCH('Full Customer List'!$B25,'Customer List'!$A:$A,0))</f>
        <v>Active</v>
      </c>
      <c r="D25" s="173" t="str">
        <f>INDEX('Customer List'!$C:$C,MATCH('Full Customer List'!$B25,'Customer List'!$A:$A,0))</f>
        <v>Property manager</v>
      </c>
      <c r="E25" s="173" t="str">
        <f>INDEX('Customer List Mapping'!$C:$C,MATCH('Full Customer List'!D25,'Customer List Mapping'!$B:$B,0))</f>
        <v>Property Manager</v>
      </c>
      <c r="F25" s="192">
        <f>INDEX('Customer List'!$K:$K,MATCH('Full Customer List'!$B25,'Customer List'!$A:$A,0))</f>
        <v>26</v>
      </c>
      <c r="G25" s="192">
        <f>INDEX('Revenue by Customer'!$I:$I,MATCH('Full Customer List'!$B25,'Revenue by Customer'!$A:$A,0))</f>
        <v>2095.6666666666665</v>
      </c>
      <c r="H25" s="257" t="str">
        <f>IFERROR(IF(C25="Active","",INDEX('Client Departures'!$G:$G,MATCH('Full Customer List'!$B25,'Client Departures'!$A:$A,0))),"Unclassified")</f>
        <v/>
      </c>
      <c r="I25" s="196">
        <v>44958</v>
      </c>
      <c r="J25" s="196"/>
      <c r="K25" s="192">
        <f>INDEX('Revenue by Customer'!K:K,MATCH('Full Customer List'!$B25,'Revenue by Customer'!$A:$A,0))</f>
        <v>1767</v>
      </c>
      <c r="L25" s="192">
        <f>INDEX('Revenue by Customer'!L:L,MATCH('Full Customer List'!$B25,'Revenue by Customer'!$A:$A,0))</f>
        <v>1415</v>
      </c>
      <c r="M25" s="192">
        <f>INDEX('Revenue by Customer'!M:M,MATCH('Full Customer List'!$B25,'Revenue by Customer'!$A:$A,0))</f>
        <v>1325</v>
      </c>
      <c r="N25" s="192">
        <f>INDEX('Revenue by Customer'!N:N,MATCH('Full Customer List'!$B25,'Revenue by Customer'!$A:$A,0))</f>
        <v>1325</v>
      </c>
      <c r="O25" s="192">
        <f>INDEX('Revenue by Customer'!O:O,MATCH('Full Customer List'!$B25,'Revenue by Customer'!$A:$A,0))</f>
        <v>1400</v>
      </c>
      <c r="P25" s="192">
        <f>INDEX('Revenue by Customer'!P:P,MATCH('Full Customer List'!$B25,'Revenue by Customer'!$A:$A,0))</f>
        <v>1400</v>
      </c>
      <c r="Q25" s="192">
        <f>INDEX('Revenue by Customer'!Q:Q,MATCH('Full Customer List'!$B25,'Revenue by Customer'!$A:$A,0))</f>
        <v>1475</v>
      </c>
      <c r="R25" s="192">
        <f>INDEX('Revenue by Customer'!R:R,MATCH('Full Customer List'!$B25,'Revenue by Customer'!$A:$A,0))</f>
        <v>1625</v>
      </c>
      <c r="S25" s="192">
        <f>INDEX('Revenue by Customer'!S:S,MATCH('Full Customer List'!$B25,'Revenue by Customer'!$A:$A,0))</f>
        <v>1730</v>
      </c>
      <c r="T25" s="192">
        <f>INDEX('Revenue by Customer'!T:T,MATCH('Full Customer List'!$B25,'Revenue by Customer'!$A:$A,0))</f>
        <v>2186</v>
      </c>
      <c r="U25" s="192">
        <f>INDEX('Revenue by Customer'!U:U,MATCH('Full Customer List'!$B25,'Revenue by Customer'!$A:$A,0))</f>
        <v>2097</v>
      </c>
      <c r="V25" s="192">
        <f>INDEX('Revenue by Customer'!V:V,MATCH('Full Customer List'!$B25,'Revenue by Customer'!$A:$A,0))</f>
        <v>2102</v>
      </c>
      <c r="W25" s="192">
        <f>INDEX('Revenue by Customer'!W:W,MATCH('Full Customer List'!$B25,'Revenue by Customer'!$A:$A,0))</f>
        <v>2254</v>
      </c>
      <c r="X25" s="192">
        <f>INDEX('Revenue by Customer'!X:X,MATCH('Full Customer List'!$B25,'Revenue by Customer'!$A:$A,0))</f>
        <v>2774</v>
      </c>
      <c r="Y25" s="192">
        <f>INDEX('Revenue by Customer'!Y:Y,MATCH('Full Customer List'!$B25,'Revenue by Customer'!$A:$A,0))</f>
        <v>2279</v>
      </c>
      <c r="Z25" s="192">
        <f>INDEX('Revenue by Customer'!Z:Z,MATCH('Full Customer List'!$B25,'Revenue by Customer'!$A:$A,0))</f>
        <v>1975</v>
      </c>
      <c r="AA25" s="192">
        <f>INDEX('Revenue by Customer'!AA:AA,MATCH('Full Customer List'!$B25,'Revenue by Customer'!$A:$A,0))</f>
        <v>2042</v>
      </c>
      <c r="AB25" s="192">
        <f>INDEX('Revenue by Customer'!AB:AB,MATCH('Full Customer List'!$B25,'Revenue by Customer'!$A:$A,0))</f>
        <v>2194</v>
      </c>
      <c r="AC25" s="192">
        <f>INDEX('Revenue by Customer'!AC:AC,MATCH('Full Customer List'!$B25,'Revenue by Customer'!$A:$A,0))</f>
        <v>2051</v>
      </c>
    </row>
    <row r="26" spans="2:29" ht="12" customHeight="1">
      <c r="B26" s="173" t="s">
        <v>580</v>
      </c>
      <c r="C26" s="173" t="str">
        <f>INDEX('Customer List'!$B:$B,MATCH('Full Customer List'!$B26,'Customer List'!$A:$A,0))</f>
        <v>Active</v>
      </c>
      <c r="D26" s="173" t="str">
        <f>INDEX('Customer List'!$C:$C,MATCH('Full Customer List'!$B26,'Customer List'!$A:$A,0))</f>
        <v>Property manager</v>
      </c>
      <c r="E26" s="173" t="str">
        <f>INDEX('Customer List Mapping'!$C:$C,MATCH('Full Customer List'!D26,'Customer List Mapping'!$B:$B,0))</f>
        <v>Property Manager</v>
      </c>
      <c r="F26" s="192">
        <f>INDEX('Customer List'!$K:$K,MATCH('Full Customer List'!$B26,'Customer List'!$A:$A,0))</f>
        <v>26</v>
      </c>
      <c r="G26" s="192">
        <f>INDEX('Revenue by Customer'!$I:$I,MATCH('Full Customer List'!$B26,'Revenue by Customer'!$A:$A,0))</f>
        <v>1808.3333333333333</v>
      </c>
      <c r="H26" s="257" t="str">
        <f>IFERROR(IF(C26="Active","",INDEX('Client Departures'!$G:$G,MATCH('Full Customer List'!$B26,'Client Departures'!$A:$A,0))),"Unclassified")</f>
        <v/>
      </c>
      <c r="I26" s="196">
        <v>45658</v>
      </c>
      <c r="J26" s="196"/>
      <c r="K26" s="192">
        <f>INDEX('Revenue by Customer'!K:K,MATCH('Full Customer List'!$B26,'Revenue by Customer'!$A:$A,0))</f>
        <v>2168</v>
      </c>
      <c r="L26" s="192">
        <f>INDEX('Revenue by Customer'!L:L,MATCH('Full Customer List'!$B26,'Revenue by Customer'!$A:$A,0))</f>
        <v>1466</v>
      </c>
      <c r="M26" s="192">
        <f>INDEX('Revenue by Customer'!M:M,MATCH('Full Customer List'!$B26,'Revenue by Customer'!$A:$A,0))</f>
        <v>1466</v>
      </c>
      <c r="N26" s="192">
        <f>INDEX('Revenue by Customer'!N:N,MATCH('Full Customer List'!$B26,'Revenue by Customer'!$A:$A,0))</f>
        <v>1466</v>
      </c>
      <c r="O26" s="192">
        <f>INDEX('Revenue by Customer'!O:O,MATCH('Full Customer List'!$B26,'Revenue by Customer'!$A:$A,0))</f>
        <v>1565</v>
      </c>
      <c r="P26" s="192">
        <f>INDEX('Revenue by Customer'!P:P,MATCH('Full Customer List'!$B26,'Revenue by Customer'!$A:$A,0))</f>
        <v>1620</v>
      </c>
      <c r="Q26" s="192">
        <f>INDEX('Revenue by Customer'!Q:Q,MATCH('Full Customer List'!$B26,'Revenue by Customer'!$A:$A,0))</f>
        <v>1660</v>
      </c>
      <c r="R26" s="192">
        <f>INDEX('Revenue by Customer'!R:R,MATCH('Full Customer List'!$B26,'Revenue by Customer'!$A:$A,0))</f>
        <v>1755</v>
      </c>
      <c r="S26" s="192">
        <f>INDEX('Revenue by Customer'!S:S,MATCH('Full Customer List'!$B26,'Revenue by Customer'!$A:$A,0))</f>
        <v>1660</v>
      </c>
      <c r="T26" s="192">
        <f>INDEX('Revenue by Customer'!T:T,MATCH('Full Customer List'!$B26,'Revenue by Customer'!$A:$A,0))</f>
        <v>1993</v>
      </c>
      <c r="U26" s="192">
        <f>INDEX('Revenue by Customer'!U:U,MATCH('Full Customer List'!$B26,'Revenue by Customer'!$A:$A,0))</f>
        <v>2211</v>
      </c>
      <c r="V26" s="192">
        <f>INDEX('Revenue by Customer'!V:V,MATCH('Full Customer List'!$B26,'Revenue by Customer'!$A:$A,0))</f>
        <v>2320</v>
      </c>
      <c r="W26" s="192">
        <f>INDEX('Revenue by Customer'!W:W,MATCH('Full Customer List'!$B26,'Revenue by Customer'!$A:$A,0))</f>
        <v>2211</v>
      </c>
      <c r="X26" s="192">
        <f>INDEX('Revenue by Customer'!X:X,MATCH('Full Customer List'!$B26,'Revenue by Customer'!$A:$A,0))</f>
        <v>3246</v>
      </c>
      <c r="Y26" s="192">
        <f>INDEX('Revenue by Customer'!Y:Y,MATCH('Full Customer List'!$B26,'Revenue by Customer'!$A:$A,0))</f>
        <v>2429</v>
      </c>
      <c r="Z26" s="192">
        <f>INDEX('Revenue by Customer'!Z:Z,MATCH('Full Customer List'!$B26,'Revenue by Customer'!$A:$A,0))</f>
        <v>1630.2</v>
      </c>
      <c r="AA26" s="192">
        <f>INDEX('Revenue by Customer'!AA:AA,MATCH('Full Customer List'!$B26,'Revenue by Customer'!$A:$A,0))</f>
        <v>1816</v>
      </c>
      <c r="AB26" s="192">
        <f>INDEX('Revenue by Customer'!AB:AB,MATCH('Full Customer List'!$B26,'Revenue by Customer'!$A:$A,0))</f>
        <v>1724</v>
      </c>
      <c r="AC26" s="192">
        <f>INDEX('Revenue by Customer'!AC:AC,MATCH('Full Customer List'!$B26,'Revenue by Customer'!$A:$A,0))</f>
        <v>1885</v>
      </c>
    </row>
    <row r="27" spans="2:29" ht="12" customHeight="1">
      <c r="B27" s="173" t="s">
        <v>582</v>
      </c>
      <c r="C27" s="173" t="str">
        <f>INDEX('Customer List'!$B:$B,MATCH('Full Customer List'!$B27,'Customer List'!$A:$A,0))</f>
        <v>Active</v>
      </c>
      <c r="D27" s="173" t="str">
        <f>INDEX('Customer List'!$C:$C,MATCH('Full Customer List'!$B27,'Customer List'!$A:$A,0))</f>
        <v>Property manager</v>
      </c>
      <c r="E27" s="173" t="str">
        <f>INDEX('Customer List Mapping'!$C:$C,MATCH('Full Customer List'!D27,'Customer List Mapping'!$B:$B,0))</f>
        <v>Property Manager</v>
      </c>
      <c r="F27" s="192">
        <f>INDEX('Customer List'!$K:$K,MATCH('Full Customer List'!$B27,'Customer List'!$A:$A,0))</f>
        <v>34</v>
      </c>
      <c r="G27" s="192">
        <f>INDEX('Revenue by Customer'!$I:$I,MATCH('Full Customer List'!$B27,'Revenue by Customer'!$A:$A,0))</f>
        <v>1933.3333333333333</v>
      </c>
      <c r="H27" s="257" t="str">
        <f>IFERROR(IF(C27="Active","",INDEX('Client Departures'!$G:$G,MATCH('Full Customer List'!$B27,'Client Departures'!$A:$A,0))),"Unclassified")</f>
        <v/>
      </c>
      <c r="I27" s="196">
        <v>45231</v>
      </c>
      <c r="J27" s="196"/>
      <c r="K27" s="192">
        <f>INDEX('Revenue by Customer'!K:K,MATCH('Full Customer List'!$B27,'Revenue by Customer'!$A:$A,0))</f>
        <v>1350</v>
      </c>
      <c r="L27" s="192">
        <f>INDEX('Revenue by Customer'!L:L,MATCH('Full Customer List'!$B27,'Revenue by Customer'!$A:$A,0))</f>
        <v>1620</v>
      </c>
      <c r="M27" s="192">
        <f>INDEX('Revenue by Customer'!M:M,MATCH('Full Customer List'!$B27,'Revenue by Customer'!$A:$A,0))</f>
        <v>1425</v>
      </c>
      <c r="N27" s="192">
        <f>INDEX('Revenue by Customer'!N:N,MATCH('Full Customer List'!$B27,'Revenue by Customer'!$A:$A,0))</f>
        <v>1575</v>
      </c>
      <c r="O27" s="192">
        <f>INDEX('Revenue by Customer'!O:O,MATCH('Full Customer List'!$B27,'Revenue by Customer'!$A:$A,0))</f>
        <v>1650</v>
      </c>
      <c r="P27" s="192">
        <f>INDEX('Revenue by Customer'!P:P,MATCH('Full Customer List'!$B27,'Revenue by Customer'!$A:$A,0))</f>
        <v>1725</v>
      </c>
      <c r="Q27" s="192">
        <f>INDEX('Revenue by Customer'!Q:Q,MATCH('Full Customer List'!$B27,'Revenue by Customer'!$A:$A,0))</f>
        <v>1800</v>
      </c>
      <c r="R27" s="192">
        <f>INDEX('Revenue by Customer'!R:R,MATCH('Full Customer List'!$B27,'Revenue by Customer'!$A:$A,0))</f>
        <v>1800</v>
      </c>
      <c r="S27" s="192">
        <f>INDEX('Revenue by Customer'!S:S,MATCH('Full Customer List'!$B27,'Revenue by Customer'!$A:$A,0))</f>
        <v>1800</v>
      </c>
      <c r="T27" s="192">
        <f>INDEX('Revenue by Customer'!T:T,MATCH('Full Customer List'!$B27,'Revenue by Customer'!$A:$A,0))</f>
        <v>1650</v>
      </c>
      <c r="U27" s="192">
        <f>INDEX('Revenue by Customer'!U:U,MATCH('Full Customer List'!$B27,'Revenue by Customer'!$A:$A,0))</f>
        <v>1595</v>
      </c>
      <c r="V27" s="192">
        <f>INDEX('Revenue by Customer'!V:V,MATCH('Full Customer List'!$B27,'Revenue by Customer'!$A:$A,0))</f>
        <v>1660</v>
      </c>
      <c r="W27" s="192">
        <f>INDEX('Revenue by Customer'!W:W,MATCH('Full Customer List'!$B27,'Revenue by Customer'!$A:$A,0))</f>
        <v>1920</v>
      </c>
      <c r="X27" s="192">
        <f>INDEX('Revenue by Customer'!X:X,MATCH('Full Customer List'!$B27,'Revenue by Customer'!$A:$A,0))</f>
        <v>2215</v>
      </c>
      <c r="Y27" s="192">
        <f>INDEX('Revenue by Customer'!Y:Y,MATCH('Full Customer List'!$B27,'Revenue by Customer'!$A:$A,0))</f>
        <v>3965</v>
      </c>
      <c r="Z27" s="192">
        <f>INDEX('Revenue by Customer'!Z:Z,MATCH('Full Customer List'!$B27,'Revenue by Customer'!$A:$A,0))</f>
        <v>1860</v>
      </c>
      <c r="AA27" s="192">
        <f>INDEX('Revenue by Customer'!AA:AA,MATCH('Full Customer List'!$B27,'Revenue by Customer'!$A:$A,0))</f>
        <v>2135</v>
      </c>
      <c r="AB27" s="192">
        <f>INDEX('Revenue by Customer'!AB:AB,MATCH('Full Customer List'!$B27,'Revenue by Customer'!$A:$A,0))</f>
        <v>2025</v>
      </c>
      <c r="AC27" s="192">
        <f>INDEX('Revenue by Customer'!AC:AC,MATCH('Full Customer List'!$B27,'Revenue by Customer'!$A:$A,0))</f>
        <v>1640</v>
      </c>
    </row>
    <row r="28" spans="2:29" ht="12" customHeight="1">
      <c r="B28" s="173" t="s">
        <v>583</v>
      </c>
      <c r="C28" s="173" t="str">
        <f>INDEX('Customer List'!$B:$B,MATCH('Full Customer List'!$B28,'Customer List'!$A:$A,0))</f>
        <v>Active</v>
      </c>
      <c r="D28" s="173" t="str">
        <f>INDEX('Customer List'!$C:$C,MATCH('Full Customer List'!$B28,'Customer List'!$A:$A,0))</f>
        <v>Property manager</v>
      </c>
      <c r="E28" s="173" t="str">
        <f>INDEX('Customer List Mapping'!$C:$C,MATCH('Full Customer List'!D28,'Customer List Mapping'!$B:$B,0))</f>
        <v>Property Manager</v>
      </c>
      <c r="F28" s="192">
        <f>INDEX('Customer List'!$K:$K,MATCH('Full Customer List'!$B28,'Customer List'!$A:$A,0))</f>
        <v>28</v>
      </c>
      <c r="G28" s="192">
        <f>INDEX('Revenue by Customer'!$I:$I,MATCH('Full Customer List'!$B28,'Revenue by Customer'!$A:$A,0))</f>
        <v>1973.3333333333333</v>
      </c>
      <c r="H28" s="257" t="str">
        <f>IFERROR(IF(C28="Active","",INDEX('Client Departures'!$G:$G,MATCH('Full Customer List'!$B28,'Client Departures'!$A:$A,0))),"Unclassified")</f>
        <v/>
      </c>
      <c r="I28" s="196">
        <v>44958</v>
      </c>
      <c r="J28" s="196"/>
      <c r="K28" s="192">
        <f>INDEX('Revenue by Customer'!K:K,MATCH('Full Customer List'!$B28,'Revenue by Customer'!$A:$A,0))</f>
        <v>2775</v>
      </c>
      <c r="L28" s="192">
        <f>INDEX('Revenue by Customer'!L:L,MATCH('Full Customer List'!$B28,'Revenue by Customer'!$A:$A,0))</f>
        <v>3285</v>
      </c>
      <c r="M28" s="192">
        <f>INDEX('Revenue by Customer'!M:M,MATCH('Full Customer List'!$B28,'Revenue by Customer'!$A:$A,0))</f>
        <v>2570</v>
      </c>
      <c r="N28" s="192">
        <f>INDEX('Revenue by Customer'!N:N,MATCH('Full Customer List'!$B28,'Revenue by Customer'!$A:$A,0))</f>
        <v>2507</v>
      </c>
      <c r="O28" s="192">
        <f>INDEX('Revenue by Customer'!O:O,MATCH('Full Customer List'!$B28,'Revenue by Customer'!$A:$A,0))</f>
        <v>2696</v>
      </c>
      <c r="P28" s="192">
        <f>INDEX('Revenue by Customer'!P:P,MATCH('Full Customer List'!$B28,'Revenue by Customer'!$A:$A,0))</f>
        <v>2570</v>
      </c>
      <c r="Q28" s="192">
        <f>INDEX('Revenue by Customer'!Q:Q,MATCH('Full Customer List'!$B28,'Revenue by Customer'!$A:$A,0))</f>
        <v>2129</v>
      </c>
      <c r="R28" s="192">
        <f>INDEX('Revenue by Customer'!R:R,MATCH('Full Customer List'!$B28,'Revenue by Customer'!$A:$A,0))</f>
        <v>2066</v>
      </c>
      <c r="S28" s="192">
        <f>INDEX('Revenue by Customer'!S:S,MATCH('Full Customer List'!$B28,'Revenue by Customer'!$A:$A,0))</f>
        <v>2129</v>
      </c>
      <c r="T28" s="192">
        <f>INDEX('Revenue by Customer'!T:T,MATCH('Full Customer List'!$B28,'Revenue by Customer'!$A:$A,0))</f>
        <v>1814</v>
      </c>
      <c r="U28" s="192">
        <f>INDEX('Revenue by Customer'!U:U,MATCH('Full Customer List'!$B28,'Revenue by Customer'!$A:$A,0))</f>
        <v>1814</v>
      </c>
      <c r="V28" s="192">
        <f>INDEX('Revenue by Customer'!V:V,MATCH('Full Customer List'!$B28,'Revenue by Customer'!$A:$A,0))</f>
        <v>1814</v>
      </c>
      <c r="W28" s="192">
        <f>INDEX('Revenue by Customer'!W:W,MATCH('Full Customer List'!$B28,'Revenue by Customer'!$A:$A,0))</f>
        <v>1940</v>
      </c>
      <c r="X28" s="192">
        <f>INDEX('Revenue by Customer'!X:X,MATCH('Full Customer List'!$B28,'Revenue by Customer'!$A:$A,0))</f>
        <v>2541</v>
      </c>
      <c r="Y28" s="192">
        <f>INDEX('Revenue by Customer'!Y:Y,MATCH('Full Customer List'!$B28,'Revenue by Customer'!$A:$A,0))</f>
        <v>2013</v>
      </c>
      <c r="Z28" s="192">
        <f>INDEX('Revenue by Customer'!Z:Z,MATCH('Full Customer List'!$B28,'Revenue by Customer'!$A:$A,0))</f>
        <v>2013</v>
      </c>
      <c r="AA28" s="192">
        <f>INDEX('Revenue by Customer'!AA:AA,MATCH('Full Customer List'!$B28,'Revenue by Customer'!$A:$A,0))</f>
        <v>2018</v>
      </c>
      <c r="AB28" s="192">
        <f>INDEX('Revenue by Customer'!AB:AB,MATCH('Full Customer List'!$B28,'Revenue by Customer'!$A:$A,0))</f>
        <v>1951</v>
      </c>
      <c r="AC28" s="192">
        <f>INDEX('Revenue by Customer'!AC:AC,MATCH('Full Customer List'!$B28,'Revenue by Customer'!$A:$A,0))</f>
        <v>1951</v>
      </c>
    </row>
    <row r="29" spans="2:29" ht="12" customHeight="1">
      <c r="B29" s="173" t="s">
        <v>587</v>
      </c>
      <c r="C29" s="173" t="str">
        <f>INDEX('Customer List'!$B:$B,MATCH('Full Customer List'!$B29,'Customer List'!$A:$A,0))</f>
        <v>Active</v>
      </c>
      <c r="D29" s="173" t="str">
        <f>INDEX('Customer List'!$C:$C,MATCH('Full Customer List'!$B29,'Customer List'!$A:$A,0))</f>
        <v>Property manager</v>
      </c>
      <c r="E29" s="173" t="str">
        <f>INDEX('Customer List Mapping'!$C:$C,MATCH('Full Customer List'!D29,'Customer List Mapping'!$B:$B,0))</f>
        <v>Property Manager</v>
      </c>
      <c r="F29" s="192">
        <f>INDEX('Customer List'!$K:$K,MATCH('Full Customer List'!$B29,'Customer List'!$A:$A,0))</f>
        <v>24</v>
      </c>
      <c r="G29" s="192">
        <f>INDEX('Revenue by Customer'!$I:$I,MATCH('Full Customer List'!$B29,'Revenue by Customer'!$A:$A,0))</f>
        <v>2051</v>
      </c>
      <c r="H29" s="257" t="str">
        <f>IFERROR(IF(C29="Active","",INDEX('Client Departures'!$G:$G,MATCH('Full Customer List'!$B29,'Client Departures'!$A:$A,0))),"Unclassified")</f>
        <v/>
      </c>
      <c r="I29" s="196">
        <v>45108</v>
      </c>
      <c r="J29" s="196"/>
      <c r="K29" s="192">
        <f>INDEX('Revenue by Customer'!K:K,MATCH('Full Customer List'!$B29,'Revenue by Customer'!$A:$A,0))</f>
        <v>1335</v>
      </c>
      <c r="L29" s="192">
        <f>INDEX('Revenue by Customer'!L:L,MATCH('Full Customer List'!$B29,'Revenue by Customer'!$A:$A,0))</f>
        <v>2234</v>
      </c>
      <c r="M29" s="192">
        <f>INDEX('Revenue by Customer'!M:M,MATCH('Full Customer List'!$B29,'Revenue by Customer'!$A:$A,0))</f>
        <v>1424</v>
      </c>
      <c r="N29" s="192">
        <f>INDEX('Revenue by Customer'!N:N,MATCH('Full Customer List'!$B29,'Revenue by Customer'!$A:$A,0))</f>
        <v>1424</v>
      </c>
      <c r="O29" s="192">
        <f>INDEX('Revenue by Customer'!O:O,MATCH('Full Customer List'!$B29,'Revenue by Customer'!$A:$A,0))</f>
        <v>1424</v>
      </c>
      <c r="P29" s="192">
        <f>INDEX('Revenue by Customer'!P:P,MATCH('Full Customer List'!$B29,'Revenue by Customer'!$A:$A,0))</f>
        <v>1513</v>
      </c>
      <c r="Q29" s="192">
        <f>INDEX('Revenue by Customer'!Q:Q,MATCH('Full Customer List'!$B29,'Revenue by Customer'!$A:$A,0))</f>
        <v>1545</v>
      </c>
      <c r="R29" s="192">
        <f>INDEX('Revenue by Customer'!R:R,MATCH('Full Customer List'!$B29,'Revenue by Customer'!$A:$A,0))</f>
        <v>1715</v>
      </c>
      <c r="S29" s="192">
        <f>INDEX('Revenue by Customer'!S:S,MATCH('Full Customer List'!$B29,'Revenue by Customer'!$A:$A,0))</f>
        <v>1800</v>
      </c>
      <c r="T29" s="192">
        <f>INDEX('Revenue by Customer'!T:T,MATCH('Full Customer List'!$B29,'Revenue by Customer'!$A:$A,0))</f>
        <v>1715</v>
      </c>
      <c r="U29" s="192">
        <f>INDEX('Revenue by Customer'!U:U,MATCH('Full Customer List'!$B29,'Revenue by Customer'!$A:$A,0))</f>
        <v>1800</v>
      </c>
      <c r="V29" s="192">
        <f>INDEX('Revenue by Customer'!V:V,MATCH('Full Customer List'!$B29,'Revenue by Customer'!$A:$A,0))</f>
        <v>1800</v>
      </c>
      <c r="W29" s="192">
        <f>INDEX('Revenue by Customer'!W:W,MATCH('Full Customer List'!$B29,'Revenue by Customer'!$A:$A,0))</f>
        <v>2455</v>
      </c>
      <c r="X29" s="192">
        <f>INDEX('Revenue by Customer'!X:X,MATCH('Full Customer List'!$B29,'Revenue by Customer'!$A:$A,0))</f>
        <v>2055</v>
      </c>
      <c r="Y29" s="192">
        <f>INDEX('Revenue by Customer'!Y:Y,MATCH('Full Customer List'!$B29,'Revenue by Customer'!$A:$A,0))</f>
        <v>2055</v>
      </c>
      <c r="Z29" s="192">
        <f>INDEX('Revenue by Customer'!Z:Z,MATCH('Full Customer List'!$B29,'Revenue by Customer'!$A:$A,0))</f>
        <v>2055</v>
      </c>
      <c r="AA29" s="192">
        <f>INDEX('Revenue by Customer'!AA:AA,MATCH('Full Customer List'!$B29,'Revenue by Customer'!$A:$A,0))</f>
        <v>2055</v>
      </c>
      <c r="AB29" s="192">
        <f>INDEX('Revenue by Customer'!AB:AB,MATCH('Full Customer List'!$B29,'Revenue by Customer'!$A:$A,0))</f>
        <v>2140</v>
      </c>
      <c r="AC29" s="192">
        <f>INDEX('Revenue by Customer'!AC:AC,MATCH('Full Customer List'!$B29,'Revenue by Customer'!$A:$A,0))</f>
        <v>1958</v>
      </c>
    </row>
    <row r="30" spans="2:29" ht="12" customHeight="1">
      <c r="B30" s="173" t="s">
        <v>590</v>
      </c>
      <c r="C30" s="173" t="str">
        <f>INDEX('Customer List'!$B:$B,MATCH('Full Customer List'!$B30,'Customer List'!$A:$A,0))</f>
        <v>Active</v>
      </c>
      <c r="D30" s="173" t="str">
        <f>INDEX('Customer List'!$C:$C,MATCH('Full Customer List'!$B30,'Customer List'!$A:$A,0))</f>
        <v>Property manager</v>
      </c>
      <c r="E30" s="173" t="str">
        <f>INDEX('Customer List Mapping'!$C:$C,MATCH('Full Customer List'!D30,'Customer List Mapping'!$B:$B,0))</f>
        <v>Property Manager</v>
      </c>
      <c r="F30" s="192">
        <f>INDEX('Customer List'!$K:$K,MATCH('Full Customer List'!$B30,'Customer List'!$A:$A,0))</f>
        <v>30</v>
      </c>
      <c r="G30" s="192">
        <f>INDEX('Revenue by Customer'!$I:$I,MATCH('Full Customer List'!$B30,'Revenue by Customer'!$A:$A,0))</f>
        <v>2461</v>
      </c>
      <c r="H30" s="257" t="str">
        <f>IFERROR(IF(C30="Active","",INDEX('Client Departures'!$G:$G,MATCH('Full Customer List'!$B30,'Client Departures'!$A:$A,0))),"Unclassified")</f>
        <v/>
      </c>
      <c r="I30" s="196">
        <v>45778</v>
      </c>
      <c r="J30" s="196"/>
      <c r="K30" s="192" t="str">
        <f>INDEX('Revenue by Customer'!K:K,MATCH('Full Customer List'!$B30,'Revenue by Customer'!$A:$A,0))</f>
        <v/>
      </c>
      <c r="L30" s="192" t="str">
        <f>INDEX('Revenue by Customer'!L:L,MATCH('Full Customer List'!$B30,'Revenue by Customer'!$A:$A,0))</f>
        <v/>
      </c>
      <c r="M30" s="192" t="str">
        <f>INDEX('Revenue by Customer'!M:M,MATCH('Full Customer List'!$B30,'Revenue by Customer'!$A:$A,0))</f>
        <v/>
      </c>
      <c r="N30" s="192" t="str">
        <f>INDEX('Revenue by Customer'!N:N,MATCH('Full Customer List'!$B30,'Revenue by Customer'!$A:$A,0))</f>
        <v/>
      </c>
      <c r="O30" s="192">
        <f>INDEX('Revenue by Customer'!O:O,MATCH('Full Customer List'!$B30,'Revenue by Customer'!$A:$A,0))</f>
        <v>2860</v>
      </c>
      <c r="P30" s="192">
        <f>INDEX('Revenue by Customer'!P:P,MATCH('Full Customer List'!$B30,'Revenue by Customer'!$A:$A,0))</f>
        <v>1480</v>
      </c>
      <c r="Q30" s="192">
        <f>INDEX('Revenue by Customer'!Q:Q,MATCH('Full Customer List'!$B30,'Revenue by Customer'!$A:$A,0))</f>
        <v>1480</v>
      </c>
      <c r="R30" s="192">
        <f>INDEX('Revenue by Customer'!R:R,MATCH('Full Customer List'!$B30,'Revenue by Customer'!$A:$A,0))</f>
        <v>1480</v>
      </c>
      <c r="S30" s="192">
        <f>INDEX('Revenue by Customer'!S:S,MATCH('Full Customer List'!$B30,'Revenue by Customer'!$A:$A,0))</f>
        <v>1480</v>
      </c>
      <c r="T30" s="192">
        <f>INDEX('Revenue by Customer'!T:T,MATCH('Full Customer List'!$B30,'Revenue by Customer'!$A:$A,0))</f>
        <v>1480</v>
      </c>
      <c r="U30" s="192">
        <f>INDEX('Revenue by Customer'!U:U,MATCH('Full Customer List'!$B30,'Revenue by Customer'!$A:$A,0))</f>
        <v>1867</v>
      </c>
      <c r="V30" s="192">
        <f>INDEX('Revenue by Customer'!V:V,MATCH('Full Customer List'!$B30,'Revenue by Customer'!$A:$A,0))</f>
        <v>1576</v>
      </c>
      <c r="W30" s="192">
        <f>INDEX('Revenue by Customer'!W:W,MATCH('Full Customer List'!$B30,'Revenue by Customer'!$A:$A,0))</f>
        <v>1627</v>
      </c>
      <c r="X30" s="192">
        <f>INDEX('Revenue by Customer'!X:X,MATCH('Full Customer List'!$B30,'Revenue by Customer'!$A:$A,0))</f>
        <v>2086</v>
      </c>
      <c r="Y30" s="192">
        <f>INDEX('Revenue by Customer'!Y:Y,MATCH('Full Customer List'!$B30,'Revenue by Customer'!$A:$A,0))</f>
        <v>2098</v>
      </c>
      <c r="Z30" s="192">
        <f>INDEX('Revenue by Customer'!Z:Z,MATCH('Full Customer List'!$B30,'Revenue by Customer'!$A:$A,0))</f>
        <v>2098</v>
      </c>
      <c r="AA30" s="192">
        <f>INDEX('Revenue by Customer'!AA:AA,MATCH('Full Customer List'!$B30,'Revenue by Customer'!$A:$A,0))</f>
        <v>2434</v>
      </c>
      <c r="AB30" s="192">
        <f>INDEX('Revenue by Customer'!AB:AB,MATCH('Full Customer List'!$B30,'Revenue by Customer'!$A:$A,0))</f>
        <v>2434</v>
      </c>
      <c r="AC30" s="192">
        <f>INDEX('Revenue by Customer'!AC:AC,MATCH('Full Customer List'!$B30,'Revenue by Customer'!$A:$A,0))</f>
        <v>2515</v>
      </c>
    </row>
    <row r="31" spans="2:29" ht="12" customHeight="1">
      <c r="B31" s="173" t="s">
        <v>591</v>
      </c>
      <c r="C31" s="173" t="str">
        <f>INDEX('Customer List'!$B:$B,MATCH('Full Customer List'!$B31,'Customer List'!$A:$A,0))</f>
        <v>Active</v>
      </c>
      <c r="D31" s="173" t="str">
        <f>INDEX('Customer List'!$C:$C,MATCH('Full Customer List'!$B31,'Customer List'!$A:$A,0))</f>
        <v>Property manager</v>
      </c>
      <c r="E31" s="173" t="str">
        <f>INDEX('Customer List Mapping'!$C:$C,MATCH('Full Customer List'!D31,'Customer List Mapping'!$B:$B,0))</f>
        <v>Property Manager</v>
      </c>
      <c r="F31" s="192">
        <f>INDEX('Customer List'!$K:$K,MATCH('Full Customer List'!$B31,'Customer List'!$A:$A,0))</f>
        <v>18</v>
      </c>
      <c r="G31" s="192">
        <f>INDEX('Revenue by Customer'!$I:$I,MATCH('Full Customer List'!$B31,'Revenue by Customer'!$A:$A,0))</f>
        <v>1596.3333333333333</v>
      </c>
      <c r="H31" s="257" t="str">
        <f>IFERROR(IF(C31="Active","",INDEX('Client Departures'!$G:$G,MATCH('Full Customer List'!$B31,'Client Departures'!$A:$A,0))),"Unclassified")</f>
        <v/>
      </c>
      <c r="I31" s="196">
        <v>45261</v>
      </c>
      <c r="J31" s="196"/>
      <c r="K31" s="192">
        <f>INDEX('Revenue by Customer'!K:K,MATCH('Full Customer List'!$B31,'Revenue by Customer'!$A:$A,0))</f>
        <v>1729.5</v>
      </c>
      <c r="L31" s="192">
        <f>INDEX('Revenue by Customer'!L:L,MATCH('Full Customer List'!$B31,'Revenue by Customer'!$A:$A,0))</f>
        <v>729.5</v>
      </c>
      <c r="M31" s="192">
        <f>INDEX('Revenue by Customer'!M:M,MATCH('Full Customer List'!$B31,'Revenue by Customer'!$A:$A,0))</f>
        <v>695.5</v>
      </c>
      <c r="N31" s="192">
        <f>INDEX('Revenue by Customer'!N:N,MATCH('Full Customer List'!$B31,'Revenue by Customer'!$A:$A,0))</f>
        <v>712.5</v>
      </c>
      <c r="O31" s="192">
        <f>INDEX('Revenue by Customer'!O:O,MATCH('Full Customer List'!$B31,'Revenue by Customer'!$A:$A,0))</f>
        <v>704</v>
      </c>
      <c r="P31" s="192">
        <f>INDEX('Revenue by Customer'!P:P,MATCH('Full Customer List'!$B31,'Revenue by Customer'!$A:$A,0))</f>
        <v>2043</v>
      </c>
      <c r="Q31" s="192">
        <f>INDEX('Revenue by Customer'!Q:Q,MATCH('Full Customer List'!$B31,'Revenue by Customer'!$A:$A,0))</f>
        <v>2043</v>
      </c>
      <c r="R31" s="192">
        <f>INDEX('Revenue by Customer'!R:R,MATCH('Full Customer List'!$B31,'Revenue by Customer'!$A:$A,0))</f>
        <v>2125</v>
      </c>
      <c r="S31" s="192">
        <f>INDEX('Revenue by Customer'!S:S,MATCH('Full Customer List'!$B31,'Revenue by Customer'!$A:$A,0))</f>
        <v>2125</v>
      </c>
      <c r="T31" s="192">
        <f>INDEX('Revenue by Customer'!T:T,MATCH('Full Customer List'!$B31,'Revenue by Customer'!$A:$A,0))</f>
        <v>1909</v>
      </c>
      <c r="U31" s="192">
        <f>INDEX('Revenue by Customer'!U:U,MATCH('Full Customer List'!$B31,'Revenue by Customer'!$A:$A,0))</f>
        <v>2096</v>
      </c>
      <c r="V31" s="192">
        <f>INDEX('Revenue by Customer'!V:V,MATCH('Full Customer List'!$B31,'Revenue by Customer'!$A:$A,0))</f>
        <v>2243</v>
      </c>
      <c r="W31" s="192">
        <f>INDEX('Revenue by Customer'!W:W,MATCH('Full Customer List'!$B31,'Revenue by Customer'!$A:$A,0))</f>
        <v>1845</v>
      </c>
      <c r="X31" s="192">
        <f>INDEX('Revenue by Customer'!X:X,MATCH('Full Customer List'!$B31,'Revenue by Customer'!$A:$A,0))</f>
        <v>1905</v>
      </c>
      <c r="Y31" s="192">
        <f>INDEX('Revenue by Customer'!Y:Y,MATCH('Full Customer List'!$B31,'Revenue by Customer'!$A:$A,0))</f>
        <v>2130</v>
      </c>
      <c r="Z31" s="192">
        <f>INDEX('Revenue by Customer'!Z:Z,MATCH('Full Customer List'!$B31,'Revenue by Customer'!$A:$A,0))</f>
        <v>1810</v>
      </c>
      <c r="AA31" s="192">
        <f>INDEX('Revenue by Customer'!AA:AA,MATCH('Full Customer List'!$B31,'Revenue by Customer'!$A:$A,0))</f>
        <v>1905</v>
      </c>
      <c r="AB31" s="192">
        <f>INDEX('Revenue by Customer'!AB:AB,MATCH('Full Customer List'!$B31,'Revenue by Customer'!$A:$A,0))</f>
        <v>1478</v>
      </c>
      <c r="AC31" s="192">
        <f>INDEX('Revenue by Customer'!AC:AC,MATCH('Full Customer List'!$B31,'Revenue by Customer'!$A:$A,0))</f>
        <v>1406</v>
      </c>
    </row>
    <row r="32" spans="2:29" ht="12" customHeight="1">
      <c r="B32" s="173" t="s">
        <v>595</v>
      </c>
      <c r="C32" s="173" t="str">
        <f>INDEX('Customer List'!$B:$B,MATCH('Full Customer List'!$B32,'Customer List'!$A:$A,0))</f>
        <v>Active</v>
      </c>
      <c r="D32" s="173" t="str">
        <f>INDEX('Customer List'!$C:$C,MATCH('Full Customer List'!$B32,'Customer List'!$A:$A,0))</f>
        <v>Property manager</v>
      </c>
      <c r="E32" s="173" t="str">
        <f>INDEX('Customer List Mapping'!$C:$C,MATCH('Full Customer List'!D32,'Customer List Mapping'!$B:$B,0))</f>
        <v>Property Manager</v>
      </c>
      <c r="F32" s="192">
        <f>INDEX('Customer List'!$K:$K,MATCH('Full Customer List'!$B32,'Customer List'!$A:$A,0))</f>
        <v>55</v>
      </c>
      <c r="G32" s="192">
        <f>INDEX('Revenue by Customer'!$I:$I,MATCH('Full Customer List'!$B32,'Revenue by Customer'!$A:$A,0))</f>
        <v>2784.6666666666665</v>
      </c>
      <c r="H32" s="257" t="str">
        <f>IFERROR(IF(C32="Active","",INDEX('Client Departures'!$G:$G,MATCH('Full Customer List'!$B32,'Client Departures'!$A:$A,0))),"Unclassified")</f>
        <v/>
      </c>
      <c r="I32" s="196">
        <v>45992</v>
      </c>
      <c r="J32" s="196"/>
      <c r="K32" s="192" t="str">
        <f>INDEX('Revenue by Customer'!K:K,MATCH('Full Customer List'!$B32,'Revenue by Customer'!$A:$A,0))</f>
        <v/>
      </c>
      <c r="L32" s="192" t="str">
        <f>INDEX('Revenue by Customer'!L:L,MATCH('Full Customer List'!$B32,'Revenue by Customer'!$A:$A,0))</f>
        <v/>
      </c>
      <c r="M32" s="192" t="str">
        <f>INDEX('Revenue by Customer'!M:M,MATCH('Full Customer List'!$B32,'Revenue by Customer'!$A:$A,0))</f>
        <v/>
      </c>
      <c r="N32" s="192" t="str">
        <f>INDEX('Revenue by Customer'!N:N,MATCH('Full Customer List'!$B32,'Revenue by Customer'!$A:$A,0))</f>
        <v/>
      </c>
      <c r="O32" s="192" t="str">
        <f>INDEX('Revenue by Customer'!O:O,MATCH('Full Customer List'!$B32,'Revenue by Customer'!$A:$A,0))</f>
        <v/>
      </c>
      <c r="P32" s="192" t="str">
        <f>INDEX('Revenue by Customer'!P:P,MATCH('Full Customer List'!$B32,'Revenue by Customer'!$A:$A,0))</f>
        <v/>
      </c>
      <c r="Q32" s="192" t="str">
        <f>INDEX('Revenue by Customer'!Q:Q,MATCH('Full Customer List'!$B32,'Revenue by Customer'!$A:$A,0))</f>
        <v/>
      </c>
      <c r="R32" s="192" t="str">
        <f>INDEX('Revenue by Customer'!R:R,MATCH('Full Customer List'!$B32,'Revenue by Customer'!$A:$A,0))</f>
        <v/>
      </c>
      <c r="S32" s="192" t="str">
        <f>INDEX('Revenue by Customer'!S:S,MATCH('Full Customer List'!$B32,'Revenue by Customer'!$A:$A,0))</f>
        <v/>
      </c>
      <c r="T32" s="192" t="str">
        <f>INDEX('Revenue by Customer'!T:T,MATCH('Full Customer List'!$B32,'Revenue by Customer'!$A:$A,0))</f>
        <v/>
      </c>
      <c r="U32" s="192" t="str">
        <f>INDEX('Revenue by Customer'!U:U,MATCH('Full Customer List'!$B32,'Revenue by Customer'!$A:$A,0))</f>
        <v/>
      </c>
      <c r="V32" s="192">
        <f>INDEX('Revenue by Customer'!V:V,MATCH('Full Customer List'!$B32,'Revenue by Customer'!$A:$A,0))</f>
        <v>3748</v>
      </c>
      <c r="W32" s="192">
        <f>INDEX('Revenue by Customer'!W:W,MATCH('Full Customer List'!$B32,'Revenue by Customer'!$A:$A,0))</f>
        <v>2836</v>
      </c>
      <c r="X32" s="192">
        <f>INDEX('Revenue by Customer'!X:X,MATCH('Full Customer List'!$B32,'Revenue by Customer'!$A:$A,0))</f>
        <v>2236</v>
      </c>
      <c r="Y32" s="192">
        <f>INDEX('Revenue by Customer'!Y:Y,MATCH('Full Customer List'!$B32,'Revenue by Customer'!$A:$A,0))</f>
        <v>2427</v>
      </c>
      <c r="Z32" s="192">
        <f>INDEX('Revenue by Customer'!Z:Z,MATCH('Full Customer List'!$B32,'Revenue by Customer'!$A:$A,0))</f>
        <v>3343</v>
      </c>
      <c r="AA32" s="192">
        <f>INDEX('Revenue by Customer'!AA:AA,MATCH('Full Customer List'!$B32,'Revenue by Customer'!$A:$A,0))</f>
        <v>2212</v>
      </c>
      <c r="AB32" s="192">
        <f>INDEX('Revenue by Customer'!AB:AB,MATCH('Full Customer List'!$B32,'Revenue by Customer'!$A:$A,0))</f>
        <v>2994</v>
      </c>
      <c r="AC32" s="192">
        <f>INDEX('Revenue by Customer'!AC:AC,MATCH('Full Customer List'!$B32,'Revenue by Customer'!$A:$A,0))</f>
        <v>3148</v>
      </c>
    </row>
    <row r="33" spans="2:29" ht="12" customHeight="1">
      <c r="B33" s="173" t="s">
        <v>597</v>
      </c>
      <c r="C33" s="173" t="str">
        <f>INDEX('Customer List'!$B:$B,MATCH('Full Customer List'!$B33,'Customer List'!$A:$A,0))</f>
        <v>Active</v>
      </c>
      <c r="D33" s="173" t="str">
        <f>INDEX('Customer List'!$C:$C,MATCH('Full Customer List'!$B33,'Customer List'!$A:$A,0))</f>
        <v>Property manager</v>
      </c>
      <c r="E33" s="173" t="str">
        <f>INDEX('Customer List Mapping'!$C:$C,MATCH('Full Customer List'!D33,'Customer List Mapping'!$B:$B,0))</f>
        <v>Property Manager</v>
      </c>
      <c r="F33" s="192">
        <f>INDEX('Customer List'!$K:$K,MATCH('Full Customer List'!$B33,'Customer List'!$A:$A,0))</f>
        <v>34</v>
      </c>
      <c r="G33" s="192">
        <f>INDEX('Revenue by Customer'!$I:$I,MATCH('Full Customer List'!$B33,'Revenue by Customer'!$A:$A,0))</f>
        <v>1826.6666666666667</v>
      </c>
      <c r="H33" s="257" t="str">
        <f>IFERROR(IF(C33="Active","",INDEX('Client Departures'!$G:$G,MATCH('Full Customer List'!$B33,'Client Departures'!$A:$A,0))),"Unclassified")</f>
        <v/>
      </c>
      <c r="I33" s="196">
        <v>45566</v>
      </c>
      <c r="J33" s="196"/>
      <c r="K33" s="192">
        <f>INDEX('Revenue by Customer'!K:K,MATCH('Full Customer List'!$B33,'Revenue by Customer'!$A:$A,0))</f>
        <v>519</v>
      </c>
      <c r="L33" s="192">
        <f>INDEX('Revenue by Customer'!L:L,MATCH('Full Customer List'!$B33,'Revenue by Customer'!$A:$A,0))</f>
        <v>632</v>
      </c>
      <c r="M33" s="192">
        <f>INDEX('Revenue by Customer'!M:M,MATCH('Full Customer List'!$B33,'Revenue by Customer'!$A:$A,0))</f>
        <v>869</v>
      </c>
      <c r="N33" s="192">
        <f>INDEX('Revenue by Customer'!N:N,MATCH('Full Customer List'!$B33,'Revenue by Customer'!$A:$A,0))</f>
        <v>1106</v>
      </c>
      <c r="O33" s="192">
        <f>INDEX('Revenue by Customer'!O:O,MATCH('Full Customer List'!$B33,'Revenue by Customer'!$A:$A,0))</f>
        <v>1106</v>
      </c>
      <c r="P33" s="192">
        <f>INDEX('Revenue by Customer'!P:P,MATCH('Full Customer List'!$B33,'Revenue by Customer'!$A:$A,0))</f>
        <v>1363</v>
      </c>
      <c r="Q33" s="192">
        <f>INDEX('Revenue by Customer'!Q:Q,MATCH('Full Customer List'!$B33,'Revenue by Customer'!$A:$A,0))</f>
        <v>1442</v>
      </c>
      <c r="R33" s="192">
        <f>INDEX('Revenue by Customer'!R:R,MATCH('Full Customer List'!$B33,'Revenue by Customer'!$A:$A,0))</f>
        <v>1600</v>
      </c>
      <c r="S33" s="192">
        <f>INDEX('Revenue by Customer'!S:S,MATCH('Full Customer List'!$B33,'Revenue by Customer'!$A:$A,0))</f>
        <v>1980</v>
      </c>
      <c r="T33" s="192">
        <f>INDEX('Revenue by Customer'!T:T,MATCH('Full Customer List'!$B33,'Revenue by Customer'!$A:$A,0))</f>
        <v>1485</v>
      </c>
      <c r="U33" s="192">
        <f>INDEX('Revenue by Customer'!U:U,MATCH('Full Customer List'!$B33,'Revenue by Customer'!$A:$A,0))</f>
        <v>1550</v>
      </c>
      <c r="V33" s="192">
        <f>INDEX('Revenue by Customer'!V:V,MATCH('Full Customer List'!$B33,'Revenue by Customer'!$A:$A,0))</f>
        <v>1765</v>
      </c>
      <c r="W33" s="192">
        <f>INDEX('Revenue by Customer'!W:W,MATCH('Full Customer List'!$B33,'Revenue by Customer'!$A:$A,0))</f>
        <v>1830</v>
      </c>
      <c r="X33" s="192">
        <f>INDEX('Revenue by Customer'!X:X,MATCH('Full Customer List'!$B33,'Revenue by Customer'!$A:$A,0))</f>
        <v>2990</v>
      </c>
      <c r="Y33" s="192">
        <f>INDEX('Revenue by Customer'!Y:Y,MATCH('Full Customer List'!$B33,'Revenue by Customer'!$A:$A,0))</f>
        <v>1835</v>
      </c>
      <c r="Z33" s="192">
        <f>INDEX('Revenue by Customer'!Z:Z,MATCH('Full Customer List'!$B33,'Revenue by Customer'!$A:$A,0))</f>
        <v>2025</v>
      </c>
      <c r="AA33" s="192">
        <f>INDEX('Revenue by Customer'!AA:AA,MATCH('Full Customer List'!$B33,'Revenue by Customer'!$A:$A,0))</f>
        <v>1845</v>
      </c>
      <c r="AB33" s="192">
        <f>INDEX('Revenue by Customer'!AB:AB,MATCH('Full Customer List'!$B33,'Revenue by Customer'!$A:$A,0))</f>
        <v>1790</v>
      </c>
      <c r="AC33" s="192">
        <f>INDEX('Revenue by Customer'!AC:AC,MATCH('Full Customer List'!$B33,'Revenue by Customer'!$A:$A,0))</f>
        <v>1845</v>
      </c>
    </row>
    <row r="34" spans="2:29" ht="12" customHeight="1">
      <c r="B34" s="173" t="s">
        <v>598</v>
      </c>
      <c r="C34" s="173" t="str">
        <f>INDEX('Customer List'!$B:$B,MATCH('Full Customer List'!$B34,'Customer List'!$A:$A,0))</f>
        <v>Active</v>
      </c>
      <c r="D34" s="173" t="str">
        <f>INDEX('Customer List'!$C:$C,MATCH('Full Customer List'!$B34,'Customer List'!$A:$A,0))</f>
        <v>Property manager</v>
      </c>
      <c r="E34" s="173" t="str">
        <f>INDEX('Customer List Mapping'!$C:$C,MATCH('Full Customer List'!D34,'Customer List Mapping'!$B:$B,0))</f>
        <v>Property Manager</v>
      </c>
      <c r="F34" s="192">
        <f>INDEX('Customer List'!$K:$K,MATCH('Full Customer List'!$B34,'Customer List'!$A:$A,0))</f>
        <v>90</v>
      </c>
      <c r="G34" s="192">
        <f>INDEX('Revenue by Customer'!$I:$I,MATCH('Full Customer List'!$B34,'Revenue by Customer'!$A:$A,0))</f>
        <v>1640</v>
      </c>
      <c r="H34" s="257" t="str">
        <f>IFERROR(IF(C34="Active","",INDEX('Client Departures'!$G:$G,MATCH('Full Customer List'!$B34,'Client Departures'!$A:$A,0))),"Unclassified")</f>
        <v/>
      </c>
      <c r="I34" s="196">
        <v>45108</v>
      </c>
      <c r="J34" s="196"/>
      <c r="K34" s="192">
        <f>INDEX('Revenue by Customer'!K:K,MATCH('Full Customer List'!$B34,'Revenue by Customer'!$A:$A,0))</f>
        <v>1887.5</v>
      </c>
      <c r="L34" s="192">
        <f>INDEX('Revenue by Customer'!L:L,MATCH('Full Customer List'!$B34,'Revenue by Customer'!$A:$A,0))</f>
        <v>1913</v>
      </c>
      <c r="M34" s="192">
        <f>INDEX('Revenue by Customer'!M:M,MATCH('Full Customer List'!$B34,'Revenue by Customer'!$A:$A,0))</f>
        <v>1913</v>
      </c>
      <c r="N34" s="192">
        <f>INDEX('Revenue by Customer'!N:N,MATCH('Full Customer List'!$B34,'Revenue by Customer'!$A:$A,0))</f>
        <v>1904.5</v>
      </c>
      <c r="O34" s="192">
        <f>INDEX('Revenue by Customer'!O:O,MATCH('Full Customer List'!$B34,'Revenue by Customer'!$A:$A,0))</f>
        <v>1896</v>
      </c>
      <c r="P34" s="192">
        <f>INDEX('Revenue by Customer'!P:P,MATCH('Full Customer List'!$B34,'Revenue by Customer'!$A:$A,0))</f>
        <v>1913</v>
      </c>
      <c r="Q34" s="192">
        <f>INDEX('Revenue by Customer'!Q:Q,MATCH('Full Customer List'!$B34,'Revenue by Customer'!$A:$A,0))</f>
        <v>1921.5</v>
      </c>
      <c r="R34" s="192">
        <f>INDEX('Revenue by Customer'!R:R,MATCH('Full Customer List'!$B34,'Revenue by Customer'!$A:$A,0))</f>
        <v>1947</v>
      </c>
      <c r="S34" s="192">
        <f>INDEX('Revenue by Customer'!S:S,MATCH('Full Customer List'!$B34,'Revenue by Customer'!$A:$A,0))</f>
        <v>1921.5</v>
      </c>
      <c r="T34" s="192">
        <f>INDEX('Revenue by Customer'!T:T,MATCH('Full Customer List'!$B34,'Revenue by Customer'!$A:$A,0))</f>
        <v>1930</v>
      </c>
      <c r="U34" s="192">
        <f>INDEX('Revenue by Customer'!U:U,MATCH('Full Customer List'!$B34,'Revenue by Customer'!$A:$A,0))</f>
        <v>1904.5</v>
      </c>
      <c r="V34" s="192">
        <f>INDEX('Revenue by Customer'!V:V,MATCH('Full Customer List'!$B34,'Revenue by Customer'!$A:$A,0))</f>
        <v>1938.5</v>
      </c>
      <c r="W34" s="192">
        <f>INDEX('Revenue by Customer'!W:W,MATCH('Full Customer List'!$B34,'Revenue by Customer'!$A:$A,0))</f>
        <v>1930</v>
      </c>
      <c r="X34" s="192">
        <f>INDEX('Revenue by Customer'!X:X,MATCH('Full Customer List'!$B34,'Revenue by Customer'!$A:$A,0))</f>
        <v>1930</v>
      </c>
      <c r="Y34" s="192">
        <f>INDEX('Revenue by Customer'!Y:Y,MATCH('Full Customer List'!$B34,'Revenue by Customer'!$A:$A,0))</f>
        <v>1930</v>
      </c>
      <c r="Z34" s="192">
        <f>INDEX('Revenue by Customer'!Z:Z,MATCH('Full Customer List'!$B34,'Revenue by Customer'!$A:$A,0))</f>
        <v>1938.5</v>
      </c>
      <c r="AA34" s="192">
        <f>INDEX('Revenue by Customer'!AA:AA,MATCH('Full Customer List'!$B34,'Revenue by Customer'!$A:$A,0))</f>
        <v>1680</v>
      </c>
      <c r="AB34" s="192">
        <f>INDEX('Revenue by Customer'!AB:AB,MATCH('Full Customer List'!$B34,'Revenue by Customer'!$A:$A,0))</f>
        <v>1700</v>
      </c>
      <c r="AC34" s="192">
        <f>INDEX('Revenue by Customer'!AC:AC,MATCH('Full Customer List'!$B34,'Revenue by Customer'!$A:$A,0))</f>
        <v>1540</v>
      </c>
    </row>
    <row r="35" spans="2:29" ht="12" customHeight="1">
      <c r="B35" s="173" t="s">
        <v>601</v>
      </c>
      <c r="C35" s="173" t="str">
        <f>INDEX('Customer List'!$B:$B,MATCH('Full Customer List'!$B35,'Customer List'!$A:$A,0))</f>
        <v>Active</v>
      </c>
      <c r="D35" s="173" t="str">
        <f>INDEX('Customer List'!$C:$C,MATCH('Full Customer List'!$B35,'Customer List'!$A:$A,0))</f>
        <v>Property manager</v>
      </c>
      <c r="E35" s="173" t="str">
        <f>INDEX('Customer List Mapping'!$C:$C,MATCH('Full Customer List'!D35,'Customer List Mapping'!$B:$B,0))</f>
        <v>Property Manager</v>
      </c>
      <c r="F35" s="192">
        <f>INDEX('Customer List'!$K:$K,MATCH('Full Customer List'!$B35,'Customer List'!$A:$A,0))</f>
        <v>22</v>
      </c>
      <c r="G35" s="192">
        <f>INDEX('Revenue by Customer'!$I:$I,MATCH('Full Customer List'!$B35,'Revenue by Customer'!$A:$A,0))</f>
        <v>1825</v>
      </c>
      <c r="H35" s="257" t="str">
        <f>IFERROR(IF(C35="Active","",INDEX('Client Departures'!$G:$G,MATCH('Full Customer List'!$B35,'Client Departures'!$A:$A,0))),"Unclassified")</f>
        <v/>
      </c>
      <c r="I35" s="196">
        <v>45170</v>
      </c>
      <c r="J35" s="196"/>
      <c r="K35" s="192">
        <f>INDEX('Revenue by Customer'!K:K,MATCH('Full Customer List'!$B35,'Revenue by Customer'!$A:$A,0))</f>
        <v>2030</v>
      </c>
      <c r="L35" s="192">
        <f>INDEX('Revenue by Customer'!L:L,MATCH('Full Customer List'!$B35,'Revenue by Customer'!$A:$A,0))</f>
        <v>1659</v>
      </c>
      <c r="M35" s="192">
        <f>INDEX('Revenue by Customer'!M:M,MATCH('Full Customer List'!$B35,'Revenue by Customer'!$A:$A,0))</f>
        <v>1817</v>
      </c>
      <c r="N35" s="192">
        <f>INDEX('Revenue by Customer'!N:N,MATCH('Full Customer List'!$B35,'Revenue by Customer'!$A:$A,0))</f>
        <v>1738</v>
      </c>
      <c r="O35" s="192">
        <f>INDEX('Revenue by Customer'!O:O,MATCH('Full Customer List'!$B35,'Revenue by Customer'!$A:$A,0))</f>
        <v>1738</v>
      </c>
      <c r="P35" s="192">
        <f>INDEX('Revenue by Customer'!P:P,MATCH('Full Customer List'!$B35,'Revenue by Customer'!$A:$A,0))</f>
        <v>1738</v>
      </c>
      <c r="Q35" s="192">
        <f>INDEX('Revenue by Customer'!Q:Q,MATCH('Full Customer List'!$B35,'Revenue by Customer'!$A:$A,0))</f>
        <v>1738</v>
      </c>
      <c r="R35" s="192">
        <f>INDEX('Revenue by Customer'!R:R,MATCH('Full Customer List'!$B35,'Revenue by Customer'!$A:$A,0))</f>
        <v>1738</v>
      </c>
      <c r="S35" s="192">
        <f>INDEX('Revenue by Customer'!S:S,MATCH('Full Customer List'!$B35,'Revenue by Customer'!$A:$A,0))</f>
        <v>1750</v>
      </c>
      <c r="T35" s="192">
        <f>INDEX('Revenue by Customer'!T:T,MATCH('Full Customer List'!$B35,'Revenue by Customer'!$A:$A,0))</f>
        <v>1750</v>
      </c>
      <c r="U35" s="192">
        <f>INDEX('Revenue by Customer'!U:U,MATCH('Full Customer List'!$B35,'Revenue by Customer'!$A:$A,0))</f>
        <v>1825</v>
      </c>
      <c r="V35" s="192">
        <f>INDEX('Revenue by Customer'!V:V,MATCH('Full Customer List'!$B35,'Revenue by Customer'!$A:$A,0))</f>
        <v>1825</v>
      </c>
      <c r="W35" s="192">
        <f>INDEX('Revenue by Customer'!W:W,MATCH('Full Customer List'!$B35,'Revenue by Customer'!$A:$A,0))</f>
        <v>1825</v>
      </c>
      <c r="X35" s="192">
        <f>INDEX('Revenue by Customer'!X:X,MATCH('Full Customer List'!$B35,'Revenue by Customer'!$A:$A,0))</f>
        <v>2305</v>
      </c>
      <c r="Y35" s="192">
        <f>INDEX('Revenue by Customer'!Y:Y,MATCH('Full Customer List'!$B35,'Revenue by Customer'!$A:$A,0))</f>
        <v>1825</v>
      </c>
      <c r="Z35" s="192">
        <f>INDEX('Revenue by Customer'!Z:Z,MATCH('Full Customer List'!$B35,'Revenue by Customer'!$A:$A,0))</f>
        <v>1825</v>
      </c>
      <c r="AA35" s="192">
        <f>INDEX('Revenue by Customer'!AA:AA,MATCH('Full Customer List'!$B35,'Revenue by Customer'!$A:$A,0))</f>
        <v>1825</v>
      </c>
      <c r="AB35" s="192">
        <f>INDEX('Revenue by Customer'!AB:AB,MATCH('Full Customer List'!$B35,'Revenue by Customer'!$A:$A,0))</f>
        <v>1900</v>
      </c>
      <c r="AC35" s="192">
        <f>INDEX('Revenue by Customer'!AC:AC,MATCH('Full Customer List'!$B35,'Revenue by Customer'!$A:$A,0))</f>
        <v>1750</v>
      </c>
    </row>
    <row r="36" spans="2:29" ht="12" customHeight="1">
      <c r="B36" s="173" t="s">
        <v>604</v>
      </c>
      <c r="C36" s="173" t="str">
        <f>INDEX('Customer List'!$B:$B,MATCH('Full Customer List'!$B36,'Customer List'!$A:$A,0))</f>
        <v>Active</v>
      </c>
      <c r="D36" s="173" t="str">
        <f>INDEX('Customer List'!$C:$C,MATCH('Full Customer List'!$B36,'Customer List'!$A:$A,0))</f>
        <v>Property manager</v>
      </c>
      <c r="E36" s="173" t="str">
        <f>INDEX('Customer List Mapping'!$C:$C,MATCH('Full Customer List'!D36,'Customer List Mapping'!$B:$B,0))</f>
        <v>Property Manager</v>
      </c>
      <c r="F36" s="192">
        <f>INDEX('Customer List'!$K:$K,MATCH('Full Customer List'!$B36,'Customer List'!$A:$A,0))</f>
        <v>32</v>
      </c>
      <c r="G36" s="192">
        <f>INDEX('Revenue by Customer'!$I:$I,MATCH('Full Customer List'!$B36,'Revenue by Customer'!$A:$A,0))</f>
        <v>2176.3333333333335</v>
      </c>
      <c r="H36" s="257" t="str">
        <f>IFERROR(IF(C36="Active","",INDEX('Client Departures'!$G:$G,MATCH('Full Customer List'!$B36,'Client Departures'!$A:$A,0))),"Unclassified")</f>
        <v/>
      </c>
      <c r="I36" s="196">
        <v>45566</v>
      </c>
      <c r="J36" s="196"/>
      <c r="K36" s="192">
        <f>INDEX('Revenue by Customer'!K:K,MATCH('Full Customer List'!$B36,'Revenue by Customer'!$A:$A,0))</f>
        <v>752</v>
      </c>
      <c r="L36" s="192">
        <f>INDEX('Revenue by Customer'!L:L,MATCH('Full Customer List'!$B36,'Revenue by Customer'!$A:$A,0))</f>
        <v>474</v>
      </c>
      <c r="M36" s="192">
        <f>INDEX('Revenue by Customer'!M:M,MATCH('Full Customer List'!$B36,'Revenue by Customer'!$A:$A,0))</f>
        <v>869</v>
      </c>
      <c r="N36" s="192">
        <f>INDEX('Revenue by Customer'!N:N,MATCH('Full Customer List'!$B36,'Revenue by Customer'!$A:$A,0))</f>
        <v>948</v>
      </c>
      <c r="O36" s="192">
        <f>INDEX('Revenue by Customer'!O:O,MATCH('Full Customer List'!$B36,'Revenue by Customer'!$A:$A,0))</f>
        <v>1027</v>
      </c>
      <c r="P36" s="192">
        <f>INDEX('Revenue by Customer'!P:P,MATCH('Full Customer List'!$B36,'Revenue by Customer'!$A:$A,0))</f>
        <v>1106</v>
      </c>
      <c r="Q36" s="192">
        <f>INDEX('Revenue by Customer'!Q:Q,MATCH('Full Customer List'!$B36,'Revenue by Customer'!$A:$A,0))</f>
        <v>1185</v>
      </c>
      <c r="R36" s="192">
        <f>INDEX('Revenue by Customer'!R:R,MATCH('Full Customer List'!$B36,'Revenue by Customer'!$A:$A,0))</f>
        <v>1343</v>
      </c>
      <c r="S36" s="192">
        <f>INDEX('Revenue by Customer'!S:S,MATCH('Full Customer List'!$B36,'Revenue by Customer'!$A:$A,0))</f>
        <v>1422</v>
      </c>
      <c r="T36" s="192">
        <f>INDEX('Revenue by Customer'!T:T,MATCH('Full Customer List'!$B36,'Revenue by Customer'!$A:$A,0))</f>
        <v>1358</v>
      </c>
      <c r="U36" s="192">
        <f>INDEX('Revenue by Customer'!U:U,MATCH('Full Customer List'!$B36,'Revenue by Customer'!$A:$A,0))</f>
        <v>1580</v>
      </c>
      <c r="V36" s="192">
        <f>INDEX('Revenue by Customer'!V:V,MATCH('Full Customer List'!$B36,'Revenue by Customer'!$A:$A,0))</f>
        <v>1654</v>
      </c>
      <c r="W36" s="192">
        <f>INDEX('Revenue by Customer'!W:W,MATCH('Full Customer List'!$B36,'Revenue by Customer'!$A:$A,0))</f>
        <v>2267</v>
      </c>
      <c r="X36" s="192">
        <f>INDEX('Revenue by Customer'!X:X,MATCH('Full Customer List'!$B36,'Revenue by Customer'!$A:$A,0))</f>
        <v>1728</v>
      </c>
      <c r="Y36" s="192">
        <f>INDEX('Revenue by Customer'!Y:Y,MATCH('Full Customer List'!$B36,'Revenue by Customer'!$A:$A,0))</f>
        <v>1950</v>
      </c>
      <c r="Z36" s="192">
        <f>INDEX('Revenue by Customer'!Z:Z,MATCH('Full Customer List'!$B36,'Revenue by Customer'!$A:$A,0))</f>
        <v>2098</v>
      </c>
      <c r="AA36" s="192">
        <f>INDEX('Revenue by Customer'!AA:AA,MATCH('Full Customer List'!$B36,'Revenue by Customer'!$A:$A,0))</f>
        <v>2172</v>
      </c>
      <c r="AB36" s="192">
        <f>INDEX('Revenue by Customer'!AB:AB,MATCH('Full Customer List'!$B36,'Revenue by Customer'!$A:$A,0))</f>
        <v>2255</v>
      </c>
      <c r="AC36" s="192">
        <f>INDEX('Revenue by Customer'!AC:AC,MATCH('Full Customer List'!$B36,'Revenue by Customer'!$A:$A,0))</f>
        <v>2102</v>
      </c>
    </row>
    <row r="37" spans="2:29" ht="12" customHeight="1">
      <c r="B37" s="173" t="s">
        <v>606</v>
      </c>
      <c r="C37" s="173" t="str">
        <f>INDEX('Customer List'!$B:$B,MATCH('Full Customer List'!$B37,'Customer List'!$A:$A,0))</f>
        <v>Former client</v>
      </c>
      <c r="D37" s="173" t="str">
        <f>INDEX('Customer List'!$C:$C,MATCH('Full Customer List'!$B37,'Customer List'!$A:$A,0))</f>
        <v>Property manager</v>
      </c>
      <c r="E37" s="173" t="str">
        <f>INDEX('Customer List Mapping'!$C:$C,MATCH('Full Customer List'!D37,'Customer List Mapping'!$B:$B,0))</f>
        <v>Property Manager</v>
      </c>
      <c r="F37" s="192">
        <f>INDEX('Customer List'!$K:$K,MATCH('Full Customer List'!$B37,'Customer List'!$A:$A,0))</f>
        <v>32</v>
      </c>
      <c r="G37" s="192">
        <f>INDEX('Revenue by Customer'!$I:$I,MATCH('Full Customer List'!$B37,'Revenue by Customer'!$A:$A,0))</f>
        <v>2735.3333333333335</v>
      </c>
      <c r="H37" s="257" t="str">
        <f>IFERROR(IF(C37="Active","",INDEX('Client Departures'!$G:$G,MATCH('Full Customer List'!$B37,'Client Departures'!$A:$A,0))),"Unclassified")</f>
        <v>Unclassified</v>
      </c>
      <c r="I37" s="196">
        <v>45108</v>
      </c>
      <c r="J37" s="196">
        <v>46142</v>
      </c>
      <c r="K37" s="192">
        <f>INDEX('Revenue by Customer'!K:K,MATCH('Full Customer List'!$B37,'Revenue by Customer'!$A:$A,0))</f>
        <v>2453</v>
      </c>
      <c r="L37" s="192">
        <f>INDEX('Revenue by Customer'!L:L,MATCH('Full Customer List'!$B37,'Revenue by Customer'!$A:$A,0))</f>
        <v>1958</v>
      </c>
      <c r="M37" s="192">
        <f>INDEX('Revenue by Customer'!M:M,MATCH('Full Customer List'!$B37,'Revenue by Customer'!$A:$A,0))</f>
        <v>1958</v>
      </c>
      <c r="N37" s="192">
        <f>INDEX('Revenue by Customer'!N:N,MATCH('Full Customer List'!$B37,'Revenue by Customer'!$A:$A,0))</f>
        <v>1869</v>
      </c>
      <c r="O37" s="192">
        <f>INDEX('Revenue by Customer'!O:O,MATCH('Full Customer List'!$B37,'Revenue by Customer'!$A:$A,0))</f>
        <v>1869</v>
      </c>
      <c r="P37" s="192">
        <f>INDEX('Revenue by Customer'!P:P,MATCH('Full Customer List'!$B37,'Revenue by Customer'!$A:$A,0))</f>
        <v>1869</v>
      </c>
      <c r="Q37" s="192">
        <f>INDEX('Revenue by Customer'!Q:Q,MATCH('Full Customer List'!$B37,'Revenue by Customer'!$A:$A,0))</f>
        <v>1885</v>
      </c>
      <c r="R37" s="192">
        <f>INDEX('Revenue by Customer'!R:R,MATCH('Full Customer List'!$B37,'Revenue by Customer'!$A:$A,0))</f>
        <v>1970</v>
      </c>
      <c r="S37" s="192">
        <f>INDEX('Revenue by Customer'!S:S,MATCH('Full Customer List'!$B37,'Revenue by Customer'!$A:$A,0))</f>
        <v>1970</v>
      </c>
      <c r="T37" s="192">
        <f>INDEX('Revenue by Customer'!T:T,MATCH('Full Customer List'!$B37,'Revenue by Customer'!$A:$A,0))</f>
        <v>2179</v>
      </c>
      <c r="U37" s="192">
        <f>INDEX('Revenue by Customer'!U:U,MATCH('Full Customer List'!$B37,'Revenue by Customer'!$A:$A,0))</f>
        <v>2179</v>
      </c>
      <c r="V37" s="192">
        <f>INDEX('Revenue by Customer'!V:V,MATCH('Full Customer List'!$B37,'Revenue by Customer'!$A:$A,0))</f>
        <v>2179</v>
      </c>
      <c r="W37" s="192">
        <f>INDEX('Revenue by Customer'!W:W,MATCH('Full Customer List'!$B37,'Revenue by Customer'!$A:$A,0))</f>
        <v>2410</v>
      </c>
      <c r="X37" s="192">
        <f>INDEX('Revenue by Customer'!X:X,MATCH('Full Customer List'!$B37,'Revenue by Customer'!$A:$A,0))</f>
        <v>3070</v>
      </c>
      <c r="Y37" s="192">
        <f>INDEX('Revenue by Customer'!Y:Y,MATCH('Full Customer List'!$B37,'Revenue by Customer'!$A:$A,0))</f>
        <v>2444</v>
      </c>
      <c r="Z37" s="192">
        <f>INDEX('Revenue by Customer'!Z:Z,MATCH('Full Customer List'!$B37,'Revenue by Customer'!$A:$A,0))</f>
        <v>2692</v>
      </c>
      <c r="AA37" s="192">
        <f>INDEX('Revenue by Customer'!AA:AA,MATCH('Full Customer List'!$B37,'Revenue by Customer'!$A:$A,0))</f>
        <v>0</v>
      </c>
      <c r="AB37" s="192" t="str">
        <f>INDEX('Revenue by Customer'!AB:AB,MATCH('Full Customer List'!$B37,'Revenue by Customer'!$A:$A,0))</f>
        <v/>
      </c>
      <c r="AC37" s="192" t="str">
        <f>INDEX('Revenue by Customer'!AC:AC,MATCH('Full Customer List'!$B37,'Revenue by Customer'!$A:$A,0))</f>
        <v/>
      </c>
    </row>
    <row r="38" spans="2:29" ht="12" customHeight="1">
      <c r="B38" s="173" t="s">
        <v>608</v>
      </c>
      <c r="C38" s="173" t="str">
        <f>INDEX('Customer List'!$B:$B,MATCH('Full Customer List'!$B38,'Customer List'!$A:$A,0))</f>
        <v>Former client</v>
      </c>
      <c r="D38" s="173" t="str">
        <f>INDEX('Customer List'!$C:$C,MATCH('Full Customer List'!$B38,'Customer List'!$A:$A,0))</f>
        <v>Property manager</v>
      </c>
      <c r="E38" s="173" t="str">
        <f>INDEX('Customer List Mapping'!$C:$C,MATCH('Full Customer List'!D38,'Customer List Mapping'!$B:$B,0))</f>
        <v>Property Manager</v>
      </c>
      <c r="F38" s="192">
        <f>INDEX('Customer List'!$K:$K,MATCH('Full Customer List'!$B38,'Customer List'!$A:$A,0))</f>
        <v>25</v>
      </c>
      <c r="G38" s="192">
        <f>INDEX('Revenue by Customer'!$I:$I,MATCH('Full Customer List'!$B38,'Revenue by Customer'!$A:$A,0))</f>
        <v>2319</v>
      </c>
      <c r="H38" s="257" t="str">
        <f>IFERROR(IF(C38="Active","",INDEX('Client Departures'!$G:$G,MATCH('Full Customer List'!$B38,'Client Departures'!$A:$A,0))),"Unclassified")</f>
        <v>Unclassified</v>
      </c>
      <c r="I38" s="196">
        <v>45597</v>
      </c>
      <c r="J38" s="196">
        <v>46173</v>
      </c>
      <c r="K38" s="192">
        <f>INDEX('Revenue by Customer'!K:K,MATCH('Full Customer List'!$B38,'Revenue by Customer'!$A:$A,0))</f>
        <v>2010</v>
      </c>
      <c r="L38" s="192">
        <f>INDEX('Revenue by Customer'!L:L,MATCH('Full Customer List'!$B38,'Revenue by Customer'!$A:$A,0))</f>
        <v>1500</v>
      </c>
      <c r="M38" s="192">
        <f>INDEX('Revenue by Customer'!M:M,MATCH('Full Customer List'!$B38,'Revenue by Customer'!$A:$A,0))</f>
        <v>1150</v>
      </c>
      <c r="N38" s="192">
        <f>INDEX('Revenue by Customer'!N:N,MATCH('Full Customer List'!$B38,'Revenue by Customer'!$A:$A,0))</f>
        <v>1290</v>
      </c>
      <c r="O38" s="192">
        <f>INDEX('Revenue by Customer'!O:O,MATCH('Full Customer List'!$B38,'Revenue by Customer'!$A:$A,0))</f>
        <v>1430</v>
      </c>
      <c r="P38" s="192">
        <f>INDEX('Revenue by Customer'!P:P,MATCH('Full Customer List'!$B38,'Revenue by Customer'!$A:$A,0))</f>
        <v>1500</v>
      </c>
      <c r="Q38" s="192">
        <f>INDEX('Revenue by Customer'!Q:Q,MATCH('Full Customer List'!$B38,'Revenue by Customer'!$A:$A,0))</f>
        <v>1780</v>
      </c>
      <c r="R38" s="192">
        <f>INDEX('Revenue by Customer'!R:R,MATCH('Full Customer List'!$B38,'Revenue by Customer'!$A:$A,0))</f>
        <v>1780</v>
      </c>
      <c r="S38" s="192">
        <f>INDEX('Revenue by Customer'!S:S,MATCH('Full Customer List'!$B38,'Revenue by Customer'!$A:$A,0))</f>
        <v>1570</v>
      </c>
      <c r="T38" s="192">
        <f>INDEX('Revenue by Customer'!T:T,MATCH('Full Customer List'!$B38,'Revenue by Customer'!$A:$A,0))</f>
        <v>1710</v>
      </c>
      <c r="U38" s="192">
        <f>INDEX('Revenue by Customer'!U:U,MATCH('Full Customer List'!$B38,'Revenue by Customer'!$A:$A,0))</f>
        <v>1654</v>
      </c>
      <c r="V38" s="192">
        <f>INDEX('Revenue by Customer'!V:V,MATCH('Full Customer List'!$B38,'Revenue by Customer'!$A:$A,0))</f>
        <v>1728</v>
      </c>
      <c r="W38" s="192">
        <f>INDEX('Revenue by Customer'!W:W,MATCH('Full Customer List'!$B38,'Revenue by Customer'!$A:$A,0))</f>
        <v>2006</v>
      </c>
      <c r="X38" s="192">
        <f>INDEX('Revenue by Customer'!X:X,MATCH('Full Customer List'!$B38,'Revenue by Customer'!$A:$A,0))</f>
        <v>2915</v>
      </c>
      <c r="Y38" s="192">
        <f>INDEX('Revenue by Customer'!Y:Y,MATCH('Full Customer List'!$B38,'Revenue by Customer'!$A:$A,0))</f>
        <v>2406</v>
      </c>
      <c r="Z38" s="192">
        <f>INDEX('Revenue by Customer'!Z:Z,MATCH('Full Customer List'!$B38,'Revenue by Customer'!$A:$A,0))</f>
        <v>2406</v>
      </c>
      <c r="AA38" s="192">
        <f>INDEX('Revenue by Customer'!AA:AA,MATCH('Full Customer List'!$B38,'Revenue by Customer'!$A:$A,0))</f>
        <v>2145</v>
      </c>
      <c r="AB38" s="192" t="str">
        <f>INDEX('Revenue by Customer'!AB:AB,MATCH('Full Customer List'!$B38,'Revenue by Customer'!$A:$A,0))</f>
        <v/>
      </c>
      <c r="AC38" s="192" t="str">
        <f>INDEX('Revenue by Customer'!AC:AC,MATCH('Full Customer List'!$B38,'Revenue by Customer'!$A:$A,0))</f>
        <v/>
      </c>
    </row>
    <row r="39" spans="2:29" ht="12" customHeight="1">
      <c r="B39" s="173" t="s">
        <v>609</v>
      </c>
      <c r="C39" s="173" t="str">
        <f>INDEX('Customer List'!$B:$B,MATCH('Full Customer List'!$B39,'Customer List'!$A:$A,0))</f>
        <v>Active</v>
      </c>
      <c r="D39" s="173" t="str">
        <f>INDEX('Customer List'!$C:$C,MATCH('Full Customer List'!$B39,'Customer List'!$A:$A,0))</f>
        <v>Property manager</v>
      </c>
      <c r="E39" s="173" t="str">
        <f>INDEX('Customer List Mapping'!$C:$C,MATCH('Full Customer List'!D39,'Customer List Mapping'!$B:$B,0))</f>
        <v>Property Manager</v>
      </c>
      <c r="F39" s="192">
        <f>INDEX('Customer List'!$K:$K,MATCH('Full Customer List'!$B39,'Customer List'!$A:$A,0))</f>
        <v>16</v>
      </c>
      <c r="G39" s="192">
        <f>INDEX('Revenue by Customer'!$I:$I,MATCH('Full Customer List'!$B39,'Revenue by Customer'!$A:$A,0))</f>
        <v>1581.6666666666667</v>
      </c>
      <c r="H39" s="257" t="str">
        <f>IFERROR(IF(C39="Active","",INDEX('Client Departures'!$G:$G,MATCH('Full Customer List'!$B39,'Client Departures'!$A:$A,0))),"Unclassified")</f>
        <v/>
      </c>
      <c r="I39" s="196">
        <v>45292</v>
      </c>
      <c r="J39" s="196"/>
      <c r="K39" s="192">
        <f>INDEX('Revenue by Customer'!K:K,MATCH('Full Customer List'!$B39,'Revenue by Customer'!$A:$A,0))</f>
        <v>810</v>
      </c>
      <c r="L39" s="192">
        <f>INDEX('Revenue by Customer'!L:L,MATCH('Full Customer List'!$B39,'Revenue by Customer'!$A:$A,0))</f>
        <v>600</v>
      </c>
      <c r="M39" s="192">
        <f>INDEX('Revenue by Customer'!M:M,MATCH('Full Customer List'!$B39,'Revenue by Customer'!$A:$A,0))</f>
        <v>850</v>
      </c>
      <c r="N39" s="192">
        <f>INDEX('Revenue by Customer'!N:N,MATCH('Full Customer List'!$B39,'Revenue by Customer'!$A:$A,0))</f>
        <v>2690</v>
      </c>
      <c r="O39" s="192">
        <f>INDEX('Revenue by Customer'!O:O,MATCH('Full Customer List'!$B39,'Revenue by Customer'!$A:$A,0))</f>
        <v>2871.5</v>
      </c>
      <c r="P39" s="192">
        <f>INDEX('Revenue by Customer'!P:P,MATCH('Full Customer List'!$B39,'Revenue by Customer'!$A:$A,0))</f>
        <v>2682.5</v>
      </c>
      <c r="Q39" s="192">
        <f>INDEX('Revenue by Customer'!Q:Q,MATCH('Full Customer List'!$B39,'Revenue by Customer'!$A:$A,0))</f>
        <v>2808</v>
      </c>
      <c r="R39" s="192">
        <f>INDEX('Revenue by Customer'!R:R,MATCH('Full Customer List'!$B39,'Revenue by Customer'!$A:$A,0))</f>
        <v>2705</v>
      </c>
      <c r="S39" s="192">
        <f>INDEX('Revenue by Customer'!S:S,MATCH('Full Customer List'!$B39,'Revenue by Customer'!$A:$A,0))</f>
        <v>2705</v>
      </c>
      <c r="T39" s="192">
        <f>INDEX('Revenue by Customer'!T:T,MATCH('Full Customer List'!$B39,'Revenue by Customer'!$A:$A,0))</f>
        <v>1023.5</v>
      </c>
      <c r="U39" s="192">
        <f>INDEX('Revenue by Customer'!U:U,MATCH('Full Customer List'!$B39,'Revenue by Customer'!$A:$A,0))</f>
        <v>1150</v>
      </c>
      <c r="V39" s="192">
        <f>INDEX('Revenue by Customer'!V:V,MATCH('Full Customer List'!$B39,'Revenue by Customer'!$A:$A,0))</f>
        <v>1350</v>
      </c>
      <c r="W39" s="192">
        <f>INDEX('Revenue by Customer'!W:W,MATCH('Full Customer List'!$B39,'Revenue by Customer'!$A:$A,0))</f>
        <v>1801</v>
      </c>
      <c r="X39" s="192">
        <f>INDEX('Revenue by Customer'!X:X,MATCH('Full Customer List'!$B39,'Revenue by Customer'!$A:$A,0))</f>
        <v>1364</v>
      </c>
      <c r="Y39" s="192">
        <f>INDEX('Revenue by Customer'!Y:Y,MATCH('Full Customer List'!$B39,'Revenue by Customer'!$A:$A,0))</f>
        <v>1578</v>
      </c>
      <c r="Z39" s="192">
        <f>INDEX('Revenue by Customer'!Z:Z,MATCH('Full Customer List'!$B39,'Revenue by Customer'!$A:$A,0))</f>
        <v>1535</v>
      </c>
      <c r="AA39" s="192">
        <f>INDEX('Revenue by Customer'!AA:AA,MATCH('Full Customer List'!$B39,'Revenue by Customer'!$A:$A,0))</f>
        <v>1578</v>
      </c>
      <c r="AB39" s="192">
        <f>INDEX('Revenue by Customer'!AB:AB,MATCH('Full Customer List'!$B39,'Revenue by Customer'!$A:$A,0))</f>
        <v>1632</v>
      </c>
      <c r="AC39" s="192">
        <f>INDEX('Revenue by Customer'!AC:AC,MATCH('Full Customer List'!$B39,'Revenue by Customer'!$A:$A,0))</f>
        <v>1535</v>
      </c>
    </row>
    <row r="40" spans="2:29" ht="12" customHeight="1">
      <c r="B40" s="173" t="s">
        <v>610</v>
      </c>
      <c r="C40" s="173" t="str">
        <f>INDEX('Customer List'!$B:$B,MATCH('Full Customer List'!$B40,'Customer List'!$A:$A,0))</f>
        <v>Active</v>
      </c>
      <c r="D40" s="173" t="str">
        <f>INDEX('Customer List'!$C:$C,MATCH('Full Customer List'!$B40,'Customer List'!$A:$A,0))</f>
        <v>Property manager</v>
      </c>
      <c r="E40" s="173" t="str">
        <f>INDEX('Customer List Mapping'!$C:$C,MATCH('Full Customer List'!D40,'Customer List Mapping'!$B:$B,0))</f>
        <v>Property Manager</v>
      </c>
      <c r="F40" s="192">
        <f>INDEX('Customer List'!$K:$K,MATCH('Full Customer List'!$B40,'Customer List'!$A:$A,0))</f>
        <v>84</v>
      </c>
      <c r="G40" s="192">
        <f>INDEX('Revenue by Customer'!$I:$I,MATCH('Full Customer List'!$B40,'Revenue by Customer'!$A:$A,0))</f>
        <v>2935</v>
      </c>
      <c r="H40" s="257" t="str">
        <f>IFERROR(IF(C40="Active","",INDEX('Client Departures'!$G:$G,MATCH('Full Customer List'!$B40,'Client Departures'!$A:$A,0))),"Unclassified")</f>
        <v/>
      </c>
      <c r="I40" s="196">
        <v>45962</v>
      </c>
      <c r="J40" s="196"/>
      <c r="K40" s="192" t="str">
        <f>INDEX('Revenue by Customer'!K:K,MATCH('Full Customer List'!$B40,'Revenue by Customer'!$A:$A,0))</f>
        <v/>
      </c>
      <c r="L40" s="192" t="str">
        <f>INDEX('Revenue by Customer'!L:L,MATCH('Full Customer List'!$B40,'Revenue by Customer'!$A:$A,0))</f>
        <v/>
      </c>
      <c r="M40" s="192" t="str">
        <f>INDEX('Revenue by Customer'!M:M,MATCH('Full Customer List'!$B40,'Revenue by Customer'!$A:$A,0))</f>
        <v/>
      </c>
      <c r="N40" s="192" t="str">
        <f>INDEX('Revenue by Customer'!N:N,MATCH('Full Customer List'!$B40,'Revenue by Customer'!$A:$A,0))</f>
        <v/>
      </c>
      <c r="O40" s="192" t="str">
        <f>INDEX('Revenue by Customer'!O:O,MATCH('Full Customer List'!$B40,'Revenue by Customer'!$A:$A,0))</f>
        <v/>
      </c>
      <c r="P40" s="192" t="str">
        <f>INDEX('Revenue by Customer'!P:P,MATCH('Full Customer List'!$B40,'Revenue by Customer'!$A:$A,0))</f>
        <v/>
      </c>
      <c r="Q40" s="192" t="str">
        <f>INDEX('Revenue by Customer'!Q:Q,MATCH('Full Customer List'!$B40,'Revenue by Customer'!$A:$A,0))</f>
        <v/>
      </c>
      <c r="R40" s="192" t="str">
        <f>INDEX('Revenue by Customer'!R:R,MATCH('Full Customer List'!$B40,'Revenue by Customer'!$A:$A,0))</f>
        <v/>
      </c>
      <c r="S40" s="192" t="str">
        <f>INDEX('Revenue by Customer'!S:S,MATCH('Full Customer List'!$B40,'Revenue by Customer'!$A:$A,0))</f>
        <v/>
      </c>
      <c r="T40" s="192" t="str">
        <f>INDEX('Revenue by Customer'!T:T,MATCH('Full Customer List'!$B40,'Revenue by Customer'!$A:$A,0))</f>
        <v/>
      </c>
      <c r="U40" s="192" t="str">
        <f>INDEX('Revenue by Customer'!U:U,MATCH('Full Customer List'!$B40,'Revenue by Customer'!$A:$A,0))</f>
        <v/>
      </c>
      <c r="V40" s="192" t="str">
        <f>INDEX('Revenue by Customer'!V:V,MATCH('Full Customer List'!$B40,'Revenue by Customer'!$A:$A,0))</f>
        <v/>
      </c>
      <c r="W40" s="192" t="str">
        <f>INDEX('Revenue by Customer'!W:W,MATCH('Full Customer List'!$B40,'Revenue by Customer'!$A:$A,0))</f>
        <v/>
      </c>
      <c r="X40" s="192">
        <f>INDEX('Revenue by Customer'!X:X,MATCH('Full Customer List'!$B40,'Revenue by Customer'!$A:$A,0))</f>
        <v>5420</v>
      </c>
      <c r="Y40" s="192">
        <f>INDEX('Revenue by Customer'!Y:Y,MATCH('Full Customer List'!$B40,'Revenue by Customer'!$A:$A,0))</f>
        <v>2795</v>
      </c>
      <c r="Z40" s="192">
        <f>INDEX('Revenue by Customer'!Z:Z,MATCH('Full Customer List'!$B40,'Revenue by Customer'!$A:$A,0))</f>
        <v>2865</v>
      </c>
      <c r="AA40" s="192">
        <f>INDEX('Revenue by Customer'!AA:AA,MATCH('Full Customer List'!$B40,'Revenue by Customer'!$A:$A,0))</f>
        <v>2865</v>
      </c>
      <c r="AB40" s="192">
        <f>INDEX('Revenue by Customer'!AB:AB,MATCH('Full Customer List'!$B40,'Revenue by Customer'!$A:$A,0))</f>
        <v>2935</v>
      </c>
      <c r="AC40" s="192">
        <f>INDEX('Revenue by Customer'!AC:AC,MATCH('Full Customer List'!$B40,'Revenue by Customer'!$A:$A,0))</f>
        <v>3005</v>
      </c>
    </row>
    <row r="41" spans="2:29" ht="12" customHeight="1">
      <c r="B41" s="173" t="s">
        <v>611</v>
      </c>
      <c r="C41" s="173" t="str">
        <f>INDEX('Customer List'!$B:$B,MATCH('Full Customer List'!$B41,'Customer List'!$A:$A,0))</f>
        <v>Active</v>
      </c>
      <c r="D41" s="173" t="str">
        <f>INDEX('Customer List'!$C:$C,MATCH('Full Customer List'!$B41,'Customer List'!$A:$A,0))</f>
        <v>Property manager</v>
      </c>
      <c r="E41" s="173" t="str">
        <f>INDEX('Customer List Mapping'!$C:$C,MATCH('Full Customer List'!D41,'Customer List Mapping'!$B:$B,0))</f>
        <v>Property Manager</v>
      </c>
      <c r="F41" s="192">
        <f>INDEX('Customer List'!$K:$K,MATCH('Full Customer List'!$B41,'Customer List'!$A:$A,0))</f>
        <v>66</v>
      </c>
      <c r="G41" s="192">
        <f>INDEX('Revenue by Customer'!$I:$I,MATCH('Full Customer List'!$B41,'Revenue by Customer'!$A:$A,0))</f>
        <v>2225</v>
      </c>
      <c r="H41" s="257" t="str">
        <f>IFERROR(IF(C41="Active","",INDEX('Client Departures'!$G:$G,MATCH('Full Customer List'!$B41,'Client Departures'!$A:$A,0))),"Unclassified")</f>
        <v/>
      </c>
      <c r="I41" s="196">
        <v>45352</v>
      </c>
      <c r="J41" s="196"/>
      <c r="K41" s="192">
        <f>INDEX('Revenue by Customer'!K:K,MATCH('Full Customer List'!$B41,'Revenue by Customer'!$A:$A,0))</f>
        <v>950</v>
      </c>
      <c r="L41" s="192">
        <f>INDEX('Revenue by Customer'!L:L,MATCH('Full Customer List'!$B41,'Revenue by Customer'!$A:$A,0))</f>
        <v>950</v>
      </c>
      <c r="M41" s="192">
        <f>INDEX('Revenue by Customer'!M:M,MATCH('Full Customer List'!$B41,'Revenue by Customer'!$A:$A,0))</f>
        <v>2055</v>
      </c>
      <c r="N41" s="192">
        <f>INDEX('Revenue by Customer'!N:N,MATCH('Full Customer List'!$B41,'Revenue by Customer'!$A:$A,0))</f>
        <v>950</v>
      </c>
      <c r="O41" s="192">
        <f>INDEX('Revenue by Customer'!O:O,MATCH('Full Customer List'!$B41,'Revenue by Customer'!$A:$A,0))</f>
        <v>2700</v>
      </c>
      <c r="P41" s="192">
        <f>INDEX('Revenue by Customer'!P:P,MATCH('Full Customer List'!$B41,'Revenue by Customer'!$A:$A,0))</f>
        <v>950</v>
      </c>
      <c r="Q41" s="192">
        <f>INDEX('Revenue by Customer'!Q:Q,MATCH('Full Customer List'!$B41,'Revenue by Customer'!$A:$A,0))</f>
        <v>950</v>
      </c>
      <c r="R41" s="192">
        <f>INDEX('Revenue by Customer'!R:R,MATCH('Full Customer List'!$B41,'Revenue by Customer'!$A:$A,0))</f>
        <v>950</v>
      </c>
      <c r="S41" s="192">
        <f>INDEX('Revenue by Customer'!S:S,MATCH('Full Customer List'!$B41,'Revenue by Customer'!$A:$A,0))</f>
        <v>950</v>
      </c>
      <c r="T41" s="192">
        <f>INDEX('Revenue by Customer'!T:T,MATCH('Full Customer List'!$B41,'Revenue by Customer'!$A:$A,0))</f>
        <v>950</v>
      </c>
      <c r="U41" s="192">
        <f>INDEX('Revenue by Customer'!U:U,MATCH('Full Customer List'!$B41,'Revenue by Customer'!$A:$A,0))</f>
        <v>2250</v>
      </c>
      <c r="V41" s="192">
        <f>INDEX('Revenue by Customer'!V:V,MATCH('Full Customer List'!$B41,'Revenue by Customer'!$A:$A,0))</f>
        <v>1275</v>
      </c>
      <c r="W41" s="192">
        <f>INDEX('Revenue by Customer'!W:W,MATCH('Full Customer List'!$B41,'Revenue by Customer'!$A:$A,0))</f>
        <v>1195</v>
      </c>
      <c r="X41" s="192">
        <f>INDEX('Revenue by Customer'!X:X,MATCH('Full Customer List'!$B41,'Revenue by Customer'!$A:$A,0))</f>
        <v>2369</v>
      </c>
      <c r="Y41" s="192">
        <f>INDEX('Revenue by Customer'!Y:Y,MATCH('Full Customer List'!$B41,'Revenue by Customer'!$A:$A,0))</f>
        <v>1375</v>
      </c>
      <c r="Z41" s="192">
        <f>INDEX('Revenue by Customer'!Z:Z,MATCH('Full Customer List'!$B41,'Revenue by Customer'!$A:$A,0))</f>
        <v>1400</v>
      </c>
      <c r="AA41" s="192">
        <f>INDEX('Revenue by Customer'!AA:AA,MATCH('Full Customer List'!$B41,'Revenue by Customer'!$A:$A,0))</f>
        <v>1475</v>
      </c>
      <c r="AB41" s="192">
        <f>INDEX('Revenue by Customer'!AB:AB,MATCH('Full Customer List'!$B41,'Revenue by Customer'!$A:$A,0))</f>
        <v>3650</v>
      </c>
      <c r="AC41" s="192">
        <f>INDEX('Revenue by Customer'!AC:AC,MATCH('Full Customer List'!$B41,'Revenue by Customer'!$A:$A,0))</f>
        <v>1550</v>
      </c>
    </row>
    <row r="42" spans="2:29" ht="12" customHeight="1">
      <c r="B42" s="173" t="s">
        <v>614</v>
      </c>
      <c r="C42" s="173" t="str">
        <f>INDEX('Customer List'!$B:$B,MATCH('Full Customer List'!$B42,'Customer List'!$A:$A,0))</f>
        <v>Active</v>
      </c>
      <c r="D42" s="173" t="str">
        <f>INDEX('Customer List'!$C:$C,MATCH('Full Customer List'!$B42,'Customer List'!$A:$A,0))</f>
        <v>Property manager</v>
      </c>
      <c r="E42" s="173" t="str">
        <f>INDEX('Customer List Mapping'!$C:$C,MATCH('Full Customer List'!D42,'Customer List Mapping'!$B:$B,0))</f>
        <v>Property Manager</v>
      </c>
      <c r="F42" s="192">
        <f>INDEX('Customer List'!$K:$K,MATCH('Full Customer List'!$B42,'Customer List'!$A:$A,0))</f>
        <v>39</v>
      </c>
      <c r="G42" s="192">
        <f>INDEX('Revenue by Customer'!$I:$I,MATCH('Full Customer List'!$B42,'Revenue by Customer'!$A:$A,0))</f>
        <v>1915</v>
      </c>
      <c r="H42" s="257" t="str">
        <f>IFERROR(IF(C42="Active","",INDEX('Client Departures'!$G:$G,MATCH('Full Customer List'!$B42,'Client Departures'!$A:$A,0))),"Unclassified")</f>
        <v/>
      </c>
      <c r="I42" s="196">
        <v>45901</v>
      </c>
      <c r="J42" s="196"/>
      <c r="K42" s="192" t="str">
        <f>INDEX('Revenue by Customer'!K:K,MATCH('Full Customer List'!$B42,'Revenue by Customer'!$A:$A,0))</f>
        <v/>
      </c>
      <c r="L42" s="192" t="str">
        <f>INDEX('Revenue by Customer'!L:L,MATCH('Full Customer List'!$B42,'Revenue by Customer'!$A:$A,0))</f>
        <v/>
      </c>
      <c r="M42" s="192" t="str">
        <f>INDEX('Revenue by Customer'!M:M,MATCH('Full Customer List'!$B42,'Revenue by Customer'!$A:$A,0))</f>
        <v/>
      </c>
      <c r="N42" s="192" t="str">
        <f>INDEX('Revenue by Customer'!N:N,MATCH('Full Customer List'!$B42,'Revenue by Customer'!$A:$A,0))</f>
        <v/>
      </c>
      <c r="O42" s="192" t="str">
        <f>INDEX('Revenue by Customer'!O:O,MATCH('Full Customer List'!$B42,'Revenue by Customer'!$A:$A,0))</f>
        <v/>
      </c>
      <c r="P42" s="192" t="str">
        <f>INDEX('Revenue by Customer'!P:P,MATCH('Full Customer List'!$B42,'Revenue by Customer'!$A:$A,0))</f>
        <v/>
      </c>
      <c r="Q42" s="192" t="str">
        <f>INDEX('Revenue by Customer'!Q:Q,MATCH('Full Customer List'!$B42,'Revenue by Customer'!$A:$A,0))</f>
        <v/>
      </c>
      <c r="R42" s="192" t="str">
        <f>INDEX('Revenue by Customer'!R:R,MATCH('Full Customer List'!$B42,'Revenue by Customer'!$A:$A,0))</f>
        <v/>
      </c>
      <c r="S42" s="192" t="str">
        <f>INDEX('Revenue by Customer'!S:S,MATCH('Full Customer List'!$B42,'Revenue by Customer'!$A:$A,0))</f>
        <v/>
      </c>
      <c r="T42" s="192" t="str">
        <f>INDEX('Revenue by Customer'!T:T,MATCH('Full Customer List'!$B42,'Revenue by Customer'!$A:$A,0))</f>
        <v/>
      </c>
      <c r="U42" s="192">
        <f>INDEX('Revenue by Customer'!U:U,MATCH('Full Customer List'!$B42,'Revenue by Customer'!$A:$A,0))</f>
        <v>3730</v>
      </c>
      <c r="V42" s="192">
        <f>INDEX('Revenue by Customer'!V:V,MATCH('Full Customer List'!$B42,'Revenue by Customer'!$A:$A,0))</f>
        <v>1915</v>
      </c>
      <c r="W42" s="192">
        <f>INDEX('Revenue by Customer'!W:W,MATCH('Full Customer List'!$B42,'Revenue by Customer'!$A:$A,0))</f>
        <v>1805</v>
      </c>
      <c r="X42" s="192">
        <f>INDEX('Revenue by Customer'!X:X,MATCH('Full Customer List'!$B42,'Revenue by Customer'!$A:$A,0))</f>
        <v>1960</v>
      </c>
      <c r="Y42" s="192">
        <f>INDEX('Revenue by Customer'!Y:Y,MATCH('Full Customer List'!$B42,'Revenue by Customer'!$A:$A,0))</f>
        <v>1780</v>
      </c>
      <c r="Z42" s="192">
        <f>INDEX('Revenue by Customer'!Z:Z,MATCH('Full Customer List'!$B42,'Revenue by Customer'!$A:$A,0))</f>
        <v>1695</v>
      </c>
      <c r="AA42" s="192">
        <f>INDEX('Revenue by Customer'!AA:AA,MATCH('Full Customer List'!$B42,'Revenue by Customer'!$A:$A,0))</f>
        <v>1915</v>
      </c>
      <c r="AB42" s="192">
        <f>INDEX('Revenue by Customer'!AB:AB,MATCH('Full Customer List'!$B42,'Revenue by Customer'!$A:$A,0))</f>
        <v>1860</v>
      </c>
      <c r="AC42" s="192">
        <f>INDEX('Revenue by Customer'!AC:AC,MATCH('Full Customer List'!$B42,'Revenue by Customer'!$A:$A,0))</f>
        <v>1970</v>
      </c>
    </row>
    <row r="43" spans="2:29" ht="12" customHeight="1">
      <c r="B43" s="173" t="s">
        <v>616</v>
      </c>
      <c r="C43" s="173" t="str">
        <f>INDEX('Customer List'!$B:$B,MATCH('Full Customer List'!$B43,'Customer List'!$A:$A,0))</f>
        <v>Active</v>
      </c>
      <c r="D43" s="173" t="str">
        <f>INDEX('Customer List'!$C:$C,MATCH('Full Customer List'!$B43,'Customer List'!$A:$A,0))</f>
        <v>Property manager</v>
      </c>
      <c r="E43" s="173" t="str">
        <f>INDEX('Customer List Mapping'!$C:$C,MATCH('Full Customer List'!D43,'Customer List Mapping'!$B:$B,0))</f>
        <v>Property Manager</v>
      </c>
      <c r="F43" s="192">
        <f>INDEX('Customer List'!$K:$K,MATCH('Full Customer List'!$B43,'Customer List'!$A:$A,0))</f>
        <v>45</v>
      </c>
      <c r="G43" s="192">
        <f>INDEX('Revenue by Customer'!$I:$I,MATCH('Full Customer List'!$B43,'Revenue by Customer'!$A:$A,0))</f>
        <v>2458</v>
      </c>
      <c r="H43" s="257" t="str">
        <f>IFERROR(IF(C43="Active","",INDEX('Client Departures'!$G:$G,MATCH('Full Customer List'!$B43,'Client Departures'!$A:$A,0))),"Unclassified")</f>
        <v/>
      </c>
      <c r="I43" s="196">
        <v>46023</v>
      </c>
      <c r="J43" s="196"/>
      <c r="K43" s="192" t="str">
        <f>INDEX('Revenue by Customer'!K:K,MATCH('Full Customer List'!$B43,'Revenue by Customer'!$A:$A,0))</f>
        <v/>
      </c>
      <c r="L43" s="192" t="str">
        <f>INDEX('Revenue by Customer'!L:L,MATCH('Full Customer List'!$B43,'Revenue by Customer'!$A:$A,0))</f>
        <v/>
      </c>
      <c r="M43" s="192" t="str">
        <f>INDEX('Revenue by Customer'!M:M,MATCH('Full Customer List'!$B43,'Revenue by Customer'!$A:$A,0))</f>
        <v/>
      </c>
      <c r="N43" s="192" t="str">
        <f>INDEX('Revenue by Customer'!N:N,MATCH('Full Customer List'!$B43,'Revenue by Customer'!$A:$A,0))</f>
        <v/>
      </c>
      <c r="O43" s="192" t="str">
        <f>INDEX('Revenue by Customer'!O:O,MATCH('Full Customer List'!$B43,'Revenue by Customer'!$A:$A,0))</f>
        <v/>
      </c>
      <c r="P43" s="192" t="str">
        <f>INDEX('Revenue by Customer'!P:P,MATCH('Full Customer List'!$B43,'Revenue by Customer'!$A:$A,0))</f>
        <v/>
      </c>
      <c r="Q43" s="192" t="str">
        <f>INDEX('Revenue by Customer'!Q:Q,MATCH('Full Customer List'!$B43,'Revenue by Customer'!$A:$A,0))</f>
        <v/>
      </c>
      <c r="R43" s="192" t="str">
        <f>INDEX('Revenue by Customer'!R:R,MATCH('Full Customer List'!$B43,'Revenue by Customer'!$A:$A,0))</f>
        <v/>
      </c>
      <c r="S43" s="192" t="str">
        <f>INDEX('Revenue by Customer'!S:S,MATCH('Full Customer List'!$B43,'Revenue by Customer'!$A:$A,0))</f>
        <v/>
      </c>
      <c r="T43" s="192" t="str">
        <f>INDEX('Revenue by Customer'!T:T,MATCH('Full Customer List'!$B43,'Revenue by Customer'!$A:$A,0))</f>
        <v/>
      </c>
      <c r="U43" s="192" t="str">
        <f>INDEX('Revenue by Customer'!U:U,MATCH('Full Customer List'!$B43,'Revenue by Customer'!$A:$A,0))</f>
        <v/>
      </c>
      <c r="V43" s="192" t="str">
        <f>INDEX('Revenue by Customer'!V:V,MATCH('Full Customer List'!$B43,'Revenue by Customer'!$A:$A,0))</f>
        <v/>
      </c>
      <c r="W43" s="192">
        <f>INDEX('Revenue by Customer'!W:W,MATCH('Full Customer List'!$B43,'Revenue by Customer'!$A:$A,0))</f>
        <v>4257</v>
      </c>
      <c r="X43" s="192">
        <f>INDEX('Revenue by Customer'!X:X,MATCH('Full Customer List'!$B43,'Revenue by Customer'!$A:$A,0))</f>
        <v>2216</v>
      </c>
      <c r="Y43" s="192">
        <f>INDEX('Revenue by Customer'!Y:Y,MATCH('Full Customer List'!$B43,'Revenue by Customer'!$A:$A,0))</f>
        <v>2378</v>
      </c>
      <c r="Z43" s="192">
        <f>INDEX('Revenue by Customer'!Z:Z,MATCH('Full Customer List'!$B43,'Revenue by Customer'!$A:$A,0))</f>
        <v>2378</v>
      </c>
      <c r="AA43" s="192">
        <f>INDEX('Revenue by Customer'!AA:AA,MATCH('Full Customer List'!$B43,'Revenue by Customer'!$A:$A,0))</f>
        <v>3271</v>
      </c>
      <c r="AB43" s="192">
        <f>INDEX('Revenue by Customer'!AB:AB,MATCH('Full Customer List'!$B43,'Revenue by Customer'!$A:$A,0))</f>
        <v>3231</v>
      </c>
      <c r="AC43" s="192">
        <f>INDEX('Revenue by Customer'!AC:AC,MATCH('Full Customer List'!$B43,'Revenue by Customer'!$A:$A,0))</f>
        <v>872</v>
      </c>
    </row>
    <row r="44" spans="2:29" ht="12" customHeight="1">
      <c r="B44" s="173" t="s">
        <v>619</v>
      </c>
      <c r="C44" s="173" t="str">
        <f>INDEX('Customer List'!$B:$B,MATCH('Full Customer List'!$B44,'Customer List'!$A:$A,0))</f>
        <v>Active</v>
      </c>
      <c r="D44" s="173" t="str">
        <f>INDEX('Customer List'!$C:$C,MATCH('Full Customer List'!$B44,'Customer List'!$A:$A,0))</f>
        <v>Property manager</v>
      </c>
      <c r="E44" s="173" t="str">
        <f>INDEX('Customer List Mapping'!$C:$C,MATCH('Full Customer List'!D44,'Customer List Mapping'!$B:$B,0))</f>
        <v>Property Manager</v>
      </c>
      <c r="F44" s="192">
        <f>INDEX('Customer List'!$K:$K,MATCH('Full Customer List'!$B44,'Customer List'!$A:$A,0))</f>
        <v>18</v>
      </c>
      <c r="G44" s="192">
        <f>INDEX('Revenue by Customer'!$I:$I,MATCH('Full Customer List'!$B44,'Revenue by Customer'!$A:$A,0))</f>
        <v>1551</v>
      </c>
      <c r="H44" s="257" t="str">
        <f>IFERROR(IF(C44="Active","",INDEX('Client Departures'!$G:$G,MATCH('Full Customer List'!$B44,'Client Departures'!$A:$A,0))),"Unclassified")</f>
        <v/>
      </c>
      <c r="I44" s="196">
        <v>45444</v>
      </c>
      <c r="J44" s="196"/>
      <c r="K44" s="192">
        <f>INDEX('Revenue by Customer'!K:K,MATCH('Full Customer List'!$B44,'Revenue by Customer'!$A:$A,0))</f>
        <v>790</v>
      </c>
      <c r="L44" s="192">
        <f>INDEX('Revenue by Customer'!L:L,MATCH('Full Customer List'!$B44,'Revenue by Customer'!$A:$A,0))</f>
        <v>1196</v>
      </c>
      <c r="M44" s="192">
        <f>INDEX('Revenue by Customer'!M:M,MATCH('Full Customer List'!$B44,'Revenue by Customer'!$A:$A,0))</f>
        <v>1264</v>
      </c>
      <c r="N44" s="192">
        <f>INDEX('Revenue by Customer'!N:N,MATCH('Full Customer List'!$B44,'Revenue by Customer'!$A:$A,0))</f>
        <v>948</v>
      </c>
      <c r="O44" s="192">
        <f>INDEX('Revenue by Customer'!O:O,MATCH('Full Customer List'!$B44,'Revenue by Customer'!$A:$A,0))</f>
        <v>1264</v>
      </c>
      <c r="P44" s="192">
        <f>INDEX('Revenue by Customer'!P:P,MATCH('Full Customer List'!$B44,'Revenue by Customer'!$A:$A,0))</f>
        <v>1370</v>
      </c>
      <c r="Q44" s="192">
        <f>INDEX('Revenue by Customer'!Q:Q,MATCH('Full Customer List'!$B44,'Revenue by Customer'!$A:$A,0))</f>
        <v>1445</v>
      </c>
      <c r="R44" s="192">
        <f>INDEX('Revenue by Customer'!R:R,MATCH('Full Customer List'!$B44,'Revenue by Customer'!$A:$A,0))</f>
        <v>1280</v>
      </c>
      <c r="S44" s="192">
        <f>INDEX('Revenue by Customer'!S:S,MATCH('Full Customer List'!$B44,'Revenue by Customer'!$A:$A,0))</f>
        <v>1430</v>
      </c>
      <c r="T44" s="192">
        <f>INDEX('Revenue by Customer'!T:T,MATCH('Full Customer List'!$B44,'Revenue by Customer'!$A:$A,0))</f>
        <v>1335</v>
      </c>
      <c r="U44" s="192">
        <f>INDEX('Revenue by Customer'!U:U,MATCH('Full Customer List'!$B44,'Revenue by Customer'!$A:$A,0))</f>
        <v>1410</v>
      </c>
      <c r="V44" s="192">
        <f>INDEX('Revenue by Customer'!V:V,MATCH('Full Customer List'!$B44,'Revenue by Customer'!$A:$A,0))</f>
        <v>1560</v>
      </c>
      <c r="W44" s="192">
        <f>INDEX('Revenue by Customer'!W:W,MATCH('Full Customer List'!$B44,'Revenue by Customer'!$A:$A,0))</f>
        <v>1635</v>
      </c>
      <c r="X44" s="192">
        <f>INDEX('Revenue by Customer'!X:X,MATCH('Full Customer List'!$B44,'Revenue by Customer'!$A:$A,0))</f>
        <v>1485</v>
      </c>
      <c r="Y44" s="192">
        <f>INDEX('Revenue by Customer'!Y:Y,MATCH('Full Customer List'!$B44,'Revenue by Customer'!$A:$A,0))</f>
        <v>1410</v>
      </c>
      <c r="Z44" s="192">
        <f>INDEX('Revenue by Customer'!Z:Z,MATCH('Full Customer List'!$B44,'Revenue by Customer'!$A:$A,0))</f>
        <v>1635</v>
      </c>
      <c r="AA44" s="192">
        <f>INDEX('Revenue by Customer'!AA:AA,MATCH('Full Customer List'!$B44,'Revenue by Customer'!$A:$A,0))</f>
        <v>1635</v>
      </c>
      <c r="AB44" s="192">
        <f>INDEX('Revenue by Customer'!AB:AB,MATCH('Full Customer List'!$B44,'Revenue by Customer'!$A:$A,0))</f>
        <v>1509</v>
      </c>
      <c r="AC44" s="192">
        <f>INDEX('Revenue by Customer'!AC:AC,MATCH('Full Customer List'!$B44,'Revenue by Customer'!$A:$A,0))</f>
        <v>1509</v>
      </c>
    </row>
    <row r="45" spans="2:29" ht="12" customHeight="1">
      <c r="B45" s="173" t="s">
        <v>620</v>
      </c>
      <c r="C45" s="173" t="str">
        <f>INDEX('Customer List'!$B:$B,MATCH('Full Customer List'!$B45,'Customer List'!$A:$A,0))</f>
        <v>Active</v>
      </c>
      <c r="D45" s="173" t="str">
        <f>INDEX('Customer List'!$C:$C,MATCH('Full Customer List'!$B45,'Customer List'!$A:$A,0))</f>
        <v>Property manager</v>
      </c>
      <c r="E45" s="173" t="str">
        <f>INDEX('Customer List Mapping'!$C:$C,MATCH('Full Customer List'!D45,'Customer List Mapping'!$B:$B,0))</f>
        <v>Property Manager</v>
      </c>
      <c r="F45" s="192">
        <f>INDEX('Customer List'!$K:$K,MATCH('Full Customer List'!$B45,'Customer List'!$A:$A,0))</f>
        <v>48</v>
      </c>
      <c r="G45" s="192">
        <f>INDEX('Revenue by Customer'!$I:$I,MATCH('Full Customer List'!$B45,'Revenue by Customer'!$A:$A,0))</f>
        <v>2476.15</v>
      </c>
      <c r="H45" s="257" t="str">
        <f>IFERROR(IF(C45="Active","",INDEX('Client Departures'!$G:$G,MATCH('Full Customer List'!$B45,'Client Departures'!$A:$A,0))),"Unclassified")</f>
        <v/>
      </c>
      <c r="I45" s="196">
        <v>45992</v>
      </c>
      <c r="J45" s="196"/>
      <c r="K45" s="192" t="str">
        <f>INDEX('Revenue by Customer'!K:K,MATCH('Full Customer List'!$B45,'Revenue by Customer'!$A:$A,0))</f>
        <v/>
      </c>
      <c r="L45" s="192" t="str">
        <f>INDEX('Revenue by Customer'!L:L,MATCH('Full Customer List'!$B45,'Revenue by Customer'!$A:$A,0))</f>
        <v/>
      </c>
      <c r="M45" s="192" t="str">
        <f>INDEX('Revenue by Customer'!M:M,MATCH('Full Customer List'!$B45,'Revenue by Customer'!$A:$A,0))</f>
        <v/>
      </c>
      <c r="N45" s="192" t="str">
        <f>INDEX('Revenue by Customer'!N:N,MATCH('Full Customer List'!$B45,'Revenue by Customer'!$A:$A,0))</f>
        <v/>
      </c>
      <c r="O45" s="192" t="str">
        <f>INDEX('Revenue by Customer'!O:O,MATCH('Full Customer List'!$B45,'Revenue by Customer'!$A:$A,0))</f>
        <v/>
      </c>
      <c r="P45" s="192" t="str">
        <f>INDEX('Revenue by Customer'!P:P,MATCH('Full Customer List'!$B45,'Revenue by Customer'!$A:$A,0))</f>
        <v/>
      </c>
      <c r="Q45" s="192" t="str">
        <f>INDEX('Revenue by Customer'!Q:Q,MATCH('Full Customer List'!$B45,'Revenue by Customer'!$A:$A,0))</f>
        <v/>
      </c>
      <c r="R45" s="192" t="str">
        <f>INDEX('Revenue by Customer'!R:R,MATCH('Full Customer List'!$B45,'Revenue by Customer'!$A:$A,0))</f>
        <v/>
      </c>
      <c r="S45" s="192" t="str">
        <f>INDEX('Revenue by Customer'!S:S,MATCH('Full Customer List'!$B45,'Revenue by Customer'!$A:$A,0))</f>
        <v/>
      </c>
      <c r="T45" s="192" t="str">
        <f>INDEX('Revenue by Customer'!T:T,MATCH('Full Customer List'!$B45,'Revenue by Customer'!$A:$A,0))</f>
        <v/>
      </c>
      <c r="U45" s="192" t="str">
        <f>INDEX('Revenue by Customer'!U:U,MATCH('Full Customer List'!$B45,'Revenue by Customer'!$A:$A,0))</f>
        <v/>
      </c>
      <c r="V45" s="192">
        <f>INDEX('Revenue by Customer'!V:V,MATCH('Full Customer List'!$B45,'Revenue by Customer'!$A:$A,0))</f>
        <v>1805</v>
      </c>
      <c r="W45" s="192">
        <f>INDEX('Revenue by Customer'!W:W,MATCH('Full Customer List'!$B45,'Revenue by Customer'!$A:$A,0))</f>
        <v>2337.5500000000002</v>
      </c>
      <c r="X45" s="192">
        <f>INDEX('Revenue by Customer'!X:X,MATCH('Full Customer List'!$B45,'Revenue by Customer'!$A:$A,0))</f>
        <v>2185.9</v>
      </c>
      <c r="Y45" s="192">
        <f>INDEX('Revenue by Customer'!Y:Y,MATCH('Full Customer List'!$B45,'Revenue by Customer'!$A:$A,0))</f>
        <v>1702</v>
      </c>
      <c r="Z45" s="192">
        <f>INDEX('Revenue by Customer'!Z:Z,MATCH('Full Customer List'!$B45,'Revenue by Customer'!$A:$A,0))</f>
        <v>2360</v>
      </c>
      <c r="AA45" s="192">
        <f>INDEX('Revenue by Customer'!AA:AA,MATCH('Full Customer List'!$B45,'Revenue by Customer'!$A:$A,0))</f>
        <v>2516</v>
      </c>
      <c r="AB45" s="192">
        <f>INDEX('Revenue by Customer'!AB:AB,MATCH('Full Customer List'!$B45,'Revenue by Customer'!$A:$A,0))</f>
        <v>2448.4499999999998</v>
      </c>
      <c r="AC45" s="192">
        <f>INDEX('Revenue by Customer'!AC:AC,MATCH('Full Customer List'!$B45,'Revenue by Customer'!$A:$A,0))</f>
        <v>2464</v>
      </c>
    </row>
    <row r="46" spans="2:29" ht="12" customHeight="1">
      <c r="B46" s="173" t="s">
        <v>623</v>
      </c>
      <c r="C46" s="173" t="str">
        <f>INDEX('Customer List'!$B:$B,MATCH('Full Customer List'!$B46,'Customer List'!$A:$A,0))</f>
        <v>Active</v>
      </c>
      <c r="D46" s="173" t="str">
        <f>INDEX('Customer List'!$C:$C,MATCH('Full Customer List'!$B46,'Customer List'!$A:$A,0))</f>
        <v>Property manager</v>
      </c>
      <c r="E46" s="173" t="str">
        <f>INDEX('Customer List Mapping'!$C:$C,MATCH('Full Customer List'!D46,'Customer List Mapping'!$B:$B,0))</f>
        <v>Property Manager</v>
      </c>
      <c r="F46" s="192">
        <f>INDEX('Customer List'!$K:$K,MATCH('Full Customer List'!$B46,'Customer List'!$A:$A,0))</f>
        <v>20</v>
      </c>
      <c r="G46" s="192">
        <f>INDEX('Revenue by Customer'!$I:$I,MATCH('Full Customer List'!$B46,'Revenue by Customer'!$A:$A,0))</f>
        <v>1947.3333333333333</v>
      </c>
      <c r="H46" s="257" t="str">
        <f>IFERROR(IF(C46="Active","",INDEX('Client Departures'!$G:$G,MATCH('Full Customer List'!$B46,'Client Departures'!$A:$A,0))),"Unclassified")</f>
        <v/>
      </c>
      <c r="I46" s="196">
        <v>45352</v>
      </c>
      <c r="J46" s="196"/>
      <c r="K46" s="192" t="str">
        <f>INDEX('Revenue by Customer'!K:K,MATCH('Full Customer List'!$B46,'Revenue by Customer'!$A:$A,0))</f>
        <v/>
      </c>
      <c r="L46" s="192" t="str">
        <f>INDEX('Revenue by Customer'!L:L,MATCH('Full Customer List'!$B46,'Revenue by Customer'!$A:$A,0))</f>
        <v/>
      </c>
      <c r="M46" s="192" t="str">
        <f>INDEX('Revenue by Customer'!M:M,MATCH('Full Customer List'!$B46,'Revenue by Customer'!$A:$A,0))</f>
        <v/>
      </c>
      <c r="N46" s="192" t="str">
        <f>INDEX('Revenue by Customer'!N:N,MATCH('Full Customer List'!$B46,'Revenue by Customer'!$A:$A,0))</f>
        <v/>
      </c>
      <c r="O46" s="192">
        <f>INDEX('Revenue by Customer'!O:O,MATCH('Full Customer List'!$B46,'Revenue by Customer'!$A:$A,0))</f>
        <v>2350</v>
      </c>
      <c r="P46" s="192">
        <f>INDEX('Revenue by Customer'!P:P,MATCH('Full Customer List'!$B46,'Revenue by Customer'!$A:$A,0))</f>
        <v>2702.5</v>
      </c>
      <c r="Q46" s="192">
        <f>INDEX('Revenue by Customer'!Q:Q,MATCH('Full Customer List'!$B46,'Revenue by Customer'!$A:$A,0))</f>
        <v>1075</v>
      </c>
      <c r="R46" s="192">
        <f>INDEX('Revenue by Customer'!R:R,MATCH('Full Customer List'!$B46,'Revenue by Customer'!$A:$A,0))</f>
        <v>1075</v>
      </c>
      <c r="S46" s="192">
        <f>INDEX('Revenue by Customer'!S:S,MATCH('Full Customer List'!$B46,'Revenue by Customer'!$A:$A,0))</f>
        <v>1150</v>
      </c>
      <c r="T46" s="192">
        <f>INDEX('Revenue by Customer'!T:T,MATCH('Full Customer List'!$B46,'Revenue by Customer'!$A:$A,0))</f>
        <v>1150</v>
      </c>
      <c r="U46" s="192">
        <f>INDEX('Revenue by Customer'!U:U,MATCH('Full Customer List'!$B46,'Revenue by Customer'!$A:$A,0))</f>
        <v>1150</v>
      </c>
      <c r="V46" s="192">
        <f>INDEX('Revenue by Customer'!V:V,MATCH('Full Customer List'!$B46,'Revenue by Customer'!$A:$A,0))</f>
        <v>1150</v>
      </c>
      <c r="W46" s="192">
        <f>INDEX('Revenue by Customer'!W:W,MATCH('Full Customer List'!$B46,'Revenue by Customer'!$A:$A,0))</f>
        <v>1425</v>
      </c>
      <c r="X46" s="192">
        <f>INDEX('Revenue by Customer'!X:X,MATCH('Full Customer List'!$B46,'Revenue by Customer'!$A:$A,0))</f>
        <v>1785</v>
      </c>
      <c r="Y46" s="192">
        <f>INDEX('Revenue by Customer'!Y:Y,MATCH('Full Customer List'!$B46,'Revenue by Customer'!$A:$A,0))</f>
        <v>1500</v>
      </c>
      <c r="Z46" s="192">
        <f>INDEX('Revenue by Customer'!Z:Z,MATCH('Full Customer List'!$B46,'Revenue by Customer'!$A:$A,0))</f>
        <v>1500</v>
      </c>
      <c r="AA46" s="192">
        <f>INDEX('Revenue by Customer'!AA:AA,MATCH('Full Customer List'!$B46,'Revenue by Customer'!$A:$A,0))</f>
        <v>1674</v>
      </c>
      <c r="AB46" s="192">
        <f>INDEX('Revenue by Customer'!AB:AB,MATCH('Full Customer List'!$B46,'Revenue by Customer'!$A:$A,0))</f>
        <v>2038</v>
      </c>
      <c r="AC46" s="192">
        <f>INDEX('Revenue by Customer'!AC:AC,MATCH('Full Customer List'!$B46,'Revenue by Customer'!$A:$A,0))</f>
        <v>2130</v>
      </c>
    </row>
    <row r="47" spans="2:29" ht="12" customHeight="1">
      <c r="B47" s="173" t="s">
        <v>624</v>
      </c>
      <c r="C47" s="173" t="str">
        <f>INDEX('Customer List'!$B:$B,MATCH('Full Customer List'!$B47,'Customer List'!$A:$A,0))</f>
        <v>Active</v>
      </c>
      <c r="D47" s="173" t="str">
        <f>INDEX('Customer List'!$C:$C,MATCH('Full Customer List'!$B47,'Customer List'!$A:$A,0))</f>
        <v>Property manager</v>
      </c>
      <c r="E47" s="173" t="str">
        <f>INDEX('Customer List Mapping'!$C:$C,MATCH('Full Customer List'!D47,'Customer List Mapping'!$B:$B,0))</f>
        <v>Property Manager</v>
      </c>
      <c r="F47" s="192">
        <f>INDEX('Customer List'!$K:$K,MATCH('Full Customer List'!$B47,'Customer List'!$A:$A,0))</f>
        <v>24</v>
      </c>
      <c r="G47" s="192">
        <f>INDEX('Revenue by Customer'!$I:$I,MATCH('Full Customer List'!$B47,'Revenue by Customer'!$A:$A,0))</f>
        <v>1651</v>
      </c>
      <c r="H47" s="257" t="str">
        <f>IFERROR(IF(C47="Active","",INDEX('Client Departures'!$G:$G,MATCH('Full Customer List'!$B47,'Client Departures'!$A:$A,0))),"Unclassified")</f>
        <v/>
      </c>
      <c r="I47" s="196">
        <v>44743</v>
      </c>
      <c r="J47" s="196"/>
      <c r="K47" s="192">
        <f>INDEX('Revenue by Customer'!K:K,MATCH('Full Customer List'!$B47,'Revenue by Customer'!$A:$A,0))</f>
        <v>1222</v>
      </c>
      <c r="L47" s="192">
        <f>INDEX('Revenue by Customer'!L:L,MATCH('Full Customer List'!$B47,'Revenue by Customer'!$A:$A,0))</f>
        <v>1025</v>
      </c>
      <c r="M47" s="192">
        <f>INDEX('Revenue by Customer'!M:M,MATCH('Full Customer List'!$B47,'Revenue by Customer'!$A:$A,0))</f>
        <v>1175</v>
      </c>
      <c r="N47" s="192">
        <f>INDEX('Revenue by Customer'!N:N,MATCH('Full Customer List'!$B47,'Revenue by Customer'!$A:$A,0))</f>
        <v>1325</v>
      </c>
      <c r="O47" s="192">
        <f>INDEX('Revenue by Customer'!O:O,MATCH('Full Customer List'!$B47,'Revenue by Customer'!$A:$A,0))</f>
        <v>1325</v>
      </c>
      <c r="P47" s="192">
        <f>INDEX('Revenue by Customer'!P:P,MATCH('Full Customer List'!$B47,'Revenue by Customer'!$A:$A,0))</f>
        <v>1400</v>
      </c>
      <c r="Q47" s="192">
        <f>INDEX('Revenue by Customer'!Q:Q,MATCH('Full Customer List'!$B47,'Revenue by Customer'!$A:$A,0))</f>
        <v>1400</v>
      </c>
      <c r="R47" s="192">
        <f>INDEX('Revenue by Customer'!R:R,MATCH('Full Customer List'!$B47,'Revenue by Customer'!$A:$A,0))</f>
        <v>1400</v>
      </c>
      <c r="S47" s="192">
        <f>INDEX('Revenue by Customer'!S:S,MATCH('Full Customer List'!$B47,'Revenue by Customer'!$A:$A,0))</f>
        <v>1325</v>
      </c>
      <c r="T47" s="192">
        <f>INDEX('Revenue by Customer'!T:T,MATCH('Full Customer List'!$B47,'Revenue by Customer'!$A:$A,0))</f>
        <v>1325</v>
      </c>
      <c r="U47" s="192">
        <f>INDEX('Revenue by Customer'!U:U,MATCH('Full Customer List'!$B47,'Revenue by Customer'!$A:$A,0))</f>
        <v>1250</v>
      </c>
      <c r="V47" s="192">
        <f>INDEX('Revenue by Customer'!V:V,MATCH('Full Customer List'!$B47,'Revenue by Customer'!$A:$A,0))</f>
        <v>1325</v>
      </c>
      <c r="W47" s="192">
        <f>INDEX('Revenue by Customer'!W:W,MATCH('Full Customer List'!$B47,'Revenue by Customer'!$A:$A,0))</f>
        <v>1730</v>
      </c>
      <c r="X47" s="192">
        <f>INDEX('Revenue by Customer'!X:X,MATCH('Full Customer List'!$B47,'Revenue by Customer'!$A:$A,0))</f>
        <v>1316</v>
      </c>
      <c r="Y47" s="192">
        <f>INDEX('Revenue by Customer'!Y:Y,MATCH('Full Customer List'!$B47,'Revenue by Customer'!$A:$A,0))</f>
        <v>1517</v>
      </c>
      <c r="Z47" s="192">
        <f>INDEX('Revenue by Customer'!Z:Z,MATCH('Full Customer List'!$B47,'Revenue by Customer'!$A:$A,0))</f>
        <v>1584</v>
      </c>
      <c r="AA47" s="192">
        <f>INDEX('Revenue by Customer'!AA:AA,MATCH('Full Customer List'!$B47,'Revenue by Customer'!$A:$A,0))</f>
        <v>1584</v>
      </c>
      <c r="AB47" s="192">
        <f>INDEX('Revenue by Customer'!AB:AB,MATCH('Full Customer List'!$B47,'Revenue by Customer'!$A:$A,0))</f>
        <v>1651</v>
      </c>
      <c r="AC47" s="192">
        <f>INDEX('Revenue by Customer'!AC:AC,MATCH('Full Customer List'!$B47,'Revenue by Customer'!$A:$A,0))</f>
        <v>1718</v>
      </c>
    </row>
    <row r="48" spans="2:29" ht="12" customHeight="1">
      <c r="B48" s="173" t="s">
        <v>626</v>
      </c>
      <c r="C48" s="173" t="str">
        <f>INDEX('Customer List'!$B:$B,MATCH('Full Customer List'!$B48,'Customer List'!$A:$A,0))</f>
        <v>Former client</v>
      </c>
      <c r="D48" s="173" t="str">
        <f>INDEX('Customer List'!$C:$C,MATCH('Full Customer List'!$B48,'Customer List'!$A:$A,0))</f>
        <v>Property manager</v>
      </c>
      <c r="E48" s="173" t="str">
        <f>INDEX('Customer List Mapping'!$C:$C,MATCH('Full Customer List'!D48,'Customer List Mapping'!$B:$B,0))</f>
        <v>Property Manager</v>
      </c>
      <c r="F48" s="192">
        <f>INDEX('Customer List'!$K:$K,MATCH('Full Customer List'!$B48,'Customer List'!$A:$A,0))</f>
        <v>26</v>
      </c>
      <c r="G48" s="192">
        <f>INDEX('Revenue by Customer'!$I:$I,MATCH('Full Customer List'!$B48,'Revenue by Customer'!$A:$A,0))</f>
        <v>2556.6666666666665</v>
      </c>
      <c r="H48" s="257" t="str">
        <f>IFERROR(IF(C48="Active","",INDEX('Client Departures'!$G:$G,MATCH('Full Customer List'!$B48,'Client Departures'!$A:$A,0))),"Unclassified")</f>
        <v>Yes</v>
      </c>
      <c r="I48" s="196">
        <v>45658</v>
      </c>
      <c r="J48" s="196">
        <v>46234</v>
      </c>
      <c r="K48" s="192">
        <f>INDEX('Revenue by Customer'!K:K,MATCH('Full Customer List'!$B48,'Revenue by Customer'!$A:$A,0))</f>
        <v>640</v>
      </c>
      <c r="L48" s="192">
        <f>INDEX('Revenue by Customer'!L:L,MATCH('Full Customer List'!$B48,'Revenue by Customer'!$A:$A,0))</f>
        <v>340</v>
      </c>
      <c r="M48" s="192">
        <f>INDEX('Revenue by Customer'!M:M,MATCH('Full Customer List'!$B48,'Revenue by Customer'!$A:$A,0))</f>
        <v>340</v>
      </c>
      <c r="N48" s="192">
        <f>INDEX('Revenue by Customer'!N:N,MATCH('Full Customer List'!$B48,'Revenue by Customer'!$A:$A,0))</f>
        <v>400</v>
      </c>
      <c r="O48" s="192">
        <f>INDEX('Revenue by Customer'!O:O,MATCH('Full Customer List'!$B48,'Revenue by Customer'!$A:$A,0))</f>
        <v>400</v>
      </c>
      <c r="P48" s="192">
        <f>INDEX('Revenue by Customer'!P:P,MATCH('Full Customer List'!$B48,'Revenue by Customer'!$A:$A,0))</f>
        <v>625</v>
      </c>
      <c r="Q48" s="192">
        <f>INDEX('Revenue by Customer'!Q:Q,MATCH('Full Customer List'!$B48,'Revenue by Customer'!$A:$A,0))</f>
        <v>625</v>
      </c>
      <c r="R48" s="192">
        <f>INDEX('Revenue by Customer'!R:R,MATCH('Full Customer List'!$B48,'Revenue by Customer'!$A:$A,0))</f>
        <v>625</v>
      </c>
      <c r="S48" s="192">
        <f>INDEX('Revenue by Customer'!S:S,MATCH('Full Customer List'!$B48,'Revenue by Customer'!$A:$A,0))</f>
        <v>625</v>
      </c>
      <c r="T48" s="192">
        <f>INDEX('Revenue by Customer'!T:T,MATCH('Full Customer List'!$B48,'Revenue by Customer'!$A:$A,0))</f>
        <v>625</v>
      </c>
      <c r="U48" s="192">
        <f>INDEX('Revenue by Customer'!U:U,MATCH('Full Customer List'!$B48,'Revenue by Customer'!$A:$A,0))</f>
        <v>625</v>
      </c>
      <c r="V48" s="192">
        <f>INDEX('Revenue by Customer'!V:V,MATCH('Full Customer List'!$B48,'Revenue by Customer'!$A:$A,0))</f>
        <v>625</v>
      </c>
      <c r="W48" s="192">
        <f>INDEX('Revenue by Customer'!W:W,MATCH('Full Customer List'!$B48,'Revenue by Customer'!$A:$A,0))</f>
        <v>1376</v>
      </c>
      <c r="X48" s="192">
        <f>INDEX('Revenue by Customer'!X:X,MATCH('Full Customer List'!$B48,'Revenue by Customer'!$A:$A,0))</f>
        <v>1514</v>
      </c>
      <c r="Y48" s="192">
        <f>INDEX('Revenue by Customer'!Y:Y,MATCH('Full Customer List'!$B48,'Revenue by Customer'!$A:$A,0))</f>
        <v>1912</v>
      </c>
      <c r="Z48" s="192">
        <f>INDEX('Revenue by Customer'!Z:Z,MATCH('Full Customer List'!$B48,'Revenue by Customer'!$A:$A,0))</f>
        <v>1912</v>
      </c>
      <c r="AA48" s="192">
        <f>INDEX('Revenue by Customer'!AA:AA,MATCH('Full Customer List'!$B48,'Revenue by Customer'!$A:$A,0))</f>
        <v>2441</v>
      </c>
      <c r="AB48" s="192">
        <f>INDEX('Revenue by Customer'!AB:AB,MATCH('Full Customer List'!$B48,'Revenue by Customer'!$A:$A,0))</f>
        <v>2566</v>
      </c>
      <c r="AC48" s="192">
        <f>INDEX('Revenue by Customer'!AC:AC,MATCH('Full Customer List'!$B48,'Revenue by Customer'!$A:$A,0))</f>
        <v>2663</v>
      </c>
    </row>
    <row r="49" spans="2:29" ht="12" customHeight="1">
      <c r="B49" s="173" t="s">
        <v>628</v>
      </c>
      <c r="C49" s="173" t="str">
        <f>INDEX('Customer List'!$B:$B,MATCH('Full Customer List'!$B49,'Customer List'!$A:$A,0))</f>
        <v>Active</v>
      </c>
      <c r="D49" s="173" t="str">
        <f>INDEX('Customer List'!$C:$C,MATCH('Full Customer List'!$B49,'Customer List'!$A:$A,0))</f>
        <v>Property manager</v>
      </c>
      <c r="E49" s="173" t="str">
        <f>INDEX('Customer List Mapping'!$C:$C,MATCH('Full Customer List'!D49,'Customer List Mapping'!$B:$B,0))</f>
        <v>Property Manager</v>
      </c>
      <c r="F49" s="192">
        <f>INDEX('Customer List'!$K:$K,MATCH('Full Customer List'!$B49,'Customer List'!$A:$A,0))</f>
        <v>26</v>
      </c>
      <c r="G49" s="192">
        <f>INDEX('Revenue by Customer'!$I:$I,MATCH('Full Customer List'!$B49,'Revenue by Customer'!$A:$A,0))</f>
        <v>1712.33</v>
      </c>
      <c r="H49" s="257" t="str">
        <f>IFERROR(IF(C49="Active","",INDEX('Client Departures'!$G:$G,MATCH('Full Customer List'!$B49,'Client Departures'!$A:$A,0))),"Unclassified")</f>
        <v/>
      </c>
      <c r="I49" s="196">
        <v>45658</v>
      </c>
      <c r="J49" s="196"/>
      <c r="K49" s="192">
        <f>INDEX('Revenue by Customer'!K:K,MATCH('Full Customer List'!$B49,'Revenue by Customer'!$A:$A,0))</f>
        <v>1348.75</v>
      </c>
      <c r="L49" s="192">
        <f>INDEX('Revenue by Customer'!L:L,MATCH('Full Customer List'!$B49,'Revenue by Customer'!$A:$A,0))</f>
        <v>688.75</v>
      </c>
      <c r="M49" s="192">
        <f>INDEX('Revenue by Customer'!M:M,MATCH('Full Customer List'!$B49,'Revenue by Customer'!$A:$A,0))</f>
        <v>896.25</v>
      </c>
      <c r="N49" s="192">
        <f>INDEX('Revenue by Customer'!N:N,MATCH('Full Customer List'!$B49,'Revenue by Customer'!$A:$A,0))</f>
        <v>1035</v>
      </c>
      <c r="O49" s="192">
        <f>INDEX('Revenue by Customer'!O:O,MATCH('Full Customer List'!$B49,'Revenue by Customer'!$A:$A,0))</f>
        <v>1035</v>
      </c>
      <c r="P49" s="192">
        <f>INDEX('Revenue by Customer'!P:P,MATCH('Full Customer List'!$B49,'Revenue by Customer'!$A:$A,0))</f>
        <v>1035</v>
      </c>
      <c r="Q49" s="192">
        <f>INDEX('Revenue by Customer'!Q:Q,MATCH('Full Customer List'!$B49,'Revenue by Customer'!$A:$A,0))</f>
        <v>1120</v>
      </c>
      <c r="R49" s="192">
        <f>INDEX('Revenue by Customer'!R:R,MATCH('Full Customer List'!$B49,'Revenue by Customer'!$A:$A,0))</f>
        <v>1120</v>
      </c>
      <c r="S49" s="192">
        <f>INDEX('Revenue by Customer'!S:S,MATCH('Full Customer List'!$B49,'Revenue by Customer'!$A:$A,0))</f>
        <v>1120</v>
      </c>
      <c r="T49" s="192">
        <f>INDEX('Revenue by Customer'!T:T,MATCH('Full Customer List'!$B49,'Revenue by Customer'!$A:$A,0))</f>
        <v>1290</v>
      </c>
      <c r="U49" s="192">
        <f>INDEX('Revenue by Customer'!U:U,MATCH('Full Customer List'!$B49,'Revenue by Customer'!$A:$A,0))</f>
        <v>1375</v>
      </c>
      <c r="V49" s="192">
        <f>INDEX('Revenue by Customer'!V:V,MATCH('Full Customer List'!$B49,'Revenue by Customer'!$A:$A,0))</f>
        <v>1604</v>
      </c>
      <c r="W49" s="192">
        <f>INDEX('Revenue by Customer'!W:W,MATCH('Full Customer List'!$B49,'Revenue by Customer'!$A:$A,0))</f>
        <v>1402</v>
      </c>
      <c r="X49" s="192">
        <f>INDEX('Revenue by Customer'!X:X,MATCH('Full Customer List'!$B49,'Revenue by Customer'!$A:$A,0))</f>
        <v>1567</v>
      </c>
      <c r="Y49" s="192">
        <f>INDEX('Revenue by Customer'!Y:Y,MATCH('Full Customer List'!$B49,'Revenue by Customer'!$A:$A,0))</f>
        <v>1554</v>
      </c>
      <c r="Z49" s="192">
        <f>INDEX('Revenue by Customer'!Z:Z,MATCH('Full Customer List'!$B49,'Revenue by Customer'!$A:$A,0))</f>
        <v>1326</v>
      </c>
      <c r="AA49" s="192">
        <f>INDEX('Revenue by Customer'!AA:AA,MATCH('Full Customer List'!$B49,'Revenue by Customer'!$A:$A,0))</f>
        <v>1514</v>
      </c>
      <c r="AB49" s="192">
        <f>INDEX('Revenue by Customer'!AB:AB,MATCH('Full Customer List'!$B49,'Revenue by Customer'!$A:$A,0))</f>
        <v>1728.99</v>
      </c>
      <c r="AC49" s="192">
        <f>INDEX('Revenue by Customer'!AC:AC,MATCH('Full Customer List'!$B49,'Revenue by Customer'!$A:$A,0))</f>
        <v>1894</v>
      </c>
    </row>
    <row r="50" spans="2:29" ht="12" customHeight="1">
      <c r="B50" s="173" t="s">
        <v>630</v>
      </c>
      <c r="C50" s="173" t="str">
        <f>INDEX('Customer List'!$B:$B,MATCH('Full Customer List'!$B50,'Customer List'!$A:$A,0))</f>
        <v>Active</v>
      </c>
      <c r="D50" s="173" t="str">
        <f>INDEX('Customer List'!$C:$C,MATCH('Full Customer List'!$B50,'Customer List'!$A:$A,0))</f>
        <v>Property manager</v>
      </c>
      <c r="E50" s="173" t="str">
        <f>INDEX('Customer List Mapping'!$C:$C,MATCH('Full Customer List'!D50,'Customer List Mapping'!$B:$B,0))</f>
        <v>Property Manager</v>
      </c>
      <c r="F50" s="192">
        <f>INDEX('Customer List'!$K:$K,MATCH('Full Customer List'!$B50,'Customer List'!$A:$A,0))</f>
        <v>15</v>
      </c>
      <c r="G50" s="192">
        <f>INDEX('Revenue by Customer'!$I:$I,MATCH('Full Customer List'!$B50,'Revenue by Customer'!$A:$A,0))</f>
        <v>1290</v>
      </c>
      <c r="H50" s="257" t="str">
        <f>IFERROR(IF(C50="Active","",INDEX('Client Departures'!$G:$G,MATCH('Full Customer List'!$B50,'Client Departures'!$A:$A,0))),"Unclassified")</f>
        <v/>
      </c>
      <c r="I50" s="196">
        <v>45292</v>
      </c>
      <c r="J50" s="196"/>
      <c r="K50" s="192">
        <f>INDEX('Revenue by Customer'!K:K,MATCH('Full Customer List'!$B50,'Revenue by Customer'!$A:$A,0))</f>
        <v>770</v>
      </c>
      <c r="L50" s="192">
        <f>INDEX('Revenue by Customer'!L:L,MATCH('Full Customer List'!$B50,'Revenue by Customer'!$A:$A,0))</f>
        <v>620</v>
      </c>
      <c r="M50" s="192">
        <f>INDEX('Revenue by Customer'!M:M,MATCH('Full Customer List'!$B50,'Revenue by Customer'!$A:$A,0))</f>
        <v>620</v>
      </c>
      <c r="N50" s="192">
        <f>INDEX('Revenue by Customer'!N:N,MATCH('Full Customer List'!$B50,'Revenue by Customer'!$A:$A,0))</f>
        <v>620</v>
      </c>
      <c r="O50" s="192">
        <f>INDEX('Revenue by Customer'!O:O,MATCH('Full Customer List'!$B50,'Revenue by Customer'!$A:$A,0))</f>
        <v>810</v>
      </c>
      <c r="P50" s="192">
        <f>INDEX('Revenue by Customer'!P:P,MATCH('Full Customer List'!$B50,'Revenue by Customer'!$A:$A,0))</f>
        <v>905</v>
      </c>
      <c r="Q50" s="192">
        <f>INDEX('Revenue by Customer'!Q:Q,MATCH('Full Customer List'!$B50,'Revenue by Customer'!$A:$A,0))</f>
        <v>905</v>
      </c>
      <c r="R50" s="192">
        <f>INDEX('Revenue by Customer'!R:R,MATCH('Full Customer List'!$B50,'Revenue by Customer'!$A:$A,0))</f>
        <v>1000</v>
      </c>
      <c r="S50" s="192">
        <f>INDEX('Revenue by Customer'!S:S,MATCH('Full Customer List'!$B50,'Revenue by Customer'!$A:$A,0))</f>
        <v>3848</v>
      </c>
      <c r="T50" s="192">
        <f>INDEX('Revenue by Customer'!T:T,MATCH('Full Customer List'!$B50,'Revenue by Customer'!$A:$A,0))</f>
        <v>1040</v>
      </c>
      <c r="U50" s="192">
        <f>INDEX('Revenue by Customer'!U:U,MATCH('Full Customer List'!$B50,'Revenue by Customer'!$A:$A,0))</f>
        <v>1040</v>
      </c>
      <c r="V50" s="192">
        <f>INDEX('Revenue by Customer'!V:V,MATCH('Full Customer List'!$B50,'Revenue by Customer'!$A:$A,0))</f>
        <v>1040</v>
      </c>
      <c r="W50" s="192">
        <f>INDEX('Revenue by Customer'!W:W,MATCH('Full Customer List'!$B50,'Revenue by Customer'!$A:$A,0))</f>
        <v>1586</v>
      </c>
      <c r="X50" s="192">
        <f>INDEX('Revenue by Customer'!X:X,MATCH('Full Customer List'!$B50,'Revenue by Customer'!$A:$A,0))</f>
        <v>1271</v>
      </c>
      <c r="Y50" s="192">
        <f>INDEX('Revenue by Customer'!Y:Y,MATCH('Full Customer List'!$B50,'Revenue by Customer'!$A:$A,0))</f>
        <v>1271</v>
      </c>
      <c r="Z50" s="192">
        <f>INDEX('Revenue by Customer'!Z:Z,MATCH('Full Customer List'!$B50,'Revenue by Customer'!$A:$A,0))</f>
        <v>1363</v>
      </c>
      <c r="AA50" s="192">
        <f>INDEX('Revenue by Customer'!AA:AA,MATCH('Full Customer List'!$B50,'Revenue by Customer'!$A:$A,0))</f>
        <v>1290</v>
      </c>
      <c r="AB50" s="192">
        <f>INDEX('Revenue by Customer'!AB:AB,MATCH('Full Customer List'!$B50,'Revenue by Customer'!$A:$A,0))</f>
        <v>1290</v>
      </c>
      <c r="AC50" s="192">
        <f>INDEX('Revenue by Customer'!AC:AC,MATCH('Full Customer List'!$B50,'Revenue by Customer'!$A:$A,0))</f>
        <v>1290</v>
      </c>
    </row>
    <row r="51" spans="2:29" ht="12" customHeight="1">
      <c r="B51" s="173" t="s">
        <v>632</v>
      </c>
      <c r="C51" s="173" t="str">
        <f>INDEX('Customer List'!$B:$B,MATCH('Full Customer List'!$B51,'Customer List'!$A:$A,0))</f>
        <v>Active</v>
      </c>
      <c r="D51" s="173" t="str">
        <f>INDEX('Customer List'!$C:$C,MATCH('Full Customer List'!$B51,'Customer List'!$A:$A,0))</f>
        <v>Property manager</v>
      </c>
      <c r="E51" s="173" t="str">
        <f>INDEX('Customer List Mapping'!$C:$C,MATCH('Full Customer List'!D51,'Customer List Mapping'!$B:$B,0))</f>
        <v>Property Manager</v>
      </c>
      <c r="F51" s="192">
        <f>INDEX('Customer List'!$K:$K,MATCH('Full Customer List'!$B51,'Customer List'!$A:$A,0))</f>
        <v>18</v>
      </c>
      <c r="G51" s="192">
        <f>INDEX('Revenue by Customer'!$I:$I,MATCH('Full Customer List'!$B51,'Revenue by Customer'!$A:$A,0))</f>
        <v>901.66666666666663</v>
      </c>
      <c r="H51" s="257" t="str">
        <f>IFERROR(IF(C51="Active","",INDEX('Client Departures'!$G:$G,MATCH('Full Customer List'!$B51,'Client Departures'!$A:$A,0))),"Unclassified")</f>
        <v/>
      </c>
      <c r="I51" s="196">
        <v>45809</v>
      </c>
      <c r="J51" s="196"/>
      <c r="K51" s="192" t="str">
        <f>INDEX('Revenue by Customer'!K:K,MATCH('Full Customer List'!$B51,'Revenue by Customer'!$A:$A,0))</f>
        <v/>
      </c>
      <c r="L51" s="192" t="str">
        <f>INDEX('Revenue by Customer'!L:L,MATCH('Full Customer List'!$B51,'Revenue by Customer'!$A:$A,0))</f>
        <v/>
      </c>
      <c r="M51" s="192" t="str">
        <f>INDEX('Revenue by Customer'!M:M,MATCH('Full Customer List'!$B51,'Revenue by Customer'!$A:$A,0))</f>
        <v/>
      </c>
      <c r="N51" s="192" t="str">
        <f>INDEX('Revenue by Customer'!N:N,MATCH('Full Customer List'!$B51,'Revenue by Customer'!$A:$A,0))</f>
        <v/>
      </c>
      <c r="O51" s="192" t="str">
        <f>INDEX('Revenue by Customer'!O:O,MATCH('Full Customer List'!$B51,'Revenue by Customer'!$A:$A,0))</f>
        <v/>
      </c>
      <c r="P51" s="192">
        <f>INDEX('Revenue by Customer'!P:P,MATCH('Full Customer List'!$B51,'Revenue by Customer'!$A:$A,0))</f>
        <v>3345</v>
      </c>
      <c r="Q51" s="192">
        <f>INDEX('Revenue by Customer'!Q:Q,MATCH('Full Customer List'!$B51,'Revenue by Customer'!$A:$A,0))</f>
        <v>1927.5</v>
      </c>
      <c r="R51" s="192">
        <f>INDEX('Revenue by Customer'!R:R,MATCH('Full Customer List'!$B51,'Revenue by Customer'!$A:$A,0))</f>
        <v>1843.75</v>
      </c>
      <c r="S51" s="192">
        <f>INDEX('Revenue by Customer'!S:S,MATCH('Full Customer List'!$B51,'Revenue by Customer'!$A:$A,0))</f>
        <v>2000</v>
      </c>
      <c r="T51" s="192">
        <f>INDEX('Revenue by Customer'!T:T,MATCH('Full Customer List'!$B51,'Revenue by Customer'!$A:$A,0))</f>
        <v>1905</v>
      </c>
      <c r="U51" s="192">
        <f>INDEX('Revenue by Customer'!U:U,MATCH('Full Customer List'!$B51,'Revenue by Customer'!$A:$A,0))</f>
        <v>2000</v>
      </c>
      <c r="V51" s="192">
        <f>INDEX('Revenue by Customer'!V:V,MATCH('Full Customer List'!$B51,'Revenue by Customer'!$A:$A,0))</f>
        <v>1715</v>
      </c>
      <c r="W51" s="192">
        <f>INDEX('Revenue by Customer'!W:W,MATCH('Full Customer List'!$B51,'Revenue by Customer'!$A:$A,0))</f>
        <v>1620</v>
      </c>
      <c r="X51" s="192">
        <f>INDEX('Revenue by Customer'!X:X,MATCH('Full Customer List'!$B51,'Revenue by Customer'!$A:$A,0))</f>
        <v>1620</v>
      </c>
      <c r="Y51" s="192">
        <f>INDEX('Revenue by Customer'!Y:Y,MATCH('Full Customer List'!$B51,'Revenue by Customer'!$A:$A,0))</f>
        <v>980</v>
      </c>
      <c r="Z51" s="192">
        <f>INDEX('Revenue by Customer'!Z:Z,MATCH('Full Customer List'!$B51,'Revenue by Customer'!$A:$A,0))</f>
        <v>880</v>
      </c>
      <c r="AA51" s="192">
        <f>INDEX('Revenue by Customer'!AA:AA,MATCH('Full Customer List'!$B51,'Revenue by Customer'!$A:$A,0))</f>
        <v>835</v>
      </c>
      <c r="AB51" s="192">
        <f>INDEX('Revenue by Customer'!AB:AB,MATCH('Full Customer List'!$B51,'Revenue by Customer'!$A:$A,0))</f>
        <v>935</v>
      </c>
      <c r="AC51" s="192">
        <f>INDEX('Revenue by Customer'!AC:AC,MATCH('Full Customer List'!$B51,'Revenue by Customer'!$A:$A,0))</f>
        <v>935</v>
      </c>
    </row>
    <row r="52" spans="2:29" ht="12" customHeight="1">
      <c r="B52" s="173" t="s">
        <v>633</v>
      </c>
      <c r="C52" s="173" t="str">
        <f>INDEX('Customer List'!$B:$B,MATCH('Full Customer List'!$B52,'Customer List'!$A:$A,0))</f>
        <v>Active</v>
      </c>
      <c r="D52" s="173" t="str">
        <f>INDEX('Customer List'!$C:$C,MATCH('Full Customer List'!$B52,'Customer List'!$A:$A,0))</f>
        <v>Property manager</v>
      </c>
      <c r="E52" s="173" t="str">
        <f>INDEX('Customer List Mapping'!$C:$C,MATCH('Full Customer List'!D52,'Customer List Mapping'!$B:$B,0))</f>
        <v>Property Manager</v>
      </c>
      <c r="F52" s="192">
        <f>INDEX('Customer List'!$K:$K,MATCH('Full Customer List'!$B52,'Customer List'!$A:$A,0))</f>
        <v>120</v>
      </c>
      <c r="G52" s="192">
        <f>INDEX('Revenue by Customer'!$I:$I,MATCH('Full Customer List'!$B52,'Revenue by Customer'!$A:$A,0))</f>
        <v>5728.666666666667</v>
      </c>
      <c r="H52" s="257" t="str">
        <f>IFERROR(IF(C52="Active","",INDEX('Client Departures'!$G:$G,MATCH('Full Customer List'!$B52,'Client Departures'!$A:$A,0))),"Unclassified")</f>
        <v/>
      </c>
      <c r="I52" s="196">
        <v>46143</v>
      </c>
      <c r="J52" s="196"/>
      <c r="K52" s="192" t="str">
        <f>INDEX('Revenue by Customer'!K:K,MATCH('Full Customer List'!$B52,'Revenue by Customer'!$A:$A,0))</f>
        <v/>
      </c>
      <c r="L52" s="192" t="str">
        <f>INDEX('Revenue by Customer'!L:L,MATCH('Full Customer List'!$B52,'Revenue by Customer'!$A:$A,0))</f>
        <v/>
      </c>
      <c r="M52" s="192" t="str">
        <f>INDEX('Revenue by Customer'!M:M,MATCH('Full Customer List'!$B52,'Revenue by Customer'!$A:$A,0))</f>
        <v/>
      </c>
      <c r="N52" s="192" t="str">
        <f>INDEX('Revenue by Customer'!N:N,MATCH('Full Customer List'!$B52,'Revenue by Customer'!$A:$A,0))</f>
        <v/>
      </c>
      <c r="O52" s="192" t="str">
        <f>INDEX('Revenue by Customer'!O:O,MATCH('Full Customer List'!$B52,'Revenue by Customer'!$A:$A,0))</f>
        <v/>
      </c>
      <c r="P52" s="192" t="str">
        <f>INDEX('Revenue by Customer'!P:P,MATCH('Full Customer List'!$B52,'Revenue by Customer'!$A:$A,0))</f>
        <v/>
      </c>
      <c r="Q52" s="192" t="str">
        <f>INDEX('Revenue by Customer'!Q:Q,MATCH('Full Customer List'!$B52,'Revenue by Customer'!$A:$A,0))</f>
        <v/>
      </c>
      <c r="R52" s="192" t="str">
        <f>INDEX('Revenue by Customer'!R:R,MATCH('Full Customer List'!$B52,'Revenue by Customer'!$A:$A,0))</f>
        <v/>
      </c>
      <c r="S52" s="192" t="str">
        <f>INDEX('Revenue by Customer'!S:S,MATCH('Full Customer List'!$B52,'Revenue by Customer'!$A:$A,0))</f>
        <v/>
      </c>
      <c r="T52" s="192" t="str">
        <f>INDEX('Revenue by Customer'!T:T,MATCH('Full Customer List'!$B52,'Revenue by Customer'!$A:$A,0))</f>
        <v/>
      </c>
      <c r="U52" s="192" t="str">
        <f>INDEX('Revenue by Customer'!U:U,MATCH('Full Customer List'!$B52,'Revenue by Customer'!$A:$A,0))</f>
        <v/>
      </c>
      <c r="V52" s="192" t="str">
        <f>INDEX('Revenue by Customer'!V:V,MATCH('Full Customer List'!$B52,'Revenue by Customer'!$A:$A,0))</f>
        <v/>
      </c>
      <c r="W52" s="192" t="str">
        <f>INDEX('Revenue by Customer'!W:W,MATCH('Full Customer List'!$B52,'Revenue by Customer'!$A:$A,0))</f>
        <v/>
      </c>
      <c r="X52" s="192" t="str">
        <f>INDEX('Revenue by Customer'!X:X,MATCH('Full Customer List'!$B52,'Revenue by Customer'!$A:$A,0))</f>
        <v/>
      </c>
      <c r="Y52" s="192" t="str">
        <f>INDEX('Revenue by Customer'!Y:Y,MATCH('Full Customer List'!$B52,'Revenue by Customer'!$A:$A,0))</f>
        <v/>
      </c>
      <c r="Z52" s="192" t="str">
        <f>INDEX('Revenue by Customer'!Z:Z,MATCH('Full Customer List'!$B52,'Revenue by Customer'!$A:$A,0))</f>
        <v/>
      </c>
      <c r="AA52" s="192">
        <f>INDEX('Revenue by Customer'!AA:AA,MATCH('Full Customer List'!$B52,'Revenue by Customer'!$A:$A,0))</f>
        <v>7806</v>
      </c>
      <c r="AB52" s="192">
        <f>INDEX('Revenue by Customer'!AB:AB,MATCH('Full Customer List'!$B52,'Revenue by Customer'!$A:$A,0))</f>
        <v>5163</v>
      </c>
      <c r="AC52" s="192">
        <f>INDEX('Revenue by Customer'!AC:AC,MATCH('Full Customer List'!$B52,'Revenue by Customer'!$A:$A,0))</f>
        <v>4217</v>
      </c>
    </row>
    <row r="53" spans="2:29" ht="12" customHeight="1">
      <c r="B53" s="173" t="s">
        <v>634</v>
      </c>
      <c r="C53" s="173" t="str">
        <f>INDEX('Customer List'!$B:$B,MATCH('Full Customer List'!$B53,'Customer List'!$A:$A,0))</f>
        <v>Active</v>
      </c>
      <c r="D53" s="173" t="str">
        <f>INDEX('Customer List'!$C:$C,MATCH('Full Customer List'!$B53,'Customer List'!$A:$A,0))</f>
        <v>Property manager</v>
      </c>
      <c r="E53" s="173" t="str">
        <f>INDEX('Customer List Mapping'!$C:$C,MATCH('Full Customer List'!D53,'Customer List Mapping'!$B:$B,0))</f>
        <v>Property Manager</v>
      </c>
      <c r="F53" s="192">
        <f>INDEX('Customer List'!$K:$K,MATCH('Full Customer List'!$B53,'Customer List'!$A:$A,0))</f>
        <v>26</v>
      </c>
      <c r="G53" s="192">
        <f>INDEX('Revenue by Customer'!$I:$I,MATCH('Full Customer List'!$B53,'Revenue by Customer'!$A:$A,0))</f>
        <v>1827.3333333333333</v>
      </c>
      <c r="H53" s="257" t="str">
        <f>IFERROR(IF(C53="Active","",INDEX('Client Departures'!$G:$G,MATCH('Full Customer List'!$B53,'Client Departures'!$A:$A,0))),"Unclassified")</f>
        <v/>
      </c>
      <c r="I53" s="196">
        <v>45778</v>
      </c>
      <c r="J53" s="196"/>
      <c r="K53" s="192" t="str">
        <f>INDEX('Revenue by Customer'!K:K,MATCH('Full Customer List'!$B53,'Revenue by Customer'!$A:$A,0))</f>
        <v/>
      </c>
      <c r="L53" s="192" t="str">
        <f>INDEX('Revenue by Customer'!L:L,MATCH('Full Customer List'!$B53,'Revenue by Customer'!$A:$A,0))</f>
        <v/>
      </c>
      <c r="M53" s="192" t="str">
        <f>INDEX('Revenue by Customer'!M:M,MATCH('Full Customer List'!$B53,'Revenue by Customer'!$A:$A,0))</f>
        <v/>
      </c>
      <c r="N53" s="192" t="str">
        <f>INDEX('Revenue by Customer'!N:N,MATCH('Full Customer List'!$B53,'Revenue by Customer'!$A:$A,0))</f>
        <v/>
      </c>
      <c r="O53" s="192">
        <f>INDEX('Revenue by Customer'!O:O,MATCH('Full Customer List'!$B53,'Revenue by Customer'!$A:$A,0))</f>
        <v>1907.5</v>
      </c>
      <c r="P53" s="192">
        <f>INDEX('Revenue by Customer'!P:P,MATCH('Full Customer List'!$B53,'Revenue by Customer'!$A:$A,0))</f>
        <v>1257.5</v>
      </c>
      <c r="Q53" s="192">
        <f>INDEX('Revenue by Customer'!Q:Q,MATCH('Full Customer List'!$B53,'Revenue by Customer'!$A:$A,0))</f>
        <v>1257.5</v>
      </c>
      <c r="R53" s="192">
        <f>INDEX('Revenue by Customer'!R:R,MATCH('Full Customer List'!$B53,'Revenue by Customer'!$A:$A,0))</f>
        <v>1335</v>
      </c>
      <c r="S53" s="192">
        <f>INDEX('Revenue by Customer'!S:S,MATCH('Full Customer List'!$B53,'Revenue by Customer'!$A:$A,0))</f>
        <v>1050</v>
      </c>
      <c r="T53" s="192">
        <f>INDEX('Revenue by Customer'!T:T,MATCH('Full Customer List'!$B53,'Revenue by Customer'!$A:$A,0))</f>
        <v>1050</v>
      </c>
      <c r="U53" s="192">
        <f>INDEX('Revenue by Customer'!U:U,MATCH('Full Customer List'!$B53,'Revenue by Customer'!$A:$A,0))</f>
        <v>1050</v>
      </c>
      <c r="V53" s="192">
        <f>INDEX('Revenue by Customer'!V:V,MATCH('Full Customer List'!$B53,'Revenue by Customer'!$A:$A,0))</f>
        <v>1050</v>
      </c>
      <c r="W53" s="192">
        <f>INDEX('Revenue by Customer'!W:W,MATCH('Full Customer List'!$B53,'Revenue by Customer'!$A:$A,0))</f>
        <v>1145</v>
      </c>
      <c r="X53" s="192">
        <f>INDEX('Revenue by Customer'!X:X,MATCH('Full Customer List'!$B53,'Revenue by Customer'!$A:$A,0))</f>
        <v>1700</v>
      </c>
      <c r="Y53" s="192">
        <f>INDEX('Revenue by Customer'!Y:Y,MATCH('Full Customer List'!$B53,'Revenue by Customer'!$A:$A,0))</f>
        <v>1430</v>
      </c>
      <c r="Z53" s="192">
        <f>INDEX('Revenue by Customer'!Z:Z,MATCH('Full Customer List'!$B53,'Revenue by Customer'!$A:$A,0))</f>
        <v>1525</v>
      </c>
      <c r="AA53" s="192">
        <f>INDEX('Revenue by Customer'!AA:AA,MATCH('Full Customer List'!$B53,'Revenue by Customer'!$A:$A,0))</f>
        <v>1490</v>
      </c>
      <c r="AB53" s="192">
        <f>INDEX('Revenue by Customer'!AB:AB,MATCH('Full Customer List'!$B53,'Revenue by Customer'!$A:$A,0))</f>
        <v>1858</v>
      </c>
      <c r="AC53" s="192">
        <f>INDEX('Revenue by Customer'!AC:AC,MATCH('Full Customer List'!$B53,'Revenue by Customer'!$A:$A,0))</f>
        <v>2134</v>
      </c>
    </row>
    <row r="54" spans="2:29" ht="12" customHeight="1">
      <c r="B54" s="173" t="s">
        <v>635</v>
      </c>
      <c r="C54" s="173" t="str">
        <f>INDEX('Customer List'!$B:$B,MATCH('Full Customer List'!$B54,'Customer List'!$A:$A,0))</f>
        <v>Active</v>
      </c>
      <c r="D54" s="173" t="str">
        <f>INDEX('Customer List'!$C:$C,MATCH('Full Customer List'!$B54,'Customer List'!$A:$A,0))</f>
        <v>Property manager</v>
      </c>
      <c r="E54" s="173" t="str">
        <f>INDEX('Customer List Mapping'!$C:$C,MATCH('Full Customer List'!D54,'Customer List Mapping'!$B:$B,0))</f>
        <v>Property Manager</v>
      </c>
      <c r="F54" s="192">
        <f>INDEX('Customer List'!$K:$K,MATCH('Full Customer List'!$B54,'Customer List'!$A:$A,0))</f>
        <v>22</v>
      </c>
      <c r="G54" s="192">
        <f>INDEX('Revenue by Customer'!$I:$I,MATCH('Full Customer List'!$B54,'Revenue by Customer'!$A:$A,0))</f>
        <v>2498</v>
      </c>
      <c r="H54" s="257" t="str">
        <f>IFERROR(IF(C54="Active","",INDEX('Client Departures'!$G:$G,MATCH('Full Customer List'!$B54,'Client Departures'!$A:$A,0))),"Unclassified")</f>
        <v/>
      </c>
      <c r="I54" s="196">
        <v>46023</v>
      </c>
      <c r="J54" s="196"/>
      <c r="K54" s="192" t="str">
        <f>INDEX('Revenue by Customer'!K:K,MATCH('Full Customer List'!$B54,'Revenue by Customer'!$A:$A,0))</f>
        <v/>
      </c>
      <c r="L54" s="192" t="str">
        <f>INDEX('Revenue by Customer'!L:L,MATCH('Full Customer List'!$B54,'Revenue by Customer'!$A:$A,0))</f>
        <v/>
      </c>
      <c r="M54" s="192" t="str">
        <f>INDEX('Revenue by Customer'!M:M,MATCH('Full Customer List'!$B54,'Revenue by Customer'!$A:$A,0))</f>
        <v/>
      </c>
      <c r="N54" s="192" t="str">
        <f>INDEX('Revenue by Customer'!N:N,MATCH('Full Customer List'!$B54,'Revenue by Customer'!$A:$A,0))</f>
        <v/>
      </c>
      <c r="O54" s="192" t="str">
        <f>INDEX('Revenue by Customer'!O:O,MATCH('Full Customer List'!$B54,'Revenue by Customer'!$A:$A,0))</f>
        <v/>
      </c>
      <c r="P54" s="192" t="str">
        <f>INDEX('Revenue by Customer'!P:P,MATCH('Full Customer List'!$B54,'Revenue by Customer'!$A:$A,0))</f>
        <v/>
      </c>
      <c r="Q54" s="192" t="str">
        <f>INDEX('Revenue by Customer'!Q:Q,MATCH('Full Customer List'!$B54,'Revenue by Customer'!$A:$A,0))</f>
        <v/>
      </c>
      <c r="R54" s="192" t="str">
        <f>INDEX('Revenue by Customer'!R:R,MATCH('Full Customer List'!$B54,'Revenue by Customer'!$A:$A,0))</f>
        <v/>
      </c>
      <c r="S54" s="192" t="str">
        <f>INDEX('Revenue by Customer'!S:S,MATCH('Full Customer List'!$B54,'Revenue by Customer'!$A:$A,0))</f>
        <v/>
      </c>
      <c r="T54" s="192" t="str">
        <f>INDEX('Revenue by Customer'!T:T,MATCH('Full Customer List'!$B54,'Revenue by Customer'!$A:$A,0))</f>
        <v/>
      </c>
      <c r="U54" s="192" t="str">
        <f>INDEX('Revenue by Customer'!U:U,MATCH('Full Customer List'!$B54,'Revenue by Customer'!$A:$A,0))</f>
        <v/>
      </c>
      <c r="V54" s="192" t="str">
        <f>INDEX('Revenue by Customer'!V:V,MATCH('Full Customer List'!$B54,'Revenue by Customer'!$A:$A,0))</f>
        <v/>
      </c>
      <c r="W54" s="192">
        <f>INDEX('Revenue by Customer'!W:W,MATCH('Full Customer List'!$B54,'Revenue by Customer'!$A:$A,0))</f>
        <v>3268</v>
      </c>
      <c r="X54" s="192">
        <f>INDEX('Revenue by Customer'!X:X,MATCH('Full Customer List'!$B54,'Revenue by Customer'!$A:$A,0))</f>
        <v>1759</v>
      </c>
      <c r="Y54" s="192">
        <f>INDEX('Revenue by Customer'!Y:Y,MATCH('Full Customer List'!$B54,'Revenue by Customer'!$A:$A,0))</f>
        <v>1759</v>
      </c>
      <c r="Z54" s="192">
        <f>INDEX('Revenue by Customer'!Z:Z,MATCH('Full Customer List'!$B54,'Revenue by Customer'!$A:$A,0))</f>
        <v>1838</v>
      </c>
      <c r="AA54" s="192">
        <f>INDEX('Revenue by Customer'!AA:AA,MATCH('Full Customer List'!$B54,'Revenue by Customer'!$A:$A,0))</f>
        <v>2498</v>
      </c>
      <c r="AB54" s="192">
        <f>INDEX('Revenue by Customer'!AB:AB,MATCH('Full Customer List'!$B54,'Revenue by Customer'!$A:$A,0))</f>
        <v>2498</v>
      </c>
      <c r="AC54" s="192">
        <f>INDEX('Revenue by Customer'!AC:AC,MATCH('Full Customer List'!$B54,'Revenue by Customer'!$A:$A,0))</f>
        <v>2498</v>
      </c>
    </row>
    <row r="55" spans="2:29" ht="12" customHeight="1">
      <c r="B55" s="173" t="s">
        <v>636</v>
      </c>
      <c r="C55" s="173" t="str">
        <f>INDEX('Customer List'!$B:$B,MATCH('Full Customer List'!$B55,'Customer List'!$A:$A,0))</f>
        <v>Former client</v>
      </c>
      <c r="D55" s="173" t="str">
        <f>INDEX('Customer List'!$C:$C,MATCH('Full Customer List'!$B55,'Customer List'!$A:$A,0))</f>
        <v>Small business</v>
      </c>
      <c r="E55" s="173" t="str">
        <f>INDEX('Customer List Mapping'!$C:$C,MATCH('Full Customer List'!D55,'Customer List Mapping'!$B:$B,0))</f>
        <v>Small Business</v>
      </c>
      <c r="F55" s="192" t="str">
        <f>INDEX('Customer List'!$K:$K,MATCH('Full Customer List'!$B55,'Customer List'!$A:$A,0))</f>
        <v/>
      </c>
      <c r="G55" s="192">
        <f>INDEX('Revenue by Customer'!$I:$I,MATCH('Full Customer List'!$B55,'Revenue by Customer'!$A:$A,0))</f>
        <v>1330</v>
      </c>
      <c r="H55" s="257" t="str">
        <f>IFERROR(IF(C55="Active","",INDEX('Client Departures'!$G:$G,MATCH('Full Customer List'!$B55,'Client Departures'!$A:$A,0))),"Unclassified")</f>
        <v>No</v>
      </c>
      <c r="I55" s="196">
        <v>44317</v>
      </c>
      <c r="J55" s="196">
        <v>46234</v>
      </c>
      <c r="K55" s="192">
        <f>INDEX('Revenue by Customer'!K:K,MATCH('Full Customer List'!$B55,'Revenue by Customer'!$A:$A,0))</f>
        <v>1390</v>
      </c>
      <c r="L55" s="192">
        <f>INDEX('Revenue by Customer'!L:L,MATCH('Full Customer List'!$B55,'Revenue by Customer'!$A:$A,0))</f>
        <v>1300</v>
      </c>
      <c r="M55" s="192">
        <f>INDEX('Revenue by Customer'!M:M,MATCH('Full Customer List'!$B55,'Revenue by Customer'!$A:$A,0))</f>
        <v>1300</v>
      </c>
      <c r="N55" s="192">
        <f>INDEX('Revenue by Customer'!N:N,MATCH('Full Customer List'!$B55,'Revenue by Customer'!$A:$A,0))</f>
        <v>1300</v>
      </c>
      <c r="O55" s="192">
        <f>INDEX('Revenue by Customer'!O:O,MATCH('Full Customer List'!$B55,'Revenue by Customer'!$A:$A,0))</f>
        <v>1300</v>
      </c>
      <c r="P55" s="192">
        <f>INDEX('Revenue by Customer'!P:P,MATCH('Full Customer List'!$B55,'Revenue by Customer'!$A:$A,0))</f>
        <v>1300</v>
      </c>
      <c r="Q55" s="192">
        <f>INDEX('Revenue by Customer'!Q:Q,MATCH('Full Customer List'!$B55,'Revenue by Customer'!$A:$A,0))</f>
        <v>1300</v>
      </c>
      <c r="R55" s="192">
        <f>INDEX('Revenue by Customer'!R:R,MATCH('Full Customer List'!$B55,'Revenue by Customer'!$A:$A,0))</f>
        <v>1300</v>
      </c>
      <c r="S55" s="192">
        <f>INDEX('Revenue by Customer'!S:S,MATCH('Full Customer List'!$B55,'Revenue by Customer'!$A:$A,0))</f>
        <v>1300</v>
      </c>
      <c r="T55" s="192">
        <f>INDEX('Revenue by Customer'!T:T,MATCH('Full Customer List'!$B55,'Revenue by Customer'!$A:$A,0))</f>
        <v>1300</v>
      </c>
      <c r="U55" s="192">
        <f>INDEX('Revenue by Customer'!U:U,MATCH('Full Customer List'!$B55,'Revenue by Customer'!$A:$A,0))</f>
        <v>1300</v>
      </c>
      <c r="V55" s="192">
        <f>INDEX('Revenue by Customer'!V:V,MATCH('Full Customer List'!$B55,'Revenue by Customer'!$A:$A,0))</f>
        <v>1300</v>
      </c>
      <c r="W55" s="192">
        <f>INDEX('Revenue by Customer'!W:W,MATCH('Full Customer List'!$B55,'Revenue by Customer'!$A:$A,0))</f>
        <v>1330</v>
      </c>
      <c r="X55" s="192">
        <f>INDEX('Revenue by Customer'!X:X,MATCH('Full Customer List'!$B55,'Revenue by Customer'!$A:$A,0))</f>
        <v>1375</v>
      </c>
      <c r="Y55" s="192">
        <f>INDEX('Revenue by Customer'!Y:Y,MATCH('Full Customer List'!$B55,'Revenue by Customer'!$A:$A,0))</f>
        <v>1345</v>
      </c>
      <c r="Z55" s="192">
        <f>INDEX('Revenue by Customer'!Z:Z,MATCH('Full Customer List'!$B55,'Revenue by Customer'!$A:$A,0))</f>
        <v>1330</v>
      </c>
      <c r="AA55" s="192">
        <f>INDEX('Revenue by Customer'!AA:AA,MATCH('Full Customer List'!$B55,'Revenue by Customer'!$A:$A,0))</f>
        <v>1330</v>
      </c>
      <c r="AB55" s="192">
        <f>INDEX('Revenue by Customer'!AB:AB,MATCH('Full Customer List'!$B55,'Revenue by Customer'!$A:$A,0))</f>
        <v>1330</v>
      </c>
      <c r="AC55" s="192">
        <f>INDEX('Revenue by Customer'!AC:AC,MATCH('Full Customer List'!$B55,'Revenue by Customer'!$A:$A,0))</f>
        <v>1330</v>
      </c>
    </row>
    <row r="56" spans="2:29" ht="12" customHeight="1">
      <c r="B56" s="173" t="s">
        <v>644</v>
      </c>
      <c r="C56" s="173" t="str">
        <f>INDEX('Customer List'!$B:$B,MATCH('Full Customer List'!$B56,'Customer List'!$A:$A,0))</f>
        <v>Active</v>
      </c>
      <c r="D56" s="173" t="str">
        <f>INDEX('Customer List'!$C:$C,MATCH('Full Customer List'!$B56,'Customer List'!$A:$A,0))</f>
        <v>Property manager</v>
      </c>
      <c r="E56" s="173" t="str">
        <f>INDEX('Customer List Mapping'!$C:$C,MATCH('Full Customer List'!D56,'Customer List Mapping'!$B:$B,0))</f>
        <v>Property Manager</v>
      </c>
      <c r="F56" s="192">
        <f>INDEX('Customer List'!$K:$K,MATCH('Full Customer List'!$B56,'Customer List'!$A:$A,0))</f>
        <v>42</v>
      </c>
      <c r="G56" s="192">
        <f>INDEX('Revenue by Customer'!$I:$I,MATCH('Full Customer List'!$B56,'Revenue by Customer'!$A:$A,0))</f>
        <v>1861.6666666666667</v>
      </c>
      <c r="H56" s="257" t="str">
        <f>IFERROR(IF(C56="Active","",INDEX('Client Departures'!$G:$G,MATCH('Full Customer List'!$B56,'Client Departures'!$A:$A,0))),"Unclassified")</f>
        <v/>
      </c>
      <c r="I56" s="196">
        <v>45658</v>
      </c>
      <c r="J56" s="196"/>
      <c r="K56" s="192">
        <f>INDEX('Revenue by Customer'!K:K,MATCH('Full Customer List'!$B56,'Revenue by Customer'!$A:$A,0))</f>
        <v>1195</v>
      </c>
      <c r="L56" s="192">
        <f>INDEX('Revenue by Customer'!L:L,MATCH('Full Customer List'!$B56,'Revenue by Customer'!$A:$A,0))</f>
        <v>595</v>
      </c>
      <c r="M56" s="192">
        <f>INDEX('Revenue by Customer'!M:M,MATCH('Full Customer List'!$B56,'Revenue by Customer'!$A:$A,0))</f>
        <v>595</v>
      </c>
      <c r="N56" s="192">
        <f>INDEX('Revenue by Customer'!N:N,MATCH('Full Customer List'!$B56,'Revenue by Customer'!$A:$A,0))</f>
        <v>700</v>
      </c>
      <c r="O56" s="192">
        <f>INDEX('Revenue by Customer'!O:O,MATCH('Full Customer List'!$B56,'Revenue by Customer'!$A:$A,0))</f>
        <v>700</v>
      </c>
      <c r="P56" s="192">
        <f>INDEX('Revenue by Customer'!P:P,MATCH('Full Customer List'!$B56,'Revenue by Customer'!$A:$A,0))</f>
        <v>700</v>
      </c>
      <c r="Q56" s="192">
        <f>INDEX('Revenue by Customer'!Q:Q,MATCH('Full Customer List'!$B56,'Revenue by Customer'!$A:$A,0))</f>
        <v>700</v>
      </c>
      <c r="R56" s="192">
        <f>INDEX('Revenue by Customer'!R:R,MATCH('Full Customer List'!$B56,'Revenue by Customer'!$A:$A,0))</f>
        <v>850</v>
      </c>
      <c r="S56" s="192">
        <f>INDEX('Revenue by Customer'!S:S,MATCH('Full Customer List'!$B56,'Revenue by Customer'!$A:$A,0))</f>
        <v>1075</v>
      </c>
      <c r="T56" s="192">
        <f>INDEX('Revenue by Customer'!T:T,MATCH('Full Customer List'!$B56,'Revenue by Customer'!$A:$A,0))</f>
        <v>1075</v>
      </c>
      <c r="U56" s="192">
        <f>INDEX('Revenue by Customer'!U:U,MATCH('Full Customer List'!$B56,'Revenue by Customer'!$A:$A,0))</f>
        <v>1075</v>
      </c>
      <c r="V56" s="192">
        <f>INDEX('Revenue by Customer'!V:V,MATCH('Full Customer List'!$B56,'Revenue by Customer'!$A:$A,0))</f>
        <v>1150</v>
      </c>
      <c r="W56" s="192">
        <f>INDEX('Revenue by Customer'!W:W,MATCH('Full Customer List'!$B56,'Revenue by Customer'!$A:$A,0))</f>
        <v>1182</v>
      </c>
      <c r="X56" s="192">
        <f>INDEX('Revenue by Customer'!X:X,MATCH('Full Customer List'!$B56,'Revenue by Customer'!$A:$A,0))</f>
        <v>1512</v>
      </c>
      <c r="Y56" s="192">
        <f>INDEX('Revenue by Customer'!Y:Y,MATCH('Full Customer List'!$B56,'Revenue by Customer'!$A:$A,0))</f>
        <v>1115</v>
      </c>
      <c r="Z56" s="192">
        <f>INDEX('Revenue by Customer'!Z:Z,MATCH('Full Customer List'!$B56,'Revenue by Customer'!$A:$A,0))</f>
        <v>1249</v>
      </c>
      <c r="AA56" s="192">
        <f>INDEX('Revenue by Customer'!AA:AA,MATCH('Full Customer List'!$B56,'Revenue by Customer'!$A:$A,0))</f>
        <v>1584</v>
      </c>
      <c r="AB56" s="192">
        <f>INDEX('Revenue by Customer'!AB:AB,MATCH('Full Customer List'!$B56,'Revenue by Customer'!$A:$A,0))</f>
        <v>1881</v>
      </c>
      <c r="AC56" s="192">
        <f>INDEX('Revenue by Customer'!AC:AC,MATCH('Full Customer List'!$B56,'Revenue by Customer'!$A:$A,0))</f>
        <v>2120</v>
      </c>
    </row>
    <row r="57" spans="2:29" ht="12" customHeight="1">
      <c r="B57" s="173" t="s">
        <v>646</v>
      </c>
      <c r="C57" s="173" t="str">
        <f>INDEX('Customer List'!$B:$B,MATCH('Full Customer List'!$B57,'Customer List'!$A:$A,0))</f>
        <v>Active</v>
      </c>
      <c r="D57" s="173" t="str">
        <f>INDEX('Customer List'!$C:$C,MATCH('Full Customer List'!$B57,'Customer List'!$A:$A,0))</f>
        <v>Property manager</v>
      </c>
      <c r="E57" s="173" t="str">
        <f>INDEX('Customer List Mapping'!$C:$C,MATCH('Full Customer List'!D57,'Customer List Mapping'!$B:$B,0))</f>
        <v>Property Manager</v>
      </c>
      <c r="F57" s="192">
        <f>INDEX('Customer List'!$K:$K,MATCH('Full Customer List'!$B57,'Customer List'!$A:$A,0))</f>
        <v>16</v>
      </c>
      <c r="G57" s="192">
        <f>INDEX('Revenue by Customer'!$I:$I,MATCH('Full Customer List'!$B57,'Revenue by Customer'!$A:$A,0))</f>
        <v>1218.3333333333333</v>
      </c>
      <c r="H57" s="257" t="str">
        <f>IFERROR(IF(C57="Active","",INDEX('Client Departures'!$G:$G,MATCH('Full Customer List'!$B57,'Client Departures'!$A:$A,0))),"Unclassified")</f>
        <v/>
      </c>
      <c r="I57" s="196">
        <v>45597</v>
      </c>
      <c r="J57" s="196"/>
      <c r="K57" s="192">
        <f>INDEX('Revenue by Customer'!K:K,MATCH('Full Customer List'!$B57,'Revenue by Customer'!$A:$A,0))</f>
        <v>1168.75</v>
      </c>
      <c r="L57" s="192">
        <f>INDEX('Revenue by Customer'!L:L,MATCH('Full Customer List'!$B57,'Revenue by Customer'!$A:$A,0))</f>
        <v>1450</v>
      </c>
      <c r="M57" s="192">
        <f>INDEX('Revenue by Customer'!M:M,MATCH('Full Customer List'!$B57,'Revenue by Customer'!$A:$A,0))</f>
        <v>1450</v>
      </c>
      <c r="N57" s="192">
        <f>INDEX('Revenue by Customer'!N:N,MATCH('Full Customer List'!$B57,'Revenue by Customer'!$A:$A,0))</f>
        <v>1300</v>
      </c>
      <c r="O57" s="192">
        <f>INDEX('Revenue by Customer'!O:O,MATCH('Full Customer List'!$B57,'Revenue by Customer'!$A:$A,0))</f>
        <v>1525</v>
      </c>
      <c r="P57" s="192">
        <f>INDEX('Revenue by Customer'!P:P,MATCH('Full Customer List'!$B57,'Revenue by Customer'!$A:$A,0))</f>
        <v>1525</v>
      </c>
      <c r="Q57" s="192">
        <f>INDEX('Revenue by Customer'!Q:Q,MATCH('Full Customer List'!$B57,'Revenue by Customer'!$A:$A,0))</f>
        <v>1300</v>
      </c>
      <c r="R57" s="192">
        <f>INDEX('Revenue by Customer'!R:R,MATCH('Full Customer List'!$B57,'Revenue by Customer'!$A:$A,0))</f>
        <v>1300</v>
      </c>
      <c r="S57" s="192">
        <f>INDEX('Revenue by Customer'!S:S,MATCH('Full Customer List'!$B57,'Revenue by Customer'!$A:$A,0))</f>
        <v>1450</v>
      </c>
      <c r="T57" s="192">
        <f>INDEX('Revenue by Customer'!T:T,MATCH('Full Customer List'!$B57,'Revenue by Customer'!$A:$A,0))</f>
        <v>1450</v>
      </c>
      <c r="U57" s="192">
        <f>INDEX('Revenue by Customer'!U:U,MATCH('Full Customer List'!$B57,'Revenue by Customer'!$A:$A,0))</f>
        <v>1280</v>
      </c>
      <c r="V57" s="192">
        <f>INDEX('Revenue by Customer'!V:V,MATCH('Full Customer List'!$B57,'Revenue by Customer'!$A:$A,0))</f>
        <v>1215</v>
      </c>
      <c r="W57" s="192">
        <f>INDEX('Revenue by Customer'!W:W,MATCH('Full Customer List'!$B57,'Revenue by Customer'!$A:$A,0))</f>
        <v>1085</v>
      </c>
      <c r="X57" s="192">
        <f>INDEX('Revenue by Customer'!X:X,MATCH('Full Customer List'!$B57,'Revenue by Customer'!$A:$A,0))</f>
        <v>1225</v>
      </c>
      <c r="Y57" s="192">
        <f>INDEX('Revenue by Customer'!Y:Y,MATCH('Full Customer List'!$B57,'Revenue by Customer'!$A:$A,0))</f>
        <v>1150</v>
      </c>
      <c r="Z57" s="192">
        <f>INDEX('Revenue by Customer'!Z:Z,MATCH('Full Customer List'!$B57,'Revenue by Customer'!$A:$A,0))</f>
        <v>1225</v>
      </c>
      <c r="AA57" s="192">
        <f>INDEX('Revenue by Customer'!AA:AA,MATCH('Full Customer List'!$B57,'Revenue by Customer'!$A:$A,0))</f>
        <v>1225</v>
      </c>
      <c r="AB57" s="192">
        <f>INDEX('Revenue by Customer'!AB:AB,MATCH('Full Customer List'!$B57,'Revenue by Customer'!$A:$A,0))</f>
        <v>1280</v>
      </c>
      <c r="AC57" s="192">
        <f>INDEX('Revenue by Customer'!AC:AC,MATCH('Full Customer List'!$B57,'Revenue by Customer'!$A:$A,0))</f>
        <v>1150</v>
      </c>
    </row>
    <row r="58" spans="2:29" ht="12" customHeight="1">
      <c r="B58" s="173" t="s">
        <v>647</v>
      </c>
      <c r="C58" s="173" t="str">
        <f>INDEX('Customer List'!$B:$B,MATCH('Full Customer List'!$B58,'Customer List'!$A:$A,0))</f>
        <v>Active</v>
      </c>
      <c r="D58" s="173" t="str">
        <f>INDEX('Customer List'!$C:$C,MATCH('Full Customer List'!$B58,'Customer List'!$A:$A,0))</f>
        <v>Property manager</v>
      </c>
      <c r="E58" s="173" t="str">
        <f>INDEX('Customer List Mapping'!$C:$C,MATCH('Full Customer List'!D58,'Customer List Mapping'!$B:$B,0))</f>
        <v>Property Manager</v>
      </c>
      <c r="F58" s="192">
        <f>INDEX('Customer List'!$K:$K,MATCH('Full Customer List'!$B58,'Customer List'!$A:$A,0))</f>
        <v>26</v>
      </c>
      <c r="G58" s="192">
        <f>INDEX('Revenue by Customer'!$I:$I,MATCH('Full Customer List'!$B58,'Revenue by Customer'!$A:$A,0))</f>
        <v>1709.3333333333333</v>
      </c>
      <c r="H58" s="257" t="str">
        <f>IFERROR(IF(C58="Active","",INDEX('Client Departures'!$G:$G,MATCH('Full Customer List'!$B58,'Client Departures'!$A:$A,0))),"Unclassified")</f>
        <v/>
      </c>
      <c r="I58" s="196">
        <v>45992</v>
      </c>
      <c r="J58" s="196"/>
      <c r="K58" s="192" t="str">
        <f>INDEX('Revenue by Customer'!K:K,MATCH('Full Customer List'!$B58,'Revenue by Customer'!$A:$A,0))</f>
        <v/>
      </c>
      <c r="L58" s="192" t="str">
        <f>INDEX('Revenue by Customer'!L:L,MATCH('Full Customer List'!$B58,'Revenue by Customer'!$A:$A,0))</f>
        <v/>
      </c>
      <c r="M58" s="192" t="str">
        <f>INDEX('Revenue by Customer'!M:M,MATCH('Full Customer List'!$B58,'Revenue by Customer'!$A:$A,0))</f>
        <v/>
      </c>
      <c r="N58" s="192" t="str">
        <f>INDEX('Revenue by Customer'!N:N,MATCH('Full Customer List'!$B58,'Revenue by Customer'!$A:$A,0))</f>
        <v/>
      </c>
      <c r="O58" s="192" t="str">
        <f>INDEX('Revenue by Customer'!O:O,MATCH('Full Customer List'!$B58,'Revenue by Customer'!$A:$A,0))</f>
        <v/>
      </c>
      <c r="P58" s="192" t="str">
        <f>INDEX('Revenue by Customer'!P:P,MATCH('Full Customer List'!$B58,'Revenue by Customer'!$A:$A,0))</f>
        <v/>
      </c>
      <c r="Q58" s="192" t="str">
        <f>INDEX('Revenue by Customer'!Q:Q,MATCH('Full Customer List'!$B58,'Revenue by Customer'!$A:$A,0))</f>
        <v/>
      </c>
      <c r="R58" s="192" t="str">
        <f>INDEX('Revenue by Customer'!R:R,MATCH('Full Customer List'!$B58,'Revenue by Customer'!$A:$A,0))</f>
        <v/>
      </c>
      <c r="S58" s="192" t="str">
        <f>INDEX('Revenue by Customer'!S:S,MATCH('Full Customer List'!$B58,'Revenue by Customer'!$A:$A,0))</f>
        <v/>
      </c>
      <c r="T58" s="192" t="str">
        <f>INDEX('Revenue by Customer'!T:T,MATCH('Full Customer List'!$B58,'Revenue by Customer'!$A:$A,0))</f>
        <v/>
      </c>
      <c r="U58" s="192" t="str">
        <f>INDEX('Revenue by Customer'!U:U,MATCH('Full Customer List'!$B58,'Revenue by Customer'!$A:$A,0))</f>
        <v/>
      </c>
      <c r="V58" s="192">
        <f>INDEX('Revenue by Customer'!V:V,MATCH('Full Customer List'!$B58,'Revenue by Customer'!$A:$A,0))</f>
        <v>2722</v>
      </c>
      <c r="W58" s="192">
        <f>INDEX('Revenue by Customer'!W:W,MATCH('Full Customer List'!$B58,'Revenue by Customer'!$A:$A,0))</f>
        <v>1636</v>
      </c>
      <c r="X58" s="192">
        <f>INDEX('Revenue by Customer'!X:X,MATCH('Full Customer List'!$B58,'Revenue by Customer'!$A:$A,0))</f>
        <v>1636</v>
      </c>
      <c r="Y58" s="192">
        <f>INDEX('Revenue by Customer'!Y:Y,MATCH('Full Customer List'!$B58,'Revenue by Customer'!$A:$A,0))</f>
        <v>1636</v>
      </c>
      <c r="Z58" s="192">
        <f>INDEX('Revenue by Customer'!Z:Z,MATCH('Full Customer List'!$B58,'Revenue by Customer'!$A:$A,0))</f>
        <v>1636</v>
      </c>
      <c r="AA58" s="192">
        <f>INDEX('Revenue by Customer'!AA:AA,MATCH('Full Customer List'!$B58,'Revenue by Customer'!$A:$A,0))</f>
        <v>1636</v>
      </c>
      <c r="AB58" s="192">
        <f>INDEX('Revenue by Customer'!AB:AB,MATCH('Full Customer List'!$B58,'Revenue by Customer'!$A:$A,0))</f>
        <v>1664</v>
      </c>
      <c r="AC58" s="192">
        <f>INDEX('Revenue by Customer'!AC:AC,MATCH('Full Customer List'!$B58,'Revenue by Customer'!$A:$A,0))</f>
        <v>1828</v>
      </c>
    </row>
    <row r="59" spans="2:29" ht="12" customHeight="1">
      <c r="B59" s="173" t="s">
        <v>649</v>
      </c>
      <c r="C59" s="173" t="str">
        <f>INDEX('Customer List'!$B:$B,MATCH('Full Customer List'!$B59,'Customer List'!$A:$A,0))</f>
        <v>Active</v>
      </c>
      <c r="D59" s="173" t="str">
        <f>INDEX('Customer List'!$C:$C,MATCH('Full Customer List'!$B59,'Customer List'!$A:$A,0))</f>
        <v>Property manager</v>
      </c>
      <c r="E59" s="173" t="str">
        <f>INDEX('Customer List Mapping'!$C:$C,MATCH('Full Customer List'!D59,'Customer List Mapping'!$B:$B,0))</f>
        <v>Property Manager</v>
      </c>
      <c r="F59" s="192">
        <f>INDEX('Customer List'!$K:$K,MATCH('Full Customer List'!$B59,'Customer List'!$A:$A,0))</f>
        <v>32</v>
      </c>
      <c r="G59" s="192">
        <f>INDEX('Revenue by Customer'!$I:$I,MATCH('Full Customer List'!$B59,'Revenue by Customer'!$A:$A,0))</f>
        <v>1838.3333333333333</v>
      </c>
      <c r="H59" s="257" t="str">
        <f>IFERROR(IF(C59="Active","",INDEX('Client Departures'!$G:$G,MATCH('Full Customer List'!$B59,'Client Departures'!$A:$A,0))),"Unclassified")</f>
        <v/>
      </c>
      <c r="I59" s="196">
        <v>46023</v>
      </c>
      <c r="J59" s="196"/>
      <c r="K59" s="192" t="str">
        <f>INDEX('Revenue by Customer'!K:K,MATCH('Full Customer List'!$B59,'Revenue by Customer'!$A:$A,0))</f>
        <v/>
      </c>
      <c r="L59" s="192" t="str">
        <f>INDEX('Revenue by Customer'!L:L,MATCH('Full Customer List'!$B59,'Revenue by Customer'!$A:$A,0))</f>
        <v/>
      </c>
      <c r="M59" s="192" t="str">
        <f>INDEX('Revenue by Customer'!M:M,MATCH('Full Customer List'!$B59,'Revenue by Customer'!$A:$A,0))</f>
        <v/>
      </c>
      <c r="N59" s="192" t="str">
        <f>INDEX('Revenue by Customer'!N:N,MATCH('Full Customer List'!$B59,'Revenue by Customer'!$A:$A,0))</f>
        <v/>
      </c>
      <c r="O59" s="192" t="str">
        <f>INDEX('Revenue by Customer'!O:O,MATCH('Full Customer List'!$B59,'Revenue by Customer'!$A:$A,0))</f>
        <v/>
      </c>
      <c r="P59" s="192" t="str">
        <f>INDEX('Revenue by Customer'!P:P,MATCH('Full Customer List'!$B59,'Revenue by Customer'!$A:$A,0))</f>
        <v/>
      </c>
      <c r="Q59" s="192" t="str">
        <f>INDEX('Revenue by Customer'!Q:Q,MATCH('Full Customer List'!$B59,'Revenue by Customer'!$A:$A,0))</f>
        <v/>
      </c>
      <c r="R59" s="192" t="str">
        <f>INDEX('Revenue by Customer'!R:R,MATCH('Full Customer List'!$B59,'Revenue by Customer'!$A:$A,0))</f>
        <v/>
      </c>
      <c r="S59" s="192" t="str">
        <f>INDEX('Revenue by Customer'!S:S,MATCH('Full Customer List'!$B59,'Revenue by Customer'!$A:$A,0))</f>
        <v/>
      </c>
      <c r="T59" s="192" t="str">
        <f>INDEX('Revenue by Customer'!T:T,MATCH('Full Customer List'!$B59,'Revenue by Customer'!$A:$A,0))</f>
        <v/>
      </c>
      <c r="U59" s="192" t="str">
        <f>INDEX('Revenue by Customer'!U:U,MATCH('Full Customer List'!$B59,'Revenue by Customer'!$A:$A,0))</f>
        <v/>
      </c>
      <c r="V59" s="192" t="str">
        <f>INDEX('Revenue by Customer'!V:V,MATCH('Full Customer List'!$B59,'Revenue by Customer'!$A:$A,0))</f>
        <v/>
      </c>
      <c r="W59" s="192">
        <f>INDEX('Revenue by Customer'!W:W,MATCH('Full Customer List'!$B59,'Revenue by Customer'!$A:$A,0))</f>
        <v>3220</v>
      </c>
      <c r="X59" s="192">
        <f>INDEX('Revenue by Customer'!X:X,MATCH('Full Customer List'!$B59,'Revenue by Customer'!$A:$A,0))</f>
        <v>2085</v>
      </c>
      <c r="Y59" s="192">
        <f>INDEX('Revenue by Customer'!Y:Y,MATCH('Full Customer List'!$B59,'Revenue by Customer'!$A:$A,0))</f>
        <v>1660</v>
      </c>
      <c r="Z59" s="192">
        <f>INDEX('Revenue by Customer'!Z:Z,MATCH('Full Customer List'!$B59,'Revenue by Customer'!$A:$A,0))</f>
        <v>1855</v>
      </c>
      <c r="AA59" s="192">
        <f>INDEX('Revenue by Customer'!AA:AA,MATCH('Full Customer List'!$B59,'Revenue by Customer'!$A:$A,0))</f>
        <v>1855</v>
      </c>
      <c r="AB59" s="192">
        <f>INDEX('Revenue by Customer'!AB:AB,MATCH('Full Customer List'!$B59,'Revenue by Customer'!$A:$A,0))</f>
        <v>1855</v>
      </c>
      <c r="AC59" s="192">
        <f>INDEX('Revenue by Customer'!AC:AC,MATCH('Full Customer List'!$B59,'Revenue by Customer'!$A:$A,0))</f>
        <v>1805</v>
      </c>
    </row>
    <row r="60" spans="2:29" ht="12" customHeight="1">
      <c r="B60" s="173" t="s">
        <v>650</v>
      </c>
      <c r="C60" s="173" t="str">
        <f>INDEX('Customer List'!$B:$B,MATCH('Full Customer List'!$B60,'Customer List'!$A:$A,0))</f>
        <v>Active</v>
      </c>
      <c r="D60" s="173" t="str">
        <f>INDEX('Customer List'!$C:$C,MATCH('Full Customer List'!$B60,'Customer List'!$A:$A,0))</f>
        <v>Property manager</v>
      </c>
      <c r="E60" s="173" t="str">
        <f>INDEX('Customer List Mapping'!$C:$C,MATCH('Full Customer List'!D60,'Customer List Mapping'!$B:$B,0))</f>
        <v>Property Manager</v>
      </c>
      <c r="F60" s="192">
        <f>INDEX('Customer List'!$K:$K,MATCH('Full Customer List'!$B60,'Customer List'!$A:$A,0))</f>
        <v>15</v>
      </c>
      <c r="G60" s="192">
        <f>INDEX('Revenue by Customer'!$I:$I,MATCH('Full Customer List'!$B60,'Revenue by Customer'!$A:$A,0))</f>
        <v>1208</v>
      </c>
      <c r="H60" s="257" t="str">
        <f>IFERROR(IF(C60="Active","",INDEX('Client Departures'!$G:$G,MATCH('Full Customer List'!$B60,'Client Departures'!$A:$A,0))),"Unclassified")</f>
        <v/>
      </c>
      <c r="I60" s="196">
        <v>45597</v>
      </c>
      <c r="J60" s="196"/>
      <c r="K60" s="192">
        <f>INDEX('Revenue by Customer'!K:K,MATCH('Full Customer List'!$B60,'Revenue by Customer'!$A:$A,0))</f>
        <v>658.75</v>
      </c>
      <c r="L60" s="192">
        <f>INDEX('Revenue by Customer'!L:L,MATCH('Full Customer List'!$B60,'Revenue by Customer'!$A:$A,0))</f>
        <v>910</v>
      </c>
      <c r="M60" s="192">
        <f>INDEX('Revenue by Customer'!M:M,MATCH('Full Customer List'!$B60,'Revenue by Customer'!$A:$A,0))</f>
        <v>850</v>
      </c>
      <c r="N60" s="192">
        <f>INDEX('Revenue by Customer'!N:N,MATCH('Full Customer List'!$B60,'Revenue by Customer'!$A:$A,0))</f>
        <v>850</v>
      </c>
      <c r="O60" s="192">
        <f>INDEX('Revenue by Customer'!O:O,MATCH('Full Customer List'!$B60,'Revenue by Customer'!$A:$A,0))</f>
        <v>925</v>
      </c>
      <c r="P60" s="192">
        <f>INDEX('Revenue by Customer'!P:P,MATCH('Full Customer List'!$B60,'Revenue by Customer'!$A:$A,0))</f>
        <v>925</v>
      </c>
      <c r="Q60" s="192">
        <f>INDEX('Revenue by Customer'!Q:Q,MATCH('Full Customer List'!$B60,'Revenue by Customer'!$A:$A,0))</f>
        <v>925</v>
      </c>
      <c r="R60" s="192">
        <f>INDEX('Revenue by Customer'!R:R,MATCH('Full Customer List'!$B60,'Revenue by Customer'!$A:$A,0))</f>
        <v>925</v>
      </c>
      <c r="S60" s="192">
        <f>INDEX('Revenue by Customer'!S:S,MATCH('Full Customer List'!$B60,'Revenue by Customer'!$A:$A,0))</f>
        <v>1000</v>
      </c>
      <c r="T60" s="192">
        <f>INDEX('Revenue by Customer'!T:T,MATCH('Full Customer List'!$B60,'Revenue by Customer'!$A:$A,0))</f>
        <v>1120</v>
      </c>
      <c r="U60" s="192">
        <f>INDEX('Revenue by Customer'!U:U,MATCH('Full Customer List'!$B60,'Revenue by Customer'!$A:$A,0))</f>
        <v>1205</v>
      </c>
      <c r="V60" s="192">
        <f>INDEX('Revenue by Customer'!V:V,MATCH('Full Customer List'!$B60,'Revenue by Customer'!$A:$A,0))</f>
        <v>1205</v>
      </c>
      <c r="W60" s="192">
        <f>INDEX('Revenue by Customer'!W:W,MATCH('Full Customer List'!$B60,'Revenue by Customer'!$A:$A,0))</f>
        <v>1154</v>
      </c>
      <c r="X60" s="192">
        <f>INDEX('Revenue by Customer'!X:X,MATCH('Full Customer List'!$B60,'Revenue by Customer'!$A:$A,0))</f>
        <v>1589</v>
      </c>
      <c r="Y60" s="192">
        <f>INDEX('Revenue by Customer'!Y:Y,MATCH('Full Customer List'!$B60,'Revenue by Customer'!$A:$A,0))</f>
        <v>1154</v>
      </c>
      <c r="Z60" s="192">
        <f>INDEX('Revenue by Customer'!Z:Z,MATCH('Full Customer List'!$B60,'Revenue by Customer'!$A:$A,0))</f>
        <v>1154</v>
      </c>
      <c r="AA60" s="192">
        <f>INDEX('Revenue by Customer'!AA:AA,MATCH('Full Customer List'!$B60,'Revenue by Customer'!$A:$A,0))</f>
        <v>1154</v>
      </c>
      <c r="AB60" s="192">
        <f>INDEX('Revenue by Customer'!AB:AB,MATCH('Full Customer List'!$B60,'Revenue by Customer'!$A:$A,0))</f>
        <v>1235</v>
      </c>
      <c r="AC60" s="192">
        <f>INDEX('Revenue by Customer'!AC:AC,MATCH('Full Customer List'!$B60,'Revenue by Customer'!$A:$A,0))</f>
        <v>1235</v>
      </c>
    </row>
    <row r="61" spans="2:29" ht="12" customHeight="1">
      <c r="B61" s="173" t="s">
        <v>651</v>
      </c>
      <c r="C61" s="173" t="str">
        <f>INDEX('Customer List'!$B:$B,MATCH('Full Customer List'!$B61,'Customer List'!$A:$A,0))</f>
        <v>Active</v>
      </c>
      <c r="D61" s="173" t="str">
        <f>INDEX('Customer List'!$C:$C,MATCH('Full Customer List'!$B61,'Customer List'!$A:$A,0))</f>
        <v>Property manager</v>
      </c>
      <c r="E61" s="173" t="str">
        <f>INDEX('Customer List Mapping'!$C:$C,MATCH('Full Customer List'!D61,'Customer List Mapping'!$B:$B,0))</f>
        <v>Property Manager</v>
      </c>
      <c r="F61" s="192">
        <f>INDEX('Customer List'!$K:$K,MATCH('Full Customer List'!$B61,'Customer List'!$A:$A,0))</f>
        <v>16</v>
      </c>
      <c r="G61" s="192">
        <f>INDEX('Revenue by Customer'!$I:$I,MATCH('Full Customer List'!$B61,'Revenue by Customer'!$A:$A,0))</f>
        <v>1169.3333333333333</v>
      </c>
      <c r="H61" s="257" t="str">
        <f>IFERROR(IF(C61="Active","",INDEX('Client Departures'!$G:$G,MATCH('Full Customer List'!$B61,'Client Departures'!$A:$A,0))),"Unclassified")</f>
        <v/>
      </c>
      <c r="I61" s="196">
        <v>45292</v>
      </c>
      <c r="J61" s="196"/>
      <c r="K61" s="192">
        <f>INDEX('Revenue by Customer'!K:K,MATCH('Full Customer List'!$B61,'Revenue by Customer'!$A:$A,0))</f>
        <v>1295</v>
      </c>
      <c r="L61" s="192">
        <f>INDEX('Revenue by Customer'!L:L,MATCH('Full Customer List'!$B61,'Revenue by Customer'!$A:$A,0))</f>
        <v>950</v>
      </c>
      <c r="M61" s="192">
        <f>INDEX('Revenue by Customer'!M:M,MATCH('Full Customer List'!$B61,'Revenue by Customer'!$A:$A,0))</f>
        <v>1025</v>
      </c>
      <c r="N61" s="192">
        <f>INDEX('Revenue by Customer'!N:N,MATCH('Full Customer List'!$B61,'Revenue by Customer'!$A:$A,0))</f>
        <v>1025</v>
      </c>
      <c r="O61" s="192">
        <f>INDEX('Revenue by Customer'!O:O,MATCH('Full Customer List'!$B61,'Revenue by Customer'!$A:$A,0))</f>
        <v>1025</v>
      </c>
      <c r="P61" s="192">
        <f>INDEX('Revenue by Customer'!P:P,MATCH('Full Customer List'!$B61,'Revenue by Customer'!$A:$A,0))</f>
        <v>1100</v>
      </c>
      <c r="Q61" s="192">
        <f>INDEX('Revenue by Customer'!Q:Q,MATCH('Full Customer List'!$B61,'Revenue by Customer'!$A:$A,0))</f>
        <v>1100</v>
      </c>
      <c r="R61" s="192">
        <f>INDEX('Revenue by Customer'!R:R,MATCH('Full Customer List'!$B61,'Revenue by Customer'!$A:$A,0))</f>
        <v>1100</v>
      </c>
      <c r="S61" s="192">
        <f>INDEX('Revenue by Customer'!S:S,MATCH('Full Customer List'!$B61,'Revenue by Customer'!$A:$A,0))</f>
        <v>1025</v>
      </c>
      <c r="T61" s="192">
        <f>INDEX('Revenue by Customer'!T:T,MATCH('Full Customer List'!$B61,'Revenue by Customer'!$A:$A,0))</f>
        <v>1025</v>
      </c>
      <c r="U61" s="192">
        <f>INDEX('Revenue by Customer'!U:U,MATCH('Full Customer List'!$B61,'Revenue by Customer'!$A:$A,0))</f>
        <v>1025</v>
      </c>
      <c r="V61" s="192">
        <f>INDEX('Revenue by Customer'!V:V,MATCH('Full Customer List'!$B61,'Revenue by Customer'!$A:$A,0))</f>
        <v>1100</v>
      </c>
      <c r="W61" s="192">
        <f>INDEX('Revenue by Customer'!W:W,MATCH('Full Customer List'!$B61,'Revenue by Customer'!$A:$A,0))</f>
        <v>1438</v>
      </c>
      <c r="X61" s="192">
        <f>INDEX('Revenue by Customer'!X:X,MATCH('Full Customer List'!$B61,'Revenue by Customer'!$A:$A,0))</f>
        <v>1080</v>
      </c>
      <c r="Y61" s="192">
        <f>INDEX('Revenue by Customer'!Y:Y,MATCH('Full Customer List'!$B61,'Revenue by Customer'!$A:$A,0))</f>
        <v>1080</v>
      </c>
      <c r="Z61" s="192">
        <f>INDEX('Revenue by Customer'!Z:Z,MATCH('Full Customer List'!$B61,'Revenue by Customer'!$A:$A,0))</f>
        <v>1080</v>
      </c>
      <c r="AA61" s="192">
        <f>INDEX('Revenue by Customer'!AA:AA,MATCH('Full Customer List'!$B61,'Revenue by Customer'!$A:$A,0))</f>
        <v>1147</v>
      </c>
      <c r="AB61" s="192">
        <f>INDEX('Revenue by Customer'!AB:AB,MATCH('Full Customer List'!$B61,'Revenue by Customer'!$A:$A,0))</f>
        <v>1214</v>
      </c>
      <c r="AC61" s="192">
        <f>INDEX('Revenue by Customer'!AC:AC,MATCH('Full Customer List'!$B61,'Revenue by Customer'!$A:$A,0))</f>
        <v>1147</v>
      </c>
    </row>
    <row r="62" spans="2:29" ht="12" customHeight="1">
      <c r="B62" s="173" t="s">
        <v>652</v>
      </c>
      <c r="C62" s="173" t="str">
        <f>INDEX('Customer List'!$B:$B,MATCH('Full Customer List'!$B62,'Customer List'!$A:$A,0))</f>
        <v>Active</v>
      </c>
      <c r="D62" s="173" t="str">
        <f>INDEX('Customer List'!$C:$C,MATCH('Full Customer List'!$B62,'Customer List'!$A:$A,0))</f>
        <v>Property manager</v>
      </c>
      <c r="E62" s="173" t="str">
        <f>INDEX('Customer List Mapping'!$C:$C,MATCH('Full Customer List'!D62,'Customer List Mapping'!$B:$B,0))</f>
        <v>Property Manager</v>
      </c>
      <c r="F62" s="192">
        <f>INDEX('Customer List'!$K:$K,MATCH('Full Customer List'!$B62,'Customer List'!$A:$A,0))</f>
        <v>44</v>
      </c>
      <c r="G62" s="192">
        <f>INDEX('Revenue by Customer'!$I:$I,MATCH('Full Customer List'!$B62,'Revenue by Customer'!$A:$A,0))</f>
        <v>2637</v>
      </c>
      <c r="H62" s="257" t="str">
        <f>IFERROR(IF(C62="Active","",INDEX('Client Departures'!$G:$G,MATCH('Full Customer List'!$B62,'Client Departures'!$A:$A,0))),"Unclassified")</f>
        <v/>
      </c>
      <c r="I62" s="196">
        <v>46113</v>
      </c>
      <c r="J62" s="196"/>
      <c r="K62" s="192" t="str">
        <f>INDEX('Revenue by Customer'!K:K,MATCH('Full Customer List'!$B62,'Revenue by Customer'!$A:$A,0))</f>
        <v/>
      </c>
      <c r="L62" s="192" t="str">
        <f>INDEX('Revenue by Customer'!L:L,MATCH('Full Customer List'!$B62,'Revenue by Customer'!$A:$A,0))</f>
        <v/>
      </c>
      <c r="M62" s="192" t="str">
        <f>INDEX('Revenue by Customer'!M:M,MATCH('Full Customer List'!$B62,'Revenue by Customer'!$A:$A,0))</f>
        <v/>
      </c>
      <c r="N62" s="192" t="str">
        <f>INDEX('Revenue by Customer'!N:N,MATCH('Full Customer List'!$B62,'Revenue by Customer'!$A:$A,0))</f>
        <v/>
      </c>
      <c r="O62" s="192" t="str">
        <f>INDEX('Revenue by Customer'!O:O,MATCH('Full Customer List'!$B62,'Revenue by Customer'!$A:$A,0))</f>
        <v/>
      </c>
      <c r="P62" s="192" t="str">
        <f>INDEX('Revenue by Customer'!P:P,MATCH('Full Customer List'!$B62,'Revenue by Customer'!$A:$A,0))</f>
        <v/>
      </c>
      <c r="Q62" s="192" t="str">
        <f>INDEX('Revenue by Customer'!Q:Q,MATCH('Full Customer List'!$B62,'Revenue by Customer'!$A:$A,0))</f>
        <v/>
      </c>
      <c r="R62" s="192" t="str">
        <f>INDEX('Revenue by Customer'!R:R,MATCH('Full Customer List'!$B62,'Revenue by Customer'!$A:$A,0))</f>
        <v/>
      </c>
      <c r="S62" s="192" t="str">
        <f>INDEX('Revenue by Customer'!S:S,MATCH('Full Customer List'!$B62,'Revenue by Customer'!$A:$A,0))</f>
        <v/>
      </c>
      <c r="T62" s="192" t="str">
        <f>INDEX('Revenue by Customer'!T:T,MATCH('Full Customer List'!$B62,'Revenue by Customer'!$A:$A,0))</f>
        <v/>
      </c>
      <c r="U62" s="192" t="str">
        <f>INDEX('Revenue by Customer'!U:U,MATCH('Full Customer List'!$B62,'Revenue by Customer'!$A:$A,0))</f>
        <v/>
      </c>
      <c r="V62" s="192" t="str">
        <f>INDEX('Revenue by Customer'!V:V,MATCH('Full Customer List'!$B62,'Revenue by Customer'!$A:$A,0))</f>
        <v/>
      </c>
      <c r="W62" s="192" t="str">
        <f>INDEX('Revenue by Customer'!W:W,MATCH('Full Customer List'!$B62,'Revenue by Customer'!$A:$A,0))</f>
        <v/>
      </c>
      <c r="X62" s="192" t="str">
        <f>INDEX('Revenue by Customer'!X:X,MATCH('Full Customer List'!$B62,'Revenue by Customer'!$A:$A,0))</f>
        <v/>
      </c>
      <c r="Y62" s="192" t="str">
        <f>INDEX('Revenue by Customer'!Y:Y,MATCH('Full Customer List'!$B62,'Revenue by Customer'!$A:$A,0))</f>
        <v/>
      </c>
      <c r="Z62" s="192">
        <f>INDEX('Revenue by Customer'!Z:Z,MATCH('Full Customer List'!$B62,'Revenue by Customer'!$A:$A,0))</f>
        <v>5354</v>
      </c>
      <c r="AA62" s="192">
        <f>INDEX('Revenue by Customer'!AA:AA,MATCH('Full Customer List'!$B62,'Revenue by Customer'!$A:$A,0))</f>
        <v>2561</v>
      </c>
      <c r="AB62" s="192">
        <f>INDEX('Revenue by Customer'!AB:AB,MATCH('Full Customer List'!$B62,'Revenue by Customer'!$A:$A,0))</f>
        <v>2675</v>
      </c>
      <c r="AC62" s="192">
        <f>INDEX('Revenue by Customer'!AC:AC,MATCH('Full Customer List'!$B62,'Revenue by Customer'!$A:$A,0))</f>
        <v>2675</v>
      </c>
    </row>
    <row r="63" spans="2:29" ht="12" customHeight="1">
      <c r="B63" s="173" t="s">
        <v>654</v>
      </c>
      <c r="C63" s="173" t="str">
        <f>INDEX('Customer List'!$B:$B,MATCH('Full Customer List'!$B63,'Customer List'!$A:$A,0))</f>
        <v>Active</v>
      </c>
      <c r="D63" s="173" t="str">
        <f>INDEX('Customer List'!$C:$C,MATCH('Full Customer List'!$B63,'Customer List'!$A:$A,0))</f>
        <v>Property manager</v>
      </c>
      <c r="E63" s="173" t="str">
        <f>INDEX('Customer List Mapping'!$C:$C,MATCH('Full Customer List'!D63,'Customer List Mapping'!$B:$B,0))</f>
        <v>Property Manager</v>
      </c>
      <c r="F63" s="192">
        <f>INDEX('Customer List'!$K:$K,MATCH('Full Customer List'!$B63,'Customer List'!$A:$A,0))</f>
        <v>13</v>
      </c>
      <c r="G63" s="192">
        <f>INDEX('Revenue by Customer'!$I:$I,MATCH('Full Customer List'!$B63,'Revenue by Customer'!$A:$A,0))</f>
        <v>1237</v>
      </c>
      <c r="H63" s="257" t="str">
        <f>IFERROR(IF(C63="Active","",INDEX('Client Departures'!$G:$G,MATCH('Full Customer List'!$B63,'Client Departures'!$A:$A,0))),"Unclassified")</f>
        <v/>
      </c>
      <c r="I63" s="196">
        <v>45597</v>
      </c>
      <c r="J63" s="196"/>
      <c r="K63" s="192">
        <f>INDEX('Revenue by Customer'!K:K,MATCH('Full Customer List'!$B63,'Revenue by Customer'!$A:$A,0))</f>
        <v>410.75</v>
      </c>
      <c r="L63" s="192">
        <f>INDEX('Revenue by Customer'!L:L,MATCH('Full Customer List'!$B63,'Revenue by Customer'!$A:$A,0))</f>
        <v>474</v>
      </c>
      <c r="M63" s="192">
        <f>INDEX('Revenue by Customer'!M:M,MATCH('Full Customer List'!$B63,'Revenue by Customer'!$A:$A,0))</f>
        <v>474</v>
      </c>
      <c r="N63" s="192">
        <f>INDEX('Revenue by Customer'!N:N,MATCH('Full Customer List'!$B63,'Revenue by Customer'!$A:$A,0))</f>
        <v>632</v>
      </c>
      <c r="O63" s="192">
        <f>INDEX('Revenue by Customer'!O:O,MATCH('Full Customer List'!$B63,'Revenue by Customer'!$A:$A,0))</f>
        <v>632</v>
      </c>
      <c r="P63" s="192" t="str">
        <f>INDEX('Revenue by Customer'!P:P,MATCH('Full Customer List'!$B63,'Revenue by Customer'!$A:$A,0))</f>
        <v/>
      </c>
      <c r="Q63" s="192">
        <f>INDEX('Revenue by Customer'!Q:Q,MATCH('Full Customer List'!$B63,'Revenue by Customer'!$A:$A,0))</f>
        <v>700</v>
      </c>
      <c r="R63" s="192">
        <f>INDEX('Revenue by Customer'!R:R,MATCH('Full Customer List'!$B63,'Revenue by Customer'!$A:$A,0))</f>
        <v>850</v>
      </c>
      <c r="S63" s="192">
        <f>INDEX('Revenue by Customer'!S:S,MATCH('Full Customer List'!$B63,'Revenue by Customer'!$A:$A,0))</f>
        <v>850</v>
      </c>
      <c r="T63" s="192">
        <f>INDEX('Revenue by Customer'!T:T,MATCH('Full Customer List'!$B63,'Revenue by Customer'!$A:$A,0))</f>
        <v>850</v>
      </c>
      <c r="U63" s="192">
        <f>INDEX('Revenue by Customer'!U:U,MATCH('Full Customer List'!$B63,'Revenue by Customer'!$A:$A,0))</f>
        <v>1075</v>
      </c>
      <c r="V63" s="192">
        <f>INDEX('Revenue by Customer'!V:V,MATCH('Full Customer List'!$B63,'Revenue by Customer'!$A:$A,0))</f>
        <v>1075</v>
      </c>
      <c r="W63" s="192">
        <f>INDEX('Revenue by Customer'!W:W,MATCH('Full Customer List'!$B63,'Revenue by Customer'!$A:$A,0))</f>
        <v>1225</v>
      </c>
      <c r="X63" s="192">
        <f>INDEX('Revenue by Customer'!X:X,MATCH('Full Customer List'!$B63,'Revenue by Customer'!$A:$A,0))</f>
        <v>1230</v>
      </c>
      <c r="Y63" s="192">
        <f>INDEX('Revenue by Customer'!Y:Y,MATCH('Full Customer List'!$B63,'Revenue by Customer'!$A:$A,0))</f>
        <v>1220</v>
      </c>
      <c r="Z63" s="192">
        <f>INDEX('Revenue by Customer'!Z:Z,MATCH('Full Customer List'!$B63,'Revenue by Customer'!$A:$A,0))</f>
        <v>1075</v>
      </c>
      <c r="AA63" s="192">
        <f>INDEX('Revenue by Customer'!AA:AA,MATCH('Full Customer List'!$B63,'Revenue by Customer'!$A:$A,0))</f>
        <v>1225</v>
      </c>
      <c r="AB63" s="192">
        <f>INDEX('Revenue by Customer'!AB:AB,MATCH('Full Customer List'!$B63,'Revenue by Customer'!$A:$A,0))</f>
        <v>1225</v>
      </c>
      <c r="AC63" s="192">
        <f>INDEX('Revenue by Customer'!AC:AC,MATCH('Full Customer List'!$B63,'Revenue by Customer'!$A:$A,0))</f>
        <v>1261</v>
      </c>
    </row>
    <row r="64" spans="2:29" ht="12" customHeight="1">
      <c r="B64" s="173" t="s">
        <v>655</v>
      </c>
      <c r="C64" s="173" t="str">
        <f>INDEX('Customer List'!$B:$B,MATCH('Full Customer List'!$B64,'Customer List'!$A:$A,0))</f>
        <v>Onboarding</v>
      </c>
      <c r="D64" s="173" t="str">
        <f>INDEX('Customer List'!$C:$C,MATCH('Full Customer List'!$B64,'Customer List'!$A:$A,0))</f>
        <v>Property manager</v>
      </c>
      <c r="E64" s="173" t="str">
        <f>INDEX('Customer List Mapping'!$C:$C,MATCH('Full Customer List'!D64,'Customer List Mapping'!$B:$B,0))</f>
        <v>Property Manager</v>
      </c>
      <c r="F64" s="192">
        <f>INDEX('Customer List'!$K:$K,MATCH('Full Customer List'!$B64,'Customer List'!$A:$A,0))</f>
        <v>51</v>
      </c>
      <c r="G64" s="192">
        <f>INDEX('Revenue by Customer'!$I:$I,MATCH('Full Customer List'!$B64,'Revenue by Customer'!$A:$A,0))</f>
        <v>2178.3333333333335</v>
      </c>
      <c r="H64" s="257" t="str">
        <f>IFERROR(IF(C64="Active","",INDEX('Client Departures'!$G:$G,MATCH('Full Customer List'!$B64,'Client Departures'!$A:$A,0))),"Unclassified")</f>
        <v>Unclassified</v>
      </c>
      <c r="I64" s="196">
        <v>46082</v>
      </c>
      <c r="J64" s="196"/>
      <c r="K64" s="192" t="str">
        <f>INDEX('Revenue by Customer'!K:K,MATCH('Full Customer List'!$B64,'Revenue by Customer'!$A:$A,0))</f>
        <v/>
      </c>
      <c r="L64" s="192" t="str">
        <f>INDEX('Revenue by Customer'!L:L,MATCH('Full Customer List'!$B64,'Revenue by Customer'!$A:$A,0))</f>
        <v/>
      </c>
      <c r="M64" s="192" t="str">
        <f>INDEX('Revenue by Customer'!M:M,MATCH('Full Customer List'!$B64,'Revenue by Customer'!$A:$A,0))</f>
        <v/>
      </c>
      <c r="N64" s="192" t="str">
        <f>INDEX('Revenue by Customer'!N:N,MATCH('Full Customer List'!$B64,'Revenue by Customer'!$A:$A,0))</f>
        <v/>
      </c>
      <c r="O64" s="192" t="str">
        <f>INDEX('Revenue by Customer'!O:O,MATCH('Full Customer List'!$B64,'Revenue by Customer'!$A:$A,0))</f>
        <v/>
      </c>
      <c r="P64" s="192" t="str">
        <f>INDEX('Revenue by Customer'!P:P,MATCH('Full Customer List'!$B64,'Revenue by Customer'!$A:$A,0))</f>
        <v/>
      </c>
      <c r="Q64" s="192" t="str">
        <f>INDEX('Revenue by Customer'!Q:Q,MATCH('Full Customer List'!$B64,'Revenue by Customer'!$A:$A,0))</f>
        <v/>
      </c>
      <c r="R64" s="192" t="str">
        <f>INDEX('Revenue by Customer'!R:R,MATCH('Full Customer List'!$B64,'Revenue by Customer'!$A:$A,0))</f>
        <v/>
      </c>
      <c r="S64" s="192" t="str">
        <f>INDEX('Revenue by Customer'!S:S,MATCH('Full Customer List'!$B64,'Revenue by Customer'!$A:$A,0))</f>
        <v/>
      </c>
      <c r="T64" s="192" t="str">
        <f>INDEX('Revenue by Customer'!T:T,MATCH('Full Customer List'!$B64,'Revenue by Customer'!$A:$A,0))</f>
        <v/>
      </c>
      <c r="U64" s="192" t="str">
        <f>INDEX('Revenue by Customer'!U:U,MATCH('Full Customer List'!$B64,'Revenue by Customer'!$A:$A,0))</f>
        <v/>
      </c>
      <c r="V64" s="192" t="str">
        <f>INDEX('Revenue by Customer'!V:V,MATCH('Full Customer List'!$B64,'Revenue by Customer'!$A:$A,0))</f>
        <v/>
      </c>
      <c r="W64" s="192" t="str">
        <f>INDEX('Revenue by Customer'!W:W,MATCH('Full Customer List'!$B64,'Revenue by Customer'!$A:$A,0))</f>
        <v/>
      </c>
      <c r="X64" s="192" t="str">
        <f>INDEX('Revenue by Customer'!X:X,MATCH('Full Customer List'!$B64,'Revenue by Customer'!$A:$A,0))</f>
        <v/>
      </c>
      <c r="Y64" s="192">
        <f>INDEX('Revenue by Customer'!Y:Y,MATCH('Full Customer List'!$B64,'Revenue by Customer'!$A:$A,0))</f>
        <v>4229</v>
      </c>
      <c r="Z64" s="192">
        <f>INDEX('Revenue by Customer'!Z:Z,MATCH('Full Customer List'!$B64,'Revenue by Customer'!$A:$A,0))</f>
        <v>2293</v>
      </c>
      <c r="AA64" s="192">
        <f>INDEX('Revenue by Customer'!AA:AA,MATCH('Full Customer List'!$B64,'Revenue by Customer'!$A:$A,0))</f>
        <v>2349</v>
      </c>
      <c r="AB64" s="192">
        <f>INDEX('Revenue by Customer'!AB:AB,MATCH('Full Customer List'!$B64,'Revenue by Customer'!$A:$A,0))</f>
        <v>2429</v>
      </c>
      <c r="AC64" s="192">
        <f>INDEX('Revenue by Customer'!AC:AC,MATCH('Full Customer List'!$B64,'Revenue by Customer'!$A:$A,0))</f>
        <v>1757</v>
      </c>
    </row>
    <row r="65" spans="2:29" ht="12" customHeight="1">
      <c r="B65" s="173" t="s">
        <v>659</v>
      </c>
      <c r="C65" s="173" t="str">
        <f>INDEX('Customer List'!$B:$B,MATCH('Full Customer List'!$B65,'Customer List'!$A:$A,0))</f>
        <v>Active</v>
      </c>
      <c r="D65" s="173" t="str">
        <f>INDEX('Customer List'!$C:$C,MATCH('Full Customer List'!$B65,'Customer List'!$A:$A,0))</f>
        <v>Property manager</v>
      </c>
      <c r="E65" s="173" t="str">
        <f>INDEX('Customer List Mapping'!$C:$C,MATCH('Full Customer List'!D65,'Customer List Mapping'!$B:$B,0))</f>
        <v>Property Manager</v>
      </c>
      <c r="F65" s="192">
        <f>INDEX('Customer List'!$K:$K,MATCH('Full Customer List'!$B65,'Customer List'!$A:$A,0))</f>
        <v>22</v>
      </c>
      <c r="G65" s="192">
        <f>INDEX('Revenue by Customer'!$I:$I,MATCH('Full Customer List'!$B65,'Revenue by Customer'!$A:$A,0))</f>
        <v>1340.3333333333333</v>
      </c>
      <c r="H65" s="257" t="str">
        <f>IFERROR(IF(C65="Active","",INDEX('Client Departures'!$G:$G,MATCH('Full Customer List'!$B65,'Client Departures'!$A:$A,0))),"Unclassified")</f>
        <v/>
      </c>
      <c r="I65" s="196">
        <v>44986</v>
      </c>
      <c r="J65" s="196"/>
      <c r="K65" s="192">
        <f>INDEX('Revenue by Customer'!K:K,MATCH('Full Customer List'!$B65,'Revenue by Customer'!$A:$A,0))</f>
        <v>985</v>
      </c>
      <c r="L65" s="192">
        <f>INDEX('Revenue by Customer'!L:L,MATCH('Full Customer List'!$B65,'Revenue by Customer'!$A:$A,0))</f>
        <v>790</v>
      </c>
      <c r="M65" s="192">
        <f>INDEX('Revenue by Customer'!M:M,MATCH('Full Customer List'!$B65,'Revenue by Customer'!$A:$A,0))</f>
        <v>825</v>
      </c>
      <c r="N65" s="192">
        <f>INDEX('Revenue by Customer'!N:N,MATCH('Full Customer List'!$B65,'Revenue by Customer'!$A:$A,0))</f>
        <v>825</v>
      </c>
      <c r="O65" s="192">
        <f>INDEX('Revenue by Customer'!O:O,MATCH('Full Customer List'!$B65,'Revenue by Customer'!$A:$A,0))</f>
        <v>825</v>
      </c>
      <c r="P65" s="192">
        <f>INDEX('Revenue by Customer'!P:P,MATCH('Full Customer List'!$B65,'Revenue by Customer'!$A:$A,0))</f>
        <v>825</v>
      </c>
      <c r="Q65" s="192">
        <f>INDEX('Revenue by Customer'!Q:Q,MATCH('Full Customer List'!$B65,'Revenue by Customer'!$A:$A,0))</f>
        <v>900</v>
      </c>
      <c r="R65" s="192">
        <f>INDEX('Revenue by Customer'!R:R,MATCH('Full Customer List'!$B65,'Revenue by Customer'!$A:$A,0))</f>
        <v>900</v>
      </c>
      <c r="S65" s="192">
        <f>INDEX('Revenue by Customer'!S:S,MATCH('Full Customer List'!$B65,'Revenue by Customer'!$A:$A,0))</f>
        <v>900</v>
      </c>
      <c r="T65" s="192">
        <f>INDEX('Revenue by Customer'!T:T,MATCH('Full Customer List'!$B65,'Revenue by Customer'!$A:$A,0))</f>
        <v>975</v>
      </c>
      <c r="U65" s="192">
        <f>INDEX('Revenue by Customer'!U:U,MATCH('Full Customer List'!$B65,'Revenue by Customer'!$A:$A,0))</f>
        <v>525</v>
      </c>
      <c r="V65" s="192">
        <f>INDEX('Revenue by Customer'!V:V,MATCH('Full Customer List'!$B65,'Revenue by Customer'!$A:$A,0))</f>
        <v>900</v>
      </c>
      <c r="W65" s="192">
        <f>INDEX('Revenue by Customer'!W:W,MATCH('Full Customer List'!$B65,'Revenue by Customer'!$A:$A,0))</f>
        <v>1050</v>
      </c>
      <c r="X65" s="192">
        <f>INDEX('Revenue by Customer'!X:X,MATCH('Full Customer List'!$B65,'Revenue by Customer'!$A:$A,0))</f>
        <v>1185</v>
      </c>
      <c r="Y65" s="192">
        <f>INDEX('Revenue by Customer'!Y:Y,MATCH('Full Customer List'!$B65,'Revenue by Customer'!$A:$A,0))</f>
        <v>1034</v>
      </c>
      <c r="Z65" s="192">
        <f>INDEX('Revenue by Customer'!Z:Z,MATCH('Full Customer List'!$B65,'Revenue by Customer'!$A:$A,0))</f>
        <v>1188</v>
      </c>
      <c r="AA65" s="192">
        <f>INDEX('Revenue by Customer'!AA:AA,MATCH('Full Customer List'!$B65,'Revenue by Customer'!$A:$A,0))</f>
        <v>1188</v>
      </c>
      <c r="AB65" s="192">
        <f>INDEX('Revenue by Customer'!AB:AB,MATCH('Full Customer List'!$B65,'Revenue by Customer'!$A:$A,0))</f>
        <v>1316</v>
      </c>
      <c r="AC65" s="192">
        <f>INDEX('Revenue by Customer'!AC:AC,MATCH('Full Customer List'!$B65,'Revenue by Customer'!$A:$A,0))</f>
        <v>1517</v>
      </c>
    </row>
    <row r="66" spans="2:29" ht="12" customHeight="1">
      <c r="B66" s="173" t="s">
        <v>661</v>
      </c>
      <c r="C66" s="173" t="str">
        <f>INDEX('Customer List'!$B:$B,MATCH('Full Customer List'!$B66,'Customer List'!$A:$A,0))</f>
        <v>Former client</v>
      </c>
      <c r="D66" s="173" t="str">
        <f>INDEX('Customer List'!$C:$C,MATCH('Full Customer List'!$B66,'Customer List'!$A:$A,0))</f>
        <v>Short-term rental (departed)</v>
      </c>
      <c r="E66" s="173" t="str">
        <f>INDEX('Customer List Mapping'!$C:$C,MATCH('Full Customer List'!D66,'Customer List Mapping'!$B:$B,0))</f>
        <v>Short-Term Rental</v>
      </c>
      <c r="F66" s="192" t="str">
        <f>INDEX('Customer List'!$K:$K,MATCH('Full Customer List'!$B66,'Customer List'!$A:$A,0))</f>
        <v/>
      </c>
      <c r="G66" s="192">
        <f>INDEX('Revenue by Customer'!$I:$I,MATCH('Full Customer List'!$B66,'Revenue by Customer'!$A:$A,0))</f>
        <v>1685.9466666666667</v>
      </c>
      <c r="H66" s="257" t="str">
        <f>IFERROR(IF(C66="Active","",INDEX('Client Departures'!$G:$G,MATCH('Full Customer List'!$B66,'Client Departures'!$A:$A,0))),"Unclassified")</f>
        <v>Yes</v>
      </c>
      <c r="I66" s="196">
        <v>44743</v>
      </c>
      <c r="J66" s="196">
        <v>46022</v>
      </c>
      <c r="K66" s="192">
        <f>INDEX('Revenue by Customer'!K:K,MATCH('Full Customer List'!$B66,'Revenue by Customer'!$A:$A,0))</f>
        <v>2210</v>
      </c>
      <c r="L66" s="192">
        <f>INDEX('Revenue by Customer'!L:L,MATCH('Full Customer List'!$B66,'Revenue by Customer'!$A:$A,0))</f>
        <v>3529.6</v>
      </c>
      <c r="M66" s="192">
        <f>INDEX('Revenue by Customer'!M:M,MATCH('Full Customer List'!$B66,'Revenue by Customer'!$A:$A,0))</f>
        <v>2550</v>
      </c>
      <c r="N66" s="192">
        <f>INDEX('Revenue by Customer'!N:N,MATCH('Full Customer List'!$B66,'Revenue by Customer'!$A:$A,0))</f>
        <v>2550</v>
      </c>
      <c r="O66" s="192">
        <f>INDEX('Revenue by Customer'!O:O,MATCH('Full Customer List'!$B66,'Revenue by Customer'!$A:$A,0))</f>
        <v>2707.94</v>
      </c>
      <c r="P66" s="192">
        <f>INDEX('Revenue by Customer'!P:P,MATCH('Full Customer List'!$B66,'Revenue by Customer'!$A:$A,0))</f>
        <v>2635</v>
      </c>
      <c r="Q66" s="192">
        <f>INDEX('Revenue by Customer'!Q:Q,MATCH('Full Customer List'!$B66,'Revenue by Customer'!$A:$A,0))</f>
        <v>2621.71</v>
      </c>
      <c r="R66" s="192">
        <f>INDEX('Revenue by Customer'!R:R,MATCH('Full Customer List'!$B66,'Revenue by Customer'!$A:$A,0))</f>
        <v>2713.69</v>
      </c>
      <c r="S66" s="192">
        <f>INDEX('Revenue by Customer'!S:S,MATCH('Full Customer List'!$B66,'Revenue by Customer'!$A:$A,0))</f>
        <v>2404</v>
      </c>
      <c r="T66" s="192">
        <f>INDEX('Revenue by Customer'!T:T,MATCH('Full Customer List'!$B66,'Revenue by Customer'!$A:$A,0))</f>
        <v>2404</v>
      </c>
      <c r="U66" s="192">
        <f>INDEX('Revenue by Customer'!U:U,MATCH('Full Customer List'!$B66,'Revenue by Customer'!$A:$A,0))</f>
        <v>2404</v>
      </c>
      <c r="V66" s="192">
        <f>INDEX('Revenue by Customer'!V:V,MATCH('Full Customer List'!$B66,'Revenue by Customer'!$A:$A,0))</f>
        <v>2404</v>
      </c>
      <c r="W66" s="192">
        <f>INDEX('Revenue by Customer'!W:W,MATCH('Full Customer List'!$B66,'Revenue by Customer'!$A:$A,0))</f>
        <v>249.84</v>
      </c>
      <c r="X66" s="192" t="str">
        <f>INDEX('Revenue by Customer'!X:X,MATCH('Full Customer List'!$B66,'Revenue by Customer'!$A:$A,0))</f>
        <v/>
      </c>
      <c r="Y66" s="192" t="str">
        <f>INDEX('Revenue by Customer'!Y:Y,MATCH('Full Customer List'!$B66,'Revenue by Customer'!$A:$A,0))</f>
        <v/>
      </c>
      <c r="Z66" s="192" t="str">
        <f>INDEX('Revenue by Customer'!Z:Z,MATCH('Full Customer List'!$B66,'Revenue by Customer'!$A:$A,0))</f>
        <v/>
      </c>
      <c r="AA66" s="192" t="str">
        <f>INDEX('Revenue by Customer'!AA:AA,MATCH('Full Customer List'!$B66,'Revenue by Customer'!$A:$A,0))</f>
        <v/>
      </c>
      <c r="AB66" s="192" t="str">
        <f>INDEX('Revenue by Customer'!AB:AB,MATCH('Full Customer List'!$B66,'Revenue by Customer'!$A:$A,0))</f>
        <v/>
      </c>
      <c r="AC66" s="192" t="str">
        <f>INDEX('Revenue by Customer'!AC:AC,MATCH('Full Customer List'!$B66,'Revenue by Customer'!$A:$A,0))</f>
        <v/>
      </c>
    </row>
    <row r="67" spans="2:29" ht="12" customHeight="1">
      <c r="B67" s="173" t="s">
        <v>663</v>
      </c>
      <c r="C67" s="173" t="str">
        <f>INDEX('Customer List'!$B:$B,MATCH('Full Customer List'!$B67,'Customer List'!$A:$A,0))</f>
        <v>Active</v>
      </c>
      <c r="D67" s="173" t="str">
        <f>INDEX('Customer List'!$C:$C,MATCH('Full Customer List'!$B67,'Customer List'!$A:$A,0))</f>
        <v>Property manager</v>
      </c>
      <c r="E67" s="173" t="str">
        <f>INDEX('Customer List Mapping'!$C:$C,MATCH('Full Customer List'!D67,'Customer List Mapping'!$B:$B,0))</f>
        <v>Property Manager</v>
      </c>
      <c r="F67" s="192">
        <f>INDEX('Customer List'!$K:$K,MATCH('Full Customer List'!$B67,'Customer List'!$A:$A,0))</f>
        <v>19</v>
      </c>
      <c r="G67" s="192">
        <f>INDEX('Revenue by Customer'!$I:$I,MATCH('Full Customer List'!$B67,'Revenue by Customer'!$A:$A,0))</f>
        <v>1335</v>
      </c>
      <c r="H67" s="257" t="str">
        <f>IFERROR(IF(C67="Active","",INDEX('Client Departures'!$G:$G,MATCH('Full Customer List'!$B67,'Client Departures'!$A:$A,0))),"Unclassified")</f>
        <v/>
      </c>
      <c r="I67" s="196">
        <v>45901</v>
      </c>
      <c r="J67" s="196"/>
      <c r="K67" s="192" t="str">
        <f>INDEX('Revenue by Customer'!K:K,MATCH('Full Customer List'!$B67,'Revenue by Customer'!$A:$A,0))</f>
        <v/>
      </c>
      <c r="L67" s="192" t="str">
        <f>INDEX('Revenue by Customer'!L:L,MATCH('Full Customer List'!$B67,'Revenue by Customer'!$A:$A,0))</f>
        <v/>
      </c>
      <c r="M67" s="192" t="str">
        <f>INDEX('Revenue by Customer'!M:M,MATCH('Full Customer List'!$B67,'Revenue by Customer'!$A:$A,0))</f>
        <v/>
      </c>
      <c r="N67" s="192" t="str">
        <f>INDEX('Revenue by Customer'!N:N,MATCH('Full Customer List'!$B67,'Revenue by Customer'!$A:$A,0))</f>
        <v/>
      </c>
      <c r="O67" s="192" t="str">
        <f>INDEX('Revenue by Customer'!O:O,MATCH('Full Customer List'!$B67,'Revenue by Customer'!$A:$A,0))</f>
        <v/>
      </c>
      <c r="P67" s="192" t="str">
        <f>INDEX('Revenue by Customer'!P:P,MATCH('Full Customer List'!$B67,'Revenue by Customer'!$A:$A,0))</f>
        <v/>
      </c>
      <c r="Q67" s="192" t="str">
        <f>INDEX('Revenue by Customer'!Q:Q,MATCH('Full Customer List'!$B67,'Revenue by Customer'!$A:$A,0))</f>
        <v/>
      </c>
      <c r="R67" s="192" t="str">
        <f>INDEX('Revenue by Customer'!R:R,MATCH('Full Customer List'!$B67,'Revenue by Customer'!$A:$A,0))</f>
        <v/>
      </c>
      <c r="S67" s="192">
        <f>INDEX('Revenue by Customer'!S:S,MATCH('Full Customer List'!$B67,'Revenue by Customer'!$A:$A,0))</f>
        <v>1920</v>
      </c>
      <c r="T67" s="192">
        <f>INDEX('Revenue by Customer'!T:T,MATCH('Full Customer List'!$B67,'Revenue by Customer'!$A:$A,0))</f>
        <v>1140</v>
      </c>
      <c r="U67" s="192">
        <f>INDEX('Revenue by Customer'!U:U,MATCH('Full Customer List'!$B67,'Revenue by Customer'!$A:$A,0))</f>
        <v>0</v>
      </c>
      <c r="V67" s="192">
        <f>INDEX('Revenue by Customer'!V:V,MATCH('Full Customer List'!$B67,'Revenue by Customer'!$A:$A,0))</f>
        <v>945</v>
      </c>
      <c r="W67" s="192">
        <f>INDEX('Revenue by Customer'!W:W,MATCH('Full Customer List'!$B67,'Revenue by Customer'!$A:$A,0))</f>
        <v>1075</v>
      </c>
      <c r="X67" s="192">
        <f>INDEX('Revenue by Customer'!X:X,MATCH('Full Customer List'!$B67,'Revenue by Customer'!$A:$A,0))</f>
        <v>1150</v>
      </c>
      <c r="Y67" s="192">
        <f>INDEX('Revenue by Customer'!Y:Y,MATCH('Full Customer List'!$B67,'Revenue by Customer'!$A:$A,0))</f>
        <v>1075</v>
      </c>
      <c r="Z67" s="192">
        <f>INDEX('Revenue by Customer'!Z:Z,MATCH('Full Customer List'!$B67,'Revenue by Customer'!$A:$A,0))</f>
        <v>1140</v>
      </c>
      <c r="AA67" s="192">
        <f>INDEX('Revenue by Customer'!AA:AA,MATCH('Full Customer List'!$B67,'Revenue by Customer'!$A:$A,0))</f>
        <v>1335</v>
      </c>
      <c r="AB67" s="192">
        <f>INDEX('Revenue by Customer'!AB:AB,MATCH('Full Customer List'!$B67,'Revenue by Customer'!$A:$A,0))</f>
        <v>1335</v>
      </c>
      <c r="AC67" s="192">
        <f>INDEX('Revenue by Customer'!AC:AC,MATCH('Full Customer List'!$B67,'Revenue by Customer'!$A:$A,0))</f>
        <v>1335</v>
      </c>
    </row>
    <row r="68" spans="2:29" ht="12" customHeight="1">
      <c r="B68" s="173" t="s">
        <v>664</v>
      </c>
      <c r="C68" s="173" t="str">
        <f>INDEX('Customer List'!$B:$B,MATCH('Full Customer List'!$B68,'Customer List'!$A:$A,0))</f>
        <v>Active</v>
      </c>
      <c r="D68" s="173" t="str">
        <f>INDEX('Customer List'!$C:$C,MATCH('Full Customer List'!$B68,'Customer List'!$A:$A,0))</f>
        <v>Property manager</v>
      </c>
      <c r="E68" s="173" t="str">
        <f>INDEX('Customer List Mapping'!$C:$C,MATCH('Full Customer List'!D68,'Customer List Mapping'!$B:$B,0))</f>
        <v>Property Manager</v>
      </c>
      <c r="F68" s="192">
        <f>INDEX('Customer List'!$K:$K,MATCH('Full Customer List'!$B68,'Customer List'!$A:$A,0))</f>
        <v>17</v>
      </c>
      <c r="G68" s="192">
        <f>INDEX('Revenue by Customer'!$I:$I,MATCH('Full Customer List'!$B68,'Revenue by Customer'!$A:$A,0))</f>
        <v>1129.3333333333333</v>
      </c>
      <c r="H68" s="257" t="str">
        <f>IFERROR(IF(C68="Active","",INDEX('Client Departures'!$G:$G,MATCH('Full Customer List'!$B68,'Client Departures'!$A:$A,0))),"Unclassified")</f>
        <v/>
      </c>
      <c r="I68" s="196">
        <v>45444</v>
      </c>
      <c r="J68" s="196"/>
      <c r="K68" s="192">
        <f>INDEX('Revenue by Customer'!K:K,MATCH('Full Customer List'!$B68,'Revenue by Customer'!$A:$A,0))</f>
        <v>553</v>
      </c>
      <c r="L68" s="192">
        <f>INDEX('Revenue by Customer'!L:L,MATCH('Full Customer List'!$B68,'Revenue by Customer'!$A:$A,0))</f>
        <v>628</v>
      </c>
      <c r="M68" s="192">
        <f>INDEX('Revenue by Customer'!M:M,MATCH('Full Customer List'!$B68,'Revenue by Customer'!$A:$A,0))</f>
        <v>553</v>
      </c>
      <c r="N68" s="192">
        <f>INDEX('Revenue by Customer'!N:N,MATCH('Full Customer List'!$B68,'Revenue by Customer'!$A:$A,0))</f>
        <v>553</v>
      </c>
      <c r="O68" s="192">
        <f>INDEX('Revenue by Customer'!O:O,MATCH('Full Customer List'!$B68,'Revenue by Customer'!$A:$A,0))</f>
        <v>632</v>
      </c>
      <c r="P68" s="192">
        <f>INDEX('Revenue by Customer'!P:P,MATCH('Full Customer List'!$B68,'Revenue by Customer'!$A:$A,0))</f>
        <v>700</v>
      </c>
      <c r="Q68" s="192">
        <f>INDEX('Revenue by Customer'!Q:Q,MATCH('Full Customer List'!$B68,'Revenue by Customer'!$A:$A,0))</f>
        <v>775</v>
      </c>
      <c r="R68" s="192">
        <f>INDEX('Revenue by Customer'!R:R,MATCH('Full Customer List'!$B68,'Revenue by Customer'!$A:$A,0))</f>
        <v>775</v>
      </c>
      <c r="S68" s="192">
        <f>INDEX('Revenue by Customer'!S:S,MATCH('Full Customer List'!$B68,'Revenue by Customer'!$A:$A,0))</f>
        <v>775</v>
      </c>
      <c r="T68" s="192">
        <f>INDEX('Revenue by Customer'!T:T,MATCH('Full Customer List'!$B68,'Revenue by Customer'!$A:$A,0))</f>
        <v>850</v>
      </c>
      <c r="U68" s="192">
        <f>INDEX('Revenue by Customer'!U:U,MATCH('Full Customer List'!$B68,'Revenue by Customer'!$A:$A,0))</f>
        <v>1075</v>
      </c>
      <c r="V68" s="192">
        <f>INDEX('Revenue by Customer'!V:V,MATCH('Full Customer List'!$B68,'Revenue by Customer'!$A:$A,0))</f>
        <v>1000</v>
      </c>
      <c r="W68" s="192">
        <f>INDEX('Revenue by Customer'!W:W,MATCH('Full Customer List'!$B68,'Revenue by Customer'!$A:$A,0))</f>
        <v>1000</v>
      </c>
      <c r="X68" s="192">
        <f>INDEX('Revenue by Customer'!X:X,MATCH('Full Customer List'!$B68,'Revenue by Customer'!$A:$A,0))</f>
        <v>1135</v>
      </c>
      <c r="Y68" s="192">
        <f>INDEX('Revenue by Customer'!Y:Y,MATCH('Full Customer List'!$B68,'Revenue by Customer'!$A:$A,0))</f>
        <v>1150</v>
      </c>
      <c r="Z68" s="192">
        <f>INDEX('Revenue by Customer'!Z:Z,MATCH('Full Customer List'!$B68,'Revenue by Customer'!$A:$A,0))</f>
        <v>1225</v>
      </c>
      <c r="AA68" s="192">
        <f>INDEX('Revenue by Customer'!AA:AA,MATCH('Full Customer List'!$B68,'Revenue by Customer'!$A:$A,0))</f>
        <v>1225</v>
      </c>
      <c r="AB68" s="192">
        <f>INDEX('Revenue by Customer'!AB:AB,MATCH('Full Customer List'!$B68,'Revenue by Customer'!$A:$A,0))</f>
        <v>1115</v>
      </c>
      <c r="AC68" s="192">
        <f>INDEX('Revenue by Customer'!AC:AC,MATCH('Full Customer List'!$B68,'Revenue by Customer'!$A:$A,0))</f>
        <v>1048</v>
      </c>
    </row>
    <row r="69" spans="2:29" ht="12" customHeight="1">
      <c r="B69" s="173" t="s">
        <v>665</v>
      </c>
      <c r="C69" s="173" t="str">
        <f>INDEX('Customer List'!$B:$B,MATCH('Full Customer List'!$B69,'Customer List'!$A:$A,0))</f>
        <v>Active</v>
      </c>
      <c r="D69" s="173" t="str">
        <f>INDEX('Customer List'!$C:$C,MATCH('Full Customer List'!$B69,'Customer List'!$A:$A,0))</f>
        <v>Property manager</v>
      </c>
      <c r="E69" s="173" t="str">
        <f>INDEX('Customer List Mapping'!$C:$C,MATCH('Full Customer List'!D69,'Customer List Mapping'!$B:$B,0))</f>
        <v>Property Manager</v>
      </c>
      <c r="F69" s="192">
        <f>INDEX('Customer List'!$K:$K,MATCH('Full Customer List'!$B69,'Customer List'!$A:$A,0))</f>
        <v>21</v>
      </c>
      <c r="G69" s="192">
        <f>INDEX('Revenue by Customer'!$I:$I,MATCH('Full Customer List'!$B69,'Revenue by Customer'!$A:$A,0))</f>
        <v>1011.3333333333334</v>
      </c>
      <c r="H69" s="257" t="str">
        <f>IFERROR(IF(C69="Active","",INDEX('Client Departures'!$G:$G,MATCH('Full Customer List'!$B69,'Client Departures'!$A:$A,0))),"Unclassified")</f>
        <v/>
      </c>
      <c r="I69" s="196">
        <v>45689</v>
      </c>
      <c r="J69" s="196"/>
      <c r="K69" s="192" t="str">
        <f>INDEX('Revenue by Customer'!K:K,MATCH('Full Customer List'!$B69,'Revenue by Customer'!$A:$A,0))</f>
        <v/>
      </c>
      <c r="L69" s="192">
        <f>INDEX('Revenue by Customer'!L:L,MATCH('Full Customer List'!$B69,'Revenue by Customer'!$A:$A,0))</f>
        <v>440</v>
      </c>
      <c r="M69" s="192">
        <f>INDEX('Revenue by Customer'!M:M,MATCH('Full Customer List'!$B69,'Revenue by Customer'!$A:$A,0))</f>
        <v>550</v>
      </c>
      <c r="N69" s="192">
        <f>INDEX('Revenue by Customer'!N:N,MATCH('Full Customer List'!$B69,'Revenue by Customer'!$A:$A,0))</f>
        <v>625</v>
      </c>
      <c r="O69" s="192">
        <f>INDEX('Revenue by Customer'!O:O,MATCH('Full Customer List'!$B69,'Revenue by Customer'!$A:$A,0))</f>
        <v>625</v>
      </c>
      <c r="P69" s="192">
        <f>INDEX('Revenue by Customer'!P:P,MATCH('Full Customer List'!$B69,'Revenue by Customer'!$A:$A,0))</f>
        <v>700</v>
      </c>
      <c r="Q69" s="192">
        <f>INDEX('Revenue by Customer'!Q:Q,MATCH('Full Customer List'!$B69,'Revenue by Customer'!$A:$A,0))</f>
        <v>700</v>
      </c>
      <c r="R69" s="192">
        <f>INDEX('Revenue by Customer'!R:R,MATCH('Full Customer List'!$B69,'Revenue by Customer'!$A:$A,0))</f>
        <v>700</v>
      </c>
      <c r="S69" s="192">
        <f>INDEX('Revenue by Customer'!S:S,MATCH('Full Customer List'!$B69,'Revenue by Customer'!$A:$A,0))</f>
        <v>925</v>
      </c>
      <c r="T69" s="192">
        <f>INDEX('Revenue by Customer'!T:T,MATCH('Full Customer List'!$B69,'Revenue by Customer'!$A:$A,0))</f>
        <v>1075</v>
      </c>
      <c r="U69" s="192">
        <f>INDEX('Revenue by Customer'!U:U,MATCH('Full Customer List'!$B69,'Revenue by Customer'!$A:$A,0))</f>
        <v>1150</v>
      </c>
      <c r="V69" s="192">
        <f>INDEX('Revenue by Customer'!V:V,MATCH('Full Customer List'!$B69,'Revenue by Customer'!$A:$A,0))</f>
        <v>1075</v>
      </c>
      <c r="W69" s="192">
        <f>INDEX('Revenue by Customer'!W:W,MATCH('Full Customer List'!$B69,'Revenue by Customer'!$A:$A,0))</f>
        <v>1000</v>
      </c>
      <c r="X69" s="192">
        <f>INDEX('Revenue by Customer'!X:X,MATCH('Full Customer List'!$B69,'Revenue by Customer'!$A:$A,0))</f>
        <v>1263</v>
      </c>
      <c r="Y69" s="192">
        <f>INDEX('Revenue by Customer'!Y:Y,MATCH('Full Customer List'!$B69,'Revenue by Customer'!$A:$A,0))</f>
        <v>905</v>
      </c>
      <c r="Z69" s="192">
        <f>INDEX('Revenue by Customer'!Z:Z,MATCH('Full Customer List'!$B69,'Revenue by Customer'!$A:$A,0))</f>
        <v>942</v>
      </c>
      <c r="AA69" s="192">
        <f>INDEX('Revenue by Customer'!AA:AA,MATCH('Full Customer List'!$B69,'Revenue by Customer'!$A:$A,0))</f>
        <v>942</v>
      </c>
      <c r="AB69" s="192">
        <f>INDEX('Revenue by Customer'!AB:AB,MATCH('Full Customer List'!$B69,'Revenue by Customer'!$A:$A,0))</f>
        <v>942</v>
      </c>
      <c r="AC69" s="192">
        <f>INDEX('Revenue by Customer'!AC:AC,MATCH('Full Customer List'!$B69,'Revenue by Customer'!$A:$A,0))</f>
        <v>1150</v>
      </c>
    </row>
    <row r="70" spans="2:29" ht="12" customHeight="1">
      <c r="B70" s="173" t="s">
        <v>666</v>
      </c>
      <c r="C70" s="173" t="str">
        <f>INDEX('Customer List'!$B:$B,MATCH('Full Customer List'!$B70,'Customer List'!$A:$A,0))</f>
        <v>Active</v>
      </c>
      <c r="D70" s="173" t="str">
        <f>INDEX('Customer List'!$C:$C,MATCH('Full Customer List'!$B70,'Customer List'!$A:$A,0))</f>
        <v>Property manager</v>
      </c>
      <c r="E70" s="173" t="str">
        <f>INDEX('Customer List Mapping'!$C:$C,MATCH('Full Customer List'!D70,'Customer List Mapping'!$B:$B,0))</f>
        <v>Property Manager</v>
      </c>
      <c r="F70" s="192">
        <f>INDEX('Customer List'!$K:$K,MATCH('Full Customer List'!$B70,'Customer List'!$A:$A,0))</f>
        <v>11</v>
      </c>
      <c r="G70" s="192">
        <f>INDEX('Revenue by Customer'!$I:$I,MATCH('Full Customer List'!$B70,'Revenue by Customer'!$A:$A,0))</f>
        <v>922</v>
      </c>
      <c r="H70" s="257" t="str">
        <f>IFERROR(IF(C70="Active","",INDEX('Client Departures'!$G:$G,MATCH('Full Customer List'!$B70,'Client Departures'!$A:$A,0))),"Unclassified")</f>
        <v/>
      </c>
      <c r="I70" s="196">
        <v>45658</v>
      </c>
      <c r="J70" s="196"/>
      <c r="K70" s="192">
        <f>INDEX('Revenue by Customer'!K:K,MATCH('Full Customer List'!$B70,'Revenue by Customer'!$A:$A,0))</f>
        <v>876.9</v>
      </c>
      <c r="L70" s="192">
        <f>INDEX('Revenue by Customer'!L:L,MATCH('Full Customer List'!$B70,'Revenue by Customer'!$A:$A,0))</f>
        <v>452.9</v>
      </c>
      <c r="M70" s="192">
        <f>INDEX('Revenue by Customer'!M:M,MATCH('Full Customer List'!$B70,'Revenue by Customer'!$A:$A,0))</f>
        <v>540.04999999999995</v>
      </c>
      <c r="N70" s="192">
        <f>INDEX('Revenue by Customer'!N:N,MATCH('Full Customer List'!$B70,'Revenue by Customer'!$A:$A,0))</f>
        <v>890</v>
      </c>
      <c r="O70" s="192">
        <f>INDEX('Revenue by Customer'!O:O,MATCH('Full Customer List'!$B70,'Revenue by Customer'!$A:$A,0))</f>
        <v>1068</v>
      </c>
      <c r="P70" s="192">
        <f>INDEX('Revenue by Customer'!P:P,MATCH('Full Customer List'!$B70,'Revenue by Customer'!$A:$A,0))</f>
        <v>1157</v>
      </c>
      <c r="Q70" s="192">
        <f>INDEX('Revenue by Customer'!Q:Q,MATCH('Full Customer List'!$B70,'Revenue by Customer'!$A:$A,0))</f>
        <v>1157</v>
      </c>
      <c r="R70" s="192">
        <f>INDEX('Revenue by Customer'!R:R,MATCH('Full Customer List'!$B70,'Revenue by Customer'!$A:$A,0))</f>
        <v>1246</v>
      </c>
      <c r="S70" s="192">
        <f>INDEX('Revenue by Customer'!S:S,MATCH('Full Customer List'!$B70,'Revenue by Customer'!$A:$A,0))</f>
        <v>1157</v>
      </c>
      <c r="T70" s="192">
        <f>INDEX('Revenue by Customer'!T:T,MATCH('Full Customer List'!$B70,'Revenue by Customer'!$A:$A,0))</f>
        <v>1157</v>
      </c>
      <c r="U70" s="192">
        <f>INDEX('Revenue by Customer'!U:U,MATCH('Full Customer List'!$B70,'Revenue by Customer'!$A:$A,0))</f>
        <v>1157</v>
      </c>
      <c r="V70" s="192">
        <f>INDEX('Revenue by Customer'!V:V,MATCH('Full Customer List'!$B70,'Revenue by Customer'!$A:$A,0))</f>
        <v>890</v>
      </c>
      <c r="W70" s="192">
        <f>INDEX('Revenue by Customer'!W:W,MATCH('Full Customer List'!$B70,'Revenue by Customer'!$A:$A,0))</f>
        <v>806</v>
      </c>
      <c r="X70" s="192">
        <f>INDEX('Revenue by Customer'!X:X,MATCH('Full Customer List'!$B70,'Revenue by Customer'!$A:$A,0))</f>
        <v>1076</v>
      </c>
      <c r="Y70" s="192">
        <f>INDEX('Revenue by Customer'!Y:Y,MATCH('Full Customer List'!$B70,'Revenue by Customer'!$A:$A,0))</f>
        <v>806</v>
      </c>
      <c r="Z70" s="192">
        <f>INDEX('Revenue by Customer'!Z:Z,MATCH('Full Customer List'!$B70,'Revenue by Customer'!$A:$A,0))</f>
        <v>893</v>
      </c>
      <c r="AA70" s="192">
        <f>INDEX('Revenue by Customer'!AA:AA,MATCH('Full Customer List'!$B70,'Revenue by Customer'!$A:$A,0))</f>
        <v>893</v>
      </c>
      <c r="AB70" s="192">
        <f>INDEX('Revenue by Customer'!AB:AB,MATCH('Full Customer List'!$B70,'Revenue by Customer'!$A:$A,0))</f>
        <v>893</v>
      </c>
      <c r="AC70" s="192">
        <f>INDEX('Revenue by Customer'!AC:AC,MATCH('Full Customer List'!$B70,'Revenue by Customer'!$A:$A,0))</f>
        <v>980</v>
      </c>
    </row>
    <row r="71" spans="2:29" ht="12" customHeight="1">
      <c r="B71" s="173" t="s">
        <v>667</v>
      </c>
      <c r="C71" s="173" t="str">
        <f>INDEX('Customer List'!$B:$B,MATCH('Full Customer List'!$B71,'Customer List'!$A:$A,0))</f>
        <v>Active</v>
      </c>
      <c r="D71" s="173" t="str">
        <f>INDEX('Customer List'!$C:$C,MATCH('Full Customer List'!$B71,'Customer List'!$A:$A,0))</f>
        <v>Property manager</v>
      </c>
      <c r="E71" s="173" t="str">
        <f>INDEX('Customer List Mapping'!$C:$C,MATCH('Full Customer List'!D71,'Customer List Mapping'!$B:$B,0))</f>
        <v>Property Manager</v>
      </c>
      <c r="F71" s="192">
        <f>INDEX('Customer List'!$K:$K,MATCH('Full Customer List'!$B71,'Customer List'!$A:$A,0))</f>
        <v>17</v>
      </c>
      <c r="G71" s="192">
        <f>INDEX('Revenue by Customer'!$I:$I,MATCH('Full Customer List'!$B71,'Revenue by Customer'!$A:$A,0))</f>
        <v>1143.3333333333333</v>
      </c>
      <c r="H71" s="257" t="str">
        <f>IFERROR(IF(C71="Active","",INDEX('Client Departures'!$G:$G,MATCH('Full Customer List'!$B71,'Client Departures'!$A:$A,0))),"Unclassified")</f>
        <v/>
      </c>
      <c r="I71" s="196">
        <v>45901</v>
      </c>
      <c r="J71" s="196"/>
      <c r="K71" s="192" t="str">
        <f>INDEX('Revenue by Customer'!K:K,MATCH('Full Customer List'!$B71,'Revenue by Customer'!$A:$A,0))</f>
        <v/>
      </c>
      <c r="L71" s="192" t="str">
        <f>INDEX('Revenue by Customer'!L:L,MATCH('Full Customer List'!$B71,'Revenue by Customer'!$A:$A,0))</f>
        <v/>
      </c>
      <c r="M71" s="192" t="str">
        <f>INDEX('Revenue by Customer'!M:M,MATCH('Full Customer List'!$B71,'Revenue by Customer'!$A:$A,0))</f>
        <v/>
      </c>
      <c r="N71" s="192" t="str">
        <f>INDEX('Revenue by Customer'!N:N,MATCH('Full Customer List'!$B71,'Revenue by Customer'!$A:$A,0))</f>
        <v/>
      </c>
      <c r="O71" s="192" t="str">
        <f>INDEX('Revenue by Customer'!O:O,MATCH('Full Customer List'!$B71,'Revenue by Customer'!$A:$A,0))</f>
        <v/>
      </c>
      <c r="P71" s="192" t="str">
        <f>INDEX('Revenue by Customer'!P:P,MATCH('Full Customer List'!$B71,'Revenue by Customer'!$A:$A,0))</f>
        <v/>
      </c>
      <c r="Q71" s="192" t="str">
        <f>INDEX('Revenue by Customer'!Q:Q,MATCH('Full Customer List'!$B71,'Revenue by Customer'!$A:$A,0))</f>
        <v/>
      </c>
      <c r="R71" s="192" t="str">
        <f>INDEX('Revenue by Customer'!R:R,MATCH('Full Customer List'!$B71,'Revenue by Customer'!$A:$A,0))</f>
        <v/>
      </c>
      <c r="S71" s="192">
        <f>INDEX('Revenue by Customer'!S:S,MATCH('Full Customer List'!$B71,'Revenue by Customer'!$A:$A,0))</f>
        <v>1300</v>
      </c>
      <c r="T71" s="192">
        <f>INDEX('Revenue by Customer'!T:T,MATCH('Full Customer List'!$B71,'Revenue by Customer'!$A:$A,0))</f>
        <v>925</v>
      </c>
      <c r="U71" s="192">
        <f>INDEX('Revenue by Customer'!U:U,MATCH('Full Customer List'!$B71,'Revenue by Customer'!$A:$A,0))</f>
        <v>925</v>
      </c>
      <c r="V71" s="192">
        <f>INDEX('Revenue by Customer'!V:V,MATCH('Full Customer List'!$B71,'Revenue by Customer'!$A:$A,0))</f>
        <v>925</v>
      </c>
      <c r="W71" s="192">
        <f>INDEX('Revenue by Customer'!W:W,MATCH('Full Customer List'!$B71,'Revenue by Customer'!$A:$A,0))</f>
        <v>1090</v>
      </c>
      <c r="X71" s="192">
        <f>INDEX('Revenue by Customer'!X:X,MATCH('Full Customer List'!$B71,'Revenue by Customer'!$A:$A,0))</f>
        <v>1015</v>
      </c>
      <c r="Y71" s="192">
        <f>INDEX('Revenue by Customer'!Y:Y,MATCH('Full Customer List'!$B71,'Revenue by Customer'!$A:$A,0))</f>
        <v>1075</v>
      </c>
      <c r="Z71" s="192">
        <f>INDEX('Revenue by Customer'!Z:Z,MATCH('Full Customer List'!$B71,'Revenue by Customer'!$A:$A,0))</f>
        <v>1150</v>
      </c>
      <c r="AA71" s="192">
        <f>INDEX('Revenue by Customer'!AA:AA,MATCH('Full Customer List'!$B71,'Revenue by Customer'!$A:$A,0))</f>
        <v>1150</v>
      </c>
      <c r="AB71" s="192">
        <f>INDEX('Revenue by Customer'!AB:AB,MATCH('Full Customer List'!$B71,'Revenue by Customer'!$A:$A,0))</f>
        <v>1140</v>
      </c>
      <c r="AC71" s="192">
        <f>INDEX('Revenue by Customer'!AC:AC,MATCH('Full Customer List'!$B71,'Revenue by Customer'!$A:$A,0))</f>
        <v>1140</v>
      </c>
    </row>
    <row r="72" spans="2:29" ht="12" customHeight="1">
      <c r="B72" s="173" t="s">
        <v>668</v>
      </c>
      <c r="C72" s="173" t="str">
        <f>INDEX('Customer List'!$B:$B,MATCH('Full Customer List'!$B72,'Customer List'!$A:$A,0))</f>
        <v>Active</v>
      </c>
      <c r="D72" s="173" t="str">
        <f>INDEX('Customer List'!$C:$C,MATCH('Full Customer List'!$B72,'Customer List'!$A:$A,0))</f>
        <v>Property manager</v>
      </c>
      <c r="E72" s="173" t="str">
        <f>INDEX('Customer List Mapping'!$C:$C,MATCH('Full Customer List'!D72,'Customer List Mapping'!$B:$B,0))</f>
        <v>Property Manager</v>
      </c>
      <c r="F72" s="192">
        <f>INDEX('Customer List'!$K:$K,MATCH('Full Customer List'!$B72,'Customer List'!$A:$A,0))</f>
        <v>32</v>
      </c>
      <c r="G72" s="192">
        <f>INDEX('Revenue by Customer'!$I:$I,MATCH('Full Customer List'!$B72,'Revenue by Customer'!$A:$A,0))</f>
        <v>1993</v>
      </c>
      <c r="H72" s="257" t="str">
        <f>IFERROR(IF(C72="Active","",INDEX('Client Departures'!$G:$G,MATCH('Full Customer List'!$B72,'Client Departures'!$A:$A,0))),"Unclassified")</f>
        <v/>
      </c>
      <c r="I72" s="196">
        <v>46082</v>
      </c>
      <c r="J72" s="196"/>
      <c r="K72" s="192" t="str">
        <f>INDEX('Revenue by Customer'!K:K,MATCH('Full Customer List'!$B72,'Revenue by Customer'!$A:$A,0))</f>
        <v/>
      </c>
      <c r="L72" s="192" t="str">
        <f>INDEX('Revenue by Customer'!L:L,MATCH('Full Customer List'!$B72,'Revenue by Customer'!$A:$A,0))</f>
        <v/>
      </c>
      <c r="M72" s="192" t="str">
        <f>INDEX('Revenue by Customer'!M:M,MATCH('Full Customer List'!$B72,'Revenue by Customer'!$A:$A,0))</f>
        <v/>
      </c>
      <c r="N72" s="192" t="str">
        <f>INDEX('Revenue by Customer'!N:N,MATCH('Full Customer List'!$B72,'Revenue by Customer'!$A:$A,0))</f>
        <v/>
      </c>
      <c r="O72" s="192" t="str">
        <f>INDEX('Revenue by Customer'!O:O,MATCH('Full Customer List'!$B72,'Revenue by Customer'!$A:$A,0))</f>
        <v/>
      </c>
      <c r="P72" s="192" t="str">
        <f>INDEX('Revenue by Customer'!P:P,MATCH('Full Customer List'!$B72,'Revenue by Customer'!$A:$A,0))</f>
        <v/>
      </c>
      <c r="Q72" s="192" t="str">
        <f>INDEX('Revenue by Customer'!Q:Q,MATCH('Full Customer List'!$B72,'Revenue by Customer'!$A:$A,0))</f>
        <v/>
      </c>
      <c r="R72" s="192" t="str">
        <f>INDEX('Revenue by Customer'!R:R,MATCH('Full Customer List'!$B72,'Revenue by Customer'!$A:$A,0))</f>
        <v/>
      </c>
      <c r="S72" s="192" t="str">
        <f>INDEX('Revenue by Customer'!S:S,MATCH('Full Customer List'!$B72,'Revenue by Customer'!$A:$A,0))</f>
        <v/>
      </c>
      <c r="T72" s="192" t="str">
        <f>INDEX('Revenue by Customer'!T:T,MATCH('Full Customer List'!$B72,'Revenue by Customer'!$A:$A,0))</f>
        <v/>
      </c>
      <c r="U72" s="192" t="str">
        <f>INDEX('Revenue by Customer'!U:U,MATCH('Full Customer List'!$B72,'Revenue by Customer'!$A:$A,0))</f>
        <v/>
      </c>
      <c r="V72" s="192" t="str">
        <f>INDEX('Revenue by Customer'!V:V,MATCH('Full Customer List'!$B72,'Revenue by Customer'!$A:$A,0))</f>
        <v/>
      </c>
      <c r="W72" s="192" t="str">
        <f>INDEX('Revenue by Customer'!W:W,MATCH('Full Customer List'!$B72,'Revenue by Customer'!$A:$A,0))</f>
        <v/>
      </c>
      <c r="X72" s="192" t="str">
        <f>INDEX('Revenue by Customer'!X:X,MATCH('Full Customer List'!$B72,'Revenue by Customer'!$A:$A,0))</f>
        <v/>
      </c>
      <c r="Y72" s="192">
        <f>INDEX('Revenue by Customer'!Y:Y,MATCH('Full Customer List'!$B72,'Revenue by Customer'!$A:$A,0))</f>
        <v>3937</v>
      </c>
      <c r="Z72" s="192">
        <f>INDEX('Revenue by Customer'!Z:Z,MATCH('Full Customer List'!$B72,'Revenue by Customer'!$A:$A,0))</f>
        <v>1860</v>
      </c>
      <c r="AA72" s="192">
        <f>INDEX('Revenue by Customer'!AA:AA,MATCH('Full Customer List'!$B72,'Revenue by Customer'!$A:$A,0))</f>
        <v>1803</v>
      </c>
      <c r="AB72" s="192">
        <f>INDEX('Revenue by Customer'!AB:AB,MATCH('Full Customer List'!$B72,'Revenue by Customer'!$A:$A,0))</f>
        <v>2268</v>
      </c>
      <c r="AC72" s="192">
        <f>INDEX('Revenue by Customer'!AC:AC,MATCH('Full Customer List'!$B72,'Revenue by Customer'!$A:$A,0))</f>
        <v>1908</v>
      </c>
    </row>
    <row r="73" spans="2:29" ht="12" customHeight="1">
      <c r="B73" s="173" t="s">
        <v>671</v>
      </c>
      <c r="C73" s="173" t="str">
        <f>INDEX('Customer List'!$B:$B,MATCH('Full Customer List'!$B73,'Customer List'!$A:$A,0))</f>
        <v>Active</v>
      </c>
      <c r="D73" s="173" t="str">
        <f>INDEX('Customer List'!$C:$C,MATCH('Full Customer List'!$B73,'Customer List'!$A:$A,0))</f>
        <v>Small business</v>
      </c>
      <c r="E73" s="173" t="str">
        <f>INDEX('Customer List Mapping'!$C:$C,MATCH('Full Customer List'!D73,'Customer List Mapping'!$B:$B,0))</f>
        <v>Small Business</v>
      </c>
      <c r="F73" s="192" t="str">
        <f>INDEX('Customer List'!$K:$K,MATCH('Full Customer List'!$B73,'Customer List'!$A:$A,0))</f>
        <v/>
      </c>
      <c r="G73" s="192">
        <f>INDEX('Revenue by Customer'!$I:$I,MATCH('Full Customer List'!$B73,'Revenue by Customer'!$A:$A,0))</f>
        <v>995</v>
      </c>
      <c r="H73" s="257" t="str">
        <f>IFERROR(IF(C73="Active","",INDEX('Client Departures'!$G:$G,MATCH('Full Customer List'!$B73,'Client Departures'!$A:$A,0))),"Unclassified")</f>
        <v/>
      </c>
      <c r="I73" s="196">
        <v>44317</v>
      </c>
      <c r="J73" s="196"/>
      <c r="K73" s="192">
        <f>INDEX('Revenue by Customer'!K:K,MATCH('Full Customer List'!$B73,'Revenue by Customer'!$A:$A,0))</f>
        <v>1040</v>
      </c>
      <c r="L73" s="192">
        <f>INDEX('Revenue by Customer'!L:L,MATCH('Full Customer List'!$B73,'Revenue by Customer'!$A:$A,0))</f>
        <v>950</v>
      </c>
      <c r="M73" s="192">
        <f>INDEX('Revenue by Customer'!M:M,MATCH('Full Customer List'!$B73,'Revenue by Customer'!$A:$A,0))</f>
        <v>950</v>
      </c>
      <c r="N73" s="192">
        <f>INDEX('Revenue by Customer'!N:N,MATCH('Full Customer List'!$B73,'Revenue by Customer'!$A:$A,0))</f>
        <v>950</v>
      </c>
      <c r="O73" s="192">
        <f>INDEX('Revenue by Customer'!O:O,MATCH('Full Customer List'!$B73,'Revenue by Customer'!$A:$A,0))</f>
        <v>950</v>
      </c>
      <c r="P73" s="192">
        <f>INDEX('Revenue by Customer'!P:P,MATCH('Full Customer List'!$B73,'Revenue by Customer'!$A:$A,0))</f>
        <v>950</v>
      </c>
      <c r="Q73" s="192">
        <f>INDEX('Revenue by Customer'!Q:Q,MATCH('Full Customer List'!$B73,'Revenue by Customer'!$A:$A,0))</f>
        <v>950</v>
      </c>
      <c r="R73" s="192">
        <f>INDEX('Revenue by Customer'!R:R,MATCH('Full Customer List'!$B73,'Revenue by Customer'!$A:$A,0))</f>
        <v>950</v>
      </c>
      <c r="S73" s="192">
        <f>INDEX('Revenue by Customer'!S:S,MATCH('Full Customer List'!$B73,'Revenue by Customer'!$A:$A,0))</f>
        <v>950</v>
      </c>
      <c r="T73" s="192">
        <f>INDEX('Revenue by Customer'!T:T,MATCH('Full Customer List'!$B73,'Revenue by Customer'!$A:$A,0))</f>
        <v>950</v>
      </c>
      <c r="U73" s="192">
        <f>INDEX('Revenue by Customer'!U:U,MATCH('Full Customer List'!$B73,'Revenue by Customer'!$A:$A,0))</f>
        <v>950</v>
      </c>
      <c r="V73" s="192">
        <f>INDEX('Revenue by Customer'!V:V,MATCH('Full Customer List'!$B73,'Revenue by Customer'!$A:$A,0))</f>
        <v>950</v>
      </c>
      <c r="W73" s="192">
        <f>INDEX('Revenue by Customer'!W:W,MATCH('Full Customer List'!$B73,'Revenue by Customer'!$A:$A,0))</f>
        <v>995</v>
      </c>
      <c r="X73" s="192">
        <f>INDEX('Revenue by Customer'!X:X,MATCH('Full Customer List'!$B73,'Revenue by Customer'!$A:$A,0))</f>
        <v>995</v>
      </c>
      <c r="Y73" s="192">
        <f>INDEX('Revenue by Customer'!Y:Y,MATCH('Full Customer List'!$B73,'Revenue by Customer'!$A:$A,0))</f>
        <v>995</v>
      </c>
      <c r="Z73" s="192">
        <f>INDEX('Revenue by Customer'!Z:Z,MATCH('Full Customer List'!$B73,'Revenue by Customer'!$A:$A,0))</f>
        <v>995</v>
      </c>
      <c r="AA73" s="192">
        <f>INDEX('Revenue by Customer'!AA:AA,MATCH('Full Customer List'!$B73,'Revenue by Customer'!$A:$A,0))</f>
        <v>995</v>
      </c>
      <c r="AB73" s="192">
        <f>INDEX('Revenue by Customer'!AB:AB,MATCH('Full Customer List'!$B73,'Revenue by Customer'!$A:$A,0))</f>
        <v>995</v>
      </c>
      <c r="AC73" s="192">
        <f>INDEX('Revenue by Customer'!AC:AC,MATCH('Full Customer List'!$B73,'Revenue by Customer'!$A:$A,0))</f>
        <v>995</v>
      </c>
    </row>
    <row r="74" spans="2:29" ht="12" customHeight="1">
      <c r="B74" s="173" t="s">
        <v>675</v>
      </c>
      <c r="C74" s="222" t="s">
        <v>567</v>
      </c>
      <c r="D74" s="173" t="str">
        <f>INDEX('Customer List'!$C:$C,MATCH('Full Customer List'!$B74,'Customer List'!$A:$A,0))</f>
        <v>Property manager</v>
      </c>
      <c r="E74" s="173" t="str">
        <f>INDEX('Customer List Mapping'!$C:$C,MATCH('Full Customer List'!D74,'Customer List Mapping'!$B:$B,0))</f>
        <v>Property Manager</v>
      </c>
      <c r="F74" s="192">
        <f>INDEX('Customer List'!$K:$K,MATCH('Full Customer List'!$B74,'Customer List'!$A:$A,0))</f>
        <v>37</v>
      </c>
      <c r="G74" s="192">
        <f>INDEX('Revenue by Customer'!$I:$I,MATCH('Full Customer List'!$B74,'Revenue by Customer'!$A:$A,0))</f>
        <v>2082</v>
      </c>
      <c r="H74" s="257" t="str">
        <f>IFERROR(IF(C74="Active","",INDEX('Client Departures'!$G:$G,MATCH('Full Customer List'!$B74,'Client Departures'!$A:$A,0))),"Unclassified")</f>
        <v>Unclassified</v>
      </c>
      <c r="I74" s="196">
        <v>46054</v>
      </c>
      <c r="J74" s="196">
        <v>46265</v>
      </c>
      <c r="K74" s="192" t="str">
        <f>INDEX('Revenue by Customer'!K:K,MATCH('Full Customer List'!$B74,'Revenue by Customer'!$A:$A,0))</f>
        <v/>
      </c>
      <c r="L74" s="192" t="str">
        <f>INDEX('Revenue by Customer'!L:L,MATCH('Full Customer List'!$B74,'Revenue by Customer'!$A:$A,0))</f>
        <v/>
      </c>
      <c r="M74" s="192" t="str">
        <f>INDEX('Revenue by Customer'!M:M,MATCH('Full Customer List'!$B74,'Revenue by Customer'!$A:$A,0))</f>
        <v/>
      </c>
      <c r="N74" s="192" t="str">
        <f>INDEX('Revenue by Customer'!N:N,MATCH('Full Customer List'!$B74,'Revenue by Customer'!$A:$A,0))</f>
        <v/>
      </c>
      <c r="O74" s="192" t="str">
        <f>INDEX('Revenue by Customer'!O:O,MATCH('Full Customer List'!$B74,'Revenue by Customer'!$A:$A,0))</f>
        <v/>
      </c>
      <c r="P74" s="192" t="str">
        <f>INDEX('Revenue by Customer'!P:P,MATCH('Full Customer List'!$B74,'Revenue by Customer'!$A:$A,0))</f>
        <v/>
      </c>
      <c r="Q74" s="192" t="str">
        <f>INDEX('Revenue by Customer'!Q:Q,MATCH('Full Customer List'!$B74,'Revenue by Customer'!$A:$A,0))</f>
        <v/>
      </c>
      <c r="R74" s="192" t="str">
        <f>INDEX('Revenue by Customer'!R:R,MATCH('Full Customer List'!$B74,'Revenue by Customer'!$A:$A,0))</f>
        <v/>
      </c>
      <c r="S74" s="192" t="str">
        <f>INDEX('Revenue by Customer'!S:S,MATCH('Full Customer List'!$B74,'Revenue by Customer'!$A:$A,0))</f>
        <v/>
      </c>
      <c r="T74" s="192" t="str">
        <f>INDEX('Revenue by Customer'!T:T,MATCH('Full Customer List'!$B74,'Revenue by Customer'!$A:$A,0))</f>
        <v/>
      </c>
      <c r="U74" s="192" t="str">
        <f>INDEX('Revenue by Customer'!U:U,MATCH('Full Customer List'!$B74,'Revenue by Customer'!$A:$A,0))</f>
        <v/>
      </c>
      <c r="V74" s="192" t="str">
        <f>INDEX('Revenue by Customer'!V:V,MATCH('Full Customer List'!$B74,'Revenue by Customer'!$A:$A,0))</f>
        <v/>
      </c>
      <c r="W74" s="192" t="str">
        <f>INDEX('Revenue by Customer'!W:W,MATCH('Full Customer List'!$B74,'Revenue by Customer'!$A:$A,0))</f>
        <v/>
      </c>
      <c r="X74" s="192">
        <f>INDEX('Revenue by Customer'!X:X,MATCH('Full Customer List'!$B74,'Revenue by Customer'!$A:$A,0))</f>
        <v>975</v>
      </c>
      <c r="Y74" s="192">
        <f>INDEX('Revenue by Customer'!Y:Y,MATCH('Full Customer List'!$B74,'Revenue by Customer'!$A:$A,0))</f>
        <v>2823</v>
      </c>
      <c r="Z74" s="192">
        <f>INDEX('Revenue by Customer'!Z:Z,MATCH('Full Customer List'!$B74,'Revenue by Customer'!$A:$A,0))</f>
        <v>1471</v>
      </c>
      <c r="AA74" s="192">
        <f>INDEX('Revenue by Customer'!AA:AA,MATCH('Full Customer List'!$B74,'Revenue by Customer'!$A:$A,0))</f>
        <v>1944</v>
      </c>
      <c r="AB74" s="192">
        <f>INDEX('Revenue by Customer'!AB:AB,MATCH('Full Customer List'!$B74,'Revenue by Customer'!$A:$A,0))</f>
        <v>2138</v>
      </c>
      <c r="AC74" s="192">
        <f>INDEX('Revenue by Customer'!AC:AC,MATCH('Full Customer List'!$B74,'Revenue by Customer'!$A:$A,0))</f>
        <v>2164</v>
      </c>
    </row>
    <row r="75" spans="2:29" ht="12" customHeight="1">
      <c r="B75" s="173" t="s">
        <v>676</v>
      </c>
      <c r="C75" s="173" t="str">
        <f>INDEX('Customer List'!$B:$B,MATCH('Full Customer List'!$B75,'Customer List'!$A:$A,0))</f>
        <v>Active</v>
      </c>
      <c r="D75" s="173" t="str">
        <f>INDEX('Customer List'!$C:$C,MATCH('Full Customer List'!$B75,'Customer List'!$A:$A,0))</f>
        <v>Property manager</v>
      </c>
      <c r="E75" s="173" t="str">
        <f>INDEX('Customer List Mapping'!$C:$C,MATCH('Full Customer List'!D75,'Customer List Mapping'!$B:$B,0))</f>
        <v>Property Manager</v>
      </c>
      <c r="F75" s="192">
        <f>INDEX('Customer List'!$K:$K,MATCH('Full Customer List'!$B75,'Customer List'!$A:$A,0))</f>
        <v>19</v>
      </c>
      <c r="G75" s="192">
        <f>INDEX('Revenue by Customer'!$I:$I,MATCH('Full Customer List'!$B75,'Revenue by Customer'!$A:$A,0))</f>
        <v>1460.6666666666667</v>
      </c>
      <c r="H75" s="257" t="str">
        <f>IFERROR(IF(C75="Active","",INDEX('Client Departures'!$G:$G,MATCH('Full Customer List'!$B75,'Client Departures'!$A:$A,0))),"Unclassified")</f>
        <v/>
      </c>
      <c r="I75" s="196">
        <v>45200</v>
      </c>
      <c r="J75" s="196"/>
      <c r="K75" s="192">
        <f>INDEX('Revenue by Customer'!K:K,MATCH('Full Customer List'!$B75,'Revenue by Customer'!$A:$A,0))</f>
        <v>699</v>
      </c>
      <c r="L75" s="192">
        <f>INDEX('Revenue by Customer'!L:L,MATCH('Full Customer List'!$B75,'Revenue by Customer'!$A:$A,0))</f>
        <v>623</v>
      </c>
      <c r="M75" s="192">
        <f>INDEX('Revenue by Customer'!M:M,MATCH('Full Customer List'!$B75,'Revenue by Customer'!$A:$A,0))</f>
        <v>623</v>
      </c>
      <c r="N75" s="192">
        <f>INDEX('Revenue by Customer'!N:N,MATCH('Full Customer List'!$B75,'Revenue by Customer'!$A:$A,0))</f>
        <v>712</v>
      </c>
      <c r="O75" s="192">
        <f>INDEX('Revenue by Customer'!O:O,MATCH('Full Customer List'!$B75,'Revenue by Customer'!$A:$A,0))</f>
        <v>801</v>
      </c>
      <c r="P75" s="192">
        <f>INDEX('Revenue by Customer'!P:P,MATCH('Full Customer List'!$B75,'Revenue by Customer'!$A:$A,0))</f>
        <v>712</v>
      </c>
      <c r="Q75" s="192">
        <f>INDEX('Revenue by Customer'!Q:Q,MATCH('Full Customer List'!$B75,'Revenue by Customer'!$A:$A,0))</f>
        <v>801</v>
      </c>
      <c r="R75" s="192">
        <f>INDEX('Revenue by Customer'!R:R,MATCH('Full Customer List'!$B75,'Revenue by Customer'!$A:$A,0))</f>
        <v>445</v>
      </c>
      <c r="S75" s="192">
        <f>INDEX('Revenue by Customer'!S:S,MATCH('Full Customer List'!$B75,'Revenue by Customer'!$A:$A,0))</f>
        <v>356</v>
      </c>
      <c r="T75" s="192">
        <f>INDEX('Revenue by Customer'!T:T,MATCH('Full Customer List'!$B75,'Revenue by Customer'!$A:$A,0))</f>
        <v>590</v>
      </c>
      <c r="U75" s="192">
        <f>INDEX('Revenue by Customer'!U:U,MATCH('Full Customer List'!$B75,'Revenue by Customer'!$A:$A,0))</f>
        <v>590</v>
      </c>
      <c r="V75" s="192">
        <f>INDEX('Revenue by Customer'!V:V,MATCH('Full Customer List'!$B75,'Revenue by Customer'!$A:$A,0))</f>
        <v>680</v>
      </c>
      <c r="W75" s="192">
        <f>INDEX('Revenue by Customer'!W:W,MATCH('Full Customer List'!$B75,'Revenue by Customer'!$A:$A,0))</f>
        <v>790</v>
      </c>
      <c r="X75" s="192">
        <f>INDEX('Revenue by Customer'!X:X,MATCH('Full Customer List'!$B75,'Revenue by Customer'!$A:$A,0))</f>
        <v>1260</v>
      </c>
      <c r="Y75" s="192">
        <f>INDEX('Revenue by Customer'!Y:Y,MATCH('Full Customer List'!$B75,'Revenue by Customer'!$A:$A,0))</f>
        <v>1280</v>
      </c>
      <c r="Z75" s="192">
        <f>INDEX('Revenue by Customer'!Z:Z,MATCH('Full Customer List'!$B75,'Revenue by Customer'!$A:$A,0))</f>
        <v>1140</v>
      </c>
      <c r="AA75" s="192">
        <f>INDEX('Revenue by Customer'!AA:AA,MATCH('Full Customer List'!$B75,'Revenue by Customer'!$A:$A,0))</f>
        <v>1377</v>
      </c>
      <c r="AB75" s="192">
        <f>INDEX('Revenue by Customer'!AB:AB,MATCH('Full Customer List'!$B75,'Revenue by Customer'!$A:$A,0))</f>
        <v>1391</v>
      </c>
      <c r="AC75" s="192">
        <f>INDEX('Revenue by Customer'!AC:AC,MATCH('Full Customer List'!$B75,'Revenue by Customer'!$A:$A,0))</f>
        <v>1614</v>
      </c>
    </row>
    <row r="76" spans="2:29" ht="12" customHeight="1">
      <c r="B76" s="173" t="s">
        <v>677</v>
      </c>
      <c r="C76" s="173" t="str">
        <f>INDEX('Customer List'!$B:$B,MATCH('Full Customer List'!$B76,'Customer List'!$A:$A,0))</f>
        <v>Active</v>
      </c>
      <c r="D76" s="173" t="str">
        <f>INDEX('Customer List'!$C:$C,MATCH('Full Customer List'!$B76,'Customer List'!$A:$A,0))</f>
        <v>Property manager</v>
      </c>
      <c r="E76" s="173" t="str">
        <f>INDEX('Customer List Mapping'!$C:$C,MATCH('Full Customer List'!D76,'Customer List Mapping'!$B:$B,0))</f>
        <v>Property Manager</v>
      </c>
      <c r="F76" s="192">
        <f>INDEX('Customer List'!$K:$K,MATCH('Full Customer List'!$B76,'Customer List'!$A:$A,0))</f>
        <v>28</v>
      </c>
      <c r="G76" s="192">
        <f>INDEX('Revenue by Customer'!$I:$I,MATCH('Full Customer List'!$B76,'Revenue by Customer'!$A:$A,0))</f>
        <v>1231.6666666666667</v>
      </c>
      <c r="H76" s="257" t="str">
        <f>IFERROR(IF(C76="Active","",INDEX('Client Departures'!$G:$G,MATCH('Full Customer List'!$B76,'Client Departures'!$A:$A,0))),"Unclassified")</f>
        <v/>
      </c>
      <c r="I76" s="196">
        <v>45870</v>
      </c>
      <c r="J76" s="196"/>
      <c r="K76" s="192" t="str">
        <f>INDEX('Revenue by Customer'!K:K,MATCH('Full Customer List'!$B76,'Revenue by Customer'!$A:$A,0))</f>
        <v/>
      </c>
      <c r="L76" s="192" t="str">
        <f>INDEX('Revenue by Customer'!L:L,MATCH('Full Customer List'!$B76,'Revenue by Customer'!$A:$A,0))</f>
        <v/>
      </c>
      <c r="M76" s="192" t="str">
        <f>INDEX('Revenue by Customer'!M:M,MATCH('Full Customer List'!$B76,'Revenue by Customer'!$A:$A,0))</f>
        <v/>
      </c>
      <c r="N76" s="192" t="str">
        <f>INDEX('Revenue by Customer'!N:N,MATCH('Full Customer List'!$B76,'Revenue by Customer'!$A:$A,0))</f>
        <v/>
      </c>
      <c r="O76" s="192" t="str">
        <f>INDEX('Revenue by Customer'!O:O,MATCH('Full Customer List'!$B76,'Revenue by Customer'!$A:$A,0))</f>
        <v/>
      </c>
      <c r="P76" s="192" t="str">
        <f>INDEX('Revenue by Customer'!P:P,MATCH('Full Customer List'!$B76,'Revenue by Customer'!$A:$A,0))</f>
        <v/>
      </c>
      <c r="Q76" s="192" t="str">
        <f>INDEX('Revenue by Customer'!Q:Q,MATCH('Full Customer List'!$B76,'Revenue by Customer'!$A:$A,0))</f>
        <v/>
      </c>
      <c r="R76" s="192">
        <f>INDEX('Revenue by Customer'!R:R,MATCH('Full Customer List'!$B76,'Revenue by Customer'!$A:$A,0))</f>
        <v>1360</v>
      </c>
      <c r="S76" s="192">
        <f>INDEX('Revenue by Customer'!S:S,MATCH('Full Customer List'!$B76,'Revenue by Customer'!$A:$A,0))</f>
        <v>675</v>
      </c>
      <c r="T76" s="192">
        <f>INDEX('Revenue by Customer'!T:T,MATCH('Full Customer List'!$B76,'Revenue by Customer'!$A:$A,0))</f>
        <v>675</v>
      </c>
      <c r="U76" s="192">
        <f>INDEX('Revenue by Customer'!U:U,MATCH('Full Customer List'!$B76,'Revenue by Customer'!$A:$A,0))</f>
        <v>780</v>
      </c>
      <c r="V76" s="192">
        <f>INDEX('Revenue by Customer'!V:V,MATCH('Full Customer List'!$B76,'Revenue by Customer'!$A:$A,0))</f>
        <v>780</v>
      </c>
      <c r="W76" s="192">
        <f>INDEX('Revenue by Customer'!W:W,MATCH('Full Customer List'!$B76,'Revenue by Customer'!$A:$A,0))</f>
        <v>780</v>
      </c>
      <c r="X76" s="192">
        <f>INDEX('Revenue by Customer'!X:X,MATCH('Full Customer List'!$B76,'Revenue by Customer'!$A:$A,0))</f>
        <v>900</v>
      </c>
      <c r="Y76" s="192">
        <f>INDEX('Revenue by Customer'!Y:Y,MATCH('Full Customer List'!$B76,'Revenue by Customer'!$A:$A,0))</f>
        <v>780</v>
      </c>
      <c r="Z76" s="192">
        <f>INDEX('Revenue by Customer'!Z:Z,MATCH('Full Customer List'!$B76,'Revenue by Customer'!$A:$A,0))</f>
        <v>780</v>
      </c>
      <c r="AA76" s="192">
        <f>INDEX('Revenue by Customer'!AA:AA,MATCH('Full Customer List'!$B76,'Revenue by Customer'!$A:$A,0))</f>
        <v>780</v>
      </c>
      <c r="AB76" s="192">
        <f>INDEX('Revenue by Customer'!AB:AB,MATCH('Full Customer List'!$B76,'Revenue by Customer'!$A:$A,0))</f>
        <v>1030</v>
      </c>
      <c r="AC76" s="192">
        <f>INDEX('Revenue by Customer'!AC:AC,MATCH('Full Customer List'!$B76,'Revenue by Customer'!$A:$A,0))</f>
        <v>1885</v>
      </c>
    </row>
    <row r="77" spans="2:29" ht="12" customHeight="1">
      <c r="B77" s="173" t="s">
        <v>678</v>
      </c>
      <c r="C77" s="173" t="str">
        <f>INDEX('Customer List'!$B:$B,MATCH('Full Customer List'!$B77,'Customer List'!$A:$A,0))</f>
        <v>Active</v>
      </c>
      <c r="D77" s="173" t="str">
        <f>INDEX('Customer List'!$C:$C,MATCH('Full Customer List'!$B77,'Customer List'!$A:$A,0))</f>
        <v>Property manager</v>
      </c>
      <c r="E77" s="173" t="str">
        <f>INDEX('Customer List Mapping'!$C:$C,MATCH('Full Customer List'!D77,'Customer List Mapping'!$B:$B,0))</f>
        <v>Property Manager</v>
      </c>
      <c r="F77" s="192">
        <f>INDEX('Customer List'!$K:$K,MATCH('Full Customer List'!$B77,'Customer List'!$A:$A,0))</f>
        <v>13</v>
      </c>
      <c r="G77" s="192">
        <f>INDEX('Revenue by Customer'!$I:$I,MATCH('Full Customer List'!$B77,'Revenue by Customer'!$A:$A,0))</f>
        <v>1125</v>
      </c>
      <c r="H77" s="257" t="str">
        <f>IFERROR(IF(C77="Active","",INDEX('Client Departures'!$G:$G,MATCH('Full Customer List'!$B77,'Client Departures'!$A:$A,0))),"Unclassified")</f>
        <v/>
      </c>
      <c r="I77" s="196">
        <v>45658</v>
      </c>
      <c r="J77" s="196"/>
      <c r="K77" s="192" t="str">
        <f>INDEX('Revenue by Customer'!K:K,MATCH('Full Customer List'!$B77,'Revenue by Customer'!$A:$A,0))</f>
        <v/>
      </c>
      <c r="L77" s="192" t="str">
        <f>INDEX('Revenue by Customer'!L:L,MATCH('Full Customer List'!$B77,'Revenue by Customer'!$A:$A,0))</f>
        <v/>
      </c>
      <c r="M77" s="192" t="str">
        <f>INDEX('Revenue by Customer'!M:M,MATCH('Full Customer List'!$B77,'Revenue by Customer'!$A:$A,0))</f>
        <v/>
      </c>
      <c r="N77" s="192" t="str">
        <f>INDEX('Revenue by Customer'!N:N,MATCH('Full Customer List'!$B77,'Revenue by Customer'!$A:$A,0))</f>
        <v/>
      </c>
      <c r="O77" s="192" t="str">
        <f>INDEX('Revenue by Customer'!O:O,MATCH('Full Customer List'!$B77,'Revenue by Customer'!$A:$A,0))</f>
        <v/>
      </c>
      <c r="P77" s="192" t="str">
        <f>INDEX('Revenue by Customer'!P:P,MATCH('Full Customer List'!$B77,'Revenue by Customer'!$A:$A,0))</f>
        <v/>
      </c>
      <c r="Q77" s="192" t="str">
        <f>INDEX('Revenue by Customer'!Q:Q,MATCH('Full Customer List'!$B77,'Revenue by Customer'!$A:$A,0))</f>
        <v/>
      </c>
      <c r="R77" s="192" t="str">
        <f>INDEX('Revenue by Customer'!R:R,MATCH('Full Customer List'!$B77,'Revenue by Customer'!$A:$A,0))</f>
        <v/>
      </c>
      <c r="S77" s="192" t="str">
        <f>INDEX('Revenue by Customer'!S:S,MATCH('Full Customer List'!$B77,'Revenue by Customer'!$A:$A,0))</f>
        <v/>
      </c>
      <c r="T77" s="192">
        <f>INDEX('Revenue by Customer'!T:T,MATCH('Full Customer List'!$B77,'Revenue by Customer'!$A:$A,0))</f>
        <v>1600</v>
      </c>
      <c r="U77" s="192">
        <f>INDEX('Revenue by Customer'!U:U,MATCH('Full Customer List'!$B77,'Revenue by Customer'!$A:$A,0))</f>
        <v>850</v>
      </c>
      <c r="V77" s="192">
        <f>INDEX('Revenue by Customer'!V:V,MATCH('Full Customer List'!$B77,'Revenue by Customer'!$A:$A,0))</f>
        <v>1180</v>
      </c>
      <c r="W77" s="192">
        <f>INDEX('Revenue by Customer'!W:W,MATCH('Full Customer List'!$B77,'Revenue by Customer'!$A:$A,0))</f>
        <v>925</v>
      </c>
      <c r="X77" s="192">
        <f>INDEX('Revenue by Customer'!X:X,MATCH('Full Customer List'!$B77,'Revenue by Customer'!$A:$A,0))</f>
        <v>925</v>
      </c>
      <c r="Y77" s="192">
        <f>INDEX('Revenue by Customer'!Y:Y,MATCH('Full Customer List'!$B77,'Revenue by Customer'!$A:$A,0))</f>
        <v>1000</v>
      </c>
      <c r="Z77" s="192">
        <f>INDEX('Revenue by Customer'!Z:Z,MATCH('Full Customer List'!$B77,'Revenue by Customer'!$A:$A,0))</f>
        <v>1075</v>
      </c>
      <c r="AA77" s="192">
        <f>INDEX('Revenue by Customer'!AA:AA,MATCH('Full Customer List'!$B77,'Revenue by Customer'!$A:$A,0))</f>
        <v>1150</v>
      </c>
      <c r="AB77" s="192">
        <f>INDEX('Revenue by Customer'!AB:AB,MATCH('Full Customer List'!$B77,'Revenue by Customer'!$A:$A,0))</f>
        <v>1150</v>
      </c>
      <c r="AC77" s="192">
        <f>INDEX('Revenue by Customer'!AC:AC,MATCH('Full Customer List'!$B77,'Revenue by Customer'!$A:$A,0))</f>
        <v>1075</v>
      </c>
    </row>
    <row r="78" spans="2:29" ht="12" customHeight="1">
      <c r="B78" s="173" t="s">
        <v>679</v>
      </c>
      <c r="C78" s="173" t="str">
        <f>INDEX('Customer List'!$B:$B,MATCH('Full Customer List'!$B78,'Customer List'!$A:$A,0))</f>
        <v>Active</v>
      </c>
      <c r="D78" s="173" t="str">
        <f>INDEX('Customer List'!$C:$C,MATCH('Full Customer List'!$B78,'Customer List'!$A:$A,0))</f>
        <v>Property manager</v>
      </c>
      <c r="E78" s="173" t="str">
        <f>INDEX('Customer List Mapping'!$C:$C,MATCH('Full Customer List'!D78,'Customer List Mapping'!$B:$B,0))</f>
        <v>Property Manager</v>
      </c>
      <c r="F78" s="192">
        <f>INDEX('Customer List'!$K:$K,MATCH('Full Customer List'!$B78,'Customer List'!$A:$A,0))</f>
        <v>14</v>
      </c>
      <c r="G78" s="192">
        <f>INDEX('Revenue by Customer'!$I:$I,MATCH('Full Customer List'!$B78,'Revenue by Customer'!$A:$A,0))</f>
        <v>1696</v>
      </c>
      <c r="H78" s="257" t="str">
        <f>IFERROR(IF(C78="Active","",INDEX('Client Departures'!$G:$G,MATCH('Full Customer List'!$B78,'Client Departures'!$A:$A,0))),"Unclassified")</f>
        <v/>
      </c>
      <c r="I78" s="196">
        <v>46054</v>
      </c>
      <c r="J78" s="196"/>
      <c r="K78" s="192" t="str">
        <f>INDEX('Revenue by Customer'!K:K,MATCH('Full Customer List'!$B78,'Revenue by Customer'!$A:$A,0))</f>
        <v/>
      </c>
      <c r="L78" s="192" t="str">
        <f>INDEX('Revenue by Customer'!L:L,MATCH('Full Customer List'!$B78,'Revenue by Customer'!$A:$A,0))</f>
        <v/>
      </c>
      <c r="M78" s="192" t="str">
        <f>INDEX('Revenue by Customer'!M:M,MATCH('Full Customer List'!$B78,'Revenue by Customer'!$A:$A,0))</f>
        <v/>
      </c>
      <c r="N78" s="192" t="str">
        <f>INDEX('Revenue by Customer'!N:N,MATCH('Full Customer List'!$B78,'Revenue by Customer'!$A:$A,0))</f>
        <v/>
      </c>
      <c r="O78" s="192" t="str">
        <f>INDEX('Revenue by Customer'!O:O,MATCH('Full Customer List'!$B78,'Revenue by Customer'!$A:$A,0))</f>
        <v/>
      </c>
      <c r="P78" s="192" t="str">
        <f>INDEX('Revenue by Customer'!P:P,MATCH('Full Customer List'!$B78,'Revenue by Customer'!$A:$A,0))</f>
        <v/>
      </c>
      <c r="Q78" s="192" t="str">
        <f>INDEX('Revenue by Customer'!Q:Q,MATCH('Full Customer List'!$B78,'Revenue by Customer'!$A:$A,0))</f>
        <v/>
      </c>
      <c r="R78" s="192" t="str">
        <f>INDEX('Revenue by Customer'!R:R,MATCH('Full Customer List'!$B78,'Revenue by Customer'!$A:$A,0))</f>
        <v/>
      </c>
      <c r="S78" s="192" t="str">
        <f>INDEX('Revenue by Customer'!S:S,MATCH('Full Customer List'!$B78,'Revenue by Customer'!$A:$A,0))</f>
        <v/>
      </c>
      <c r="T78" s="192" t="str">
        <f>INDEX('Revenue by Customer'!T:T,MATCH('Full Customer List'!$B78,'Revenue by Customer'!$A:$A,0))</f>
        <v/>
      </c>
      <c r="U78" s="192" t="str">
        <f>INDEX('Revenue by Customer'!U:U,MATCH('Full Customer List'!$B78,'Revenue by Customer'!$A:$A,0))</f>
        <v/>
      </c>
      <c r="V78" s="192" t="str">
        <f>INDEX('Revenue by Customer'!V:V,MATCH('Full Customer List'!$B78,'Revenue by Customer'!$A:$A,0))</f>
        <v/>
      </c>
      <c r="W78" s="192" t="str">
        <f>INDEX('Revenue by Customer'!W:W,MATCH('Full Customer List'!$B78,'Revenue by Customer'!$A:$A,0))</f>
        <v/>
      </c>
      <c r="X78" s="192">
        <f>INDEX('Revenue by Customer'!X:X,MATCH('Full Customer List'!$B78,'Revenue by Customer'!$A:$A,0))</f>
        <v>2242</v>
      </c>
      <c r="Y78" s="192">
        <f>INDEX('Revenue by Customer'!Y:Y,MATCH('Full Customer List'!$B78,'Revenue by Customer'!$A:$A,0))</f>
        <v>1666</v>
      </c>
      <c r="Z78" s="192">
        <f>INDEX('Revenue by Customer'!Z:Z,MATCH('Full Customer List'!$B78,'Revenue by Customer'!$A:$A,0))</f>
        <v>1783</v>
      </c>
      <c r="AA78" s="192">
        <f>INDEX('Revenue by Customer'!AA:AA,MATCH('Full Customer List'!$B78,'Revenue by Customer'!$A:$A,0))</f>
        <v>1696</v>
      </c>
      <c r="AB78" s="192">
        <f>INDEX('Revenue by Customer'!AB:AB,MATCH('Full Customer List'!$B78,'Revenue by Customer'!$A:$A,0))</f>
        <v>1696</v>
      </c>
      <c r="AC78" s="192">
        <f>INDEX('Revenue by Customer'!AC:AC,MATCH('Full Customer List'!$B78,'Revenue by Customer'!$A:$A,0))</f>
        <v>1696</v>
      </c>
    </row>
    <row r="79" spans="2:29" ht="12" customHeight="1">
      <c r="B79" s="173" t="s">
        <v>680</v>
      </c>
      <c r="C79" s="173" t="str">
        <f>INDEX('Customer List'!$B:$B,MATCH('Full Customer List'!$B79,'Customer List'!$A:$A,0))</f>
        <v>Active</v>
      </c>
      <c r="D79" s="173" t="str">
        <f>INDEX('Customer List'!$C:$C,MATCH('Full Customer List'!$B79,'Customer List'!$A:$A,0))</f>
        <v>Property manager</v>
      </c>
      <c r="E79" s="173" t="str">
        <f>INDEX('Customer List Mapping'!$C:$C,MATCH('Full Customer List'!D79,'Customer List Mapping'!$B:$B,0))</f>
        <v>Property Manager</v>
      </c>
      <c r="F79" s="192">
        <f>INDEX('Customer List'!$K:$K,MATCH('Full Customer List'!$B79,'Customer List'!$A:$A,0))</f>
        <v>9</v>
      </c>
      <c r="G79" s="192">
        <f>INDEX('Revenue by Customer'!$I:$I,MATCH('Full Customer List'!$B79,'Revenue by Customer'!$A:$A,0))</f>
        <v>855</v>
      </c>
      <c r="H79" s="257" t="str">
        <f>IFERROR(IF(C79="Active","",INDEX('Client Departures'!$G:$G,MATCH('Full Customer List'!$B79,'Client Departures'!$A:$A,0))),"Unclassified")</f>
        <v/>
      </c>
      <c r="I79" s="196">
        <v>45261</v>
      </c>
      <c r="J79" s="196"/>
      <c r="K79" s="192">
        <f>INDEX('Revenue by Customer'!K:K,MATCH('Full Customer List'!$B79,'Revenue by Customer'!$A:$A,0))</f>
        <v>1030</v>
      </c>
      <c r="L79" s="192">
        <f>INDEX('Revenue by Customer'!L:L,MATCH('Full Customer List'!$B79,'Revenue by Customer'!$A:$A,0))</f>
        <v>820</v>
      </c>
      <c r="M79" s="192">
        <f>INDEX('Revenue by Customer'!M:M,MATCH('Full Customer List'!$B79,'Revenue by Customer'!$A:$A,0))</f>
        <v>855</v>
      </c>
      <c r="N79" s="192">
        <f>INDEX('Revenue by Customer'!N:N,MATCH('Full Customer List'!$B79,'Revenue by Customer'!$A:$A,0))</f>
        <v>785</v>
      </c>
      <c r="O79" s="192">
        <f>INDEX('Revenue by Customer'!O:O,MATCH('Full Customer List'!$B79,'Revenue by Customer'!$A:$A,0))</f>
        <v>820</v>
      </c>
      <c r="P79" s="192">
        <f>INDEX('Revenue by Customer'!P:P,MATCH('Full Customer List'!$B79,'Revenue by Customer'!$A:$A,0))</f>
        <v>820</v>
      </c>
      <c r="Q79" s="192">
        <f>INDEX('Revenue by Customer'!Q:Q,MATCH('Full Customer List'!$B79,'Revenue by Customer'!$A:$A,0))</f>
        <v>980</v>
      </c>
      <c r="R79" s="192">
        <f>INDEX('Revenue by Customer'!R:R,MATCH('Full Customer List'!$B79,'Revenue by Customer'!$A:$A,0))</f>
        <v>980</v>
      </c>
      <c r="S79" s="192">
        <f>INDEX('Revenue by Customer'!S:S,MATCH('Full Customer List'!$B79,'Revenue by Customer'!$A:$A,0))</f>
        <v>1045</v>
      </c>
      <c r="T79" s="192">
        <f>INDEX('Revenue by Customer'!T:T,MATCH('Full Customer List'!$B79,'Revenue by Customer'!$A:$A,0))</f>
        <v>940</v>
      </c>
      <c r="U79" s="192">
        <f>INDEX('Revenue by Customer'!U:U,MATCH('Full Customer List'!$B79,'Revenue by Customer'!$A:$A,0))</f>
        <v>970</v>
      </c>
      <c r="V79" s="192">
        <f>INDEX('Revenue by Customer'!V:V,MATCH('Full Customer List'!$B79,'Revenue by Customer'!$A:$A,0))</f>
        <v>865</v>
      </c>
      <c r="W79" s="192">
        <f>INDEX('Revenue by Customer'!W:W,MATCH('Full Customer List'!$B79,'Revenue by Customer'!$A:$A,0))</f>
        <v>865</v>
      </c>
      <c r="X79" s="192">
        <f>INDEX('Revenue by Customer'!X:X,MATCH('Full Customer List'!$B79,'Revenue by Customer'!$A:$A,0))</f>
        <v>1000</v>
      </c>
      <c r="Y79" s="192">
        <f>INDEX('Revenue by Customer'!Y:Y,MATCH('Full Customer List'!$B79,'Revenue by Customer'!$A:$A,0))</f>
        <v>760</v>
      </c>
      <c r="Z79" s="192">
        <f>INDEX('Revenue by Customer'!Z:Z,MATCH('Full Customer List'!$B79,'Revenue by Customer'!$A:$A,0))</f>
        <v>780</v>
      </c>
      <c r="AA79" s="192">
        <f>INDEX('Revenue by Customer'!AA:AA,MATCH('Full Customer List'!$B79,'Revenue by Customer'!$A:$A,0))</f>
        <v>805</v>
      </c>
      <c r="AB79" s="192">
        <f>INDEX('Revenue by Customer'!AB:AB,MATCH('Full Customer List'!$B79,'Revenue by Customer'!$A:$A,0))</f>
        <v>985</v>
      </c>
      <c r="AC79" s="192">
        <f>INDEX('Revenue by Customer'!AC:AC,MATCH('Full Customer List'!$B79,'Revenue by Customer'!$A:$A,0))</f>
        <v>775</v>
      </c>
    </row>
    <row r="80" spans="2:29" ht="12" customHeight="1">
      <c r="B80" s="173" t="s">
        <v>681</v>
      </c>
      <c r="C80" s="173" t="str">
        <f>INDEX('Customer List'!$B:$B,MATCH('Full Customer List'!$B80,'Customer List'!$A:$A,0))</f>
        <v>Active</v>
      </c>
      <c r="D80" s="173" t="str">
        <f>INDEX('Customer List'!$C:$C,MATCH('Full Customer List'!$B80,'Customer List'!$A:$A,0))</f>
        <v>Property manager</v>
      </c>
      <c r="E80" s="173" t="str">
        <f>INDEX('Customer List Mapping'!$C:$C,MATCH('Full Customer List'!D80,'Customer List Mapping'!$B:$B,0))</f>
        <v>Property Manager</v>
      </c>
      <c r="F80" s="192">
        <f>INDEX('Customer List'!$K:$K,MATCH('Full Customer List'!$B80,'Customer List'!$A:$A,0))</f>
        <v>15</v>
      </c>
      <c r="G80" s="192">
        <f>INDEX('Revenue by Customer'!$I:$I,MATCH('Full Customer List'!$B80,'Revenue by Customer'!$A:$A,0))</f>
        <v>1100</v>
      </c>
      <c r="H80" s="257" t="str">
        <f>IFERROR(IF(C80="Active","",INDEX('Client Departures'!$G:$G,MATCH('Full Customer List'!$B80,'Client Departures'!$A:$A,0))),"Unclassified")</f>
        <v/>
      </c>
      <c r="I80" s="196">
        <v>45261</v>
      </c>
      <c r="J80" s="196"/>
      <c r="K80" s="192">
        <f>INDEX('Revenue by Customer'!K:K,MATCH('Full Customer List'!$B80,'Revenue by Customer'!$A:$A,0))</f>
        <v>875</v>
      </c>
      <c r="L80" s="192">
        <f>INDEX('Revenue by Customer'!L:L,MATCH('Full Customer List'!$B80,'Revenue by Customer'!$A:$A,0))</f>
        <v>725</v>
      </c>
      <c r="M80" s="192">
        <f>INDEX('Revenue by Customer'!M:M,MATCH('Full Customer List'!$B80,'Revenue by Customer'!$A:$A,0))</f>
        <v>725</v>
      </c>
      <c r="N80" s="192">
        <f>INDEX('Revenue by Customer'!N:N,MATCH('Full Customer List'!$B80,'Revenue by Customer'!$A:$A,0))</f>
        <v>725</v>
      </c>
      <c r="O80" s="192">
        <f>INDEX('Revenue by Customer'!O:O,MATCH('Full Customer List'!$B80,'Revenue by Customer'!$A:$A,0))</f>
        <v>500</v>
      </c>
      <c r="P80" s="192">
        <f>INDEX('Revenue by Customer'!P:P,MATCH('Full Customer List'!$B80,'Revenue by Customer'!$A:$A,0))</f>
        <v>500</v>
      </c>
      <c r="Q80" s="192">
        <f>INDEX('Revenue by Customer'!Q:Q,MATCH('Full Customer List'!$B80,'Revenue by Customer'!$A:$A,0))</f>
        <v>500</v>
      </c>
      <c r="R80" s="192">
        <f>INDEX('Revenue by Customer'!R:R,MATCH('Full Customer List'!$B80,'Revenue by Customer'!$A:$A,0))</f>
        <v>575</v>
      </c>
      <c r="S80" s="192">
        <f>INDEX('Revenue by Customer'!S:S,MATCH('Full Customer List'!$B80,'Revenue by Customer'!$A:$A,0))</f>
        <v>425</v>
      </c>
      <c r="T80" s="192">
        <f>INDEX('Revenue by Customer'!T:T,MATCH('Full Customer List'!$B80,'Revenue by Customer'!$A:$A,0))</f>
        <v>575</v>
      </c>
      <c r="U80" s="192">
        <f>INDEX('Revenue by Customer'!U:U,MATCH('Full Customer List'!$B80,'Revenue by Customer'!$A:$A,0))</f>
        <v>650</v>
      </c>
      <c r="V80" s="192">
        <f>INDEX('Revenue by Customer'!V:V,MATCH('Full Customer List'!$B80,'Revenue by Customer'!$A:$A,0))</f>
        <v>850</v>
      </c>
      <c r="W80" s="192">
        <f>INDEX('Revenue by Customer'!W:W,MATCH('Full Customer List'!$B80,'Revenue by Customer'!$A:$A,0))</f>
        <v>850</v>
      </c>
      <c r="X80" s="192">
        <f>INDEX('Revenue by Customer'!X:X,MATCH('Full Customer List'!$B80,'Revenue by Customer'!$A:$A,0))</f>
        <v>1315</v>
      </c>
      <c r="Y80" s="192">
        <f>INDEX('Revenue by Customer'!Y:Y,MATCH('Full Customer List'!$B80,'Revenue by Customer'!$A:$A,0))</f>
        <v>1075</v>
      </c>
      <c r="Z80" s="192">
        <f>INDEX('Revenue by Customer'!Z:Z,MATCH('Full Customer List'!$B80,'Revenue by Customer'!$A:$A,0))</f>
        <v>1150</v>
      </c>
      <c r="AA80" s="192">
        <f>INDEX('Revenue by Customer'!AA:AA,MATCH('Full Customer List'!$B80,'Revenue by Customer'!$A:$A,0))</f>
        <v>1150</v>
      </c>
      <c r="AB80" s="192">
        <f>INDEX('Revenue by Customer'!AB:AB,MATCH('Full Customer List'!$B80,'Revenue by Customer'!$A:$A,0))</f>
        <v>1075</v>
      </c>
      <c r="AC80" s="192">
        <f>INDEX('Revenue by Customer'!AC:AC,MATCH('Full Customer List'!$B80,'Revenue by Customer'!$A:$A,0))</f>
        <v>1075</v>
      </c>
    </row>
    <row r="81" spans="2:29" ht="12" customHeight="1">
      <c r="B81" s="173" t="s">
        <v>682</v>
      </c>
      <c r="C81" s="173" t="str">
        <f>INDEX('Customer List'!$B:$B,MATCH('Full Customer List'!$B81,'Customer List'!$A:$A,0))</f>
        <v>Active</v>
      </c>
      <c r="D81" s="173" t="str">
        <f>INDEX('Customer List'!$C:$C,MATCH('Full Customer List'!$B81,'Customer List'!$A:$A,0))</f>
        <v>STR owner</v>
      </c>
      <c r="E81" s="173" t="str">
        <f>INDEX('Customer List Mapping'!$C:$C,MATCH('Full Customer List'!D81,'Customer List Mapping'!$B:$B,0))</f>
        <v>STR Owner</v>
      </c>
      <c r="F81" s="192">
        <f>INDEX('Customer List'!$K:$K,MATCH('Full Customer List'!$B81,'Customer List'!$A:$A,0))</f>
        <v>14</v>
      </c>
      <c r="G81" s="192">
        <f>INDEX('Revenue by Customer'!$I:$I,MATCH('Full Customer List'!$B81,'Revenue by Customer'!$A:$A,0))</f>
        <v>828.66666666666663</v>
      </c>
      <c r="H81" s="257" t="str">
        <f>IFERROR(IF(C81="Active","",INDEX('Client Departures'!$G:$G,MATCH('Full Customer List'!$B81,'Client Departures'!$A:$A,0))),"Unclassified")</f>
        <v/>
      </c>
      <c r="I81" s="196">
        <v>45658</v>
      </c>
      <c r="J81" s="196"/>
      <c r="K81" s="192">
        <f>INDEX('Revenue by Customer'!K:K,MATCH('Full Customer List'!$B81,'Revenue by Customer'!$A:$A,0))</f>
        <v>1472.5</v>
      </c>
      <c r="L81" s="192">
        <f>INDEX('Revenue by Customer'!L:L,MATCH('Full Customer List'!$B81,'Revenue by Customer'!$A:$A,0))</f>
        <v>722.5</v>
      </c>
      <c r="M81" s="192">
        <f>INDEX('Revenue by Customer'!M:M,MATCH('Full Customer List'!$B81,'Revenue by Customer'!$A:$A,0))</f>
        <v>722.5</v>
      </c>
      <c r="N81" s="192">
        <f>INDEX('Revenue by Customer'!N:N,MATCH('Full Customer List'!$B81,'Revenue by Customer'!$A:$A,0))</f>
        <v>850</v>
      </c>
      <c r="O81" s="192">
        <f>INDEX('Revenue by Customer'!O:O,MATCH('Full Customer List'!$B81,'Revenue by Customer'!$A:$A,0))</f>
        <v>850</v>
      </c>
      <c r="P81" s="192">
        <f>INDEX('Revenue by Customer'!P:P,MATCH('Full Customer List'!$B81,'Revenue by Customer'!$A:$A,0))</f>
        <v>850</v>
      </c>
      <c r="Q81" s="192">
        <f>INDEX('Revenue by Customer'!Q:Q,MATCH('Full Customer List'!$B81,'Revenue by Customer'!$A:$A,0))</f>
        <v>850</v>
      </c>
      <c r="R81" s="192">
        <f>INDEX('Revenue by Customer'!R:R,MATCH('Full Customer List'!$B81,'Revenue by Customer'!$A:$A,0))</f>
        <v>850</v>
      </c>
      <c r="S81" s="192">
        <f>INDEX('Revenue by Customer'!S:S,MATCH('Full Customer List'!$B81,'Revenue by Customer'!$A:$A,0))</f>
        <v>850</v>
      </c>
      <c r="T81" s="192">
        <f>INDEX('Revenue by Customer'!T:T,MATCH('Full Customer List'!$B81,'Revenue by Customer'!$A:$A,0))</f>
        <v>850</v>
      </c>
      <c r="U81" s="192">
        <f>INDEX('Revenue by Customer'!U:U,MATCH('Full Customer List'!$B81,'Revenue by Customer'!$A:$A,0))</f>
        <v>850</v>
      </c>
      <c r="V81" s="192">
        <f>INDEX('Revenue by Customer'!V:V,MATCH('Full Customer List'!$B81,'Revenue by Customer'!$A:$A,0))</f>
        <v>925</v>
      </c>
      <c r="W81" s="192">
        <f>INDEX('Revenue by Customer'!W:W,MATCH('Full Customer List'!$B81,'Revenue by Customer'!$A:$A,0))</f>
        <v>957</v>
      </c>
      <c r="X81" s="192">
        <f>INDEX('Revenue by Customer'!X:X,MATCH('Full Customer List'!$B81,'Revenue by Customer'!$A:$A,0))</f>
        <v>1002</v>
      </c>
      <c r="Y81" s="192">
        <f>INDEX('Revenue by Customer'!Y:Y,MATCH('Full Customer List'!$B81,'Revenue by Customer'!$A:$A,0))</f>
        <v>957</v>
      </c>
      <c r="Z81" s="192">
        <f>INDEX('Revenue by Customer'!Z:Z,MATCH('Full Customer List'!$B81,'Revenue by Customer'!$A:$A,0))</f>
        <v>957</v>
      </c>
      <c r="AA81" s="192">
        <f>INDEX('Revenue by Customer'!AA:AA,MATCH('Full Customer List'!$B81,'Revenue by Customer'!$A:$A,0))</f>
        <v>957</v>
      </c>
      <c r="AB81" s="192">
        <f>INDEX('Revenue by Customer'!AB:AB,MATCH('Full Customer List'!$B81,'Revenue by Customer'!$A:$A,0))</f>
        <v>803</v>
      </c>
      <c r="AC81" s="192">
        <f>INDEX('Revenue by Customer'!AC:AC,MATCH('Full Customer List'!$B81,'Revenue by Customer'!$A:$A,0))</f>
        <v>726</v>
      </c>
    </row>
    <row r="82" spans="2:29" ht="12" customHeight="1">
      <c r="B82" s="173" t="s">
        <v>688</v>
      </c>
      <c r="C82" s="173" t="str">
        <f>INDEX('Customer List'!$B:$B,MATCH('Full Customer List'!$B82,'Customer List'!$A:$A,0))</f>
        <v>Former client</v>
      </c>
      <c r="D82" s="173" t="str">
        <f>INDEX('Customer List'!$C:$C,MATCH('Full Customer List'!$B82,'Customer List'!$A:$A,0))</f>
        <v>Property manager</v>
      </c>
      <c r="E82" s="173" t="str">
        <f>INDEX('Customer List Mapping'!$C:$C,MATCH('Full Customer List'!D82,'Customer List Mapping'!$B:$B,0))</f>
        <v>Property Manager</v>
      </c>
      <c r="F82" s="192">
        <f>INDEX('Customer List'!$K:$K,MATCH('Full Customer List'!$B82,'Customer List'!$A:$A,0))</f>
        <v>13</v>
      </c>
      <c r="G82" s="192">
        <f>INDEX('Revenue by Customer'!$I:$I,MATCH('Full Customer List'!$B82,'Revenue by Customer'!$A:$A,0))</f>
        <v>1450</v>
      </c>
      <c r="H82" s="257" t="str">
        <f>IFERROR(IF(C82="Active","",INDEX('Client Departures'!$G:$G,MATCH('Full Customer List'!$B82,'Client Departures'!$A:$A,0))),"Unclassified")</f>
        <v>Unclassified</v>
      </c>
      <c r="I82" s="196">
        <v>45627</v>
      </c>
      <c r="J82" s="196">
        <v>46112</v>
      </c>
      <c r="K82" s="192">
        <f>INDEX('Revenue by Customer'!K:K,MATCH('Full Customer List'!$B82,'Revenue by Customer'!$A:$A,0))</f>
        <v>1150</v>
      </c>
      <c r="L82" s="192">
        <f>INDEX('Revenue by Customer'!L:L,MATCH('Full Customer List'!$B82,'Revenue by Customer'!$A:$A,0))</f>
        <v>1630</v>
      </c>
      <c r="M82" s="192">
        <f>INDEX('Revenue by Customer'!M:M,MATCH('Full Customer List'!$B82,'Revenue by Customer'!$A:$A,0))</f>
        <v>1000</v>
      </c>
      <c r="N82" s="192">
        <f>INDEX('Revenue by Customer'!N:N,MATCH('Full Customer List'!$B82,'Revenue by Customer'!$A:$A,0))</f>
        <v>1000</v>
      </c>
      <c r="O82" s="192">
        <f>INDEX('Revenue by Customer'!O:O,MATCH('Full Customer List'!$B82,'Revenue by Customer'!$A:$A,0))</f>
        <v>1500</v>
      </c>
      <c r="P82" s="192">
        <f>INDEX('Revenue by Customer'!P:P,MATCH('Full Customer List'!$B82,'Revenue by Customer'!$A:$A,0))</f>
        <v>1075</v>
      </c>
      <c r="Q82" s="192">
        <f>INDEX('Revenue by Customer'!Q:Q,MATCH('Full Customer List'!$B82,'Revenue by Customer'!$A:$A,0))</f>
        <v>1075</v>
      </c>
      <c r="R82" s="192">
        <f>INDEX('Revenue by Customer'!R:R,MATCH('Full Customer List'!$B82,'Revenue by Customer'!$A:$A,0))</f>
        <v>1075</v>
      </c>
      <c r="S82" s="192">
        <f>INDEX('Revenue by Customer'!S:S,MATCH('Full Customer List'!$B82,'Revenue by Customer'!$A:$A,0))</f>
        <v>1225</v>
      </c>
      <c r="T82" s="192">
        <f>INDEX('Revenue by Customer'!T:T,MATCH('Full Customer List'!$B82,'Revenue by Customer'!$A:$A,0))</f>
        <v>1075</v>
      </c>
      <c r="U82" s="192">
        <f>INDEX('Revenue by Customer'!U:U,MATCH('Full Customer List'!$B82,'Revenue by Customer'!$A:$A,0))</f>
        <v>1545</v>
      </c>
      <c r="V82" s="192">
        <f>INDEX('Revenue by Customer'!V:V,MATCH('Full Customer List'!$B82,'Revenue by Customer'!$A:$A,0))</f>
        <v>1285</v>
      </c>
      <c r="W82" s="192">
        <f>INDEX('Revenue by Customer'!W:W,MATCH('Full Customer List'!$B82,'Revenue by Customer'!$A:$A,0))</f>
        <v>1285</v>
      </c>
      <c r="X82" s="192">
        <f>INDEX('Revenue by Customer'!X:X,MATCH('Full Customer List'!$B82,'Revenue by Customer'!$A:$A,0))</f>
        <v>1735</v>
      </c>
      <c r="Y82" s="192">
        <f>INDEX('Revenue by Customer'!Y:Y,MATCH('Full Customer List'!$B82,'Revenue by Customer'!$A:$A,0))</f>
        <v>1330</v>
      </c>
      <c r="Z82" s="192">
        <f>INDEX('Revenue by Customer'!Z:Z,MATCH('Full Customer List'!$B82,'Revenue by Customer'!$A:$A,0))</f>
        <v>0</v>
      </c>
      <c r="AA82" s="192" t="str">
        <f>INDEX('Revenue by Customer'!AA:AA,MATCH('Full Customer List'!$B82,'Revenue by Customer'!$A:$A,0))</f>
        <v/>
      </c>
      <c r="AB82" s="192" t="str">
        <f>INDEX('Revenue by Customer'!AB:AB,MATCH('Full Customer List'!$B82,'Revenue by Customer'!$A:$A,0))</f>
        <v/>
      </c>
      <c r="AC82" s="192" t="str">
        <f>INDEX('Revenue by Customer'!AC:AC,MATCH('Full Customer List'!$B82,'Revenue by Customer'!$A:$A,0))</f>
        <v/>
      </c>
    </row>
    <row r="83" spans="2:29" ht="12" customHeight="1">
      <c r="B83" s="173" t="s">
        <v>689</v>
      </c>
      <c r="C83" s="173" t="str">
        <f>INDEX('Customer List'!$B:$B,MATCH('Full Customer List'!$B83,'Customer List'!$A:$A,0))</f>
        <v>Active</v>
      </c>
      <c r="D83" s="173" t="str">
        <f>INDEX('Customer List'!$C:$C,MATCH('Full Customer List'!$B83,'Customer List'!$A:$A,0))</f>
        <v>Property manager</v>
      </c>
      <c r="E83" s="173" t="str">
        <f>INDEX('Customer List Mapping'!$C:$C,MATCH('Full Customer List'!D83,'Customer List Mapping'!$B:$B,0))</f>
        <v>Property Manager</v>
      </c>
      <c r="F83" s="192">
        <f>INDEX('Customer List'!$K:$K,MATCH('Full Customer List'!$B83,'Customer List'!$A:$A,0))</f>
        <v>45</v>
      </c>
      <c r="G83" s="192">
        <f>INDEX('Revenue by Customer'!$I:$I,MATCH('Full Customer List'!$B83,'Revenue by Customer'!$A:$A,0))</f>
        <v>1280</v>
      </c>
      <c r="H83" s="257" t="str">
        <f>IFERROR(IF(C83="Active","",INDEX('Client Departures'!$G:$G,MATCH('Full Customer List'!$B83,'Client Departures'!$A:$A,0))),"Unclassified")</f>
        <v/>
      </c>
      <c r="I83" s="196">
        <v>45992</v>
      </c>
      <c r="J83" s="196"/>
      <c r="K83" s="192" t="str">
        <f>INDEX('Revenue by Customer'!K:K,MATCH('Full Customer List'!$B83,'Revenue by Customer'!$A:$A,0))</f>
        <v/>
      </c>
      <c r="L83" s="192" t="str">
        <f>INDEX('Revenue by Customer'!L:L,MATCH('Full Customer List'!$B83,'Revenue by Customer'!$A:$A,0))</f>
        <v/>
      </c>
      <c r="M83" s="192" t="str">
        <f>INDEX('Revenue by Customer'!M:M,MATCH('Full Customer List'!$B83,'Revenue by Customer'!$A:$A,0))</f>
        <v/>
      </c>
      <c r="N83" s="192" t="str">
        <f>INDEX('Revenue by Customer'!N:N,MATCH('Full Customer List'!$B83,'Revenue by Customer'!$A:$A,0))</f>
        <v/>
      </c>
      <c r="O83" s="192" t="str">
        <f>INDEX('Revenue by Customer'!O:O,MATCH('Full Customer List'!$B83,'Revenue by Customer'!$A:$A,0))</f>
        <v/>
      </c>
      <c r="P83" s="192" t="str">
        <f>INDEX('Revenue by Customer'!P:P,MATCH('Full Customer List'!$B83,'Revenue by Customer'!$A:$A,0))</f>
        <v/>
      </c>
      <c r="Q83" s="192" t="str">
        <f>INDEX('Revenue by Customer'!Q:Q,MATCH('Full Customer List'!$B83,'Revenue by Customer'!$A:$A,0))</f>
        <v/>
      </c>
      <c r="R83" s="192" t="str">
        <f>INDEX('Revenue by Customer'!R:R,MATCH('Full Customer List'!$B83,'Revenue by Customer'!$A:$A,0))</f>
        <v/>
      </c>
      <c r="S83" s="192" t="str">
        <f>INDEX('Revenue by Customer'!S:S,MATCH('Full Customer List'!$B83,'Revenue by Customer'!$A:$A,0))</f>
        <v/>
      </c>
      <c r="T83" s="192" t="str">
        <f>INDEX('Revenue by Customer'!T:T,MATCH('Full Customer List'!$B83,'Revenue by Customer'!$A:$A,0))</f>
        <v/>
      </c>
      <c r="U83" s="192" t="str">
        <f>INDEX('Revenue by Customer'!U:U,MATCH('Full Customer List'!$B83,'Revenue by Customer'!$A:$A,0))</f>
        <v/>
      </c>
      <c r="V83" s="192">
        <f>INDEX('Revenue by Customer'!V:V,MATCH('Full Customer List'!$B83,'Revenue by Customer'!$A:$A,0))</f>
        <v>1580</v>
      </c>
      <c r="W83" s="192">
        <f>INDEX('Revenue by Customer'!W:W,MATCH('Full Customer List'!$B83,'Revenue by Customer'!$A:$A,0))</f>
        <v>1230</v>
      </c>
      <c r="X83" s="192">
        <f>INDEX('Revenue by Customer'!X:X,MATCH('Full Customer List'!$B83,'Revenue by Customer'!$A:$A,0))</f>
        <v>1230</v>
      </c>
      <c r="Y83" s="192">
        <f>INDEX('Revenue by Customer'!Y:Y,MATCH('Full Customer List'!$B83,'Revenue by Customer'!$A:$A,0))</f>
        <v>1260</v>
      </c>
      <c r="Z83" s="192">
        <f>INDEX('Revenue by Customer'!Z:Z,MATCH('Full Customer List'!$B83,'Revenue by Customer'!$A:$A,0))</f>
        <v>1230</v>
      </c>
      <c r="AA83" s="192">
        <f>INDEX('Revenue by Customer'!AA:AA,MATCH('Full Customer List'!$B83,'Revenue by Customer'!$A:$A,0))</f>
        <v>1230</v>
      </c>
      <c r="AB83" s="192">
        <f>INDEX('Revenue by Customer'!AB:AB,MATCH('Full Customer List'!$B83,'Revenue by Customer'!$A:$A,0))</f>
        <v>1290</v>
      </c>
      <c r="AC83" s="192">
        <f>INDEX('Revenue by Customer'!AC:AC,MATCH('Full Customer List'!$B83,'Revenue by Customer'!$A:$A,0))</f>
        <v>1320</v>
      </c>
    </row>
    <row r="84" spans="2:29" ht="12" customHeight="1">
      <c r="B84" s="173" t="s">
        <v>690</v>
      </c>
      <c r="C84" s="173" t="str">
        <f>INDEX('Customer List'!$B:$B,MATCH('Full Customer List'!$B84,'Customer List'!$A:$A,0))</f>
        <v>Active</v>
      </c>
      <c r="D84" s="173" t="str">
        <f>INDEX('Customer List'!$C:$C,MATCH('Full Customer List'!$B84,'Customer List'!$A:$A,0))</f>
        <v>Property manager</v>
      </c>
      <c r="E84" s="173" t="str">
        <f>INDEX('Customer List Mapping'!$C:$C,MATCH('Full Customer List'!D84,'Customer List Mapping'!$B:$B,0))</f>
        <v>Property Manager</v>
      </c>
      <c r="F84" s="192">
        <f>INDEX('Customer List'!$K:$K,MATCH('Full Customer List'!$B84,'Customer List'!$A:$A,0))</f>
        <v>14</v>
      </c>
      <c r="G84" s="192">
        <f>INDEX('Revenue by Customer'!$I:$I,MATCH('Full Customer List'!$B84,'Revenue by Customer'!$A:$A,0))</f>
        <v>1115</v>
      </c>
      <c r="H84" s="257" t="str">
        <f>IFERROR(IF(C84="Active","",INDEX('Client Departures'!$G:$G,MATCH('Full Customer List'!$B84,'Client Departures'!$A:$A,0))),"Unclassified")</f>
        <v/>
      </c>
      <c r="I84" s="196">
        <v>45292</v>
      </c>
      <c r="J84" s="196"/>
      <c r="K84" s="192">
        <f>INDEX('Revenue by Customer'!K:K,MATCH('Full Customer List'!$B84,'Revenue by Customer'!$A:$A,0))</f>
        <v>520</v>
      </c>
      <c r="L84" s="192">
        <f>INDEX('Revenue by Customer'!L:L,MATCH('Full Customer List'!$B84,'Revenue by Customer'!$A:$A,0))</f>
        <v>520</v>
      </c>
      <c r="M84" s="192">
        <f>INDEX('Revenue by Customer'!M:M,MATCH('Full Customer List'!$B84,'Revenue by Customer'!$A:$A,0))</f>
        <v>770</v>
      </c>
      <c r="N84" s="192">
        <f>INDEX('Revenue by Customer'!N:N,MATCH('Full Customer List'!$B84,'Revenue by Customer'!$A:$A,0))</f>
        <v>520</v>
      </c>
      <c r="O84" s="192">
        <f>INDEX('Revenue by Customer'!O:O,MATCH('Full Customer List'!$B84,'Revenue by Customer'!$A:$A,0))</f>
        <v>660</v>
      </c>
      <c r="P84" s="192">
        <f>INDEX('Revenue by Customer'!P:P,MATCH('Full Customer List'!$B84,'Revenue by Customer'!$A:$A,0))</f>
        <v>730</v>
      </c>
      <c r="Q84" s="192">
        <f>INDEX('Revenue by Customer'!Q:Q,MATCH('Full Customer List'!$B84,'Revenue by Customer'!$A:$A,0))</f>
        <v>730</v>
      </c>
      <c r="R84" s="192">
        <f>INDEX('Revenue by Customer'!R:R,MATCH('Full Customer List'!$B84,'Revenue by Customer'!$A:$A,0))</f>
        <v>870</v>
      </c>
      <c r="S84" s="192">
        <f>INDEX('Revenue by Customer'!S:S,MATCH('Full Customer List'!$B84,'Revenue by Customer'!$A:$A,0))</f>
        <v>660</v>
      </c>
      <c r="T84" s="192">
        <f>INDEX('Revenue by Customer'!T:T,MATCH('Full Customer List'!$B84,'Revenue by Customer'!$A:$A,0))</f>
        <v>660</v>
      </c>
      <c r="U84" s="192">
        <f>INDEX('Revenue by Customer'!U:U,MATCH('Full Customer List'!$B84,'Revenue by Customer'!$A:$A,0))</f>
        <v>775</v>
      </c>
      <c r="V84" s="192">
        <f>INDEX('Revenue by Customer'!V:V,MATCH('Full Customer List'!$B84,'Revenue by Customer'!$A:$A,0))</f>
        <v>775</v>
      </c>
      <c r="W84" s="192">
        <f>INDEX('Revenue by Customer'!W:W,MATCH('Full Customer List'!$B84,'Revenue by Customer'!$A:$A,0))</f>
        <v>726</v>
      </c>
      <c r="X84" s="192">
        <f>INDEX('Revenue by Customer'!X:X,MATCH('Full Customer List'!$B84,'Revenue by Customer'!$A:$A,0))</f>
        <v>803</v>
      </c>
      <c r="Y84" s="192">
        <f>INDEX('Revenue by Customer'!Y:Y,MATCH('Full Customer List'!$B84,'Revenue by Customer'!$A:$A,0))</f>
        <v>803</v>
      </c>
      <c r="Z84" s="192">
        <f>INDEX('Revenue by Customer'!Z:Z,MATCH('Full Customer List'!$B84,'Revenue by Customer'!$A:$A,0))</f>
        <v>880</v>
      </c>
      <c r="AA84" s="192">
        <f>INDEX('Revenue by Customer'!AA:AA,MATCH('Full Customer List'!$B84,'Revenue by Customer'!$A:$A,0))</f>
        <v>1115</v>
      </c>
      <c r="AB84" s="192">
        <f>INDEX('Revenue by Customer'!AB:AB,MATCH('Full Customer List'!$B84,'Revenue by Customer'!$A:$A,0))</f>
        <v>1115</v>
      </c>
      <c r="AC84" s="192">
        <f>INDEX('Revenue by Customer'!AC:AC,MATCH('Full Customer List'!$B84,'Revenue by Customer'!$A:$A,0))</f>
        <v>1115</v>
      </c>
    </row>
    <row r="85" spans="2:29" ht="12" customHeight="1">
      <c r="B85" s="173" t="s">
        <v>691</v>
      </c>
      <c r="C85" s="173" t="str">
        <f>INDEX('Customer List'!$B:$B,MATCH('Full Customer List'!$B85,'Customer List'!$A:$A,0))</f>
        <v>Former client</v>
      </c>
      <c r="D85" s="173" t="str">
        <f>INDEX('Customer List'!$C:$C,MATCH('Full Customer List'!$B85,'Customer List'!$A:$A,0))</f>
        <v>Short-term rental (departed)</v>
      </c>
      <c r="E85" s="173" t="str">
        <f>INDEX('Customer List Mapping'!$C:$C,MATCH('Full Customer List'!D85,'Customer List Mapping'!$B:$B,0))</f>
        <v>Short-Term Rental</v>
      </c>
      <c r="F85" s="192" t="str">
        <f>INDEX('Customer List'!$K:$K,MATCH('Full Customer List'!$B85,'Customer List'!$A:$A,0))</f>
        <v/>
      </c>
      <c r="G85" s="192">
        <f>INDEX('Revenue by Customer'!$I:$I,MATCH('Full Customer List'!$B85,'Revenue by Customer'!$A:$A,0))</f>
        <v>828.33333333333337</v>
      </c>
      <c r="H85" s="257" t="str">
        <f>IFERROR(IF(C85="Active","",INDEX('Client Departures'!$G:$G,MATCH('Full Customer List'!$B85,'Client Departures'!$A:$A,0))),"Unclassified")</f>
        <v>No</v>
      </c>
      <c r="I85" s="196">
        <v>45627</v>
      </c>
      <c r="J85" s="196">
        <v>45991</v>
      </c>
      <c r="K85" s="192">
        <f>INDEX('Revenue by Customer'!K:K,MATCH('Full Customer List'!$B85,'Revenue by Customer'!$A:$A,0))</f>
        <v>940</v>
      </c>
      <c r="L85" s="192">
        <f>INDEX('Revenue by Customer'!L:L,MATCH('Full Customer List'!$B85,'Revenue by Customer'!$A:$A,0))</f>
        <v>450</v>
      </c>
      <c r="M85" s="192">
        <f>INDEX('Revenue by Customer'!M:M,MATCH('Full Customer List'!$B85,'Revenue by Customer'!$A:$A,0))</f>
        <v>3098.55</v>
      </c>
      <c r="N85" s="192">
        <f>INDEX('Revenue by Customer'!N:N,MATCH('Full Customer List'!$B85,'Revenue by Customer'!$A:$A,0))</f>
        <v>380</v>
      </c>
      <c r="O85" s="192">
        <f>INDEX('Revenue by Customer'!O:O,MATCH('Full Customer List'!$B85,'Revenue by Customer'!$A:$A,0))</f>
        <v>1020</v>
      </c>
      <c r="P85" s="192">
        <f>INDEX('Revenue by Customer'!P:P,MATCH('Full Customer List'!$B85,'Revenue by Customer'!$A:$A,0))</f>
        <v>1590</v>
      </c>
      <c r="Q85" s="192">
        <f>INDEX('Revenue by Customer'!Q:Q,MATCH('Full Customer List'!$B85,'Revenue by Customer'!$A:$A,0))</f>
        <v>1340</v>
      </c>
      <c r="R85" s="192">
        <f>INDEX('Revenue by Customer'!R:R,MATCH('Full Customer List'!$B85,'Revenue by Customer'!$A:$A,0))</f>
        <v>1770</v>
      </c>
      <c r="S85" s="192">
        <f>INDEX('Revenue by Customer'!S:S,MATCH('Full Customer List'!$B85,'Revenue by Customer'!$A:$A,0))</f>
        <v>1745</v>
      </c>
      <c r="T85" s="192">
        <f>INDEX('Revenue by Customer'!T:T,MATCH('Full Customer List'!$B85,'Revenue by Customer'!$A:$A,0))</f>
        <v>1720</v>
      </c>
      <c r="U85" s="192">
        <f>INDEX('Revenue by Customer'!U:U,MATCH('Full Customer List'!$B85,'Revenue by Customer'!$A:$A,0))</f>
        <v>1270</v>
      </c>
      <c r="V85" s="192">
        <f>INDEX('Revenue by Customer'!V:V,MATCH('Full Customer List'!$B85,'Revenue by Customer'!$A:$A,0))</f>
        <v>1250</v>
      </c>
      <c r="W85" s="192">
        <f>INDEX('Revenue by Customer'!W:W,MATCH('Full Customer List'!$B85,'Revenue by Customer'!$A:$A,0))</f>
        <v>1250</v>
      </c>
      <c r="X85" s="192">
        <f>INDEX('Revenue by Customer'!X:X,MATCH('Full Customer List'!$B85,'Revenue by Customer'!$A:$A,0))</f>
        <v>1060</v>
      </c>
      <c r="Y85" s="192">
        <f>INDEX('Revenue by Customer'!Y:Y,MATCH('Full Customer List'!$B85,'Revenue by Customer'!$A:$A,0))</f>
        <v>175</v>
      </c>
      <c r="Z85" s="192" t="str">
        <f>INDEX('Revenue by Customer'!Z:Z,MATCH('Full Customer List'!$B85,'Revenue by Customer'!$A:$A,0))</f>
        <v/>
      </c>
      <c r="AA85" s="192" t="str">
        <f>INDEX('Revenue by Customer'!AA:AA,MATCH('Full Customer List'!$B85,'Revenue by Customer'!$A:$A,0))</f>
        <v/>
      </c>
      <c r="AB85" s="192" t="str">
        <f>INDEX('Revenue by Customer'!AB:AB,MATCH('Full Customer List'!$B85,'Revenue by Customer'!$A:$A,0))</f>
        <v/>
      </c>
      <c r="AC85" s="192" t="str">
        <f>INDEX('Revenue by Customer'!AC:AC,MATCH('Full Customer List'!$B85,'Revenue by Customer'!$A:$A,0))</f>
        <v/>
      </c>
    </row>
    <row r="86" spans="2:29" ht="12" customHeight="1">
      <c r="B86" s="173" t="s">
        <v>692</v>
      </c>
      <c r="C86" s="173" t="str">
        <f>INDEX('Customer List'!$B:$B,MATCH('Full Customer List'!$B86,'Customer List'!$A:$A,0))</f>
        <v>Active</v>
      </c>
      <c r="D86" s="173" t="str">
        <f>INDEX('Customer List'!$C:$C,MATCH('Full Customer List'!$B86,'Customer List'!$A:$A,0))</f>
        <v>Property manager</v>
      </c>
      <c r="E86" s="173" t="str">
        <f>INDEX('Customer List Mapping'!$C:$C,MATCH('Full Customer List'!D86,'Customer List Mapping'!$B:$B,0))</f>
        <v>Property Manager</v>
      </c>
      <c r="F86" s="192">
        <f>INDEX('Customer List'!$K:$K,MATCH('Full Customer List'!$B86,'Customer List'!$A:$A,0))</f>
        <v>13</v>
      </c>
      <c r="G86" s="192">
        <f>INDEX('Revenue by Customer'!$I:$I,MATCH('Full Customer List'!$B86,'Revenue by Customer'!$A:$A,0))</f>
        <v>971.33333333333337</v>
      </c>
      <c r="H86" s="257" t="str">
        <f>IFERROR(IF(C86="Active","",INDEX('Client Departures'!$G:$G,MATCH('Full Customer List'!$B86,'Client Departures'!$A:$A,0))),"Unclassified")</f>
        <v/>
      </c>
      <c r="I86" s="196">
        <v>45292</v>
      </c>
      <c r="J86" s="196"/>
      <c r="K86" s="192">
        <f>INDEX('Revenue by Customer'!K:K,MATCH('Full Customer List'!$B86,'Revenue by Customer'!$A:$A,0))</f>
        <v>525</v>
      </c>
      <c r="L86" s="192">
        <f>INDEX('Revenue by Customer'!L:L,MATCH('Full Customer List'!$B86,'Revenue by Customer'!$A:$A,0))</f>
        <v>360</v>
      </c>
      <c r="M86" s="192">
        <f>INDEX('Revenue by Customer'!M:M,MATCH('Full Customer List'!$B86,'Revenue by Customer'!$A:$A,0))</f>
        <v>610</v>
      </c>
      <c r="N86" s="192">
        <f>INDEX('Revenue by Customer'!N:N,MATCH('Full Customer List'!$B86,'Revenue by Customer'!$A:$A,0))</f>
        <v>640</v>
      </c>
      <c r="O86" s="192">
        <f>INDEX('Revenue by Customer'!O:O,MATCH('Full Customer List'!$B86,'Revenue by Customer'!$A:$A,0))</f>
        <v>640</v>
      </c>
      <c r="P86" s="192">
        <f>INDEX('Revenue by Customer'!P:P,MATCH('Full Customer List'!$B86,'Revenue by Customer'!$A:$A,0))</f>
        <v>710</v>
      </c>
      <c r="Q86" s="192">
        <f>INDEX('Revenue by Customer'!Q:Q,MATCH('Full Customer List'!$B86,'Revenue by Customer'!$A:$A,0))</f>
        <v>710</v>
      </c>
      <c r="R86" s="192">
        <f>INDEX('Revenue by Customer'!R:R,MATCH('Full Customer List'!$B86,'Revenue by Customer'!$A:$A,0))</f>
        <v>710</v>
      </c>
      <c r="S86" s="192">
        <f>INDEX('Revenue by Customer'!S:S,MATCH('Full Customer List'!$B86,'Revenue by Customer'!$A:$A,0))</f>
        <v>710</v>
      </c>
      <c r="T86" s="192">
        <f>INDEX('Revenue by Customer'!T:T,MATCH('Full Customer List'!$B86,'Revenue by Customer'!$A:$A,0))</f>
        <v>710</v>
      </c>
      <c r="U86" s="192">
        <f>INDEX('Revenue by Customer'!U:U,MATCH('Full Customer List'!$B86,'Revenue by Customer'!$A:$A,0))</f>
        <v>750</v>
      </c>
      <c r="V86" s="192">
        <f>INDEX('Revenue by Customer'!V:V,MATCH('Full Customer List'!$B86,'Revenue by Customer'!$A:$A,0))</f>
        <v>750</v>
      </c>
      <c r="W86" s="192">
        <f>INDEX('Revenue by Customer'!W:W,MATCH('Full Customer List'!$B86,'Revenue by Customer'!$A:$A,0))</f>
        <v>843</v>
      </c>
      <c r="X86" s="192">
        <f>INDEX('Revenue by Customer'!X:X,MATCH('Full Customer List'!$B86,'Revenue by Customer'!$A:$A,0))</f>
        <v>1023</v>
      </c>
      <c r="Y86" s="192">
        <f>INDEX('Revenue by Customer'!Y:Y,MATCH('Full Customer List'!$B86,'Revenue by Customer'!$A:$A,0))</f>
        <v>843</v>
      </c>
      <c r="Z86" s="192">
        <f>INDEX('Revenue by Customer'!Z:Z,MATCH('Full Customer List'!$B86,'Revenue by Customer'!$A:$A,0))</f>
        <v>920</v>
      </c>
      <c r="AA86" s="192">
        <f>INDEX('Revenue by Customer'!AA:AA,MATCH('Full Customer List'!$B86,'Revenue by Customer'!$A:$A,0))</f>
        <v>920</v>
      </c>
      <c r="AB86" s="192">
        <f>INDEX('Revenue by Customer'!AB:AB,MATCH('Full Customer List'!$B86,'Revenue by Customer'!$A:$A,0))</f>
        <v>997</v>
      </c>
      <c r="AC86" s="192">
        <f>INDEX('Revenue by Customer'!AC:AC,MATCH('Full Customer List'!$B86,'Revenue by Customer'!$A:$A,0))</f>
        <v>997</v>
      </c>
    </row>
    <row r="87" spans="2:29" ht="12" customHeight="1">
      <c r="B87" s="173" t="s">
        <v>693</v>
      </c>
      <c r="C87" s="173" t="str">
        <f>INDEX('Customer List'!$B:$B,MATCH('Full Customer List'!$B87,'Customer List'!$A:$A,0))</f>
        <v>Former client</v>
      </c>
      <c r="D87" s="173" t="str">
        <f>INDEX('Customer List'!$C:$C,MATCH('Full Customer List'!$B87,'Customer List'!$A:$A,0))</f>
        <v>Small business</v>
      </c>
      <c r="E87" s="173" t="str">
        <f>INDEX('Customer List Mapping'!$C:$C,MATCH('Full Customer List'!D87,'Customer List Mapping'!$B:$B,0))</f>
        <v>Small Business</v>
      </c>
      <c r="F87" s="192" t="str">
        <f>INDEX('Customer List'!$K:$K,MATCH('Full Customer List'!$B87,'Customer List'!$A:$A,0))</f>
        <v/>
      </c>
      <c r="G87" s="192">
        <f>INDEX('Revenue by Customer'!$I:$I,MATCH('Full Customer List'!$B87,'Revenue by Customer'!$A:$A,0))</f>
        <v>850</v>
      </c>
      <c r="H87" s="257" t="str">
        <f>IFERROR(IF(C87="Active","",INDEX('Client Departures'!$G:$G,MATCH('Full Customer List'!$B87,'Client Departures'!$A:$A,0))),"Unclassified")</f>
        <v>No</v>
      </c>
      <c r="I87" s="196">
        <v>44866</v>
      </c>
      <c r="J87" s="196">
        <v>46234</v>
      </c>
      <c r="K87" s="192">
        <f>INDEX('Revenue by Customer'!K:K,MATCH('Full Customer List'!$B87,'Revenue by Customer'!$A:$A,0))</f>
        <v>895</v>
      </c>
      <c r="L87" s="192">
        <f>INDEX('Revenue by Customer'!L:L,MATCH('Full Customer List'!$B87,'Revenue by Customer'!$A:$A,0))</f>
        <v>820</v>
      </c>
      <c r="M87" s="192">
        <f>INDEX('Revenue by Customer'!M:M,MATCH('Full Customer List'!$B87,'Revenue by Customer'!$A:$A,0))</f>
        <v>820</v>
      </c>
      <c r="N87" s="192">
        <f>INDEX('Revenue by Customer'!N:N,MATCH('Full Customer List'!$B87,'Revenue by Customer'!$A:$A,0))</f>
        <v>820</v>
      </c>
      <c r="O87" s="192">
        <f>INDEX('Revenue by Customer'!O:O,MATCH('Full Customer List'!$B87,'Revenue by Customer'!$A:$A,0))</f>
        <v>820</v>
      </c>
      <c r="P87" s="192">
        <f>INDEX('Revenue by Customer'!P:P,MATCH('Full Customer List'!$B87,'Revenue by Customer'!$A:$A,0))</f>
        <v>820</v>
      </c>
      <c r="Q87" s="192">
        <f>INDEX('Revenue by Customer'!Q:Q,MATCH('Full Customer List'!$B87,'Revenue by Customer'!$A:$A,0))</f>
        <v>820</v>
      </c>
      <c r="R87" s="192">
        <f>INDEX('Revenue by Customer'!R:R,MATCH('Full Customer List'!$B87,'Revenue by Customer'!$A:$A,0))</f>
        <v>820</v>
      </c>
      <c r="S87" s="192">
        <f>INDEX('Revenue by Customer'!S:S,MATCH('Full Customer List'!$B87,'Revenue by Customer'!$A:$A,0))</f>
        <v>820</v>
      </c>
      <c r="T87" s="192">
        <f>INDEX('Revenue by Customer'!T:T,MATCH('Full Customer List'!$B87,'Revenue by Customer'!$A:$A,0))</f>
        <v>820</v>
      </c>
      <c r="U87" s="192">
        <f>INDEX('Revenue by Customer'!U:U,MATCH('Full Customer List'!$B87,'Revenue by Customer'!$A:$A,0))</f>
        <v>850</v>
      </c>
      <c r="V87" s="192">
        <f>INDEX('Revenue by Customer'!V:V,MATCH('Full Customer List'!$B87,'Revenue by Customer'!$A:$A,0))</f>
        <v>850</v>
      </c>
      <c r="W87" s="192">
        <f>INDEX('Revenue by Customer'!W:W,MATCH('Full Customer List'!$B87,'Revenue by Customer'!$A:$A,0))</f>
        <v>850</v>
      </c>
      <c r="X87" s="192">
        <f>INDEX('Revenue by Customer'!X:X,MATCH('Full Customer List'!$B87,'Revenue by Customer'!$A:$A,0))</f>
        <v>865</v>
      </c>
      <c r="Y87" s="192">
        <f>INDEX('Revenue by Customer'!Y:Y,MATCH('Full Customer List'!$B87,'Revenue by Customer'!$A:$A,0))</f>
        <v>850</v>
      </c>
      <c r="Z87" s="192">
        <f>INDEX('Revenue by Customer'!Z:Z,MATCH('Full Customer List'!$B87,'Revenue by Customer'!$A:$A,0))</f>
        <v>850</v>
      </c>
      <c r="AA87" s="192">
        <f>INDEX('Revenue by Customer'!AA:AA,MATCH('Full Customer List'!$B87,'Revenue by Customer'!$A:$A,0))</f>
        <v>850</v>
      </c>
      <c r="AB87" s="192">
        <f>INDEX('Revenue by Customer'!AB:AB,MATCH('Full Customer List'!$B87,'Revenue by Customer'!$A:$A,0))</f>
        <v>850</v>
      </c>
      <c r="AC87" s="192">
        <f>INDEX('Revenue by Customer'!AC:AC,MATCH('Full Customer List'!$B87,'Revenue by Customer'!$A:$A,0))</f>
        <v>850</v>
      </c>
    </row>
    <row r="88" spans="2:29" ht="12" customHeight="1">
      <c r="B88" s="173" t="s">
        <v>696</v>
      </c>
      <c r="C88" s="173" t="str">
        <f>INDEX('Customer List'!$B:$B,MATCH('Full Customer List'!$B88,'Customer List'!$A:$A,0))</f>
        <v>Active</v>
      </c>
      <c r="D88" s="173" t="str">
        <f>INDEX('Customer List'!$C:$C,MATCH('Full Customer List'!$B88,'Customer List'!$A:$A,0))</f>
        <v>Property manager</v>
      </c>
      <c r="E88" s="173" t="str">
        <f>INDEX('Customer List Mapping'!$C:$C,MATCH('Full Customer List'!D88,'Customer List Mapping'!$B:$B,0))</f>
        <v>Property Manager</v>
      </c>
      <c r="F88" s="192">
        <f>INDEX('Customer List'!$K:$K,MATCH('Full Customer List'!$B88,'Customer List'!$A:$A,0))</f>
        <v>11</v>
      </c>
      <c r="G88" s="192">
        <f>INDEX('Revenue by Customer'!$I:$I,MATCH('Full Customer List'!$B88,'Revenue by Customer'!$A:$A,0))</f>
        <v>1038</v>
      </c>
      <c r="H88" s="257" t="str">
        <f>IFERROR(IF(C88="Active","",INDEX('Client Departures'!$G:$G,MATCH('Full Customer List'!$B88,'Client Departures'!$A:$A,0))),"Unclassified")</f>
        <v/>
      </c>
      <c r="I88" s="196">
        <v>45047</v>
      </c>
      <c r="J88" s="196"/>
      <c r="K88" s="192">
        <f>INDEX('Revenue by Customer'!K:K,MATCH('Full Customer List'!$B88,'Revenue by Customer'!$A:$A,0))</f>
        <v>907</v>
      </c>
      <c r="L88" s="192">
        <f>INDEX('Revenue by Customer'!L:L,MATCH('Full Customer List'!$B88,'Revenue by Customer'!$A:$A,0))</f>
        <v>712</v>
      </c>
      <c r="M88" s="192">
        <f>INDEX('Revenue by Customer'!M:M,MATCH('Full Customer List'!$B88,'Revenue by Customer'!$A:$A,0))</f>
        <v>623</v>
      </c>
      <c r="N88" s="192">
        <f>INDEX('Revenue by Customer'!N:N,MATCH('Full Customer List'!$B88,'Revenue by Customer'!$A:$A,0))</f>
        <v>534</v>
      </c>
      <c r="O88" s="192">
        <f>INDEX('Revenue by Customer'!O:O,MATCH('Full Customer List'!$B88,'Revenue by Customer'!$A:$A,0))</f>
        <v>610</v>
      </c>
      <c r="P88" s="192">
        <f>INDEX('Revenue by Customer'!P:P,MATCH('Full Customer List'!$B88,'Revenue by Customer'!$A:$A,0))</f>
        <v>695</v>
      </c>
      <c r="Q88" s="192">
        <f>INDEX('Revenue by Customer'!Q:Q,MATCH('Full Customer List'!$B88,'Revenue by Customer'!$A:$A,0))</f>
        <v>695</v>
      </c>
      <c r="R88" s="192">
        <f>INDEX('Revenue by Customer'!R:R,MATCH('Full Customer List'!$B88,'Revenue by Customer'!$A:$A,0))</f>
        <v>695</v>
      </c>
      <c r="S88" s="192">
        <f>INDEX('Revenue by Customer'!S:S,MATCH('Full Customer List'!$B88,'Revenue by Customer'!$A:$A,0))</f>
        <v>780</v>
      </c>
      <c r="T88" s="192">
        <f>INDEX('Revenue by Customer'!T:T,MATCH('Full Customer List'!$B88,'Revenue by Customer'!$A:$A,0))</f>
        <v>780</v>
      </c>
      <c r="U88" s="192">
        <f>INDEX('Revenue by Customer'!U:U,MATCH('Full Customer List'!$B88,'Revenue by Customer'!$A:$A,0))</f>
        <v>780</v>
      </c>
      <c r="V88" s="192" t="str">
        <f>INDEX('Revenue by Customer'!V:V,MATCH('Full Customer List'!$B88,'Revenue by Customer'!$A:$A,0))</f>
        <v/>
      </c>
      <c r="W88" s="192">
        <f>INDEX('Revenue by Customer'!W:W,MATCH('Full Customer List'!$B88,'Revenue by Customer'!$A:$A,0))</f>
        <v>1020</v>
      </c>
      <c r="X88" s="192">
        <f>INDEX('Revenue by Customer'!X:X,MATCH('Full Customer List'!$B88,'Revenue by Customer'!$A:$A,0))</f>
        <v>950</v>
      </c>
      <c r="Y88" s="192">
        <f>INDEX('Revenue by Customer'!Y:Y,MATCH('Full Customer List'!$B88,'Revenue by Customer'!$A:$A,0))</f>
        <v>950</v>
      </c>
      <c r="Z88" s="192">
        <f>INDEX('Revenue by Customer'!Z:Z,MATCH('Full Customer List'!$B88,'Revenue by Customer'!$A:$A,0))</f>
        <v>950</v>
      </c>
      <c r="AA88" s="192">
        <f>INDEX('Revenue by Customer'!AA:AA,MATCH('Full Customer List'!$B88,'Revenue by Customer'!$A:$A,0))</f>
        <v>1067</v>
      </c>
      <c r="AB88" s="192">
        <f>INDEX('Revenue by Customer'!AB:AB,MATCH('Full Customer List'!$B88,'Revenue by Customer'!$A:$A,0))</f>
        <v>1067</v>
      </c>
      <c r="AC88" s="192">
        <f>INDEX('Revenue by Customer'!AC:AC,MATCH('Full Customer List'!$B88,'Revenue by Customer'!$A:$A,0))</f>
        <v>980</v>
      </c>
    </row>
    <row r="89" spans="2:29" ht="12" customHeight="1">
      <c r="B89" s="173" t="s">
        <v>698</v>
      </c>
      <c r="C89" s="173" t="str">
        <f>INDEX('Customer List'!$B:$B,MATCH('Full Customer List'!$B89,'Customer List'!$A:$A,0))</f>
        <v>Active</v>
      </c>
      <c r="D89" s="173" t="str">
        <f>INDEX('Customer List'!$C:$C,MATCH('Full Customer List'!$B89,'Customer List'!$A:$A,0))</f>
        <v>Property manager</v>
      </c>
      <c r="E89" s="173" t="str">
        <f>INDEX('Customer List Mapping'!$C:$C,MATCH('Full Customer List'!D89,'Customer List Mapping'!$B:$B,0))</f>
        <v>Property Manager</v>
      </c>
      <c r="F89" s="192">
        <f>INDEX('Customer List'!$K:$K,MATCH('Full Customer List'!$B89,'Customer List'!$A:$A,0))</f>
        <v>21</v>
      </c>
      <c r="G89" s="192">
        <f>INDEX('Revenue by Customer'!$I:$I,MATCH('Full Customer List'!$B89,'Revenue by Customer'!$A:$A,0))</f>
        <v>1069.5</v>
      </c>
      <c r="H89" s="257" t="str">
        <f>IFERROR(IF(C89="Active","",INDEX('Client Departures'!$G:$G,MATCH('Full Customer List'!$B89,'Client Departures'!$A:$A,0))),"Unclassified")</f>
        <v/>
      </c>
      <c r="I89" s="196">
        <v>45627</v>
      </c>
      <c r="J89" s="196"/>
      <c r="K89" s="192">
        <f>INDEX('Revenue by Customer'!K:K,MATCH('Full Customer List'!$B89,'Revenue by Customer'!$A:$A,0))</f>
        <v>750</v>
      </c>
      <c r="L89" s="192">
        <f>INDEX('Revenue by Customer'!L:L,MATCH('Full Customer List'!$B89,'Revenue by Customer'!$A:$A,0))</f>
        <v>1065</v>
      </c>
      <c r="M89" s="192">
        <f>INDEX('Revenue by Customer'!M:M,MATCH('Full Customer List'!$B89,'Revenue by Customer'!$A:$A,0))</f>
        <v>750</v>
      </c>
      <c r="N89" s="192">
        <f>INDEX('Revenue by Customer'!N:N,MATCH('Full Customer List'!$B89,'Revenue by Customer'!$A:$A,0))</f>
        <v>750</v>
      </c>
      <c r="O89" s="192">
        <f>INDEX('Revenue by Customer'!O:O,MATCH('Full Customer List'!$B89,'Revenue by Customer'!$A:$A,0))</f>
        <v>750</v>
      </c>
      <c r="P89" s="192">
        <f>INDEX('Revenue by Customer'!P:P,MATCH('Full Customer List'!$B89,'Revenue by Customer'!$A:$A,0))</f>
        <v>750</v>
      </c>
      <c r="Q89" s="192">
        <f>INDEX('Revenue by Customer'!Q:Q,MATCH('Full Customer List'!$B89,'Revenue by Customer'!$A:$A,0))</f>
        <v>750</v>
      </c>
      <c r="R89" s="192">
        <f>INDEX('Revenue by Customer'!R:R,MATCH('Full Customer List'!$B89,'Revenue by Customer'!$A:$A,0))</f>
        <v>750</v>
      </c>
      <c r="S89" s="192">
        <f>INDEX('Revenue by Customer'!S:S,MATCH('Full Customer List'!$B89,'Revenue by Customer'!$A:$A,0))</f>
        <v>765</v>
      </c>
      <c r="T89" s="192">
        <f>INDEX('Revenue by Customer'!T:T,MATCH('Full Customer List'!$B89,'Revenue by Customer'!$A:$A,0))</f>
        <v>750</v>
      </c>
      <c r="U89" s="192">
        <f>INDEX('Revenue by Customer'!U:U,MATCH('Full Customer List'!$B89,'Revenue by Customer'!$A:$A,0))</f>
        <v>750</v>
      </c>
      <c r="V89" s="192">
        <f>INDEX('Revenue by Customer'!V:V,MATCH('Full Customer List'!$B89,'Revenue by Customer'!$A:$A,0))</f>
        <v>750</v>
      </c>
      <c r="W89" s="192">
        <f>INDEX('Revenue by Customer'!W:W,MATCH('Full Customer List'!$B89,'Revenue by Customer'!$A:$A,0))</f>
        <v>700</v>
      </c>
      <c r="X89" s="192">
        <f>INDEX('Revenue by Customer'!X:X,MATCH('Full Customer List'!$B89,'Revenue by Customer'!$A:$A,0))</f>
        <v>1015</v>
      </c>
      <c r="Y89" s="192">
        <f>INDEX('Revenue by Customer'!Y:Y,MATCH('Full Customer List'!$B89,'Revenue by Customer'!$A:$A,0))</f>
        <v>665</v>
      </c>
      <c r="Z89" s="192">
        <f>INDEX('Revenue by Customer'!Z:Z,MATCH('Full Customer List'!$B89,'Revenue by Customer'!$A:$A,0))</f>
        <v>665</v>
      </c>
      <c r="AA89" s="192">
        <f>INDEX('Revenue by Customer'!AA:AA,MATCH('Full Customer List'!$B89,'Revenue by Customer'!$A:$A,0))</f>
        <v>630</v>
      </c>
      <c r="AB89" s="192">
        <f>INDEX('Revenue by Customer'!AB:AB,MATCH('Full Customer List'!$B89,'Revenue by Customer'!$A:$A,0))</f>
        <v>1098</v>
      </c>
      <c r="AC89" s="192">
        <f>INDEX('Revenue by Customer'!AC:AC,MATCH('Full Customer List'!$B89,'Revenue by Customer'!$A:$A,0))</f>
        <v>1480.5</v>
      </c>
    </row>
    <row r="90" spans="2:29" ht="12" customHeight="1">
      <c r="B90" s="173" t="s">
        <v>699</v>
      </c>
      <c r="C90" s="173" t="str">
        <f>INDEX('Customer List'!$B:$B,MATCH('Full Customer List'!$B90,'Customer List'!$A:$A,0))</f>
        <v>Active</v>
      </c>
      <c r="D90" s="173" t="str">
        <f>INDEX('Customer List'!$C:$C,MATCH('Full Customer List'!$B90,'Customer List'!$A:$A,0))</f>
        <v>Property manager</v>
      </c>
      <c r="E90" s="173" t="str">
        <f>INDEX('Customer List Mapping'!$C:$C,MATCH('Full Customer List'!D90,'Customer List Mapping'!$B:$B,0))</f>
        <v>Property Manager</v>
      </c>
      <c r="F90" s="192">
        <f>INDEX('Customer List'!$K:$K,MATCH('Full Customer List'!$B90,'Customer List'!$A:$A,0))</f>
        <v>19</v>
      </c>
      <c r="G90" s="192">
        <f>INDEX('Revenue by Customer'!$I:$I,MATCH('Full Customer List'!$B90,'Revenue by Customer'!$A:$A,0))</f>
        <v>1105.6666666666667</v>
      </c>
      <c r="H90" s="257" t="str">
        <f>IFERROR(IF(C90="Active","",INDEX('Client Departures'!$G:$G,MATCH('Full Customer List'!$B90,'Client Departures'!$A:$A,0))),"Unclassified")</f>
        <v/>
      </c>
      <c r="I90" s="196">
        <v>45717</v>
      </c>
      <c r="J90" s="196"/>
      <c r="K90" s="192" t="str">
        <f>INDEX('Revenue by Customer'!K:K,MATCH('Full Customer List'!$B90,'Revenue by Customer'!$A:$A,0))</f>
        <v/>
      </c>
      <c r="L90" s="192" t="str">
        <f>INDEX('Revenue by Customer'!L:L,MATCH('Full Customer List'!$B90,'Revenue by Customer'!$A:$A,0))</f>
        <v/>
      </c>
      <c r="M90" s="192">
        <f>INDEX('Revenue by Customer'!M:M,MATCH('Full Customer List'!$B90,'Revenue by Customer'!$A:$A,0))</f>
        <v>350</v>
      </c>
      <c r="N90" s="192">
        <f>INDEX('Revenue by Customer'!N:N,MATCH('Full Customer List'!$B90,'Revenue by Customer'!$A:$A,0))</f>
        <v>150</v>
      </c>
      <c r="O90" s="192">
        <f>INDEX('Revenue by Customer'!O:O,MATCH('Full Customer List'!$B90,'Revenue by Customer'!$A:$A,0))</f>
        <v>990</v>
      </c>
      <c r="P90" s="192">
        <f>INDEX('Revenue by Customer'!P:P,MATCH('Full Customer List'!$B90,'Revenue by Customer'!$A:$A,0))</f>
        <v>570</v>
      </c>
      <c r="Q90" s="192">
        <f>INDEX('Revenue by Customer'!Q:Q,MATCH('Full Customer List'!$B90,'Revenue by Customer'!$A:$A,0))</f>
        <v>570</v>
      </c>
      <c r="R90" s="192">
        <f>INDEX('Revenue by Customer'!R:R,MATCH('Full Customer List'!$B90,'Revenue by Customer'!$A:$A,0))</f>
        <v>570</v>
      </c>
      <c r="S90" s="192">
        <f>INDEX('Revenue by Customer'!S:S,MATCH('Full Customer List'!$B90,'Revenue by Customer'!$A:$A,0))</f>
        <v>640</v>
      </c>
      <c r="T90" s="192">
        <f>INDEX('Revenue by Customer'!T:T,MATCH('Full Customer List'!$B90,'Revenue by Customer'!$A:$A,0))</f>
        <v>640</v>
      </c>
      <c r="U90" s="192">
        <f>INDEX('Revenue by Customer'!U:U,MATCH('Full Customer List'!$B90,'Revenue by Customer'!$A:$A,0))</f>
        <v>675</v>
      </c>
      <c r="V90" s="192">
        <f>INDEX('Revenue by Customer'!V:V,MATCH('Full Customer List'!$B90,'Revenue by Customer'!$A:$A,0))</f>
        <v>600</v>
      </c>
      <c r="W90" s="192">
        <f>INDEX('Revenue by Customer'!W:W,MATCH('Full Customer List'!$B90,'Revenue by Customer'!$A:$A,0))</f>
        <v>600</v>
      </c>
      <c r="X90" s="192">
        <f>INDEX('Revenue by Customer'!X:X,MATCH('Full Customer List'!$B90,'Revenue by Customer'!$A:$A,0))</f>
        <v>675</v>
      </c>
      <c r="Y90" s="192">
        <f>INDEX('Revenue by Customer'!Y:Y,MATCH('Full Customer List'!$B90,'Revenue by Customer'!$A:$A,0))</f>
        <v>780</v>
      </c>
      <c r="Z90" s="192">
        <f>INDEX('Revenue by Customer'!Z:Z,MATCH('Full Customer List'!$B90,'Revenue by Customer'!$A:$A,0))</f>
        <v>957</v>
      </c>
      <c r="AA90" s="192">
        <f>INDEX('Revenue by Customer'!AA:AA,MATCH('Full Customer List'!$B90,'Revenue by Customer'!$A:$A,0))</f>
        <v>957</v>
      </c>
      <c r="AB90" s="192">
        <f>INDEX('Revenue by Customer'!AB:AB,MATCH('Full Customer List'!$B90,'Revenue by Customer'!$A:$A,0))</f>
        <v>1111</v>
      </c>
      <c r="AC90" s="192">
        <f>INDEX('Revenue by Customer'!AC:AC,MATCH('Full Customer List'!$B90,'Revenue by Customer'!$A:$A,0))</f>
        <v>1249</v>
      </c>
    </row>
    <row r="91" spans="2:29" ht="12" customHeight="1">
      <c r="B91" s="173" t="s">
        <v>700</v>
      </c>
      <c r="C91" s="173" t="str">
        <f>INDEX('Customer List'!$B:$B,MATCH('Full Customer List'!$B91,'Customer List'!$A:$A,0))</f>
        <v>Active</v>
      </c>
      <c r="D91" s="173" t="str">
        <f>INDEX('Customer List'!$C:$C,MATCH('Full Customer List'!$B91,'Customer List'!$A:$A,0))</f>
        <v>Property manager</v>
      </c>
      <c r="E91" s="173" t="str">
        <f>INDEX('Customer List Mapping'!$C:$C,MATCH('Full Customer List'!D91,'Customer List Mapping'!$B:$B,0))</f>
        <v>Property Manager</v>
      </c>
      <c r="F91" s="192">
        <f>INDEX('Customer List'!$K:$K,MATCH('Full Customer List'!$B91,'Customer List'!$A:$A,0))</f>
        <v>19</v>
      </c>
      <c r="G91" s="192">
        <f>INDEX('Revenue by Customer'!$I:$I,MATCH('Full Customer List'!$B91,'Revenue by Customer'!$A:$A,0))</f>
        <v>1076.6666666666667</v>
      </c>
      <c r="H91" s="257" t="str">
        <f>IFERROR(IF(C91="Active","",INDEX('Client Departures'!$G:$G,MATCH('Full Customer List'!$B91,'Client Departures'!$A:$A,0))),"Unclassified")</f>
        <v/>
      </c>
      <c r="I91" s="196">
        <v>45748</v>
      </c>
      <c r="J91" s="196"/>
      <c r="K91" s="192" t="str">
        <f>INDEX('Revenue by Customer'!K:K,MATCH('Full Customer List'!$B91,'Revenue by Customer'!$A:$A,0))</f>
        <v/>
      </c>
      <c r="L91" s="192" t="str">
        <f>INDEX('Revenue by Customer'!L:L,MATCH('Full Customer List'!$B91,'Revenue by Customer'!$A:$A,0))</f>
        <v/>
      </c>
      <c r="M91" s="192" t="str">
        <f>INDEX('Revenue by Customer'!M:M,MATCH('Full Customer List'!$B91,'Revenue by Customer'!$A:$A,0))</f>
        <v/>
      </c>
      <c r="N91" s="192">
        <f>INDEX('Revenue by Customer'!N:N,MATCH('Full Customer List'!$B91,'Revenue by Customer'!$A:$A,0))</f>
        <v>640</v>
      </c>
      <c r="O91" s="192">
        <f>INDEX('Revenue by Customer'!O:O,MATCH('Full Customer List'!$B91,'Revenue by Customer'!$A:$A,0))</f>
        <v>340</v>
      </c>
      <c r="P91" s="192">
        <f>INDEX('Revenue by Customer'!P:P,MATCH('Full Customer List'!$B91,'Revenue by Customer'!$A:$A,0))</f>
        <v>403.75</v>
      </c>
      <c r="Q91" s="192">
        <f>INDEX('Revenue by Customer'!Q:Q,MATCH('Full Customer List'!$B91,'Revenue by Customer'!$A:$A,0))</f>
        <v>550</v>
      </c>
      <c r="R91" s="192">
        <f>INDEX('Revenue by Customer'!R:R,MATCH('Full Customer List'!$B91,'Revenue by Customer'!$A:$A,0))</f>
        <v>625</v>
      </c>
      <c r="S91" s="192">
        <f>INDEX('Revenue by Customer'!S:S,MATCH('Full Customer List'!$B91,'Revenue by Customer'!$A:$A,0))</f>
        <v>700</v>
      </c>
      <c r="T91" s="192">
        <f>INDEX('Revenue by Customer'!T:T,MATCH('Full Customer List'!$B91,'Revenue by Customer'!$A:$A,0))</f>
        <v>700</v>
      </c>
      <c r="U91" s="192">
        <f>INDEX('Revenue by Customer'!U:U,MATCH('Full Customer List'!$B91,'Revenue by Customer'!$A:$A,0))</f>
        <v>700</v>
      </c>
      <c r="V91" s="192">
        <f>INDEX('Revenue by Customer'!V:V,MATCH('Full Customer List'!$B91,'Revenue by Customer'!$A:$A,0))</f>
        <v>700</v>
      </c>
      <c r="W91" s="192">
        <f>INDEX('Revenue by Customer'!W:W,MATCH('Full Customer List'!$B91,'Revenue by Customer'!$A:$A,0))</f>
        <v>820</v>
      </c>
      <c r="X91" s="192">
        <f>INDEX('Revenue by Customer'!X:X,MATCH('Full Customer List'!$B91,'Revenue by Customer'!$A:$A,0))</f>
        <v>625</v>
      </c>
      <c r="Y91" s="192">
        <f>INDEX('Revenue by Customer'!Y:Y,MATCH('Full Customer List'!$B91,'Revenue by Customer'!$A:$A,0))</f>
        <v>700</v>
      </c>
      <c r="Z91" s="192">
        <f>INDEX('Revenue by Customer'!Z:Z,MATCH('Full Customer List'!$B91,'Revenue by Customer'!$A:$A,0))</f>
        <v>649</v>
      </c>
      <c r="AA91" s="192">
        <f>INDEX('Revenue by Customer'!AA:AA,MATCH('Full Customer List'!$B91,'Revenue by Customer'!$A:$A,0))</f>
        <v>880</v>
      </c>
      <c r="AB91" s="192">
        <f>INDEX('Revenue by Customer'!AB:AB,MATCH('Full Customer List'!$B91,'Revenue by Customer'!$A:$A,0))</f>
        <v>1034</v>
      </c>
      <c r="AC91" s="192">
        <f>INDEX('Revenue by Customer'!AC:AC,MATCH('Full Customer List'!$B91,'Revenue by Customer'!$A:$A,0))</f>
        <v>1316</v>
      </c>
    </row>
    <row r="92" spans="2:29" ht="12" customHeight="1">
      <c r="B92" s="173" t="s">
        <v>701</v>
      </c>
      <c r="C92" s="173" t="str">
        <f>INDEX('Customer List'!$B:$B,MATCH('Full Customer List'!$B92,'Customer List'!$A:$A,0))</f>
        <v>Active</v>
      </c>
      <c r="D92" s="173" t="str">
        <f>INDEX('Customer List'!$C:$C,MATCH('Full Customer List'!$B92,'Customer List'!$A:$A,0))</f>
        <v>Property manager</v>
      </c>
      <c r="E92" s="173" t="str">
        <f>INDEX('Customer List Mapping'!$C:$C,MATCH('Full Customer List'!D92,'Customer List Mapping'!$B:$B,0))</f>
        <v>Property Manager</v>
      </c>
      <c r="F92" s="192">
        <f>INDEX('Customer List'!$K:$K,MATCH('Full Customer List'!$B92,'Customer List'!$A:$A,0))</f>
        <v>9</v>
      </c>
      <c r="G92" s="192">
        <f>INDEX('Revenue by Customer'!$I:$I,MATCH('Full Customer List'!$B92,'Revenue by Customer'!$A:$A,0))</f>
        <v>955</v>
      </c>
      <c r="H92" s="257" t="str">
        <f>IFERROR(IF(C92="Active","",INDEX('Client Departures'!$G:$G,MATCH('Full Customer List'!$B92,'Client Departures'!$A:$A,0))),"Unclassified")</f>
        <v/>
      </c>
      <c r="I92" s="196">
        <v>45962</v>
      </c>
      <c r="J92" s="196"/>
      <c r="K92" s="192" t="str">
        <f>INDEX('Revenue by Customer'!K:K,MATCH('Full Customer List'!$B92,'Revenue by Customer'!$A:$A,0))</f>
        <v/>
      </c>
      <c r="L92" s="192" t="str">
        <f>INDEX('Revenue by Customer'!L:L,MATCH('Full Customer List'!$B92,'Revenue by Customer'!$A:$A,0))</f>
        <v/>
      </c>
      <c r="M92" s="192" t="str">
        <f>INDEX('Revenue by Customer'!M:M,MATCH('Full Customer List'!$B92,'Revenue by Customer'!$A:$A,0))</f>
        <v/>
      </c>
      <c r="N92" s="192" t="str">
        <f>INDEX('Revenue by Customer'!N:N,MATCH('Full Customer List'!$B92,'Revenue by Customer'!$A:$A,0))</f>
        <v/>
      </c>
      <c r="O92" s="192" t="str">
        <f>INDEX('Revenue by Customer'!O:O,MATCH('Full Customer List'!$B92,'Revenue by Customer'!$A:$A,0))</f>
        <v/>
      </c>
      <c r="P92" s="192" t="str">
        <f>INDEX('Revenue by Customer'!P:P,MATCH('Full Customer List'!$B92,'Revenue by Customer'!$A:$A,0))</f>
        <v/>
      </c>
      <c r="Q92" s="192" t="str">
        <f>INDEX('Revenue by Customer'!Q:Q,MATCH('Full Customer List'!$B92,'Revenue by Customer'!$A:$A,0))</f>
        <v/>
      </c>
      <c r="R92" s="192" t="str">
        <f>INDEX('Revenue by Customer'!R:R,MATCH('Full Customer List'!$B92,'Revenue by Customer'!$A:$A,0))</f>
        <v/>
      </c>
      <c r="S92" s="192" t="str">
        <f>INDEX('Revenue by Customer'!S:S,MATCH('Full Customer List'!$B92,'Revenue by Customer'!$A:$A,0))</f>
        <v/>
      </c>
      <c r="T92" s="192" t="str">
        <f>INDEX('Revenue by Customer'!T:T,MATCH('Full Customer List'!$B92,'Revenue by Customer'!$A:$A,0))</f>
        <v/>
      </c>
      <c r="U92" s="192">
        <f>INDEX('Revenue by Customer'!U:U,MATCH('Full Customer List'!$B92,'Revenue by Customer'!$A:$A,0))</f>
        <v>1468.75</v>
      </c>
      <c r="V92" s="192">
        <f>INDEX('Revenue by Customer'!V:V,MATCH('Full Customer List'!$B92,'Revenue by Customer'!$A:$A,0))</f>
        <v>1071.25</v>
      </c>
      <c r="W92" s="192">
        <f>INDEX('Revenue by Customer'!W:W,MATCH('Full Customer List'!$B92,'Revenue by Customer'!$A:$A,0))</f>
        <v>866.25</v>
      </c>
      <c r="X92" s="192">
        <f>INDEX('Revenue by Customer'!X:X,MATCH('Full Customer List'!$B92,'Revenue by Customer'!$A:$A,0))</f>
        <v>955</v>
      </c>
      <c r="Y92" s="192">
        <f>INDEX('Revenue by Customer'!Y:Y,MATCH('Full Customer List'!$B92,'Revenue by Customer'!$A:$A,0))</f>
        <v>955</v>
      </c>
      <c r="Z92" s="192">
        <f>INDEX('Revenue by Customer'!Z:Z,MATCH('Full Customer List'!$B92,'Revenue by Customer'!$A:$A,0))</f>
        <v>955</v>
      </c>
      <c r="AA92" s="192">
        <f>INDEX('Revenue by Customer'!AA:AA,MATCH('Full Customer List'!$B92,'Revenue by Customer'!$A:$A,0))</f>
        <v>955</v>
      </c>
      <c r="AB92" s="192">
        <f>INDEX('Revenue by Customer'!AB:AB,MATCH('Full Customer List'!$B92,'Revenue by Customer'!$A:$A,0))</f>
        <v>955</v>
      </c>
      <c r="AC92" s="192">
        <f>INDEX('Revenue by Customer'!AC:AC,MATCH('Full Customer List'!$B92,'Revenue by Customer'!$A:$A,0))</f>
        <v>955</v>
      </c>
    </row>
    <row r="93" spans="2:29" ht="12" customHeight="1">
      <c r="B93" s="173" t="s">
        <v>702</v>
      </c>
      <c r="C93" s="173" t="str">
        <f>INDEX('Customer List'!$B:$B,MATCH('Full Customer List'!$B93,'Customer List'!$A:$A,0))</f>
        <v>Active</v>
      </c>
      <c r="D93" s="173" t="str">
        <f>INDEX('Customer List'!$C:$C,MATCH('Full Customer List'!$B93,'Customer List'!$A:$A,0))</f>
        <v>Property manager</v>
      </c>
      <c r="E93" s="173" t="str">
        <f>INDEX('Customer List Mapping'!$C:$C,MATCH('Full Customer List'!D93,'Customer List Mapping'!$B:$B,0))</f>
        <v>Property Manager</v>
      </c>
      <c r="F93" s="192">
        <f>INDEX('Customer List'!$K:$K,MATCH('Full Customer List'!$B93,'Customer List'!$A:$A,0))</f>
        <v>8</v>
      </c>
      <c r="G93" s="192">
        <f>INDEX('Revenue by Customer'!$I:$I,MATCH('Full Customer List'!$B93,'Revenue by Customer'!$A:$A,0))</f>
        <v>922</v>
      </c>
      <c r="H93" s="257" t="str">
        <f>IFERROR(IF(C93="Active","",INDEX('Client Departures'!$G:$G,MATCH('Full Customer List'!$B93,'Client Departures'!$A:$A,0))),"Unclassified")</f>
        <v/>
      </c>
      <c r="I93" s="196">
        <v>45748</v>
      </c>
      <c r="J93" s="196"/>
      <c r="K93" s="192" t="str">
        <f>INDEX('Revenue by Customer'!K:K,MATCH('Full Customer List'!$B93,'Revenue by Customer'!$A:$A,0))</f>
        <v/>
      </c>
      <c r="L93" s="192" t="str">
        <f>INDEX('Revenue by Customer'!L:L,MATCH('Full Customer List'!$B93,'Revenue by Customer'!$A:$A,0))</f>
        <v/>
      </c>
      <c r="M93" s="192" t="str">
        <f>INDEX('Revenue by Customer'!M:M,MATCH('Full Customer List'!$B93,'Revenue by Customer'!$A:$A,0))</f>
        <v/>
      </c>
      <c r="N93" s="192">
        <f>INDEX('Revenue by Customer'!N:N,MATCH('Full Customer List'!$B93,'Revenue by Customer'!$A:$A,0))</f>
        <v>903.75</v>
      </c>
      <c r="O93" s="192">
        <f>INDEX('Revenue by Customer'!O:O,MATCH('Full Customer List'!$B93,'Revenue by Customer'!$A:$A,0))</f>
        <v>503.75</v>
      </c>
      <c r="P93" s="192">
        <f>INDEX('Revenue by Customer'!P:P,MATCH('Full Customer List'!$B93,'Revenue by Customer'!$A:$A,0))</f>
        <v>503.75</v>
      </c>
      <c r="Q93" s="192">
        <f>INDEX('Revenue by Customer'!Q:Q,MATCH('Full Customer List'!$B93,'Revenue by Customer'!$A:$A,0))</f>
        <v>575</v>
      </c>
      <c r="R93" s="192">
        <f>INDEX('Revenue by Customer'!R:R,MATCH('Full Customer List'!$B93,'Revenue by Customer'!$A:$A,0))</f>
        <v>575</v>
      </c>
      <c r="S93" s="192">
        <f>INDEX('Revenue by Customer'!S:S,MATCH('Full Customer List'!$B93,'Revenue by Customer'!$A:$A,0))</f>
        <v>575</v>
      </c>
      <c r="T93" s="192">
        <f>INDEX('Revenue by Customer'!T:T,MATCH('Full Customer List'!$B93,'Revenue by Customer'!$A:$A,0))</f>
        <v>670</v>
      </c>
      <c r="U93" s="192">
        <f>INDEX('Revenue by Customer'!U:U,MATCH('Full Customer List'!$B93,'Revenue by Customer'!$A:$A,0))</f>
        <v>575</v>
      </c>
      <c r="V93" s="192">
        <f>INDEX('Revenue by Customer'!V:V,MATCH('Full Customer List'!$B93,'Revenue by Customer'!$A:$A,0))</f>
        <v>575</v>
      </c>
      <c r="W93" s="192">
        <f>INDEX('Revenue by Customer'!W:W,MATCH('Full Customer List'!$B93,'Revenue by Customer'!$A:$A,0))</f>
        <v>860</v>
      </c>
      <c r="X93" s="192">
        <f>INDEX('Revenue by Customer'!X:X,MATCH('Full Customer List'!$B93,'Revenue by Customer'!$A:$A,0))</f>
        <v>860</v>
      </c>
      <c r="Y93" s="192">
        <f>INDEX('Revenue by Customer'!Y:Y,MATCH('Full Customer List'!$B93,'Revenue by Customer'!$A:$A,0))</f>
        <v>860</v>
      </c>
      <c r="Z93" s="192">
        <f>INDEX('Revenue by Customer'!Z:Z,MATCH('Full Customer List'!$B93,'Revenue by Customer'!$A:$A,0))</f>
        <v>806</v>
      </c>
      <c r="AA93" s="192">
        <f>INDEX('Revenue by Customer'!AA:AA,MATCH('Full Customer List'!$B93,'Revenue by Customer'!$A:$A,0))</f>
        <v>806</v>
      </c>
      <c r="AB93" s="192">
        <f>INDEX('Revenue by Customer'!AB:AB,MATCH('Full Customer List'!$B93,'Revenue by Customer'!$A:$A,0))</f>
        <v>806</v>
      </c>
      <c r="AC93" s="192">
        <f>INDEX('Revenue by Customer'!AC:AC,MATCH('Full Customer List'!$B93,'Revenue by Customer'!$A:$A,0))</f>
        <v>1154</v>
      </c>
    </row>
    <row r="94" spans="2:29" ht="12" customHeight="1">
      <c r="B94" s="173" t="s">
        <v>703</v>
      </c>
      <c r="C94" s="173" t="str">
        <f>INDEX('Customer List'!$B:$B,MATCH('Full Customer List'!$B94,'Customer List'!$A:$A,0))</f>
        <v>Active</v>
      </c>
      <c r="D94" s="173" t="str">
        <f>INDEX('Customer List'!$C:$C,MATCH('Full Customer List'!$B94,'Customer List'!$A:$A,0))</f>
        <v>Property manager</v>
      </c>
      <c r="E94" s="173" t="str">
        <f>INDEX('Customer List Mapping'!$C:$C,MATCH('Full Customer List'!D94,'Customer List Mapping'!$B:$B,0))</f>
        <v>Property Manager</v>
      </c>
      <c r="F94" s="192">
        <f>INDEX('Customer List'!$K:$K,MATCH('Full Customer List'!$B94,'Customer List'!$A:$A,0))</f>
        <v>11</v>
      </c>
      <c r="G94" s="192">
        <f>INDEX('Revenue by Customer'!$I:$I,MATCH('Full Customer List'!$B94,'Revenue by Customer'!$A:$A,0))</f>
        <v>1284</v>
      </c>
      <c r="H94" s="257" t="str">
        <f>IFERROR(IF(C94="Active","",INDEX('Client Departures'!$G:$G,MATCH('Full Customer List'!$B94,'Client Departures'!$A:$A,0))),"Unclassified")</f>
        <v/>
      </c>
      <c r="I94" s="196">
        <v>45839</v>
      </c>
      <c r="J94" s="196"/>
      <c r="K94" s="192" t="str">
        <f>INDEX('Revenue by Customer'!K:K,MATCH('Full Customer List'!$B94,'Revenue by Customer'!$A:$A,0))</f>
        <v/>
      </c>
      <c r="L94" s="192" t="str">
        <f>INDEX('Revenue by Customer'!L:L,MATCH('Full Customer List'!$B94,'Revenue by Customer'!$A:$A,0))</f>
        <v/>
      </c>
      <c r="M94" s="192" t="str">
        <f>INDEX('Revenue by Customer'!M:M,MATCH('Full Customer List'!$B94,'Revenue by Customer'!$A:$A,0))</f>
        <v/>
      </c>
      <c r="N94" s="192" t="str">
        <f>INDEX('Revenue by Customer'!N:N,MATCH('Full Customer List'!$B94,'Revenue by Customer'!$A:$A,0))</f>
        <v/>
      </c>
      <c r="O94" s="192" t="str">
        <f>INDEX('Revenue by Customer'!O:O,MATCH('Full Customer List'!$B94,'Revenue by Customer'!$A:$A,0))</f>
        <v/>
      </c>
      <c r="P94" s="192" t="str">
        <f>INDEX('Revenue by Customer'!P:P,MATCH('Full Customer List'!$B94,'Revenue by Customer'!$A:$A,0))</f>
        <v/>
      </c>
      <c r="Q94" s="192">
        <f>INDEX('Revenue by Customer'!Q:Q,MATCH('Full Customer List'!$B94,'Revenue by Customer'!$A:$A,0))</f>
        <v>740</v>
      </c>
      <c r="R94" s="192">
        <f>INDEX('Revenue by Customer'!R:R,MATCH('Full Customer List'!$B94,'Revenue by Customer'!$A:$A,0))</f>
        <v>480</v>
      </c>
      <c r="S94" s="192">
        <f>INDEX('Revenue by Customer'!S:S,MATCH('Full Customer List'!$B94,'Revenue by Customer'!$A:$A,0))</f>
        <v>470</v>
      </c>
      <c r="T94" s="192">
        <f>INDEX('Revenue by Customer'!T:T,MATCH('Full Customer List'!$B94,'Revenue by Customer'!$A:$A,0))</f>
        <v>470</v>
      </c>
      <c r="U94" s="192">
        <f>INDEX('Revenue by Customer'!U:U,MATCH('Full Customer List'!$B94,'Revenue by Customer'!$A:$A,0))</f>
        <v>470</v>
      </c>
      <c r="V94" s="192">
        <f>INDEX('Revenue by Customer'!V:V,MATCH('Full Customer List'!$B94,'Revenue by Customer'!$A:$A,0))</f>
        <v>470</v>
      </c>
      <c r="W94" s="192">
        <f>INDEX('Revenue by Customer'!W:W,MATCH('Full Customer List'!$B94,'Revenue by Customer'!$A:$A,0))</f>
        <v>505</v>
      </c>
      <c r="X94" s="192">
        <f>INDEX('Revenue by Customer'!X:X,MATCH('Full Customer List'!$B94,'Revenue by Customer'!$A:$A,0))</f>
        <v>565</v>
      </c>
      <c r="Y94" s="192">
        <f>INDEX('Revenue by Customer'!Y:Y,MATCH('Full Customer List'!$B94,'Revenue by Customer'!$A:$A,0))</f>
        <v>505</v>
      </c>
      <c r="Z94" s="192">
        <f>INDEX('Revenue by Customer'!Z:Z,MATCH('Full Customer List'!$B94,'Revenue by Customer'!$A:$A,0))</f>
        <v>1310</v>
      </c>
      <c r="AA94" s="192">
        <f>INDEX('Revenue by Customer'!AA:AA,MATCH('Full Customer List'!$B94,'Revenue by Customer'!$A:$A,0))</f>
        <v>1310</v>
      </c>
      <c r="AB94" s="192">
        <f>INDEX('Revenue by Customer'!AB:AB,MATCH('Full Customer List'!$B94,'Revenue by Customer'!$A:$A,0))</f>
        <v>1310</v>
      </c>
      <c r="AC94" s="192">
        <f>INDEX('Revenue by Customer'!AC:AC,MATCH('Full Customer List'!$B94,'Revenue by Customer'!$A:$A,0))</f>
        <v>1232</v>
      </c>
    </row>
    <row r="95" spans="2:29" ht="12" customHeight="1">
      <c r="B95" s="173" t="s">
        <v>704</v>
      </c>
      <c r="C95" s="173" t="str">
        <f>INDEX('Customer List'!$B:$B,MATCH('Full Customer List'!$B95,'Customer List'!$A:$A,0))</f>
        <v>Former client</v>
      </c>
      <c r="D95" s="173" t="str">
        <f>INDEX('Customer List'!$C:$C,MATCH('Full Customer List'!$B95,'Customer List'!$A:$A,0))</f>
        <v>Small business</v>
      </c>
      <c r="E95" s="173" t="str">
        <f>INDEX('Customer List Mapping'!$C:$C,MATCH('Full Customer List'!D95,'Customer List Mapping'!$B:$B,0))</f>
        <v>Small Business</v>
      </c>
      <c r="F95" s="192" t="str">
        <f>INDEX('Customer List'!$K:$K,MATCH('Full Customer List'!$B95,'Customer List'!$A:$A,0))</f>
        <v/>
      </c>
      <c r="G95" s="192">
        <f>INDEX('Revenue by Customer'!$I:$I,MATCH('Full Customer List'!$B95,'Revenue by Customer'!$A:$A,0))</f>
        <v>750</v>
      </c>
      <c r="H95" s="257" t="str">
        <f>IFERROR(IF(C95="Active","",INDEX('Client Departures'!$G:$G,MATCH('Full Customer List'!$B95,'Client Departures'!$A:$A,0))),"Unclassified")</f>
        <v>No</v>
      </c>
      <c r="I95" s="196">
        <v>44317</v>
      </c>
      <c r="J95" s="196">
        <v>46234</v>
      </c>
      <c r="K95" s="192">
        <f>INDEX('Revenue by Customer'!K:K,MATCH('Full Customer List'!$B95,'Revenue by Customer'!$A:$A,0))</f>
        <v>635</v>
      </c>
      <c r="L95" s="192">
        <f>INDEX('Revenue by Customer'!L:L,MATCH('Full Customer List'!$B95,'Revenue by Customer'!$A:$A,0))</f>
        <v>575</v>
      </c>
      <c r="M95" s="192">
        <f>INDEX('Revenue by Customer'!M:M,MATCH('Full Customer List'!$B95,'Revenue by Customer'!$A:$A,0))</f>
        <v>575</v>
      </c>
      <c r="N95" s="192">
        <f>INDEX('Revenue by Customer'!N:N,MATCH('Full Customer List'!$B95,'Revenue by Customer'!$A:$A,0))</f>
        <v>725</v>
      </c>
      <c r="O95" s="192">
        <f>INDEX('Revenue by Customer'!O:O,MATCH('Full Customer List'!$B95,'Revenue by Customer'!$A:$A,0))</f>
        <v>725</v>
      </c>
      <c r="P95" s="192">
        <f>INDEX('Revenue by Customer'!P:P,MATCH('Full Customer List'!$B95,'Revenue by Customer'!$A:$A,0))</f>
        <v>725</v>
      </c>
      <c r="Q95" s="192">
        <f>INDEX('Revenue by Customer'!Q:Q,MATCH('Full Customer List'!$B95,'Revenue by Customer'!$A:$A,0))</f>
        <v>725</v>
      </c>
      <c r="R95" s="192">
        <f>INDEX('Revenue by Customer'!R:R,MATCH('Full Customer List'!$B95,'Revenue by Customer'!$A:$A,0))</f>
        <v>725</v>
      </c>
      <c r="S95" s="192">
        <f>INDEX('Revenue by Customer'!S:S,MATCH('Full Customer List'!$B95,'Revenue by Customer'!$A:$A,0))</f>
        <v>725</v>
      </c>
      <c r="T95" s="192">
        <f>INDEX('Revenue by Customer'!T:T,MATCH('Full Customer List'!$B95,'Revenue by Customer'!$A:$A,0))</f>
        <v>725</v>
      </c>
      <c r="U95" s="192">
        <f>INDEX('Revenue by Customer'!U:U,MATCH('Full Customer List'!$B95,'Revenue by Customer'!$A:$A,0))</f>
        <v>725</v>
      </c>
      <c r="V95" s="192">
        <f>INDEX('Revenue by Customer'!V:V,MATCH('Full Customer List'!$B95,'Revenue by Customer'!$A:$A,0))</f>
        <v>725</v>
      </c>
      <c r="W95" s="192">
        <f>INDEX('Revenue by Customer'!W:W,MATCH('Full Customer List'!$B95,'Revenue by Customer'!$A:$A,0))</f>
        <v>725</v>
      </c>
      <c r="X95" s="192">
        <f>INDEX('Revenue by Customer'!X:X,MATCH('Full Customer List'!$B95,'Revenue by Customer'!$A:$A,0))</f>
        <v>770</v>
      </c>
      <c r="Y95" s="192">
        <f>INDEX('Revenue by Customer'!Y:Y,MATCH('Full Customer List'!$B95,'Revenue by Customer'!$A:$A,0))</f>
        <v>725</v>
      </c>
      <c r="Z95" s="192">
        <f>INDEX('Revenue by Customer'!Z:Z,MATCH('Full Customer List'!$B95,'Revenue by Customer'!$A:$A,0))</f>
        <v>750</v>
      </c>
      <c r="AA95" s="192">
        <f>INDEX('Revenue by Customer'!AA:AA,MATCH('Full Customer List'!$B95,'Revenue by Customer'!$A:$A,0))</f>
        <v>750</v>
      </c>
      <c r="AB95" s="192">
        <f>INDEX('Revenue by Customer'!AB:AB,MATCH('Full Customer List'!$B95,'Revenue by Customer'!$A:$A,0))</f>
        <v>750</v>
      </c>
      <c r="AC95" s="192">
        <f>INDEX('Revenue by Customer'!AC:AC,MATCH('Full Customer List'!$B95,'Revenue by Customer'!$A:$A,0))</f>
        <v>750</v>
      </c>
    </row>
    <row r="96" spans="2:29" ht="12" customHeight="1">
      <c r="B96" s="173" t="s">
        <v>706</v>
      </c>
      <c r="C96" s="173" t="str">
        <f>INDEX('Customer List'!$B:$B,MATCH('Full Customer List'!$B96,'Customer List'!$A:$A,0))</f>
        <v>Active</v>
      </c>
      <c r="D96" s="173" t="str">
        <f>INDEX('Customer List'!$C:$C,MATCH('Full Customer List'!$B96,'Customer List'!$A:$A,0))</f>
        <v>Property manager</v>
      </c>
      <c r="E96" s="173" t="str">
        <f>INDEX('Customer List Mapping'!$C:$C,MATCH('Full Customer List'!D96,'Customer List Mapping'!$B:$B,0))</f>
        <v>Property Manager</v>
      </c>
      <c r="F96" s="192">
        <f>INDEX('Customer List'!$K:$K,MATCH('Full Customer List'!$B96,'Customer List'!$A:$A,0))</f>
        <v>27</v>
      </c>
      <c r="G96" s="192">
        <f>INDEX('Revenue by Customer'!$I:$I,MATCH('Full Customer List'!$B96,'Revenue by Customer'!$A:$A,0))</f>
        <v>1829.6666666666667</v>
      </c>
      <c r="H96" s="257" t="str">
        <f>IFERROR(IF(C96="Active","",INDEX('Client Departures'!$G:$G,MATCH('Full Customer List'!$B96,'Client Departures'!$A:$A,0))),"Unclassified")</f>
        <v/>
      </c>
      <c r="I96" s="196">
        <v>46113</v>
      </c>
      <c r="J96" s="196"/>
      <c r="K96" s="192" t="str">
        <f>INDEX('Revenue by Customer'!K:K,MATCH('Full Customer List'!$B96,'Revenue by Customer'!$A:$A,0))</f>
        <v/>
      </c>
      <c r="L96" s="192" t="str">
        <f>INDEX('Revenue by Customer'!L:L,MATCH('Full Customer List'!$B96,'Revenue by Customer'!$A:$A,0))</f>
        <v/>
      </c>
      <c r="M96" s="192" t="str">
        <f>INDEX('Revenue by Customer'!M:M,MATCH('Full Customer List'!$B96,'Revenue by Customer'!$A:$A,0))</f>
        <v/>
      </c>
      <c r="N96" s="192" t="str">
        <f>INDEX('Revenue by Customer'!N:N,MATCH('Full Customer List'!$B96,'Revenue by Customer'!$A:$A,0))</f>
        <v/>
      </c>
      <c r="O96" s="192" t="str">
        <f>INDEX('Revenue by Customer'!O:O,MATCH('Full Customer List'!$B96,'Revenue by Customer'!$A:$A,0))</f>
        <v/>
      </c>
      <c r="P96" s="192" t="str">
        <f>INDEX('Revenue by Customer'!P:P,MATCH('Full Customer List'!$B96,'Revenue by Customer'!$A:$A,0))</f>
        <v/>
      </c>
      <c r="Q96" s="192" t="str">
        <f>INDEX('Revenue by Customer'!Q:Q,MATCH('Full Customer List'!$B96,'Revenue by Customer'!$A:$A,0))</f>
        <v/>
      </c>
      <c r="R96" s="192" t="str">
        <f>INDEX('Revenue by Customer'!R:R,MATCH('Full Customer List'!$B96,'Revenue by Customer'!$A:$A,0))</f>
        <v/>
      </c>
      <c r="S96" s="192" t="str">
        <f>INDEX('Revenue by Customer'!S:S,MATCH('Full Customer List'!$B96,'Revenue by Customer'!$A:$A,0))</f>
        <v/>
      </c>
      <c r="T96" s="192" t="str">
        <f>INDEX('Revenue by Customer'!T:T,MATCH('Full Customer List'!$B96,'Revenue by Customer'!$A:$A,0))</f>
        <v/>
      </c>
      <c r="U96" s="192" t="str">
        <f>INDEX('Revenue by Customer'!U:U,MATCH('Full Customer List'!$B96,'Revenue by Customer'!$A:$A,0))</f>
        <v/>
      </c>
      <c r="V96" s="192" t="str">
        <f>INDEX('Revenue by Customer'!V:V,MATCH('Full Customer List'!$B96,'Revenue by Customer'!$A:$A,0))</f>
        <v/>
      </c>
      <c r="W96" s="192" t="str">
        <f>INDEX('Revenue by Customer'!W:W,MATCH('Full Customer List'!$B96,'Revenue by Customer'!$A:$A,0))</f>
        <v/>
      </c>
      <c r="X96" s="192" t="str">
        <f>INDEX('Revenue by Customer'!X:X,MATCH('Full Customer List'!$B96,'Revenue by Customer'!$A:$A,0))</f>
        <v/>
      </c>
      <c r="Y96" s="192" t="str">
        <f>INDEX('Revenue by Customer'!Y:Y,MATCH('Full Customer List'!$B96,'Revenue by Customer'!$A:$A,0))</f>
        <v/>
      </c>
      <c r="Z96" s="192">
        <f>INDEX('Revenue by Customer'!Z:Z,MATCH('Full Customer List'!$B96,'Revenue by Customer'!$A:$A,0))</f>
        <v>3326</v>
      </c>
      <c r="AA96" s="192">
        <f>INDEX('Revenue by Customer'!AA:AA,MATCH('Full Customer List'!$B96,'Revenue by Customer'!$A:$A,0))</f>
        <v>1785</v>
      </c>
      <c r="AB96" s="192">
        <f>INDEX('Revenue by Customer'!AB:AB,MATCH('Full Customer List'!$B96,'Revenue by Customer'!$A:$A,0))</f>
        <v>1785</v>
      </c>
      <c r="AC96" s="192">
        <f>INDEX('Revenue by Customer'!AC:AC,MATCH('Full Customer List'!$B96,'Revenue by Customer'!$A:$A,0))</f>
        <v>1919</v>
      </c>
    </row>
    <row r="97" spans="2:29" ht="12" customHeight="1">
      <c r="B97" s="173" t="s">
        <v>707</v>
      </c>
      <c r="C97" s="173" t="str">
        <f>INDEX('Customer List'!$B:$B,MATCH('Full Customer List'!$B97,'Customer List'!$A:$A,0))</f>
        <v>Active</v>
      </c>
      <c r="D97" s="173" t="str">
        <f>INDEX('Customer List'!$C:$C,MATCH('Full Customer List'!$B97,'Customer List'!$A:$A,0))</f>
        <v>Property manager</v>
      </c>
      <c r="E97" s="173" t="str">
        <f>INDEX('Customer List Mapping'!$C:$C,MATCH('Full Customer List'!D97,'Customer List Mapping'!$B:$B,0))</f>
        <v>Property Manager</v>
      </c>
      <c r="F97" s="192">
        <f>INDEX('Customer List'!$K:$K,MATCH('Full Customer List'!$B97,'Customer List'!$A:$A,0))</f>
        <v>22</v>
      </c>
      <c r="G97" s="192">
        <f>INDEX('Revenue by Customer'!$I:$I,MATCH('Full Customer List'!$B97,'Revenue by Customer'!$A:$A,0))</f>
        <v>932.66666666666663</v>
      </c>
      <c r="H97" s="257" t="str">
        <f>IFERROR(IF(C97="Active","",INDEX('Client Departures'!$G:$G,MATCH('Full Customer List'!$B97,'Client Departures'!$A:$A,0))),"Unclassified")</f>
        <v/>
      </c>
      <c r="I97" s="196">
        <v>45717</v>
      </c>
      <c r="J97" s="196"/>
      <c r="K97" s="192" t="str">
        <f>INDEX('Revenue by Customer'!K:K,MATCH('Full Customer List'!$B97,'Revenue by Customer'!$A:$A,0))</f>
        <v/>
      </c>
      <c r="L97" s="192" t="str">
        <f>INDEX('Revenue by Customer'!L:L,MATCH('Full Customer List'!$B97,'Revenue by Customer'!$A:$A,0))</f>
        <v/>
      </c>
      <c r="M97" s="192">
        <f>INDEX('Revenue by Customer'!M:M,MATCH('Full Customer List'!$B97,'Revenue by Customer'!$A:$A,0))</f>
        <v>917.5</v>
      </c>
      <c r="N97" s="192">
        <f>INDEX('Revenue by Customer'!N:N,MATCH('Full Customer List'!$B97,'Revenue by Customer'!$A:$A,0))</f>
        <v>531.25</v>
      </c>
      <c r="O97" s="192">
        <f>INDEX('Revenue by Customer'!O:O,MATCH('Full Customer List'!$B97,'Revenue by Customer'!$A:$A,0))</f>
        <v>595</v>
      </c>
      <c r="P97" s="192">
        <f>INDEX('Revenue by Customer'!P:P,MATCH('Full Customer List'!$B97,'Revenue by Customer'!$A:$A,0))</f>
        <v>625</v>
      </c>
      <c r="Q97" s="192">
        <f>INDEX('Revenue by Customer'!Q:Q,MATCH('Full Customer List'!$B97,'Revenue by Customer'!$A:$A,0))</f>
        <v>775</v>
      </c>
      <c r="R97" s="192">
        <f>INDEX('Revenue by Customer'!R:R,MATCH('Full Customer List'!$B97,'Revenue by Customer'!$A:$A,0))</f>
        <v>775</v>
      </c>
      <c r="S97" s="192">
        <f>INDEX('Revenue by Customer'!S:S,MATCH('Full Customer List'!$B97,'Revenue by Customer'!$A:$A,0))</f>
        <v>850</v>
      </c>
      <c r="T97" s="192">
        <f>INDEX('Revenue by Customer'!T:T,MATCH('Full Customer List'!$B97,'Revenue by Customer'!$A:$A,0))</f>
        <v>850</v>
      </c>
      <c r="U97" s="192">
        <f>INDEX('Revenue by Customer'!U:U,MATCH('Full Customer List'!$B97,'Revenue by Customer'!$A:$A,0))</f>
        <v>775</v>
      </c>
      <c r="V97" s="192">
        <f>INDEX('Revenue by Customer'!V:V,MATCH('Full Customer List'!$B97,'Revenue by Customer'!$A:$A,0))</f>
        <v>625</v>
      </c>
      <c r="W97" s="192">
        <f>INDEX('Revenue by Customer'!W:W,MATCH('Full Customer List'!$B97,'Revenue by Customer'!$A:$A,0))</f>
        <v>550</v>
      </c>
      <c r="X97" s="192">
        <f>INDEX('Revenue by Customer'!X:X,MATCH('Full Customer List'!$B97,'Revenue by Customer'!$A:$A,0))</f>
        <v>745</v>
      </c>
      <c r="Y97" s="192">
        <f>INDEX('Revenue by Customer'!Y:Y,MATCH('Full Customer List'!$B97,'Revenue by Customer'!$A:$A,0))</f>
        <v>418</v>
      </c>
      <c r="Z97" s="192">
        <f>INDEX('Revenue by Customer'!Z:Z,MATCH('Full Customer List'!$B97,'Revenue by Customer'!$A:$A,0))</f>
        <v>418</v>
      </c>
      <c r="AA97" s="192">
        <f>INDEX('Revenue by Customer'!AA:AA,MATCH('Full Customer List'!$B97,'Revenue by Customer'!$A:$A,0))</f>
        <v>726</v>
      </c>
      <c r="AB97" s="192">
        <f>INDEX('Revenue by Customer'!AB:AB,MATCH('Full Customer List'!$B97,'Revenue by Customer'!$A:$A,0))</f>
        <v>957</v>
      </c>
      <c r="AC97" s="192">
        <f>INDEX('Revenue by Customer'!AC:AC,MATCH('Full Customer List'!$B97,'Revenue by Customer'!$A:$A,0))</f>
        <v>1115</v>
      </c>
    </row>
    <row r="98" spans="2:29" ht="12" customHeight="1">
      <c r="B98" s="173" t="s">
        <v>708</v>
      </c>
      <c r="C98" s="173" t="str">
        <f>INDEX('Customer List'!$B:$B,MATCH('Full Customer List'!$B98,'Customer List'!$A:$A,0))</f>
        <v>Active</v>
      </c>
      <c r="D98" s="173" t="str">
        <f>INDEX('Customer List'!$C:$C,MATCH('Full Customer List'!$B98,'Customer List'!$A:$A,0))</f>
        <v>STR owner</v>
      </c>
      <c r="E98" s="173" t="str">
        <f>INDEX('Customer List Mapping'!$C:$C,MATCH('Full Customer List'!D98,'Customer List Mapping'!$B:$B,0))</f>
        <v>STR Owner</v>
      </c>
      <c r="F98" s="192" t="str">
        <f>INDEX('Customer List'!$K:$K,MATCH('Full Customer List'!$B98,'Customer List'!$A:$A,0))</f>
        <v/>
      </c>
      <c r="G98" s="192">
        <f>INDEX('Revenue by Customer'!$I:$I,MATCH('Full Customer List'!$B98,'Revenue by Customer'!$A:$A,0))</f>
        <v>418</v>
      </c>
      <c r="H98" s="257" t="str">
        <f>IFERROR(IF(C98="Active","",INDEX('Client Departures'!$G:$G,MATCH('Full Customer List'!$B98,'Client Departures'!$A:$A,0))),"Unclassified")</f>
        <v/>
      </c>
      <c r="I98" s="196">
        <v>45292</v>
      </c>
      <c r="J98" s="196"/>
      <c r="K98" s="192">
        <f>INDEX('Revenue by Customer'!K:K,MATCH('Full Customer List'!$B98,'Revenue by Customer'!$A:$A,0))</f>
        <v>475</v>
      </c>
      <c r="L98" s="192">
        <f>INDEX('Revenue by Customer'!L:L,MATCH('Full Customer List'!$B98,'Revenue by Customer'!$A:$A,0))</f>
        <v>400</v>
      </c>
      <c r="M98" s="192">
        <f>INDEX('Revenue by Customer'!M:M,MATCH('Full Customer List'!$B98,'Revenue by Customer'!$A:$A,0))</f>
        <v>400</v>
      </c>
      <c r="N98" s="192">
        <f>INDEX('Revenue by Customer'!N:N,MATCH('Full Customer List'!$B98,'Revenue by Customer'!$A:$A,0))</f>
        <v>400</v>
      </c>
      <c r="O98" s="192">
        <f>INDEX('Revenue by Customer'!O:O,MATCH('Full Customer List'!$B98,'Revenue by Customer'!$A:$A,0))</f>
        <v>400</v>
      </c>
      <c r="P98" s="192">
        <f>INDEX('Revenue by Customer'!P:P,MATCH('Full Customer List'!$B98,'Revenue by Customer'!$A:$A,0))</f>
        <v>400</v>
      </c>
      <c r="Q98" s="192">
        <f>INDEX('Revenue by Customer'!Q:Q,MATCH('Full Customer List'!$B98,'Revenue by Customer'!$A:$A,0))</f>
        <v>400</v>
      </c>
      <c r="R98" s="192">
        <f>INDEX('Revenue by Customer'!R:R,MATCH('Full Customer List'!$B98,'Revenue by Customer'!$A:$A,0))</f>
        <v>400</v>
      </c>
      <c r="S98" s="192">
        <f>INDEX('Revenue by Customer'!S:S,MATCH('Full Customer List'!$B98,'Revenue by Customer'!$A:$A,0))</f>
        <v>1225</v>
      </c>
      <c r="T98" s="192">
        <f>INDEX('Revenue by Customer'!T:T,MATCH('Full Customer List'!$B98,'Revenue by Customer'!$A:$A,0))</f>
        <v>3090</v>
      </c>
      <c r="U98" s="192">
        <f>INDEX('Revenue by Customer'!U:U,MATCH('Full Customer List'!$B98,'Revenue by Customer'!$A:$A,0))</f>
        <v>400</v>
      </c>
      <c r="V98" s="192">
        <f>INDEX('Revenue by Customer'!V:V,MATCH('Full Customer List'!$B98,'Revenue by Customer'!$A:$A,0))</f>
        <v>400</v>
      </c>
      <c r="W98" s="192">
        <f>INDEX('Revenue by Customer'!W:W,MATCH('Full Customer List'!$B98,'Revenue by Customer'!$A:$A,0))</f>
        <v>418</v>
      </c>
      <c r="X98" s="192">
        <f>INDEX('Revenue by Customer'!X:X,MATCH('Full Customer List'!$B98,'Revenue by Customer'!$A:$A,0))</f>
        <v>583</v>
      </c>
      <c r="Y98" s="192">
        <f>INDEX('Revenue by Customer'!Y:Y,MATCH('Full Customer List'!$B98,'Revenue by Customer'!$A:$A,0))</f>
        <v>418</v>
      </c>
      <c r="Z98" s="192">
        <f>INDEX('Revenue by Customer'!Z:Z,MATCH('Full Customer List'!$B98,'Revenue by Customer'!$A:$A,0))</f>
        <v>418</v>
      </c>
      <c r="AA98" s="192">
        <f>INDEX('Revenue by Customer'!AA:AA,MATCH('Full Customer List'!$B98,'Revenue by Customer'!$A:$A,0))</f>
        <v>418</v>
      </c>
      <c r="AB98" s="192">
        <f>INDEX('Revenue by Customer'!AB:AB,MATCH('Full Customer List'!$B98,'Revenue by Customer'!$A:$A,0))</f>
        <v>418</v>
      </c>
      <c r="AC98" s="192">
        <f>INDEX('Revenue by Customer'!AC:AC,MATCH('Full Customer List'!$B98,'Revenue by Customer'!$A:$A,0))</f>
        <v>418</v>
      </c>
    </row>
    <row r="99" spans="2:29" ht="12" customHeight="1">
      <c r="B99" s="173" t="s">
        <v>711</v>
      </c>
      <c r="C99" s="173" t="str">
        <f>INDEX('Customer List'!$B:$B,MATCH('Full Customer List'!$B99,'Customer List'!$A:$A,0))</f>
        <v>Active</v>
      </c>
      <c r="D99" s="173" t="str">
        <f>INDEX('Customer List'!$C:$C,MATCH('Full Customer List'!$B99,'Customer List'!$A:$A,0))</f>
        <v>Property manager</v>
      </c>
      <c r="E99" s="173" t="str">
        <f>INDEX('Customer List Mapping'!$C:$C,MATCH('Full Customer List'!D99,'Customer List Mapping'!$B:$B,0))</f>
        <v>Property Manager</v>
      </c>
      <c r="F99" s="192">
        <f>INDEX('Customer List'!$K:$K,MATCH('Full Customer List'!$B99,'Customer List'!$A:$A,0))</f>
        <v>5</v>
      </c>
      <c r="G99" s="192">
        <f>INDEX('Revenue by Customer'!$I:$I,MATCH('Full Customer List'!$B99,'Revenue by Customer'!$A:$A,0))</f>
        <v>692</v>
      </c>
      <c r="H99" s="257" t="str">
        <f>IFERROR(IF(C99="Active","",INDEX('Client Departures'!$G:$G,MATCH('Full Customer List'!$B99,'Client Departures'!$A:$A,0))),"Unclassified")</f>
        <v/>
      </c>
      <c r="I99" s="196">
        <v>45323</v>
      </c>
      <c r="J99" s="196"/>
      <c r="K99" s="192">
        <f>INDEX('Revenue by Customer'!K:K,MATCH('Full Customer List'!$B99,'Revenue by Customer'!$A:$A,0))</f>
        <v>460</v>
      </c>
      <c r="L99" s="192">
        <f>INDEX('Revenue by Customer'!L:L,MATCH('Full Customer List'!$B99,'Revenue by Customer'!$A:$A,0))</f>
        <v>510</v>
      </c>
      <c r="M99" s="192">
        <f>INDEX('Revenue by Customer'!M:M,MATCH('Full Customer List'!$B99,'Revenue by Customer'!$A:$A,0))</f>
        <v>510</v>
      </c>
      <c r="N99" s="192">
        <f>INDEX('Revenue by Customer'!N:N,MATCH('Full Customer List'!$B99,'Revenue by Customer'!$A:$A,0))</f>
        <v>510</v>
      </c>
      <c r="O99" s="192">
        <f>INDEX('Revenue by Customer'!O:O,MATCH('Full Customer List'!$B99,'Revenue by Customer'!$A:$A,0))</f>
        <v>850</v>
      </c>
      <c r="P99" s="192">
        <f>INDEX('Revenue by Customer'!P:P,MATCH('Full Customer List'!$B99,'Revenue by Customer'!$A:$A,0))</f>
        <v>600</v>
      </c>
      <c r="Q99" s="192">
        <f>INDEX('Revenue by Customer'!Q:Q,MATCH('Full Customer List'!$B99,'Revenue by Customer'!$A:$A,0))</f>
        <v>600</v>
      </c>
      <c r="R99" s="192">
        <f>INDEX('Revenue by Customer'!R:R,MATCH('Full Customer List'!$B99,'Revenue by Customer'!$A:$A,0))</f>
        <v>690</v>
      </c>
      <c r="S99" s="192">
        <f>INDEX('Revenue by Customer'!S:S,MATCH('Full Customer List'!$B99,'Revenue by Customer'!$A:$A,0))</f>
        <v>690</v>
      </c>
      <c r="T99" s="192">
        <f>INDEX('Revenue by Customer'!T:T,MATCH('Full Customer List'!$B99,'Revenue by Customer'!$A:$A,0))</f>
        <v>780</v>
      </c>
      <c r="U99" s="192">
        <f>INDEX('Revenue by Customer'!U:U,MATCH('Full Customer List'!$B99,'Revenue by Customer'!$A:$A,0))</f>
        <v>815</v>
      </c>
      <c r="V99" s="192">
        <f>INDEX('Revenue by Customer'!V:V,MATCH('Full Customer List'!$B99,'Revenue by Customer'!$A:$A,0))</f>
        <v>815</v>
      </c>
      <c r="W99" s="192">
        <f>INDEX('Revenue by Customer'!W:W,MATCH('Full Customer List'!$B99,'Revenue by Customer'!$A:$A,0))</f>
        <v>420</v>
      </c>
      <c r="X99" s="192">
        <f>INDEX('Revenue by Customer'!X:X,MATCH('Full Customer List'!$B99,'Revenue by Customer'!$A:$A,0))</f>
        <v>909</v>
      </c>
      <c r="Y99" s="192">
        <f>INDEX('Revenue by Customer'!Y:Y,MATCH('Full Customer List'!$B99,'Revenue by Customer'!$A:$A,0))</f>
        <v>789</v>
      </c>
      <c r="Z99" s="192">
        <f>INDEX('Revenue by Customer'!Z:Z,MATCH('Full Customer List'!$B99,'Revenue by Customer'!$A:$A,0))</f>
        <v>595</v>
      </c>
      <c r="AA99" s="192">
        <f>INDEX('Revenue by Customer'!AA:AA,MATCH('Full Customer List'!$B99,'Revenue by Customer'!$A:$A,0))</f>
        <v>692</v>
      </c>
      <c r="AB99" s="192">
        <f>INDEX('Revenue by Customer'!AB:AB,MATCH('Full Customer List'!$B99,'Revenue by Customer'!$A:$A,0))</f>
        <v>692</v>
      </c>
      <c r="AC99" s="192">
        <f>INDEX('Revenue by Customer'!AC:AC,MATCH('Full Customer List'!$B99,'Revenue by Customer'!$A:$A,0))</f>
        <v>692</v>
      </c>
    </row>
    <row r="100" spans="2:29" ht="12" customHeight="1">
      <c r="B100" s="173" t="s">
        <v>712</v>
      </c>
      <c r="C100" s="173" t="str">
        <f>INDEX('Customer List'!$B:$B,MATCH('Full Customer List'!$B100,'Customer List'!$A:$A,0))</f>
        <v>Former client</v>
      </c>
      <c r="D100" s="173" t="str">
        <f>INDEX('Customer List'!$C:$C,MATCH('Full Customer List'!$B100,'Customer List'!$A:$A,0))</f>
        <v>Property manager</v>
      </c>
      <c r="E100" s="173" t="str">
        <f>INDEX('Customer List Mapping'!$C:$C,MATCH('Full Customer List'!D100,'Customer List Mapping'!$B:$B,0))</f>
        <v>Property Manager</v>
      </c>
      <c r="F100" s="192">
        <f>INDEX('Customer List'!$K:$K,MATCH('Full Customer List'!$B100,'Customer List'!$A:$A,0))</f>
        <v>90</v>
      </c>
      <c r="G100" s="192">
        <f>INDEX('Revenue by Customer'!$I:$I,MATCH('Full Customer List'!$B100,'Revenue by Customer'!$A:$A,0))</f>
        <v>2853.3333333333335</v>
      </c>
      <c r="H100" s="257" t="str">
        <f>IFERROR(IF(C100="Active","",INDEX('Client Departures'!$G:$G,MATCH('Full Customer List'!$B100,'Client Departures'!$A:$A,0))),"Unclassified")</f>
        <v>No</v>
      </c>
      <c r="I100" s="196">
        <v>45962</v>
      </c>
      <c r="J100" s="196">
        <v>46053</v>
      </c>
      <c r="K100" s="192" t="str">
        <f>INDEX('Revenue by Customer'!K:K,MATCH('Full Customer List'!$B100,'Revenue by Customer'!$A:$A,0))</f>
        <v/>
      </c>
      <c r="L100" s="192" t="str">
        <f>INDEX('Revenue by Customer'!L:L,MATCH('Full Customer List'!$B100,'Revenue by Customer'!$A:$A,0))</f>
        <v/>
      </c>
      <c r="M100" s="192" t="str">
        <f>INDEX('Revenue by Customer'!M:M,MATCH('Full Customer List'!$B100,'Revenue by Customer'!$A:$A,0))</f>
        <v/>
      </c>
      <c r="N100" s="192" t="str">
        <f>INDEX('Revenue by Customer'!N:N,MATCH('Full Customer List'!$B100,'Revenue by Customer'!$A:$A,0))</f>
        <v/>
      </c>
      <c r="O100" s="192" t="str">
        <f>INDEX('Revenue by Customer'!O:O,MATCH('Full Customer List'!$B100,'Revenue by Customer'!$A:$A,0))</f>
        <v/>
      </c>
      <c r="P100" s="192" t="str">
        <f>INDEX('Revenue by Customer'!P:P,MATCH('Full Customer List'!$B100,'Revenue by Customer'!$A:$A,0))</f>
        <v/>
      </c>
      <c r="Q100" s="192" t="str">
        <f>INDEX('Revenue by Customer'!Q:Q,MATCH('Full Customer List'!$B100,'Revenue by Customer'!$A:$A,0))</f>
        <v/>
      </c>
      <c r="R100" s="192" t="str">
        <f>INDEX('Revenue by Customer'!R:R,MATCH('Full Customer List'!$B100,'Revenue by Customer'!$A:$A,0))</f>
        <v/>
      </c>
      <c r="S100" s="192" t="str">
        <f>INDEX('Revenue by Customer'!S:S,MATCH('Full Customer List'!$B100,'Revenue by Customer'!$A:$A,0))</f>
        <v/>
      </c>
      <c r="T100" s="192" t="str">
        <f>INDEX('Revenue by Customer'!T:T,MATCH('Full Customer List'!$B100,'Revenue by Customer'!$A:$A,0))</f>
        <v/>
      </c>
      <c r="U100" s="192">
        <f>INDEX('Revenue by Customer'!U:U,MATCH('Full Customer List'!$B100,'Revenue by Customer'!$A:$A,0))</f>
        <v>3947.5</v>
      </c>
      <c r="V100" s="192">
        <f>INDEX('Revenue by Customer'!V:V,MATCH('Full Customer List'!$B100,'Revenue by Customer'!$A:$A,0))</f>
        <v>2665</v>
      </c>
      <c r="W100" s="192">
        <f>INDEX('Revenue by Customer'!W:W,MATCH('Full Customer List'!$B100,'Revenue by Customer'!$A:$A,0))</f>
        <v>1947.5</v>
      </c>
      <c r="X100" s="192">
        <f>INDEX('Revenue by Customer'!X:X,MATCH('Full Customer List'!$B100,'Revenue by Customer'!$A:$A,0))</f>
        <v>0</v>
      </c>
      <c r="Y100" s="192" t="str">
        <f>INDEX('Revenue by Customer'!Y:Y,MATCH('Full Customer List'!$B100,'Revenue by Customer'!$A:$A,0))</f>
        <v/>
      </c>
      <c r="Z100" s="192" t="str">
        <f>INDEX('Revenue by Customer'!Z:Z,MATCH('Full Customer List'!$B100,'Revenue by Customer'!$A:$A,0))</f>
        <v/>
      </c>
      <c r="AA100" s="192" t="str">
        <f>INDEX('Revenue by Customer'!AA:AA,MATCH('Full Customer List'!$B100,'Revenue by Customer'!$A:$A,0))</f>
        <v/>
      </c>
      <c r="AB100" s="192" t="str">
        <f>INDEX('Revenue by Customer'!AB:AB,MATCH('Full Customer List'!$B100,'Revenue by Customer'!$A:$A,0))</f>
        <v/>
      </c>
      <c r="AC100" s="192" t="str">
        <f>INDEX('Revenue by Customer'!AC:AC,MATCH('Full Customer List'!$B100,'Revenue by Customer'!$A:$A,0))</f>
        <v/>
      </c>
    </row>
    <row r="101" spans="2:29" ht="12" customHeight="1">
      <c r="B101" s="173" t="s">
        <v>714</v>
      </c>
      <c r="C101" s="173" t="str">
        <f>INDEX('Customer List'!$B:$B,MATCH('Full Customer List'!$B101,'Customer List'!$A:$A,0))</f>
        <v>Active</v>
      </c>
      <c r="D101" s="173" t="str">
        <f>INDEX('Customer List'!$C:$C,MATCH('Full Customer List'!$B101,'Customer List'!$A:$A,0))</f>
        <v>Property manager</v>
      </c>
      <c r="E101" s="173" t="str">
        <f>INDEX('Customer List Mapping'!$C:$C,MATCH('Full Customer List'!D101,'Customer List Mapping'!$B:$B,0))</f>
        <v>Property Manager</v>
      </c>
      <c r="F101" s="192">
        <f>INDEX('Customer List'!$K:$K,MATCH('Full Customer List'!$B101,'Customer List'!$A:$A,0))</f>
        <v>12</v>
      </c>
      <c r="G101" s="192">
        <f>INDEX('Revenue by Customer'!$I:$I,MATCH('Full Customer List'!$B101,'Revenue by Customer'!$A:$A,0))</f>
        <v>1300</v>
      </c>
      <c r="H101" s="257" t="str">
        <f>IFERROR(IF(C101="Active","",INDEX('Client Departures'!$G:$G,MATCH('Full Customer List'!$B101,'Client Departures'!$A:$A,0))),"Unclassified")</f>
        <v/>
      </c>
      <c r="I101" s="196">
        <v>45261</v>
      </c>
      <c r="J101" s="196"/>
      <c r="K101" s="192">
        <f>INDEX('Revenue by Customer'!K:K,MATCH('Full Customer List'!$B101,'Revenue by Customer'!$A:$A,0))</f>
        <v>675</v>
      </c>
      <c r="L101" s="192">
        <f>INDEX('Revenue by Customer'!L:L,MATCH('Full Customer List'!$B101,'Revenue by Customer'!$A:$A,0))</f>
        <v>495</v>
      </c>
      <c r="M101" s="192">
        <f>INDEX('Revenue by Customer'!M:M,MATCH('Full Customer List'!$B101,'Revenue by Customer'!$A:$A,0))</f>
        <v>495</v>
      </c>
      <c r="N101" s="192">
        <f>INDEX('Revenue by Customer'!N:N,MATCH('Full Customer List'!$B101,'Revenue by Customer'!$A:$A,0))</f>
        <v>425</v>
      </c>
      <c r="O101" s="192">
        <f>INDEX('Revenue by Customer'!O:O,MATCH('Full Customer List'!$B101,'Revenue by Customer'!$A:$A,0))</f>
        <v>425</v>
      </c>
      <c r="P101" s="192">
        <f>INDEX('Revenue by Customer'!P:P,MATCH('Full Customer List'!$B101,'Revenue by Customer'!$A:$A,0))</f>
        <v>425</v>
      </c>
      <c r="Q101" s="192">
        <f>INDEX('Revenue by Customer'!Q:Q,MATCH('Full Customer List'!$B101,'Revenue by Customer'!$A:$A,0))</f>
        <v>425</v>
      </c>
      <c r="R101" s="192">
        <f>INDEX('Revenue by Customer'!R:R,MATCH('Full Customer List'!$B101,'Revenue by Customer'!$A:$A,0))</f>
        <v>425</v>
      </c>
      <c r="S101" s="192">
        <f>INDEX('Revenue by Customer'!S:S,MATCH('Full Customer List'!$B101,'Revenue by Customer'!$A:$A,0))</f>
        <v>425</v>
      </c>
      <c r="T101" s="192">
        <f>INDEX('Revenue by Customer'!T:T,MATCH('Full Customer List'!$B101,'Revenue by Customer'!$A:$A,0))</f>
        <v>425</v>
      </c>
      <c r="U101" s="192">
        <f>INDEX('Revenue by Customer'!U:U,MATCH('Full Customer List'!$B101,'Revenue by Customer'!$A:$A,0))</f>
        <v>425</v>
      </c>
      <c r="V101" s="192">
        <f>INDEX('Revenue by Customer'!V:V,MATCH('Full Customer List'!$B101,'Revenue by Customer'!$A:$A,0))</f>
        <v>450</v>
      </c>
      <c r="W101" s="192">
        <f>INDEX('Revenue by Customer'!W:W,MATCH('Full Customer List'!$B101,'Revenue by Customer'!$A:$A,0))</f>
        <v>615</v>
      </c>
      <c r="X101" s="192">
        <f>INDEX('Revenue by Customer'!X:X,MATCH('Full Customer List'!$B101,'Revenue by Customer'!$A:$A,0))</f>
        <v>450</v>
      </c>
      <c r="Y101" s="192">
        <f>INDEX('Revenue by Customer'!Y:Y,MATCH('Full Customer List'!$B101,'Revenue by Customer'!$A:$A,0))</f>
        <v>630</v>
      </c>
      <c r="Z101" s="192">
        <f>INDEX('Revenue by Customer'!Z:Z,MATCH('Full Customer List'!$B101,'Revenue by Customer'!$A:$A,0))</f>
        <v>630</v>
      </c>
      <c r="AA101" s="192">
        <f>INDEX('Revenue by Customer'!AA:AA,MATCH('Full Customer List'!$B101,'Revenue by Customer'!$A:$A,0))</f>
        <v>1020</v>
      </c>
      <c r="AB101" s="192">
        <f>INDEX('Revenue by Customer'!AB:AB,MATCH('Full Customer List'!$B101,'Revenue by Customer'!$A:$A,0))</f>
        <v>1440</v>
      </c>
      <c r="AC101" s="192">
        <f>INDEX('Revenue by Customer'!AC:AC,MATCH('Full Customer List'!$B101,'Revenue by Customer'!$A:$A,0))</f>
        <v>1440</v>
      </c>
    </row>
    <row r="102" spans="2:29" ht="12" customHeight="1">
      <c r="B102" s="173" t="s">
        <v>715</v>
      </c>
      <c r="C102" s="173" t="str">
        <f>INDEX('Customer List'!$B:$B,MATCH('Full Customer List'!$B102,'Customer List'!$A:$A,0))</f>
        <v>Active</v>
      </c>
      <c r="D102" s="173" t="str">
        <f>INDEX('Customer List'!$C:$C,MATCH('Full Customer List'!$B102,'Customer List'!$A:$A,0))</f>
        <v>Property manager</v>
      </c>
      <c r="E102" s="173" t="str">
        <f>INDEX('Customer List Mapping'!$C:$C,MATCH('Full Customer List'!D102,'Customer List Mapping'!$B:$B,0))</f>
        <v>Property Manager</v>
      </c>
      <c r="F102" s="192">
        <f>INDEX('Customer List'!$K:$K,MATCH('Full Customer List'!$B102,'Customer List'!$A:$A,0))</f>
        <v>12</v>
      </c>
      <c r="G102" s="192">
        <f>INDEX('Revenue by Customer'!$I:$I,MATCH('Full Customer List'!$B102,'Revenue by Customer'!$A:$A,0))</f>
        <v>726.66666666666663</v>
      </c>
      <c r="H102" s="257" t="str">
        <f>IFERROR(IF(C102="Active","",INDEX('Client Departures'!$G:$G,MATCH('Full Customer List'!$B102,'Client Departures'!$A:$A,0))),"Unclassified")</f>
        <v/>
      </c>
      <c r="I102" s="196">
        <v>45474</v>
      </c>
      <c r="J102" s="196"/>
      <c r="K102" s="192">
        <f>INDEX('Revenue by Customer'!K:K,MATCH('Full Customer List'!$B102,'Revenue by Customer'!$A:$A,0))</f>
        <v>560</v>
      </c>
      <c r="L102" s="192">
        <f>INDEX('Revenue by Customer'!L:L,MATCH('Full Customer List'!$B102,'Revenue by Customer'!$A:$A,0))</f>
        <v>560</v>
      </c>
      <c r="M102" s="192">
        <f>INDEX('Revenue by Customer'!M:M,MATCH('Full Customer List'!$B102,'Revenue by Customer'!$A:$A,0))</f>
        <v>560</v>
      </c>
      <c r="N102" s="192">
        <f>INDEX('Revenue by Customer'!N:N,MATCH('Full Customer List'!$B102,'Revenue by Customer'!$A:$A,0))</f>
        <v>560</v>
      </c>
      <c r="O102" s="192">
        <f>INDEX('Revenue by Customer'!O:O,MATCH('Full Customer List'!$B102,'Revenue by Customer'!$A:$A,0))</f>
        <v>560</v>
      </c>
      <c r="P102" s="192">
        <f>INDEX('Revenue by Customer'!P:P,MATCH('Full Customer List'!$B102,'Revenue by Customer'!$A:$A,0))</f>
        <v>560</v>
      </c>
      <c r="Q102" s="192">
        <f>INDEX('Revenue by Customer'!Q:Q,MATCH('Full Customer List'!$B102,'Revenue by Customer'!$A:$A,0))</f>
        <v>595</v>
      </c>
      <c r="R102" s="192">
        <f>INDEX('Revenue by Customer'!R:R,MATCH('Full Customer List'!$B102,'Revenue by Customer'!$A:$A,0))</f>
        <v>595</v>
      </c>
      <c r="S102" s="192">
        <f>INDEX('Revenue by Customer'!S:S,MATCH('Full Customer List'!$B102,'Revenue by Customer'!$A:$A,0))</f>
        <v>595</v>
      </c>
      <c r="T102" s="192">
        <f>INDEX('Revenue by Customer'!T:T,MATCH('Full Customer List'!$B102,'Revenue by Customer'!$A:$A,0))</f>
        <v>660</v>
      </c>
      <c r="U102" s="192">
        <f>INDEX('Revenue by Customer'!U:U,MATCH('Full Customer List'!$B102,'Revenue by Customer'!$A:$A,0))</f>
        <v>660</v>
      </c>
      <c r="V102" s="192">
        <f>INDEX('Revenue by Customer'!V:V,MATCH('Full Customer List'!$B102,'Revenue by Customer'!$A:$A,0))</f>
        <v>660</v>
      </c>
      <c r="W102" s="192">
        <f>INDEX('Revenue by Customer'!W:W,MATCH('Full Customer List'!$B102,'Revenue by Customer'!$A:$A,0))</f>
        <v>725</v>
      </c>
      <c r="X102" s="192">
        <f>INDEX('Revenue by Customer'!X:X,MATCH('Full Customer List'!$B102,'Revenue by Customer'!$A:$A,0))</f>
        <v>725</v>
      </c>
      <c r="Y102" s="192">
        <f>INDEX('Revenue by Customer'!Y:Y,MATCH('Full Customer List'!$B102,'Revenue by Customer'!$A:$A,0))</f>
        <v>725</v>
      </c>
      <c r="Z102" s="192">
        <f>INDEX('Revenue by Customer'!Z:Z,MATCH('Full Customer List'!$B102,'Revenue by Customer'!$A:$A,0))</f>
        <v>725</v>
      </c>
      <c r="AA102" s="192">
        <f>INDEX('Revenue by Customer'!AA:AA,MATCH('Full Customer List'!$B102,'Revenue by Customer'!$A:$A,0))</f>
        <v>725</v>
      </c>
      <c r="AB102" s="192">
        <f>INDEX('Revenue by Customer'!AB:AB,MATCH('Full Customer List'!$B102,'Revenue by Customer'!$A:$A,0))</f>
        <v>725</v>
      </c>
      <c r="AC102" s="192">
        <f>INDEX('Revenue by Customer'!AC:AC,MATCH('Full Customer List'!$B102,'Revenue by Customer'!$A:$A,0))</f>
        <v>730</v>
      </c>
    </row>
    <row r="103" spans="2:29" ht="12" customHeight="1">
      <c r="B103" s="173" t="s">
        <v>716</v>
      </c>
      <c r="C103" s="173" t="str">
        <f>INDEX('Customer List'!$B:$B,MATCH('Full Customer List'!$B103,'Customer List'!$A:$A,0))</f>
        <v>Former client</v>
      </c>
      <c r="D103" s="173" t="str">
        <f>INDEX('Customer List'!$C:$C,MATCH('Full Customer List'!$B103,'Customer List'!$A:$A,0))</f>
        <v>Property manager</v>
      </c>
      <c r="E103" s="173" t="str">
        <f>INDEX('Customer List Mapping'!$C:$C,MATCH('Full Customer List'!D103,'Customer List Mapping'!$B:$B,0))</f>
        <v>Property Manager</v>
      </c>
      <c r="F103" s="192">
        <f>INDEX('Customer List'!$K:$K,MATCH('Full Customer List'!$B103,'Customer List'!$A:$A,0))</f>
        <v>48</v>
      </c>
      <c r="G103" s="192">
        <f>INDEX('Revenue by Customer'!$I:$I,MATCH('Full Customer List'!$B103,'Revenue by Customer'!$A:$A,0))</f>
        <v>2715</v>
      </c>
      <c r="H103" s="257" t="str">
        <f>IFERROR(IF(C103="Active","",INDEX('Client Departures'!$G:$G,MATCH('Full Customer List'!$B103,'Client Departures'!$A:$A,0))),"Unclassified")</f>
        <v>Yes</v>
      </c>
      <c r="I103" s="196">
        <v>45689</v>
      </c>
      <c r="J103" s="196">
        <v>45869</v>
      </c>
      <c r="K103" s="192" t="str">
        <f>INDEX('Revenue by Customer'!K:K,MATCH('Full Customer List'!$B103,'Revenue by Customer'!$A:$A,0))</f>
        <v/>
      </c>
      <c r="L103" s="192">
        <f>INDEX('Revenue by Customer'!L:L,MATCH('Full Customer List'!$B103,'Revenue by Customer'!$A:$A,0))</f>
        <v>1620</v>
      </c>
      <c r="M103" s="192">
        <f>INDEX('Revenue by Customer'!M:M,MATCH('Full Customer List'!$B103,'Revenue by Customer'!$A:$A,0))</f>
        <v>2380</v>
      </c>
      <c r="N103" s="192">
        <f>INDEX('Revenue by Customer'!N:N,MATCH('Full Customer List'!$B103,'Revenue by Customer'!$A:$A,0))</f>
        <v>1800</v>
      </c>
      <c r="O103" s="192">
        <f>INDEX('Revenue by Customer'!O:O,MATCH('Full Customer List'!$B103,'Revenue by Customer'!$A:$A,0))</f>
        <v>2100</v>
      </c>
      <c r="P103" s="192">
        <f>INDEX('Revenue by Customer'!P:P,MATCH('Full Customer List'!$B103,'Revenue by Customer'!$A:$A,0))</f>
        <v>2563.5</v>
      </c>
      <c r="Q103" s="192">
        <f>INDEX('Revenue by Customer'!Q:Q,MATCH('Full Customer List'!$B103,'Revenue by Customer'!$A:$A,0))</f>
        <v>468.5</v>
      </c>
      <c r="R103" s="192" t="str">
        <f>INDEX('Revenue by Customer'!R:R,MATCH('Full Customer List'!$B103,'Revenue by Customer'!$A:$A,0))</f>
        <v/>
      </c>
      <c r="S103" s="192" t="str">
        <f>INDEX('Revenue by Customer'!S:S,MATCH('Full Customer List'!$B103,'Revenue by Customer'!$A:$A,0))</f>
        <v/>
      </c>
      <c r="T103" s="192" t="str">
        <f>INDEX('Revenue by Customer'!T:T,MATCH('Full Customer List'!$B103,'Revenue by Customer'!$A:$A,0))</f>
        <v/>
      </c>
      <c r="U103" s="192" t="str">
        <f>INDEX('Revenue by Customer'!U:U,MATCH('Full Customer List'!$B103,'Revenue by Customer'!$A:$A,0))</f>
        <v/>
      </c>
      <c r="V103" s="192" t="str">
        <f>INDEX('Revenue by Customer'!V:V,MATCH('Full Customer List'!$B103,'Revenue by Customer'!$A:$A,0))</f>
        <v/>
      </c>
      <c r="W103" s="192" t="str">
        <f>INDEX('Revenue by Customer'!W:W,MATCH('Full Customer List'!$B103,'Revenue by Customer'!$A:$A,0))</f>
        <v/>
      </c>
      <c r="X103" s="192" t="str">
        <f>INDEX('Revenue by Customer'!X:X,MATCH('Full Customer List'!$B103,'Revenue by Customer'!$A:$A,0))</f>
        <v/>
      </c>
      <c r="Y103" s="192" t="str">
        <f>INDEX('Revenue by Customer'!Y:Y,MATCH('Full Customer List'!$B103,'Revenue by Customer'!$A:$A,0))</f>
        <v/>
      </c>
      <c r="Z103" s="192" t="str">
        <f>INDEX('Revenue by Customer'!Z:Z,MATCH('Full Customer List'!$B103,'Revenue by Customer'!$A:$A,0))</f>
        <v/>
      </c>
      <c r="AA103" s="192">
        <f>INDEX('Revenue by Customer'!AA:AA,MATCH('Full Customer List'!$B103,'Revenue by Customer'!$A:$A,0))</f>
        <v>4145</v>
      </c>
      <c r="AB103" s="192">
        <f>INDEX('Revenue by Customer'!AB:AB,MATCH('Full Customer List'!$B103,'Revenue by Customer'!$A:$A,0))</f>
        <v>2000</v>
      </c>
      <c r="AC103" s="192">
        <f>INDEX('Revenue by Customer'!AC:AC,MATCH('Full Customer List'!$B103,'Revenue by Customer'!$A:$A,0))</f>
        <v>2000</v>
      </c>
    </row>
    <row r="104" spans="2:29" ht="12" customHeight="1">
      <c r="B104" s="173" t="s">
        <v>717</v>
      </c>
      <c r="C104" s="173" t="str">
        <f>INDEX('Customer List'!$B:$B,MATCH('Full Customer List'!$B104,'Customer List'!$A:$A,0))</f>
        <v>Active</v>
      </c>
      <c r="D104" s="173" t="str">
        <f>INDEX('Customer List'!$C:$C,MATCH('Full Customer List'!$B104,'Customer List'!$A:$A,0))</f>
        <v>Property manager</v>
      </c>
      <c r="E104" s="173" t="str">
        <f>INDEX('Customer List Mapping'!$C:$C,MATCH('Full Customer List'!D104,'Customer List Mapping'!$B:$B,0))</f>
        <v>Property Manager</v>
      </c>
      <c r="F104" s="192">
        <f>INDEX('Customer List'!$K:$K,MATCH('Full Customer List'!$B104,'Customer List'!$A:$A,0))</f>
        <v>12</v>
      </c>
      <c r="G104" s="192">
        <f>INDEX('Revenue by Customer'!$I:$I,MATCH('Full Customer List'!$B104,'Revenue by Customer'!$A:$A,0))</f>
        <v>775</v>
      </c>
      <c r="H104" s="257" t="str">
        <f>IFERROR(IF(C104="Active","",INDEX('Client Departures'!$G:$G,MATCH('Full Customer List'!$B104,'Client Departures'!$A:$A,0))),"Unclassified")</f>
        <v/>
      </c>
      <c r="I104" s="196">
        <v>45505</v>
      </c>
      <c r="J104" s="196"/>
      <c r="K104" s="192">
        <f>INDEX('Revenue by Customer'!K:K,MATCH('Full Customer List'!$B104,'Revenue by Customer'!$A:$A,0))</f>
        <v>395</v>
      </c>
      <c r="L104" s="192">
        <f>INDEX('Revenue by Customer'!L:L,MATCH('Full Customer List'!$B104,'Revenue by Customer'!$A:$A,0))</f>
        <v>395</v>
      </c>
      <c r="M104" s="192">
        <f>INDEX('Revenue by Customer'!M:M,MATCH('Full Customer List'!$B104,'Revenue by Customer'!$A:$A,0))</f>
        <v>395</v>
      </c>
      <c r="N104" s="192">
        <f>INDEX('Revenue by Customer'!N:N,MATCH('Full Customer List'!$B104,'Revenue by Customer'!$A:$A,0))</f>
        <v>395</v>
      </c>
      <c r="O104" s="192">
        <f>INDEX('Revenue by Customer'!O:O,MATCH('Full Customer List'!$B104,'Revenue by Customer'!$A:$A,0))</f>
        <v>395</v>
      </c>
      <c r="P104" s="192">
        <f>INDEX('Revenue by Customer'!P:P,MATCH('Full Customer List'!$B104,'Revenue by Customer'!$A:$A,0))</f>
        <v>395</v>
      </c>
      <c r="Q104" s="192">
        <f>INDEX('Revenue by Customer'!Q:Q,MATCH('Full Customer List'!$B104,'Revenue by Customer'!$A:$A,0))</f>
        <v>395</v>
      </c>
      <c r="R104" s="192">
        <f>INDEX('Revenue by Customer'!R:R,MATCH('Full Customer List'!$B104,'Revenue by Customer'!$A:$A,0))</f>
        <v>440</v>
      </c>
      <c r="S104" s="192">
        <f>INDEX('Revenue by Customer'!S:S,MATCH('Full Customer List'!$B104,'Revenue by Customer'!$A:$A,0))</f>
        <v>350</v>
      </c>
      <c r="T104" s="192">
        <f>INDEX('Revenue by Customer'!T:T,MATCH('Full Customer List'!$B104,'Revenue by Customer'!$A:$A,0))</f>
        <v>350</v>
      </c>
      <c r="U104" s="192">
        <f>INDEX('Revenue by Customer'!U:U,MATCH('Full Customer List'!$B104,'Revenue by Customer'!$A:$A,0))</f>
        <v>350</v>
      </c>
      <c r="V104" s="192">
        <f>INDEX('Revenue by Customer'!V:V,MATCH('Full Customer List'!$B104,'Revenue by Customer'!$A:$A,0))</f>
        <v>425</v>
      </c>
      <c r="W104" s="192">
        <f>INDEX('Revenue by Customer'!W:W,MATCH('Full Customer List'!$B104,'Revenue by Customer'!$A:$A,0))</f>
        <v>500</v>
      </c>
      <c r="X104" s="192">
        <f>INDEX('Revenue by Customer'!X:X,MATCH('Full Customer List'!$B104,'Revenue by Customer'!$A:$A,0))</f>
        <v>1775</v>
      </c>
      <c r="Y104" s="192">
        <f>INDEX('Revenue by Customer'!Y:Y,MATCH('Full Customer List'!$B104,'Revenue by Customer'!$A:$A,0))</f>
        <v>800</v>
      </c>
      <c r="Z104" s="192">
        <f>INDEX('Revenue by Customer'!Z:Z,MATCH('Full Customer List'!$B104,'Revenue by Customer'!$A:$A,0))</f>
        <v>725</v>
      </c>
      <c r="AA104" s="192">
        <f>INDEX('Revenue by Customer'!AA:AA,MATCH('Full Customer List'!$B104,'Revenue by Customer'!$A:$A,0))</f>
        <v>725</v>
      </c>
      <c r="AB104" s="192">
        <f>INDEX('Revenue by Customer'!AB:AB,MATCH('Full Customer List'!$B104,'Revenue by Customer'!$A:$A,0))</f>
        <v>725</v>
      </c>
      <c r="AC104" s="192">
        <f>INDEX('Revenue by Customer'!AC:AC,MATCH('Full Customer List'!$B104,'Revenue by Customer'!$A:$A,0))</f>
        <v>875</v>
      </c>
    </row>
    <row r="105" spans="2:29" ht="12" customHeight="1">
      <c r="B105" s="173" t="s">
        <v>718</v>
      </c>
      <c r="C105" s="173" t="str">
        <f>INDEX('Customer List'!$B:$B,MATCH('Full Customer List'!$B105,'Customer List'!$A:$A,0))</f>
        <v>Active</v>
      </c>
      <c r="D105" s="173" t="str">
        <f>INDEX('Customer List'!$C:$C,MATCH('Full Customer List'!$B105,'Customer List'!$A:$A,0))</f>
        <v>Property manager</v>
      </c>
      <c r="E105" s="173" t="str">
        <f>INDEX('Customer List Mapping'!$C:$C,MATCH('Full Customer List'!D105,'Customer List Mapping'!$B:$B,0))</f>
        <v>Property Manager</v>
      </c>
      <c r="F105" s="192">
        <f>INDEX('Customer List'!$K:$K,MATCH('Full Customer List'!$B105,'Customer List'!$A:$A,0))</f>
        <v>7</v>
      </c>
      <c r="G105" s="192">
        <f>INDEX('Revenue by Customer'!$I:$I,MATCH('Full Customer List'!$B105,'Revenue by Customer'!$A:$A,0))</f>
        <v>813.33333333333337</v>
      </c>
      <c r="H105" s="257" t="str">
        <f>IFERROR(IF(C105="Active","",INDEX('Client Departures'!$G:$G,MATCH('Full Customer List'!$B105,'Client Departures'!$A:$A,0))),"Unclassified")</f>
        <v/>
      </c>
      <c r="I105" s="196">
        <v>45566</v>
      </c>
      <c r="J105" s="196"/>
      <c r="K105" s="192">
        <f>INDEX('Revenue by Customer'!K:K,MATCH('Full Customer List'!$B105,'Revenue by Customer'!$A:$A,0))</f>
        <v>466</v>
      </c>
      <c r="L105" s="192">
        <f>INDEX('Revenue by Customer'!L:L,MATCH('Full Customer List'!$B105,'Revenue by Customer'!$A:$A,0))</f>
        <v>466</v>
      </c>
      <c r="M105" s="192">
        <f>INDEX('Revenue by Customer'!M:M,MATCH('Full Customer List'!$B105,'Revenue by Customer'!$A:$A,0))</f>
        <v>466</v>
      </c>
      <c r="N105" s="192">
        <f>INDEX('Revenue by Customer'!N:N,MATCH('Full Customer List'!$B105,'Revenue by Customer'!$A:$A,0))</f>
        <v>387</v>
      </c>
      <c r="O105" s="192">
        <f>INDEX('Revenue by Customer'!O:O,MATCH('Full Customer List'!$B105,'Revenue by Customer'!$A:$A,0))</f>
        <v>387</v>
      </c>
      <c r="P105" s="192">
        <f>INDEX('Revenue by Customer'!P:P,MATCH('Full Customer List'!$B105,'Revenue by Customer'!$A:$A,0))</f>
        <v>387</v>
      </c>
      <c r="Q105" s="192">
        <f>INDEX('Revenue by Customer'!Q:Q,MATCH('Full Customer List'!$B105,'Revenue by Customer'!$A:$A,0))</f>
        <v>387</v>
      </c>
      <c r="R105" s="192">
        <f>INDEX('Revenue by Customer'!R:R,MATCH('Full Customer List'!$B105,'Revenue by Customer'!$A:$A,0))</f>
        <v>387</v>
      </c>
      <c r="S105" s="192">
        <f>INDEX('Revenue by Customer'!S:S,MATCH('Full Customer List'!$B105,'Revenue by Customer'!$A:$A,0))</f>
        <v>387</v>
      </c>
      <c r="T105" s="192">
        <f>INDEX('Revenue by Customer'!T:T,MATCH('Full Customer List'!$B105,'Revenue by Customer'!$A:$A,0))</f>
        <v>500</v>
      </c>
      <c r="U105" s="192">
        <f>INDEX('Revenue by Customer'!U:U,MATCH('Full Customer List'!$B105,'Revenue by Customer'!$A:$A,0))</f>
        <v>560</v>
      </c>
      <c r="V105" s="192">
        <f>INDEX('Revenue by Customer'!V:V,MATCH('Full Customer List'!$B105,'Revenue by Customer'!$A:$A,0))</f>
        <v>645</v>
      </c>
      <c r="W105" s="192">
        <f>INDEX('Revenue by Customer'!W:W,MATCH('Full Customer List'!$B105,'Revenue by Customer'!$A:$A,0))</f>
        <v>900</v>
      </c>
      <c r="X105" s="192">
        <f>INDEX('Revenue by Customer'!X:X,MATCH('Full Customer List'!$B105,'Revenue by Customer'!$A:$A,0))</f>
        <v>730</v>
      </c>
      <c r="Y105" s="192">
        <f>INDEX('Revenue by Customer'!Y:Y,MATCH('Full Customer List'!$B105,'Revenue by Customer'!$A:$A,0))</f>
        <v>730</v>
      </c>
      <c r="Z105" s="192">
        <f>INDEX('Revenue by Customer'!Z:Z,MATCH('Full Customer List'!$B105,'Revenue by Customer'!$A:$A,0))</f>
        <v>730</v>
      </c>
      <c r="AA105" s="192">
        <f>INDEX('Revenue by Customer'!AA:AA,MATCH('Full Customer List'!$B105,'Revenue by Customer'!$A:$A,0))</f>
        <v>730</v>
      </c>
      <c r="AB105" s="192">
        <f>INDEX('Revenue by Customer'!AB:AB,MATCH('Full Customer List'!$B105,'Revenue by Customer'!$A:$A,0))</f>
        <v>980</v>
      </c>
      <c r="AC105" s="192">
        <f>INDEX('Revenue by Customer'!AC:AC,MATCH('Full Customer List'!$B105,'Revenue by Customer'!$A:$A,0))</f>
        <v>730</v>
      </c>
    </row>
    <row r="106" spans="2:29" ht="12" customHeight="1">
      <c r="B106" s="173" t="s">
        <v>719</v>
      </c>
      <c r="C106" s="173" t="str">
        <f>INDEX('Customer List'!$B:$B,MATCH('Full Customer List'!$B106,'Customer List'!$A:$A,0))</f>
        <v>Onboarding</v>
      </c>
      <c r="D106" s="173" t="str">
        <f>INDEX('Customer List'!$C:$C,MATCH('Full Customer List'!$B106,'Customer List'!$A:$A,0))</f>
        <v>Property manager</v>
      </c>
      <c r="E106" s="173" t="str">
        <f>INDEX('Customer List Mapping'!$C:$C,MATCH('Full Customer List'!D106,'Customer List Mapping'!$B:$B,0))</f>
        <v>Property Manager</v>
      </c>
      <c r="F106" s="192">
        <f>INDEX('Customer List'!$K:$K,MATCH('Full Customer List'!$B106,'Customer List'!$A:$A,0))</f>
        <v>79</v>
      </c>
      <c r="G106" s="192">
        <f>INDEX('Revenue by Customer'!$I:$I,MATCH('Full Customer List'!$B106,'Revenue by Customer'!$A:$A,0))</f>
        <v>1600</v>
      </c>
      <c r="H106" s="257" t="str">
        <f>IFERROR(IF(C106="Active","",INDEX('Client Departures'!$G:$G,MATCH('Full Customer List'!$B106,'Client Departures'!$A:$A,0))),"Unclassified")</f>
        <v>Unclassified</v>
      </c>
      <c r="I106" s="196">
        <v>46113</v>
      </c>
      <c r="J106" s="196"/>
      <c r="K106" s="192" t="str">
        <f>INDEX('Revenue by Customer'!K:K,MATCH('Full Customer List'!$B106,'Revenue by Customer'!$A:$A,0))</f>
        <v/>
      </c>
      <c r="L106" s="192" t="str">
        <f>INDEX('Revenue by Customer'!L:L,MATCH('Full Customer List'!$B106,'Revenue by Customer'!$A:$A,0))</f>
        <v/>
      </c>
      <c r="M106" s="192" t="str">
        <f>INDEX('Revenue by Customer'!M:M,MATCH('Full Customer List'!$B106,'Revenue by Customer'!$A:$A,0))</f>
        <v/>
      </c>
      <c r="N106" s="192" t="str">
        <f>INDEX('Revenue by Customer'!N:N,MATCH('Full Customer List'!$B106,'Revenue by Customer'!$A:$A,0))</f>
        <v/>
      </c>
      <c r="O106" s="192" t="str">
        <f>INDEX('Revenue by Customer'!O:O,MATCH('Full Customer List'!$B106,'Revenue by Customer'!$A:$A,0))</f>
        <v/>
      </c>
      <c r="P106" s="192" t="str">
        <f>INDEX('Revenue by Customer'!P:P,MATCH('Full Customer List'!$B106,'Revenue by Customer'!$A:$A,0))</f>
        <v/>
      </c>
      <c r="Q106" s="192" t="str">
        <f>INDEX('Revenue by Customer'!Q:Q,MATCH('Full Customer List'!$B106,'Revenue by Customer'!$A:$A,0))</f>
        <v/>
      </c>
      <c r="R106" s="192" t="str">
        <f>INDEX('Revenue by Customer'!R:R,MATCH('Full Customer List'!$B106,'Revenue by Customer'!$A:$A,0))</f>
        <v/>
      </c>
      <c r="S106" s="192" t="str">
        <f>INDEX('Revenue by Customer'!S:S,MATCH('Full Customer List'!$B106,'Revenue by Customer'!$A:$A,0))</f>
        <v/>
      </c>
      <c r="T106" s="192" t="str">
        <f>INDEX('Revenue by Customer'!T:T,MATCH('Full Customer List'!$B106,'Revenue by Customer'!$A:$A,0))</f>
        <v/>
      </c>
      <c r="U106" s="192" t="str">
        <f>INDEX('Revenue by Customer'!U:U,MATCH('Full Customer List'!$B106,'Revenue by Customer'!$A:$A,0))</f>
        <v/>
      </c>
      <c r="V106" s="192" t="str">
        <f>INDEX('Revenue by Customer'!V:V,MATCH('Full Customer List'!$B106,'Revenue by Customer'!$A:$A,0))</f>
        <v/>
      </c>
      <c r="W106" s="192" t="str">
        <f>INDEX('Revenue by Customer'!W:W,MATCH('Full Customer List'!$B106,'Revenue by Customer'!$A:$A,0))</f>
        <v/>
      </c>
      <c r="X106" s="192" t="str">
        <f>INDEX('Revenue by Customer'!X:X,MATCH('Full Customer List'!$B106,'Revenue by Customer'!$A:$A,0))</f>
        <v/>
      </c>
      <c r="Y106" s="192" t="str">
        <f>INDEX('Revenue by Customer'!Y:Y,MATCH('Full Customer List'!$B106,'Revenue by Customer'!$A:$A,0))</f>
        <v/>
      </c>
      <c r="Z106" s="192">
        <f>INDEX('Revenue by Customer'!Z:Z,MATCH('Full Customer List'!$B106,'Revenue by Customer'!$A:$A,0))</f>
        <v>3160</v>
      </c>
      <c r="AA106" s="192">
        <f>INDEX('Revenue by Customer'!AA:AA,MATCH('Full Customer List'!$B106,'Revenue by Customer'!$A:$A,0))</f>
        <v>1640</v>
      </c>
      <c r="AB106" s="192">
        <f>INDEX('Revenue by Customer'!AB:AB,MATCH('Full Customer List'!$B106,'Revenue by Customer'!$A:$A,0))</f>
        <v>1580</v>
      </c>
      <c r="AC106" s="192">
        <f>INDEX('Revenue by Customer'!AC:AC,MATCH('Full Customer List'!$B106,'Revenue by Customer'!$A:$A,0))</f>
        <v>1580</v>
      </c>
    </row>
    <row r="107" spans="2:29" ht="12" customHeight="1">
      <c r="B107" s="173" t="s">
        <v>722</v>
      </c>
      <c r="C107" s="173" t="str">
        <f>INDEX('Customer List'!$B:$B,MATCH('Full Customer List'!$B107,'Customer List'!$A:$A,0))</f>
        <v>Active</v>
      </c>
      <c r="D107" s="173" t="str">
        <f>INDEX('Customer List'!$C:$C,MATCH('Full Customer List'!$B107,'Customer List'!$A:$A,0))</f>
        <v>Property manager</v>
      </c>
      <c r="E107" s="173" t="str">
        <f>INDEX('Customer List Mapping'!$C:$C,MATCH('Full Customer List'!D107,'Customer List Mapping'!$B:$B,0))</f>
        <v>Property Manager</v>
      </c>
      <c r="F107" s="192">
        <f>INDEX('Customer List'!$K:$K,MATCH('Full Customer List'!$B107,'Customer List'!$A:$A,0))</f>
        <v>29</v>
      </c>
      <c r="G107" s="192">
        <f>INDEX('Revenue by Customer'!$I:$I,MATCH('Full Customer List'!$B107,'Revenue by Customer'!$A:$A,0))</f>
        <v>2639</v>
      </c>
      <c r="H107" s="257" t="str">
        <f>IFERROR(IF(C107="Active","",INDEX('Client Departures'!$G:$G,MATCH('Full Customer List'!$B107,'Client Departures'!$A:$A,0))),"Unclassified")</f>
        <v/>
      </c>
      <c r="I107" s="196">
        <v>46143</v>
      </c>
      <c r="J107" s="196"/>
      <c r="K107" s="192" t="str">
        <f>INDEX('Revenue by Customer'!K:K,MATCH('Full Customer List'!$B107,'Revenue by Customer'!$A:$A,0))</f>
        <v/>
      </c>
      <c r="L107" s="192" t="str">
        <f>INDEX('Revenue by Customer'!L:L,MATCH('Full Customer List'!$B107,'Revenue by Customer'!$A:$A,0))</f>
        <v/>
      </c>
      <c r="M107" s="192" t="str">
        <f>INDEX('Revenue by Customer'!M:M,MATCH('Full Customer List'!$B107,'Revenue by Customer'!$A:$A,0))</f>
        <v/>
      </c>
      <c r="N107" s="192" t="str">
        <f>INDEX('Revenue by Customer'!N:N,MATCH('Full Customer List'!$B107,'Revenue by Customer'!$A:$A,0))</f>
        <v/>
      </c>
      <c r="O107" s="192" t="str">
        <f>INDEX('Revenue by Customer'!O:O,MATCH('Full Customer List'!$B107,'Revenue by Customer'!$A:$A,0))</f>
        <v/>
      </c>
      <c r="P107" s="192" t="str">
        <f>INDEX('Revenue by Customer'!P:P,MATCH('Full Customer List'!$B107,'Revenue by Customer'!$A:$A,0))</f>
        <v/>
      </c>
      <c r="Q107" s="192" t="str">
        <f>INDEX('Revenue by Customer'!Q:Q,MATCH('Full Customer List'!$B107,'Revenue by Customer'!$A:$A,0))</f>
        <v/>
      </c>
      <c r="R107" s="192" t="str">
        <f>INDEX('Revenue by Customer'!R:R,MATCH('Full Customer List'!$B107,'Revenue by Customer'!$A:$A,0))</f>
        <v/>
      </c>
      <c r="S107" s="192" t="str">
        <f>INDEX('Revenue by Customer'!S:S,MATCH('Full Customer List'!$B107,'Revenue by Customer'!$A:$A,0))</f>
        <v/>
      </c>
      <c r="T107" s="192" t="str">
        <f>INDEX('Revenue by Customer'!T:T,MATCH('Full Customer List'!$B107,'Revenue by Customer'!$A:$A,0))</f>
        <v/>
      </c>
      <c r="U107" s="192" t="str">
        <f>INDEX('Revenue by Customer'!U:U,MATCH('Full Customer List'!$B107,'Revenue by Customer'!$A:$A,0))</f>
        <v/>
      </c>
      <c r="V107" s="192" t="str">
        <f>INDEX('Revenue by Customer'!V:V,MATCH('Full Customer List'!$B107,'Revenue by Customer'!$A:$A,0))</f>
        <v/>
      </c>
      <c r="W107" s="192" t="str">
        <f>INDEX('Revenue by Customer'!W:W,MATCH('Full Customer List'!$B107,'Revenue by Customer'!$A:$A,0))</f>
        <v/>
      </c>
      <c r="X107" s="192" t="str">
        <f>INDEX('Revenue by Customer'!X:X,MATCH('Full Customer List'!$B107,'Revenue by Customer'!$A:$A,0))</f>
        <v/>
      </c>
      <c r="Y107" s="192" t="str">
        <f>INDEX('Revenue by Customer'!Y:Y,MATCH('Full Customer List'!$B107,'Revenue by Customer'!$A:$A,0))</f>
        <v/>
      </c>
      <c r="Z107" s="192" t="str">
        <f>INDEX('Revenue by Customer'!Z:Z,MATCH('Full Customer List'!$B107,'Revenue by Customer'!$A:$A,0))</f>
        <v/>
      </c>
      <c r="AA107" s="192">
        <f>INDEX('Revenue by Customer'!AA:AA,MATCH('Full Customer List'!$B107,'Revenue by Customer'!$A:$A,0))</f>
        <v>3903</v>
      </c>
      <c r="AB107" s="192">
        <f>INDEX('Revenue by Customer'!AB:AB,MATCH('Full Customer List'!$B107,'Revenue by Customer'!$A:$A,0))</f>
        <v>2007</v>
      </c>
      <c r="AC107" s="192">
        <f>INDEX('Revenue by Customer'!AC:AC,MATCH('Full Customer List'!$B107,'Revenue by Customer'!$A:$A,0))</f>
        <v>2007</v>
      </c>
    </row>
    <row r="108" spans="2:29" ht="12" customHeight="1">
      <c r="B108" s="173" t="s">
        <v>725</v>
      </c>
      <c r="C108" s="173" t="str">
        <f>INDEX('Customer List'!$B:$B,MATCH('Full Customer List'!$B108,'Customer List'!$A:$A,0))</f>
        <v>Active</v>
      </c>
      <c r="D108" s="173" t="str">
        <f>INDEX('Customer List'!$C:$C,MATCH('Full Customer List'!$B108,'Customer List'!$A:$A,0))</f>
        <v>Property manager</v>
      </c>
      <c r="E108" s="173" t="str">
        <f>INDEX('Customer List Mapping'!$C:$C,MATCH('Full Customer List'!D108,'Customer List Mapping'!$B:$B,0))</f>
        <v>Property Manager</v>
      </c>
      <c r="F108" s="192">
        <f>INDEX('Customer List'!$K:$K,MATCH('Full Customer List'!$B108,'Customer List'!$A:$A,0))</f>
        <v>6</v>
      </c>
      <c r="G108" s="192">
        <f>INDEX('Revenue by Customer'!$I:$I,MATCH('Full Customer List'!$B108,'Revenue by Customer'!$A:$A,0))</f>
        <v>572</v>
      </c>
      <c r="H108" s="257" t="str">
        <f>IFERROR(IF(C108="Active","",INDEX('Client Departures'!$G:$G,MATCH('Full Customer List'!$B108,'Client Departures'!$A:$A,0))),"Unclassified")</f>
        <v/>
      </c>
      <c r="I108" s="196">
        <v>45383</v>
      </c>
      <c r="J108" s="196"/>
      <c r="K108" s="192">
        <f>INDEX('Revenue by Customer'!K:K,MATCH('Full Customer List'!$B108,'Revenue by Customer'!$A:$A,0))</f>
        <v>711</v>
      </c>
      <c r="L108" s="192">
        <f>INDEX('Revenue by Customer'!L:L,MATCH('Full Customer List'!$B108,'Revenue by Customer'!$A:$A,0))</f>
        <v>891</v>
      </c>
      <c r="M108" s="192">
        <f>INDEX('Revenue by Customer'!M:M,MATCH('Full Customer List'!$B108,'Revenue by Customer'!$A:$A,0))</f>
        <v>711</v>
      </c>
      <c r="N108" s="192">
        <f>INDEX('Revenue by Customer'!N:N,MATCH('Full Customer List'!$B108,'Revenue by Customer'!$A:$A,0))</f>
        <v>775</v>
      </c>
      <c r="O108" s="192">
        <f>INDEX('Revenue by Customer'!O:O,MATCH('Full Customer List'!$B108,'Revenue by Customer'!$A:$A,0))</f>
        <v>550</v>
      </c>
      <c r="P108" s="192">
        <f>INDEX('Revenue by Customer'!P:P,MATCH('Full Customer List'!$B108,'Revenue by Customer'!$A:$A,0))</f>
        <v>775</v>
      </c>
      <c r="Q108" s="192">
        <f>INDEX('Revenue by Customer'!Q:Q,MATCH('Full Customer List'!$B108,'Revenue by Customer'!$A:$A,0))</f>
        <v>775</v>
      </c>
      <c r="R108" s="192">
        <f>INDEX('Revenue by Customer'!R:R,MATCH('Full Customer List'!$B108,'Revenue by Customer'!$A:$A,0))</f>
        <v>775</v>
      </c>
      <c r="S108" s="192">
        <f>INDEX('Revenue by Customer'!S:S,MATCH('Full Customer List'!$B108,'Revenue by Customer'!$A:$A,0))</f>
        <v>775</v>
      </c>
      <c r="T108" s="192">
        <f>INDEX('Revenue by Customer'!T:T,MATCH('Full Customer List'!$B108,'Revenue by Customer'!$A:$A,0))</f>
        <v>700</v>
      </c>
      <c r="U108" s="192">
        <f>INDEX('Revenue by Customer'!U:U,MATCH('Full Customer List'!$B108,'Revenue by Customer'!$A:$A,0))</f>
        <v>700</v>
      </c>
      <c r="V108" s="192">
        <f>INDEX('Revenue by Customer'!V:V,MATCH('Full Customer List'!$B108,'Revenue by Customer'!$A:$A,0))</f>
        <v>700</v>
      </c>
      <c r="W108" s="192">
        <f>INDEX('Revenue by Customer'!W:W,MATCH('Full Customer List'!$B108,'Revenue by Customer'!$A:$A,0))</f>
        <v>700</v>
      </c>
      <c r="X108" s="192">
        <f>INDEX('Revenue by Customer'!X:X,MATCH('Full Customer List'!$B108,'Revenue by Customer'!$A:$A,0))</f>
        <v>550</v>
      </c>
      <c r="Y108" s="192">
        <f>INDEX('Revenue by Customer'!Y:Y,MATCH('Full Customer List'!$B108,'Revenue by Customer'!$A:$A,0))</f>
        <v>655</v>
      </c>
      <c r="Z108" s="192">
        <f>INDEX('Revenue by Customer'!Z:Z,MATCH('Full Customer List'!$B108,'Revenue by Customer'!$A:$A,0))</f>
        <v>572</v>
      </c>
      <c r="AA108" s="192">
        <f>INDEX('Revenue by Customer'!AA:AA,MATCH('Full Customer List'!$B108,'Revenue by Customer'!$A:$A,0))</f>
        <v>572</v>
      </c>
      <c r="AB108" s="192">
        <f>INDEX('Revenue by Customer'!AB:AB,MATCH('Full Customer List'!$B108,'Revenue by Customer'!$A:$A,0))</f>
        <v>572</v>
      </c>
      <c r="AC108" s="192">
        <f>INDEX('Revenue by Customer'!AC:AC,MATCH('Full Customer List'!$B108,'Revenue by Customer'!$A:$A,0))</f>
        <v>572</v>
      </c>
    </row>
    <row r="109" spans="2:29" ht="12" customHeight="1">
      <c r="B109" s="173" t="s">
        <v>726</v>
      </c>
      <c r="C109" s="173" t="str">
        <f>INDEX('Customer List'!$B:$B,MATCH('Full Customer List'!$B109,'Customer List'!$A:$A,0))</f>
        <v>Active</v>
      </c>
      <c r="D109" s="173" t="str">
        <f>INDEX('Customer List'!$C:$C,MATCH('Full Customer List'!$B109,'Customer List'!$A:$A,0))</f>
        <v>Property manager</v>
      </c>
      <c r="E109" s="173" t="str">
        <f>INDEX('Customer List Mapping'!$C:$C,MATCH('Full Customer List'!D109,'Customer List Mapping'!$B:$B,0))</f>
        <v>Property Manager</v>
      </c>
      <c r="F109" s="192">
        <f>INDEX('Customer List'!$K:$K,MATCH('Full Customer List'!$B109,'Customer List'!$A:$A,0))</f>
        <v>6</v>
      </c>
      <c r="G109" s="192">
        <f>INDEX('Revenue by Customer'!$I:$I,MATCH('Full Customer List'!$B109,'Revenue by Customer'!$A:$A,0))</f>
        <v>567.66666666666663</v>
      </c>
      <c r="H109" s="257" t="str">
        <f>IFERROR(IF(C109="Active","",INDEX('Client Departures'!$G:$G,MATCH('Full Customer List'!$B109,'Client Departures'!$A:$A,0))),"Unclassified")</f>
        <v/>
      </c>
      <c r="I109" s="196">
        <v>45292</v>
      </c>
      <c r="J109" s="196"/>
      <c r="K109" s="192">
        <f>INDEX('Revenue by Customer'!K:K,MATCH('Full Customer List'!$B109,'Revenue by Customer'!$A:$A,0))</f>
        <v>710</v>
      </c>
      <c r="L109" s="192">
        <f>INDEX('Revenue by Customer'!L:L,MATCH('Full Customer List'!$B109,'Revenue by Customer'!$A:$A,0))</f>
        <v>500</v>
      </c>
      <c r="M109" s="192">
        <f>INDEX('Revenue by Customer'!M:M,MATCH('Full Customer List'!$B109,'Revenue by Customer'!$A:$A,0))</f>
        <v>500</v>
      </c>
      <c r="N109" s="192">
        <f>INDEX('Revenue by Customer'!N:N,MATCH('Full Customer List'!$B109,'Revenue by Customer'!$A:$A,0))</f>
        <v>500</v>
      </c>
      <c r="O109" s="192">
        <f>INDEX('Revenue by Customer'!O:O,MATCH('Full Customer List'!$B109,'Revenue by Customer'!$A:$A,0))</f>
        <v>575</v>
      </c>
      <c r="P109" s="192">
        <f>INDEX('Revenue by Customer'!P:P,MATCH('Full Customer List'!$B109,'Revenue by Customer'!$A:$A,0))</f>
        <v>650</v>
      </c>
      <c r="Q109" s="192">
        <f>INDEX('Revenue by Customer'!Q:Q,MATCH('Full Customer List'!$B109,'Revenue by Customer'!$A:$A,0))</f>
        <v>650</v>
      </c>
      <c r="R109" s="192">
        <f>INDEX('Revenue by Customer'!R:R,MATCH('Full Customer List'!$B109,'Revenue by Customer'!$A:$A,0))</f>
        <v>650</v>
      </c>
      <c r="S109" s="192">
        <f>INDEX('Revenue by Customer'!S:S,MATCH('Full Customer List'!$B109,'Revenue by Customer'!$A:$A,0))</f>
        <v>650</v>
      </c>
      <c r="T109" s="192">
        <f>INDEX('Revenue by Customer'!T:T,MATCH('Full Customer List'!$B109,'Revenue by Customer'!$A:$A,0))</f>
        <v>650</v>
      </c>
      <c r="U109" s="192">
        <f>INDEX('Revenue by Customer'!U:U,MATCH('Full Customer List'!$B109,'Revenue by Customer'!$A:$A,0))</f>
        <v>725</v>
      </c>
      <c r="V109" s="192">
        <f>INDEX('Revenue by Customer'!V:V,MATCH('Full Customer List'!$B109,'Revenue by Customer'!$A:$A,0))</f>
        <v>575</v>
      </c>
      <c r="W109" s="192">
        <f>INDEX('Revenue by Customer'!W:W,MATCH('Full Customer List'!$B109,'Revenue by Customer'!$A:$A,0))</f>
        <v>696</v>
      </c>
      <c r="X109" s="192">
        <f>INDEX('Revenue by Customer'!X:X,MATCH('Full Customer List'!$B109,'Revenue by Customer'!$A:$A,0))</f>
        <v>904</v>
      </c>
      <c r="Y109" s="192">
        <f>INDEX('Revenue by Customer'!Y:Y,MATCH('Full Customer List'!$B109,'Revenue by Customer'!$A:$A,0))</f>
        <v>619</v>
      </c>
      <c r="Z109" s="192">
        <f>INDEX('Revenue by Customer'!Z:Z,MATCH('Full Customer List'!$B109,'Revenue by Customer'!$A:$A,0))</f>
        <v>619</v>
      </c>
      <c r="AA109" s="192">
        <f>INDEX('Revenue by Customer'!AA:AA,MATCH('Full Customer List'!$B109,'Revenue by Customer'!$A:$A,0))</f>
        <v>619</v>
      </c>
      <c r="AB109" s="192">
        <f>INDEX('Revenue by Customer'!AB:AB,MATCH('Full Customer List'!$B109,'Revenue by Customer'!$A:$A,0))</f>
        <v>619</v>
      </c>
      <c r="AC109" s="192">
        <f>INDEX('Revenue by Customer'!AC:AC,MATCH('Full Customer List'!$B109,'Revenue by Customer'!$A:$A,0))</f>
        <v>465</v>
      </c>
    </row>
    <row r="110" spans="2:29" ht="12" customHeight="1">
      <c r="B110" s="173" t="s">
        <v>727</v>
      </c>
      <c r="C110" s="173" t="str">
        <f>INDEX('Customer List'!$B:$B,MATCH('Full Customer List'!$B110,'Customer List'!$A:$A,0))</f>
        <v>Active</v>
      </c>
      <c r="D110" s="173" t="str">
        <f>INDEX('Customer List'!$C:$C,MATCH('Full Customer List'!$B110,'Customer List'!$A:$A,0))</f>
        <v>Property manager</v>
      </c>
      <c r="E110" s="173" t="str">
        <f>INDEX('Customer List Mapping'!$C:$C,MATCH('Full Customer List'!D110,'Customer List Mapping'!$B:$B,0))</f>
        <v>Property Manager</v>
      </c>
      <c r="F110" s="192">
        <f>INDEX('Customer List'!$K:$K,MATCH('Full Customer List'!$B110,'Customer List'!$A:$A,0))</f>
        <v>8</v>
      </c>
      <c r="G110" s="192">
        <f>INDEX('Revenue by Customer'!$I:$I,MATCH('Full Customer List'!$B110,'Revenue by Customer'!$A:$A,0))</f>
        <v>650</v>
      </c>
      <c r="H110" s="257" t="str">
        <f>IFERROR(IF(C110="Active","",INDEX('Client Departures'!$G:$G,MATCH('Full Customer List'!$B110,'Client Departures'!$A:$A,0))),"Unclassified")</f>
        <v/>
      </c>
      <c r="I110" s="196">
        <v>45536</v>
      </c>
      <c r="J110" s="196"/>
      <c r="K110" s="192">
        <f>INDEX('Revenue by Customer'!K:K,MATCH('Full Customer List'!$B110,'Revenue by Customer'!$A:$A,0))</f>
        <v>474</v>
      </c>
      <c r="L110" s="192">
        <f>INDEX('Revenue by Customer'!L:L,MATCH('Full Customer List'!$B110,'Revenue by Customer'!$A:$A,0))</f>
        <v>545</v>
      </c>
      <c r="M110" s="192">
        <f>INDEX('Revenue by Customer'!M:M,MATCH('Full Customer List'!$B110,'Revenue by Customer'!$A:$A,0))</f>
        <v>395</v>
      </c>
      <c r="N110" s="192">
        <f>INDEX('Revenue by Customer'!N:N,MATCH('Full Customer List'!$B110,'Revenue by Customer'!$A:$A,0))</f>
        <v>474</v>
      </c>
      <c r="O110" s="192">
        <f>INDEX('Revenue by Customer'!O:O,MATCH('Full Customer List'!$B110,'Revenue by Customer'!$A:$A,0))</f>
        <v>474</v>
      </c>
      <c r="P110" s="192">
        <f>INDEX('Revenue by Customer'!P:P,MATCH('Full Customer List'!$B110,'Revenue by Customer'!$A:$A,0))</f>
        <v>553</v>
      </c>
      <c r="Q110" s="192">
        <f>INDEX('Revenue by Customer'!Q:Q,MATCH('Full Customer List'!$B110,'Revenue by Customer'!$A:$A,0))</f>
        <v>553</v>
      </c>
      <c r="R110" s="192">
        <f>INDEX('Revenue by Customer'!R:R,MATCH('Full Customer List'!$B110,'Revenue by Customer'!$A:$A,0))</f>
        <v>553</v>
      </c>
      <c r="S110" s="192">
        <f>INDEX('Revenue by Customer'!S:S,MATCH('Full Customer List'!$B110,'Revenue by Customer'!$A:$A,0))</f>
        <v>575</v>
      </c>
      <c r="T110" s="192">
        <f>INDEX('Revenue by Customer'!T:T,MATCH('Full Customer List'!$B110,'Revenue by Customer'!$A:$A,0))</f>
        <v>500</v>
      </c>
      <c r="U110" s="192">
        <f>INDEX('Revenue by Customer'!U:U,MATCH('Full Customer List'!$B110,'Revenue by Customer'!$A:$A,0))</f>
        <v>575</v>
      </c>
      <c r="V110" s="192">
        <f>INDEX('Revenue by Customer'!V:V,MATCH('Full Customer List'!$B110,'Revenue by Customer'!$A:$A,0))</f>
        <v>500</v>
      </c>
      <c r="W110" s="192">
        <f>INDEX('Revenue by Customer'!W:W,MATCH('Full Customer List'!$B110,'Revenue by Customer'!$A:$A,0))</f>
        <v>725</v>
      </c>
      <c r="X110" s="192">
        <f>INDEX('Revenue by Customer'!X:X,MATCH('Full Customer List'!$B110,'Revenue by Customer'!$A:$A,0))</f>
        <v>845</v>
      </c>
      <c r="Y110" s="192">
        <f>INDEX('Revenue by Customer'!Y:Y,MATCH('Full Customer List'!$B110,'Revenue by Customer'!$A:$A,0))</f>
        <v>650</v>
      </c>
      <c r="Z110" s="192">
        <f>INDEX('Revenue by Customer'!Z:Z,MATCH('Full Customer List'!$B110,'Revenue by Customer'!$A:$A,0))</f>
        <v>650</v>
      </c>
      <c r="AA110" s="192">
        <f>INDEX('Revenue by Customer'!AA:AA,MATCH('Full Customer List'!$B110,'Revenue by Customer'!$A:$A,0))</f>
        <v>575</v>
      </c>
      <c r="AB110" s="192">
        <f>INDEX('Revenue by Customer'!AB:AB,MATCH('Full Customer List'!$B110,'Revenue by Customer'!$A:$A,0))</f>
        <v>650</v>
      </c>
      <c r="AC110" s="192">
        <f>INDEX('Revenue by Customer'!AC:AC,MATCH('Full Customer List'!$B110,'Revenue by Customer'!$A:$A,0))</f>
        <v>725</v>
      </c>
    </row>
    <row r="111" spans="2:29" ht="12" customHeight="1">
      <c r="B111" s="173" t="s">
        <v>728</v>
      </c>
      <c r="C111" s="173" t="str">
        <f>INDEX('Customer List'!$B:$B,MATCH('Full Customer List'!$B111,'Customer List'!$A:$A,0))</f>
        <v>Former client</v>
      </c>
      <c r="D111" s="173" t="str">
        <f>INDEX('Customer List'!$C:$C,MATCH('Full Customer List'!$B111,'Customer List'!$A:$A,0))</f>
        <v>Property manager</v>
      </c>
      <c r="E111" s="173" t="str">
        <f>INDEX('Customer List Mapping'!$C:$C,MATCH('Full Customer List'!D111,'Customer List Mapping'!$B:$B,0))</f>
        <v>Property Manager</v>
      </c>
      <c r="F111" s="192">
        <f>INDEX('Customer List'!$K:$K,MATCH('Full Customer List'!$B111,'Customer List'!$A:$A,0))</f>
        <v>0</v>
      </c>
      <c r="G111" s="192">
        <f>INDEX('Revenue by Customer'!$I:$I,MATCH('Full Customer List'!$B111,'Revenue by Customer'!$A:$A,0))</f>
        <v>775</v>
      </c>
      <c r="H111" s="257" t="str">
        <f>IFERROR(IF(C111="Active","",INDEX('Client Departures'!$G:$G,MATCH('Full Customer List'!$B111,'Client Departures'!$A:$A,0))),"Unclassified")</f>
        <v>Yes</v>
      </c>
      <c r="I111" s="196">
        <v>45444</v>
      </c>
      <c r="J111" s="196">
        <v>46173</v>
      </c>
      <c r="K111" s="192">
        <f>INDEX('Revenue by Customer'!K:K,MATCH('Full Customer List'!$B111,'Revenue by Customer'!$A:$A,0))</f>
        <v>385</v>
      </c>
      <c r="L111" s="192">
        <f>INDEX('Revenue by Customer'!L:L,MATCH('Full Customer List'!$B111,'Revenue by Customer'!$A:$A,0))</f>
        <v>325</v>
      </c>
      <c r="M111" s="192">
        <f>INDEX('Revenue by Customer'!M:M,MATCH('Full Customer List'!$B111,'Revenue by Customer'!$A:$A,0))</f>
        <v>325</v>
      </c>
      <c r="N111" s="192">
        <f>INDEX('Revenue by Customer'!N:N,MATCH('Full Customer List'!$B111,'Revenue by Customer'!$A:$A,0))</f>
        <v>325</v>
      </c>
      <c r="O111" s="192">
        <f>INDEX('Revenue by Customer'!O:O,MATCH('Full Customer List'!$B111,'Revenue by Customer'!$A:$A,0))</f>
        <v>325</v>
      </c>
      <c r="P111" s="192">
        <f>INDEX('Revenue by Customer'!P:P,MATCH('Full Customer List'!$B111,'Revenue by Customer'!$A:$A,0))</f>
        <v>325</v>
      </c>
      <c r="Q111" s="192">
        <f>INDEX('Revenue by Customer'!Q:Q,MATCH('Full Customer List'!$B111,'Revenue by Customer'!$A:$A,0))</f>
        <v>490</v>
      </c>
      <c r="R111" s="192">
        <f>INDEX('Revenue by Customer'!R:R,MATCH('Full Customer List'!$B111,'Revenue by Customer'!$A:$A,0))</f>
        <v>490</v>
      </c>
      <c r="S111" s="192">
        <f>INDEX('Revenue by Customer'!S:S,MATCH('Full Customer List'!$B111,'Revenue by Customer'!$A:$A,0))</f>
        <v>665</v>
      </c>
      <c r="T111" s="192">
        <f>INDEX('Revenue by Customer'!T:T,MATCH('Full Customer List'!$B111,'Revenue by Customer'!$A:$A,0))</f>
        <v>665</v>
      </c>
      <c r="U111" s="192">
        <f>INDEX('Revenue by Customer'!U:U,MATCH('Full Customer List'!$B111,'Revenue by Customer'!$A:$A,0))</f>
        <v>775</v>
      </c>
      <c r="V111" s="192">
        <f>INDEX('Revenue by Customer'!V:V,MATCH('Full Customer List'!$B111,'Revenue by Customer'!$A:$A,0))</f>
        <v>775</v>
      </c>
      <c r="W111" s="192">
        <f>INDEX('Revenue by Customer'!W:W,MATCH('Full Customer List'!$B111,'Revenue by Customer'!$A:$A,0))</f>
        <v>940</v>
      </c>
      <c r="X111" s="192">
        <f>INDEX('Revenue by Customer'!X:X,MATCH('Full Customer List'!$B111,'Revenue by Customer'!$A:$A,0))</f>
        <v>775</v>
      </c>
      <c r="Y111" s="192">
        <f>INDEX('Revenue by Customer'!Y:Y,MATCH('Full Customer List'!$B111,'Revenue by Customer'!$A:$A,0))</f>
        <v>775</v>
      </c>
      <c r="Z111" s="192">
        <f>INDEX('Revenue by Customer'!Z:Z,MATCH('Full Customer List'!$B111,'Revenue by Customer'!$A:$A,0))</f>
        <v>775</v>
      </c>
      <c r="AA111" s="192">
        <f>INDEX('Revenue by Customer'!AA:AA,MATCH('Full Customer List'!$B111,'Revenue by Customer'!$A:$A,0))</f>
        <v>775</v>
      </c>
      <c r="AB111" s="192" t="str">
        <f>INDEX('Revenue by Customer'!AB:AB,MATCH('Full Customer List'!$B111,'Revenue by Customer'!$A:$A,0))</f>
        <v/>
      </c>
      <c r="AC111" s="192" t="str">
        <f>INDEX('Revenue by Customer'!AC:AC,MATCH('Full Customer List'!$B111,'Revenue by Customer'!$A:$A,0))</f>
        <v/>
      </c>
    </row>
    <row r="112" spans="2:29" ht="12" customHeight="1">
      <c r="B112" s="173" t="s">
        <v>729</v>
      </c>
      <c r="C112" s="222" t="s">
        <v>567</v>
      </c>
      <c r="D112" s="173" t="str">
        <f>INDEX('Customer List'!$C:$C,MATCH('Full Customer List'!$B112,'Customer List'!$A:$A,0))</f>
        <v>Property manager</v>
      </c>
      <c r="E112" s="173" t="str">
        <f>INDEX('Customer List Mapping'!$C:$C,MATCH('Full Customer List'!D112,'Customer List Mapping'!$B:$B,0))</f>
        <v>Property Manager</v>
      </c>
      <c r="F112" s="192">
        <f>INDEX('Customer List'!$K:$K,MATCH('Full Customer List'!$B112,'Customer List'!$A:$A,0))</f>
        <v>6</v>
      </c>
      <c r="G112" s="192">
        <f>INDEX('Revenue by Customer'!$I:$I,MATCH('Full Customer List'!$B112,'Revenue by Customer'!$A:$A,0))</f>
        <v>659.66666666666663</v>
      </c>
      <c r="H112" s="257" t="str">
        <f>IFERROR(IF(C112="Active","",INDEX('Client Departures'!$G:$G,MATCH('Full Customer List'!$B112,'Client Departures'!$A:$A,0))),"Unclassified")</f>
        <v>Unclassified</v>
      </c>
      <c r="I112" s="196">
        <v>44986</v>
      </c>
      <c r="J112" s="196">
        <v>46265</v>
      </c>
      <c r="K112" s="192">
        <f>INDEX('Revenue by Customer'!K:K,MATCH('Full Customer List'!$B112,'Revenue by Customer'!$A:$A,0))</f>
        <v>595</v>
      </c>
      <c r="L112" s="192">
        <f>INDEX('Revenue by Customer'!L:L,MATCH('Full Customer List'!$B112,'Revenue by Customer'!$A:$A,0))</f>
        <v>445</v>
      </c>
      <c r="M112" s="192">
        <f>INDEX('Revenue by Customer'!M:M,MATCH('Full Customer List'!$B112,'Revenue by Customer'!$A:$A,0))</f>
        <v>575</v>
      </c>
      <c r="N112" s="192">
        <f>INDEX('Revenue by Customer'!N:N,MATCH('Full Customer List'!$B112,'Revenue by Customer'!$A:$A,0))</f>
        <v>385</v>
      </c>
      <c r="O112" s="192">
        <f>INDEX('Revenue by Customer'!O:O,MATCH('Full Customer List'!$B112,'Revenue by Customer'!$A:$A,0))</f>
        <v>730</v>
      </c>
      <c r="P112" s="192">
        <f>INDEX('Revenue by Customer'!P:P,MATCH('Full Customer List'!$B112,'Revenue by Customer'!$A:$A,0))</f>
        <v>575</v>
      </c>
      <c r="Q112" s="192">
        <f>INDEX('Revenue by Customer'!Q:Q,MATCH('Full Customer List'!$B112,'Revenue by Customer'!$A:$A,0))</f>
        <v>385</v>
      </c>
      <c r="R112" s="192">
        <f>INDEX('Revenue by Customer'!R:R,MATCH('Full Customer List'!$B112,'Revenue by Customer'!$A:$A,0))</f>
        <v>480</v>
      </c>
      <c r="S112" s="192">
        <f>INDEX('Revenue by Customer'!S:S,MATCH('Full Customer List'!$B112,'Revenue by Customer'!$A:$A,0))</f>
        <v>480</v>
      </c>
      <c r="T112" s="192">
        <f>INDEX('Revenue by Customer'!T:T,MATCH('Full Customer List'!$B112,'Revenue by Customer'!$A:$A,0))</f>
        <v>480</v>
      </c>
      <c r="U112" s="192">
        <f>INDEX('Revenue by Customer'!U:U,MATCH('Full Customer List'!$B112,'Revenue by Customer'!$A:$A,0))</f>
        <v>480</v>
      </c>
      <c r="V112" s="192">
        <f>INDEX('Revenue by Customer'!V:V,MATCH('Full Customer List'!$B112,'Revenue by Customer'!$A:$A,0))</f>
        <v>575</v>
      </c>
      <c r="W112" s="192">
        <f>INDEX('Revenue by Customer'!W:W,MATCH('Full Customer List'!$B112,'Revenue by Customer'!$A:$A,0))</f>
        <v>670</v>
      </c>
      <c r="X112" s="192">
        <f>INDEX('Revenue by Customer'!X:X,MATCH('Full Customer List'!$B112,'Revenue by Customer'!$A:$A,0))</f>
        <v>775</v>
      </c>
      <c r="Y112" s="192">
        <f>INDEX('Revenue by Customer'!Y:Y,MATCH('Full Customer List'!$B112,'Revenue by Customer'!$A:$A,0))</f>
        <v>692</v>
      </c>
      <c r="Z112" s="192">
        <f>INDEX('Revenue by Customer'!Z:Z,MATCH('Full Customer List'!$B112,'Revenue by Customer'!$A:$A,0))</f>
        <v>789</v>
      </c>
      <c r="AA112" s="192">
        <f>INDEX('Revenue by Customer'!AA:AA,MATCH('Full Customer List'!$B112,'Revenue by Customer'!$A:$A,0))</f>
        <v>789</v>
      </c>
      <c r="AB112" s="192">
        <f>INDEX('Revenue by Customer'!AB:AB,MATCH('Full Customer List'!$B112,'Revenue by Customer'!$A:$A,0))</f>
        <v>692</v>
      </c>
      <c r="AC112" s="192">
        <f>INDEX('Revenue by Customer'!AC:AC,MATCH('Full Customer List'!$B112,'Revenue by Customer'!$A:$A,0))</f>
        <v>498</v>
      </c>
    </row>
    <row r="113" spans="2:29" ht="12" customHeight="1">
      <c r="B113" s="173" t="s">
        <v>730</v>
      </c>
      <c r="C113" s="173" t="str">
        <f>INDEX('Customer List'!$B:$B,MATCH('Full Customer List'!$B113,'Customer List'!$A:$A,0))</f>
        <v>Active</v>
      </c>
      <c r="D113" s="173" t="str">
        <f>INDEX('Customer List'!$C:$C,MATCH('Full Customer List'!$B113,'Customer List'!$A:$A,0))</f>
        <v>Property manager</v>
      </c>
      <c r="E113" s="173" t="str">
        <f>INDEX('Customer List Mapping'!$C:$C,MATCH('Full Customer List'!D113,'Customer List Mapping'!$B:$B,0))</f>
        <v>Property Manager</v>
      </c>
      <c r="F113" s="192">
        <f>INDEX('Customer List'!$K:$K,MATCH('Full Customer List'!$B113,'Customer List'!$A:$A,0))</f>
        <v>8</v>
      </c>
      <c r="G113" s="192">
        <f>INDEX('Revenue by Customer'!$I:$I,MATCH('Full Customer List'!$B113,'Revenue by Customer'!$A:$A,0))</f>
        <v>649</v>
      </c>
      <c r="H113" s="257" t="str">
        <f>IFERROR(IF(C113="Active","",INDEX('Client Departures'!$G:$G,MATCH('Full Customer List'!$B113,'Client Departures'!$A:$A,0))),"Unclassified")</f>
        <v/>
      </c>
      <c r="I113" s="196">
        <v>45717</v>
      </c>
      <c r="J113" s="196"/>
      <c r="K113" s="192" t="str">
        <f>INDEX('Revenue by Customer'!K:K,MATCH('Full Customer List'!$B113,'Revenue by Customer'!$A:$A,0))</f>
        <v/>
      </c>
      <c r="L113" s="192" t="str">
        <f>INDEX('Revenue by Customer'!L:L,MATCH('Full Customer List'!$B113,'Revenue by Customer'!$A:$A,0))</f>
        <v/>
      </c>
      <c r="M113" s="192">
        <f>INDEX('Revenue by Customer'!M:M,MATCH('Full Customer List'!$B113,'Revenue by Customer'!$A:$A,0))</f>
        <v>640</v>
      </c>
      <c r="N113" s="192">
        <f>INDEX('Revenue by Customer'!N:N,MATCH('Full Customer List'!$B113,'Revenue by Customer'!$A:$A,0))</f>
        <v>340</v>
      </c>
      <c r="O113" s="192">
        <f>INDEX('Revenue by Customer'!O:O,MATCH('Full Customer List'!$B113,'Revenue by Customer'!$A:$A,0))</f>
        <v>340</v>
      </c>
      <c r="P113" s="192">
        <f>INDEX('Revenue by Customer'!P:P,MATCH('Full Customer List'!$B113,'Revenue by Customer'!$A:$A,0))</f>
        <v>400</v>
      </c>
      <c r="Q113" s="192">
        <f>INDEX('Revenue by Customer'!Q:Q,MATCH('Full Customer List'!$B113,'Revenue by Customer'!$A:$A,0))</f>
        <v>400</v>
      </c>
      <c r="R113" s="192">
        <f>INDEX('Revenue by Customer'!R:R,MATCH('Full Customer List'!$B113,'Revenue by Customer'!$A:$A,0))</f>
        <v>400</v>
      </c>
      <c r="S113" s="192">
        <f>INDEX('Revenue by Customer'!S:S,MATCH('Full Customer List'!$B113,'Revenue by Customer'!$A:$A,0))</f>
        <v>400</v>
      </c>
      <c r="T113" s="192">
        <f>INDEX('Revenue by Customer'!T:T,MATCH('Full Customer List'!$B113,'Revenue by Customer'!$A:$A,0))</f>
        <v>400</v>
      </c>
      <c r="U113" s="192">
        <f>INDEX('Revenue by Customer'!U:U,MATCH('Full Customer List'!$B113,'Revenue by Customer'!$A:$A,0))</f>
        <v>400</v>
      </c>
      <c r="V113" s="192">
        <f>INDEX('Revenue by Customer'!V:V,MATCH('Full Customer List'!$B113,'Revenue by Customer'!$A:$A,0))</f>
        <v>400</v>
      </c>
      <c r="W113" s="192">
        <f>INDEX('Revenue by Customer'!W:W,MATCH('Full Customer List'!$B113,'Revenue by Customer'!$A:$A,0))</f>
        <v>400</v>
      </c>
      <c r="X113" s="192">
        <f>INDEX('Revenue by Customer'!X:X,MATCH('Full Customer List'!$B113,'Revenue by Customer'!$A:$A,0))</f>
        <v>1536.5</v>
      </c>
      <c r="Y113" s="192">
        <f>INDEX('Revenue by Customer'!Y:Y,MATCH('Full Customer List'!$B113,'Revenue by Customer'!$A:$A,0))</f>
        <v>495</v>
      </c>
      <c r="Z113" s="192">
        <f>INDEX('Revenue by Customer'!Z:Z,MATCH('Full Customer List'!$B113,'Revenue by Customer'!$A:$A,0))</f>
        <v>868.5</v>
      </c>
      <c r="AA113" s="192">
        <f>INDEX('Revenue by Customer'!AA:AA,MATCH('Full Customer List'!$B113,'Revenue by Customer'!$A:$A,0))</f>
        <v>572</v>
      </c>
      <c r="AB113" s="192">
        <f>INDEX('Revenue by Customer'!AB:AB,MATCH('Full Customer List'!$B113,'Revenue by Customer'!$A:$A,0))</f>
        <v>649</v>
      </c>
      <c r="AC113" s="192">
        <f>INDEX('Revenue by Customer'!AC:AC,MATCH('Full Customer List'!$B113,'Revenue by Customer'!$A:$A,0))</f>
        <v>726</v>
      </c>
    </row>
    <row r="114" spans="2:29" ht="12" customHeight="1">
      <c r="B114" s="173" t="s">
        <v>731</v>
      </c>
      <c r="C114" s="173" t="str">
        <f>INDEX('Customer List'!$B:$B,MATCH('Full Customer List'!$B114,'Customer List'!$A:$A,0))</f>
        <v>Former client</v>
      </c>
      <c r="D114" s="173" t="str">
        <f>INDEX('Customer List'!$C:$C,MATCH('Full Customer List'!$B114,'Customer List'!$A:$A,0))</f>
        <v>Short-term rental (departed)</v>
      </c>
      <c r="E114" s="173" t="str">
        <f>INDEX('Customer List Mapping'!$C:$C,MATCH('Full Customer List'!D114,'Customer List Mapping'!$B:$B,0))</f>
        <v>Short-Term Rental</v>
      </c>
      <c r="F114" s="192" t="str">
        <f>INDEX('Customer List'!$K:$K,MATCH('Full Customer List'!$B114,'Customer List'!$A:$A,0))</f>
        <v/>
      </c>
      <c r="G114" s="192">
        <f>INDEX('Revenue by Customer'!$I:$I,MATCH('Full Customer List'!$B114,'Revenue by Customer'!$A:$A,0))</f>
        <v>2400</v>
      </c>
      <c r="H114" s="257" t="str">
        <f>IFERROR(IF(C114="Active","",INDEX('Client Departures'!$G:$G,MATCH('Full Customer List'!$B114,'Client Departures'!$A:$A,0))),"Unclassified")</f>
        <v>No</v>
      </c>
      <c r="I114" s="196">
        <v>45901</v>
      </c>
      <c r="J114" s="196">
        <v>45991</v>
      </c>
      <c r="K114" s="192" t="str">
        <f>INDEX('Revenue by Customer'!K:K,MATCH('Full Customer List'!$B114,'Revenue by Customer'!$A:$A,0))</f>
        <v/>
      </c>
      <c r="L114" s="192" t="str">
        <f>INDEX('Revenue by Customer'!L:L,MATCH('Full Customer List'!$B114,'Revenue by Customer'!$A:$A,0))</f>
        <v/>
      </c>
      <c r="M114" s="192" t="str">
        <f>INDEX('Revenue by Customer'!M:M,MATCH('Full Customer List'!$B114,'Revenue by Customer'!$A:$A,0))</f>
        <v/>
      </c>
      <c r="N114" s="192" t="str">
        <f>INDEX('Revenue by Customer'!N:N,MATCH('Full Customer List'!$B114,'Revenue by Customer'!$A:$A,0))</f>
        <v/>
      </c>
      <c r="O114" s="192" t="str">
        <f>INDEX('Revenue by Customer'!O:O,MATCH('Full Customer List'!$B114,'Revenue by Customer'!$A:$A,0))</f>
        <v/>
      </c>
      <c r="P114" s="192" t="str">
        <f>INDEX('Revenue by Customer'!P:P,MATCH('Full Customer List'!$B114,'Revenue by Customer'!$A:$A,0))</f>
        <v/>
      </c>
      <c r="Q114" s="192" t="str">
        <f>INDEX('Revenue by Customer'!Q:Q,MATCH('Full Customer List'!$B114,'Revenue by Customer'!$A:$A,0))</f>
        <v/>
      </c>
      <c r="R114" s="192" t="str">
        <f>INDEX('Revenue by Customer'!R:R,MATCH('Full Customer List'!$B114,'Revenue by Customer'!$A:$A,0))</f>
        <v/>
      </c>
      <c r="S114" s="192">
        <f>INDEX('Revenue by Customer'!S:S,MATCH('Full Customer List'!$B114,'Revenue by Customer'!$A:$A,0))</f>
        <v>415</v>
      </c>
      <c r="T114" s="192">
        <f>INDEX('Revenue by Customer'!T:T,MATCH('Full Customer List'!$B114,'Revenue by Customer'!$A:$A,0))</f>
        <v>3580</v>
      </c>
      <c r="U114" s="192">
        <f>INDEX('Revenue by Customer'!U:U,MATCH('Full Customer List'!$B114,'Revenue by Customer'!$A:$A,0))</f>
        <v>3205</v>
      </c>
      <c r="V114" s="192" t="str">
        <f>INDEX('Revenue by Customer'!V:V,MATCH('Full Customer List'!$B114,'Revenue by Customer'!$A:$A,0))</f>
        <v/>
      </c>
      <c r="W114" s="192" t="str">
        <f>INDEX('Revenue by Customer'!W:W,MATCH('Full Customer List'!$B114,'Revenue by Customer'!$A:$A,0))</f>
        <v/>
      </c>
      <c r="X114" s="192" t="str">
        <f>INDEX('Revenue by Customer'!X:X,MATCH('Full Customer List'!$B114,'Revenue by Customer'!$A:$A,0))</f>
        <v/>
      </c>
      <c r="Y114" s="192" t="str">
        <f>INDEX('Revenue by Customer'!Y:Y,MATCH('Full Customer List'!$B114,'Revenue by Customer'!$A:$A,0))</f>
        <v/>
      </c>
      <c r="Z114" s="192" t="str">
        <f>INDEX('Revenue by Customer'!Z:Z,MATCH('Full Customer List'!$B114,'Revenue by Customer'!$A:$A,0))</f>
        <v/>
      </c>
      <c r="AA114" s="192" t="str">
        <f>INDEX('Revenue by Customer'!AA:AA,MATCH('Full Customer List'!$B114,'Revenue by Customer'!$A:$A,0))</f>
        <v/>
      </c>
      <c r="AB114" s="192" t="str">
        <f>INDEX('Revenue by Customer'!AB:AB,MATCH('Full Customer List'!$B114,'Revenue by Customer'!$A:$A,0))</f>
        <v/>
      </c>
      <c r="AC114" s="192" t="str">
        <f>INDEX('Revenue by Customer'!AC:AC,MATCH('Full Customer List'!$B114,'Revenue by Customer'!$A:$A,0))</f>
        <v/>
      </c>
    </row>
    <row r="115" spans="2:29" ht="12" customHeight="1">
      <c r="B115" s="173" t="s">
        <v>732</v>
      </c>
      <c r="C115" s="173" t="str">
        <f>INDEX('Customer List'!$B:$B,MATCH('Full Customer List'!$B115,'Customer List'!$A:$A,0))</f>
        <v>Former client</v>
      </c>
      <c r="D115" s="173" t="str">
        <f>INDEX('Customer List'!$C:$C,MATCH('Full Customer List'!$B115,'Customer List'!$A:$A,0))</f>
        <v>Tax client only</v>
      </c>
      <c r="E115" s="173" t="str">
        <f>INDEX('Customer List Mapping'!$C:$C,MATCH('Full Customer List'!D115,'Customer List Mapping'!$B:$B,0))</f>
        <v>Tax-Only Client</v>
      </c>
      <c r="F115" s="192" t="str">
        <f>INDEX('Customer List'!$K:$K,MATCH('Full Customer List'!$B115,'Customer List'!$A:$A,0))</f>
        <v/>
      </c>
      <c r="G115" s="192">
        <f>INDEX('Revenue by Customer'!$I:$I,MATCH('Full Customer List'!$B115,'Revenue by Customer'!$A:$A,0))</f>
        <v>2358.3333333333335</v>
      </c>
      <c r="H115" s="257" t="str">
        <f>IFERROR(IF(C115="Active","",INDEX('Client Departures'!$G:$G,MATCH('Full Customer List'!$B115,'Client Departures'!$A:$A,0))),"Unclassified")</f>
        <v>Unclassified</v>
      </c>
      <c r="I115" s="196">
        <v>45901</v>
      </c>
      <c r="J115" s="196"/>
      <c r="K115" s="192" t="str">
        <f>INDEX('Revenue by Customer'!K:K,MATCH('Full Customer List'!$B115,'Revenue by Customer'!$A:$A,0))</f>
        <v/>
      </c>
      <c r="L115" s="192" t="str">
        <f>INDEX('Revenue by Customer'!L:L,MATCH('Full Customer List'!$B115,'Revenue by Customer'!$A:$A,0))</f>
        <v/>
      </c>
      <c r="M115" s="192" t="str">
        <f>INDEX('Revenue by Customer'!M:M,MATCH('Full Customer List'!$B115,'Revenue by Customer'!$A:$A,0))</f>
        <v/>
      </c>
      <c r="N115" s="192" t="str">
        <f>INDEX('Revenue by Customer'!N:N,MATCH('Full Customer List'!$B115,'Revenue by Customer'!$A:$A,0))</f>
        <v/>
      </c>
      <c r="O115" s="192" t="str">
        <f>INDEX('Revenue by Customer'!O:O,MATCH('Full Customer List'!$B115,'Revenue by Customer'!$A:$A,0))</f>
        <v/>
      </c>
      <c r="P115" s="192" t="str">
        <f>INDEX('Revenue by Customer'!P:P,MATCH('Full Customer List'!$B115,'Revenue by Customer'!$A:$A,0))</f>
        <v/>
      </c>
      <c r="Q115" s="192" t="str">
        <f>INDEX('Revenue by Customer'!Q:Q,MATCH('Full Customer List'!$B115,'Revenue by Customer'!$A:$A,0))</f>
        <v/>
      </c>
      <c r="R115" s="192" t="str">
        <f>INDEX('Revenue by Customer'!R:R,MATCH('Full Customer List'!$B115,'Revenue by Customer'!$A:$A,0))</f>
        <v/>
      </c>
      <c r="S115" s="192">
        <f>INDEX('Revenue by Customer'!S:S,MATCH('Full Customer List'!$B115,'Revenue by Customer'!$A:$A,0))</f>
        <v>3537.5</v>
      </c>
      <c r="T115" s="192" t="str">
        <f>INDEX('Revenue by Customer'!T:T,MATCH('Full Customer List'!$B115,'Revenue by Customer'!$A:$A,0))</f>
        <v/>
      </c>
      <c r="U115" s="192" t="str">
        <f>INDEX('Revenue by Customer'!U:U,MATCH('Full Customer List'!$B115,'Revenue by Customer'!$A:$A,0))</f>
        <v/>
      </c>
      <c r="V115" s="192">
        <f>INDEX('Revenue by Customer'!V:V,MATCH('Full Customer List'!$B115,'Revenue by Customer'!$A:$A,0))</f>
        <v>875</v>
      </c>
      <c r="W115" s="192" t="str">
        <f>INDEX('Revenue by Customer'!W:W,MATCH('Full Customer List'!$B115,'Revenue by Customer'!$A:$A,0))</f>
        <v/>
      </c>
      <c r="X115" s="192" t="str">
        <f>INDEX('Revenue by Customer'!X:X,MATCH('Full Customer List'!$B115,'Revenue by Customer'!$A:$A,0))</f>
        <v/>
      </c>
      <c r="Y115" s="192">
        <f>INDEX('Revenue by Customer'!Y:Y,MATCH('Full Customer List'!$B115,'Revenue by Customer'!$A:$A,0))</f>
        <v>0</v>
      </c>
      <c r="Z115" s="192">
        <f>INDEX('Revenue by Customer'!Z:Z,MATCH('Full Customer List'!$B115,'Revenue by Customer'!$A:$A,0))</f>
        <v>2662.5</v>
      </c>
      <c r="AA115" s="192" t="str">
        <f>INDEX('Revenue by Customer'!AA:AA,MATCH('Full Customer List'!$B115,'Revenue by Customer'!$A:$A,0))</f>
        <v/>
      </c>
      <c r="AB115" s="192" t="str">
        <f>INDEX('Revenue by Customer'!AB:AB,MATCH('Full Customer List'!$B115,'Revenue by Customer'!$A:$A,0))</f>
        <v/>
      </c>
      <c r="AC115" s="192" t="str">
        <f>INDEX('Revenue by Customer'!AC:AC,MATCH('Full Customer List'!$B115,'Revenue by Customer'!$A:$A,0))</f>
        <v/>
      </c>
    </row>
    <row r="116" spans="2:29" ht="12" customHeight="1">
      <c r="B116" s="173" t="s">
        <v>734</v>
      </c>
      <c r="C116" s="173" t="str">
        <f>INDEX('Customer List'!$B:$B,MATCH('Full Customer List'!$B116,'Customer List'!$A:$A,0))</f>
        <v>Active</v>
      </c>
      <c r="D116" s="173" t="str">
        <f>INDEX('Customer List'!$C:$C,MATCH('Full Customer List'!$B116,'Customer List'!$A:$A,0))</f>
        <v>STR owner</v>
      </c>
      <c r="E116" s="173" t="str">
        <f>INDEX('Customer List Mapping'!$C:$C,MATCH('Full Customer List'!D116,'Customer List Mapping'!$B:$B,0))</f>
        <v>STR Owner</v>
      </c>
      <c r="F116" s="192" t="str">
        <f>INDEX('Customer List'!$K:$K,MATCH('Full Customer List'!$B116,'Customer List'!$A:$A,0))</f>
        <v/>
      </c>
      <c r="G116" s="192">
        <f>INDEX('Revenue by Customer'!$I:$I,MATCH('Full Customer List'!$B116,'Revenue by Customer'!$A:$A,0))</f>
        <v>669.33333333333337</v>
      </c>
      <c r="H116" s="257" t="str">
        <f>IFERROR(IF(C116="Active","",INDEX('Client Departures'!$G:$G,MATCH('Full Customer List'!$B116,'Client Departures'!$A:$A,0))),"Unclassified")</f>
        <v/>
      </c>
      <c r="I116" s="196">
        <v>45413</v>
      </c>
      <c r="J116" s="196"/>
      <c r="K116" s="192">
        <f>INDEX('Revenue by Customer'!K:K,MATCH('Full Customer List'!$B116,'Revenue by Customer'!$A:$A,0))</f>
        <v>395</v>
      </c>
      <c r="L116" s="192">
        <f>INDEX('Revenue by Customer'!L:L,MATCH('Full Customer List'!$B116,'Revenue by Customer'!$A:$A,0))</f>
        <v>395</v>
      </c>
      <c r="M116" s="192">
        <f>INDEX('Revenue by Customer'!M:M,MATCH('Full Customer List'!$B116,'Revenue by Customer'!$A:$A,0))</f>
        <v>395</v>
      </c>
      <c r="N116" s="192">
        <f>INDEX('Revenue by Customer'!N:N,MATCH('Full Customer List'!$B116,'Revenue by Customer'!$A:$A,0))</f>
        <v>395</v>
      </c>
      <c r="O116" s="192">
        <f>INDEX('Revenue by Customer'!O:O,MATCH('Full Customer List'!$B116,'Revenue by Customer'!$A:$A,0))</f>
        <v>474</v>
      </c>
      <c r="P116" s="192">
        <f>INDEX('Revenue by Customer'!P:P,MATCH('Full Customer List'!$B116,'Revenue by Customer'!$A:$A,0))</f>
        <v>560</v>
      </c>
      <c r="Q116" s="192">
        <f>INDEX('Revenue by Customer'!Q:Q,MATCH('Full Customer List'!$B116,'Revenue by Customer'!$A:$A,0))</f>
        <v>560</v>
      </c>
      <c r="R116" s="192">
        <f>INDEX('Revenue by Customer'!R:R,MATCH('Full Customer List'!$B116,'Revenue by Customer'!$A:$A,0))</f>
        <v>560</v>
      </c>
      <c r="S116" s="192">
        <f>INDEX('Revenue by Customer'!S:S,MATCH('Full Customer List'!$B116,'Revenue by Customer'!$A:$A,0))</f>
        <v>560</v>
      </c>
      <c r="T116" s="192">
        <f>INDEX('Revenue by Customer'!T:T,MATCH('Full Customer List'!$B116,'Revenue by Customer'!$A:$A,0))</f>
        <v>560</v>
      </c>
      <c r="U116" s="192">
        <f>INDEX('Revenue by Customer'!U:U,MATCH('Full Customer List'!$B116,'Revenue by Customer'!$A:$A,0))</f>
        <v>560</v>
      </c>
      <c r="V116" s="192">
        <f>INDEX('Revenue by Customer'!V:V,MATCH('Full Customer List'!$B116,'Revenue by Customer'!$A:$A,0))</f>
        <v>560</v>
      </c>
      <c r="W116" s="192">
        <f>INDEX('Revenue by Customer'!W:W,MATCH('Full Customer List'!$B116,'Revenue by Customer'!$A:$A,0))</f>
        <v>560</v>
      </c>
      <c r="X116" s="192">
        <f>INDEX('Revenue by Customer'!X:X,MATCH('Full Customer List'!$B116,'Revenue by Customer'!$A:$A,0))</f>
        <v>560</v>
      </c>
      <c r="Y116" s="192">
        <f>INDEX('Revenue by Customer'!Y:Y,MATCH('Full Customer List'!$B116,'Revenue by Customer'!$A:$A,0))</f>
        <v>560</v>
      </c>
      <c r="Z116" s="192">
        <f>INDEX('Revenue by Customer'!Z:Z,MATCH('Full Customer List'!$B116,'Revenue by Customer'!$A:$A,0))</f>
        <v>558.91</v>
      </c>
      <c r="AA116" s="192">
        <f>INDEX('Revenue by Customer'!AA:AA,MATCH('Full Customer List'!$B116,'Revenue by Customer'!$A:$A,0))</f>
        <v>560</v>
      </c>
      <c r="AB116" s="192">
        <f>INDEX('Revenue by Customer'!AB:AB,MATCH('Full Customer List'!$B116,'Revenue by Customer'!$A:$A,0))</f>
        <v>724</v>
      </c>
      <c r="AC116" s="192">
        <f>INDEX('Revenue by Customer'!AC:AC,MATCH('Full Customer List'!$B116,'Revenue by Customer'!$A:$A,0))</f>
        <v>724</v>
      </c>
    </row>
    <row r="117" spans="2:29" ht="12" customHeight="1">
      <c r="B117" s="173" t="s">
        <v>735</v>
      </c>
      <c r="C117" s="173" t="str">
        <f>INDEX('Customer List'!$B:$B,MATCH('Full Customer List'!$B117,'Customer List'!$A:$A,0))</f>
        <v>Former client</v>
      </c>
      <c r="D117" s="173" t="str">
        <f>INDEX('Customer List'!$C:$C,MATCH('Full Customer List'!$B117,'Customer List'!$A:$A,0))</f>
        <v>Small business</v>
      </c>
      <c r="E117" s="173" t="str">
        <f>INDEX('Customer List Mapping'!$C:$C,MATCH('Full Customer List'!D117,'Customer List Mapping'!$B:$B,0))</f>
        <v>Small Business</v>
      </c>
      <c r="F117" s="192" t="str">
        <f>INDEX('Customer List'!$K:$K,MATCH('Full Customer List'!$B117,'Customer List'!$A:$A,0))</f>
        <v/>
      </c>
      <c r="G117" s="192">
        <f>INDEX('Revenue by Customer'!$I:$I,MATCH('Full Customer List'!$B117,'Revenue by Customer'!$A:$A,0))</f>
        <v>600</v>
      </c>
      <c r="H117" s="257" t="str">
        <f>IFERROR(IF(C117="Active","",INDEX('Client Departures'!$G:$G,MATCH('Full Customer List'!$B117,'Client Departures'!$A:$A,0))),"Unclassified")</f>
        <v>No</v>
      </c>
      <c r="I117" s="196">
        <v>44652</v>
      </c>
      <c r="J117" s="196">
        <v>46234</v>
      </c>
      <c r="K117" s="192">
        <f>INDEX('Revenue by Customer'!K:K,MATCH('Full Customer List'!$B117,'Revenue by Customer'!$A:$A,0))</f>
        <v>550</v>
      </c>
      <c r="L117" s="192">
        <f>INDEX('Revenue by Customer'!L:L,MATCH('Full Customer List'!$B117,'Revenue by Customer'!$A:$A,0))</f>
        <v>550</v>
      </c>
      <c r="M117" s="192">
        <f>INDEX('Revenue by Customer'!M:M,MATCH('Full Customer List'!$B117,'Revenue by Customer'!$A:$A,0))</f>
        <v>550</v>
      </c>
      <c r="N117" s="192">
        <f>INDEX('Revenue by Customer'!N:N,MATCH('Full Customer List'!$B117,'Revenue by Customer'!$A:$A,0))</f>
        <v>580</v>
      </c>
      <c r="O117" s="192">
        <f>INDEX('Revenue by Customer'!O:O,MATCH('Full Customer List'!$B117,'Revenue by Customer'!$A:$A,0))</f>
        <v>580</v>
      </c>
      <c r="P117" s="192">
        <f>INDEX('Revenue by Customer'!P:P,MATCH('Full Customer List'!$B117,'Revenue by Customer'!$A:$A,0))</f>
        <v>580</v>
      </c>
      <c r="Q117" s="192">
        <f>INDEX('Revenue by Customer'!Q:Q,MATCH('Full Customer List'!$B117,'Revenue by Customer'!$A:$A,0))</f>
        <v>580</v>
      </c>
      <c r="R117" s="192">
        <f>INDEX('Revenue by Customer'!R:R,MATCH('Full Customer List'!$B117,'Revenue by Customer'!$A:$A,0))</f>
        <v>580</v>
      </c>
      <c r="S117" s="192">
        <f>INDEX('Revenue by Customer'!S:S,MATCH('Full Customer List'!$B117,'Revenue by Customer'!$A:$A,0))</f>
        <v>580</v>
      </c>
      <c r="T117" s="192">
        <f>INDEX('Revenue by Customer'!T:T,MATCH('Full Customer List'!$B117,'Revenue by Customer'!$A:$A,0))</f>
        <v>580</v>
      </c>
      <c r="U117" s="192">
        <f>INDEX('Revenue by Customer'!U:U,MATCH('Full Customer List'!$B117,'Revenue by Customer'!$A:$A,0))</f>
        <v>580</v>
      </c>
      <c r="V117" s="192">
        <f>INDEX('Revenue by Customer'!V:V,MATCH('Full Customer List'!$B117,'Revenue by Customer'!$A:$A,0))</f>
        <v>580</v>
      </c>
      <c r="W117" s="192">
        <f>INDEX('Revenue by Customer'!W:W,MATCH('Full Customer List'!$B117,'Revenue by Customer'!$A:$A,0))</f>
        <v>580</v>
      </c>
      <c r="X117" s="192">
        <f>INDEX('Revenue by Customer'!X:X,MATCH('Full Customer List'!$B117,'Revenue by Customer'!$A:$A,0))</f>
        <v>580</v>
      </c>
      <c r="Y117" s="192">
        <f>INDEX('Revenue by Customer'!Y:Y,MATCH('Full Customer List'!$B117,'Revenue by Customer'!$A:$A,0))</f>
        <v>580</v>
      </c>
      <c r="Z117" s="192">
        <f>INDEX('Revenue by Customer'!Z:Z,MATCH('Full Customer List'!$B117,'Revenue by Customer'!$A:$A,0))</f>
        <v>600</v>
      </c>
      <c r="AA117" s="192">
        <f>INDEX('Revenue by Customer'!AA:AA,MATCH('Full Customer List'!$B117,'Revenue by Customer'!$A:$A,0))</f>
        <v>600</v>
      </c>
      <c r="AB117" s="192">
        <f>INDEX('Revenue by Customer'!AB:AB,MATCH('Full Customer List'!$B117,'Revenue by Customer'!$A:$A,0))</f>
        <v>600</v>
      </c>
      <c r="AC117" s="192">
        <f>INDEX('Revenue by Customer'!AC:AC,MATCH('Full Customer List'!$B117,'Revenue by Customer'!$A:$A,0))</f>
        <v>600</v>
      </c>
    </row>
    <row r="118" spans="2:29" ht="12" customHeight="1">
      <c r="B118" s="173" t="s">
        <v>738</v>
      </c>
      <c r="C118" s="173" t="str">
        <f>INDEX('Customer List'!$B:$B,MATCH('Full Customer List'!$B118,'Customer List'!$A:$A,0))</f>
        <v>Active</v>
      </c>
      <c r="D118" s="173" t="str">
        <f>INDEX('Customer List'!$C:$C,MATCH('Full Customer List'!$B118,'Customer List'!$A:$A,0))</f>
        <v>Property manager</v>
      </c>
      <c r="E118" s="173" t="str">
        <f>INDEX('Customer List Mapping'!$C:$C,MATCH('Full Customer List'!D118,'Customer List Mapping'!$B:$B,0))</f>
        <v>Property Manager</v>
      </c>
      <c r="F118" s="192">
        <f>INDEX('Customer List'!$K:$K,MATCH('Full Customer List'!$B118,'Customer List'!$A:$A,0))</f>
        <v>8</v>
      </c>
      <c r="G118" s="192">
        <f>INDEX('Revenue by Customer'!$I:$I,MATCH('Full Customer List'!$B118,'Revenue by Customer'!$A:$A,0))</f>
        <v>446.33333333333331</v>
      </c>
      <c r="H118" s="257" t="str">
        <f>IFERROR(IF(C118="Active","",INDEX('Client Departures'!$G:$G,MATCH('Full Customer List'!$B118,'Client Departures'!$A:$A,0))),"Unclassified")</f>
        <v/>
      </c>
      <c r="I118" s="196">
        <v>45444</v>
      </c>
      <c r="J118" s="196"/>
      <c r="K118" s="192">
        <f>INDEX('Revenue by Customer'!K:K,MATCH('Full Customer List'!$B118,'Revenue by Customer'!$A:$A,0))</f>
        <v>525</v>
      </c>
      <c r="L118" s="192">
        <f>INDEX('Revenue by Customer'!L:L,MATCH('Full Customer List'!$B118,'Revenue by Customer'!$A:$A,0))</f>
        <v>420</v>
      </c>
      <c r="M118" s="192">
        <f>INDEX('Revenue by Customer'!M:M,MATCH('Full Customer List'!$B118,'Revenue by Customer'!$A:$A,0))</f>
        <v>420</v>
      </c>
      <c r="N118" s="192">
        <f>INDEX('Revenue by Customer'!N:N,MATCH('Full Customer List'!$B118,'Revenue by Customer'!$A:$A,0))</f>
        <v>420</v>
      </c>
      <c r="O118" s="192">
        <f>INDEX('Revenue by Customer'!O:O,MATCH('Full Customer List'!$B118,'Revenue by Customer'!$A:$A,0))</f>
        <v>420</v>
      </c>
      <c r="P118" s="192">
        <f>INDEX('Revenue by Customer'!P:P,MATCH('Full Customer List'!$B118,'Revenue by Customer'!$A:$A,0))</f>
        <v>445</v>
      </c>
      <c r="Q118" s="192">
        <f>INDEX('Revenue by Customer'!Q:Q,MATCH('Full Customer List'!$B118,'Revenue by Customer'!$A:$A,0))</f>
        <v>445</v>
      </c>
      <c r="R118" s="192">
        <f>INDEX('Revenue by Customer'!R:R,MATCH('Full Customer List'!$B118,'Revenue by Customer'!$A:$A,0))</f>
        <v>445</v>
      </c>
      <c r="S118" s="192">
        <f>INDEX('Revenue by Customer'!S:S,MATCH('Full Customer List'!$B118,'Revenue by Customer'!$A:$A,0))</f>
        <v>445</v>
      </c>
      <c r="T118" s="192">
        <f>INDEX('Revenue by Customer'!T:T,MATCH('Full Customer List'!$B118,'Revenue by Customer'!$A:$A,0))</f>
        <v>1210</v>
      </c>
      <c r="U118" s="192">
        <f>INDEX('Revenue by Customer'!U:U,MATCH('Full Customer List'!$B118,'Revenue by Customer'!$A:$A,0))</f>
        <v>445</v>
      </c>
      <c r="V118" s="192">
        <f>INDEX('Revenue by Customer'!V:V,MATCH('Full Customer List'!$B118,'Revenue by Customer'!$A:$A,0))</f>
        <v>445</v>
      </c>
      <c r="W118" s="192">
        <f>INDEX('Revenue by Customer'!W:W,MATCH('Full Customer List'!$B118,'Revenue by Customer'!$A:$A,0))</f>
        <v>535</v>
      </c>
      <c r="X118" s="192">
        <f>INDEX('Revenue by Customer'!X:X,MATCH('Full Customer List'!$B118,'Revenue by Customer'!$A:$A,0))</f>
        <v>445</v>
      </c>
      <c r="Y118" s="192">
        <f>INDEX('Revenue by Customer'!Y:Y,MATCH('Full Customer List'!$B118,'Revenue by Customer'!$A:$A,0))</f>
        <v>1210</v>
      </c>
      <c r="Z118" s="192">
        <f>INDEX('Revenue by Customer'!Z:Z,MATCH('Full Customer List'!$B118,'Revenue by Customer'!$A:$A,0))</f>
        <v>445</v>
      </c>
      <c r="AA118" s="192">
        <f>INDEX('Revenue by Customer'!AA:AA,MATCH('Full Customer List'!$B118,'Revenue by Customer'!$A:$A,0))</f>
        <v>445</v>
      </c>
      <c r="AB118" s="192">
        <f>INDEX('Revenue by Customer'!AB:AB,MATCH('Full Customer List'!$B118,'Revenue by Customer'!$A:$A,0))</f>
        <v>447</v>
      </c>
      <c r="AC118" s="192">
        <f>INDEX('Revenue by Customer'!AC:AC,MATCH('Full Customer List'!$B118,'Revenue by Customer'!$A:$A,0))</f>
        <v>447</v>
      </c>
    </row>
    <row r="119" spans="2:29" ht="12" customHeight="1">
      <c r="B119" s="173" t="s">
        <v>739</v>
      </c>
      <c r="C119" s="173" t="str">
        <f>INDEX('Customer List'!$B:$B,MATCH('Full Customer List'!$B119,'Customer List'!$A:$A,0))</f>
        <v>Active</v>
      </c>
      <c r="D119" s="173" t="str">
        <f>INDEX('Customer List'!$C:$C,MATCH('Full Customer List'!$B119,'Customer List'!$A:$A,0))</f>
        <v>Property manager</v>
      </c>
      <c r="E119" s="173" t="str">
        <f>INDEX('Customer List Mapping'!$C:$C,MATCH('Full Customer List'!D119,'Customer List Mapping'!$B:$B,0))</f>
        <v>Property Manager</v>
      </c>
      <c r="F119" s="192">
        <f>INDEX('Customer List'!$K:$K,MATCH('Full Customer List'!$B119,'Customer List'!$A:$A,0))</f>
        <v>8</v>
      </c>
      <c r="G119" s="192">
        <f>INDEX('Revenue by Customer'!$I:$I,MATCH('Full Customer List'!$B119,'Revenue by Customer'!$A:$A,0))</f>
        <v>910</v>
      </c>
      <c r="H119" s="257" t="str">
        <f>IFERROR(IF(C119="Active","",INDEX('Client Departures'!$G:$G,MATCH('Full Customer List'!$B119,'Client Departures'!$A:$A,0))),"Unclassified")</f>
        <v/>
      </c>
      <c r="I119" s="196">
        <v>46023</v>
      </c>
      <c r="J119" s="196"/>
      <c r="K119" s="192" t="str">
        <f>INDEX('Revenue by Customer'!K:K,MATCH('Full Customer List'!$B119,'Revenue by Customer'!$A:$A,0))</f>
        <v/>
      </c>
      <c r="L119" s="192" t="str">
        <f>INDEX('Revenue by Customer'!L:L,MATCH('Full Customer List'!$B119,'Revenue by Customer'!$A:$A,0))</f>
        <v/>
      </c>
      <c r="M119" s="192" t="str">
        <f>INDEX('Revenue by Customer'!M:M,MATCH('Full Customer List'!$B119,'Revenue by Customer'!$A:$A,0))</f>
        <v/>
      </c>
      <c r="N119" s="192" t="str">
        <f>INDEX('Revenue by Customer'!N:N,MATCH('Full Customer List'!$B119,'Revenue by Customer'!$A:$A,0))</f>
        <v/>
      </c>
      <c r="O119" s="192" t="str">
        <f>INDEX('Revenue by Customer'!O:O,MATCH('Full Customer List'!$B119,'Revenue by Customer'!$A:$A,0))</f>
        <v/>
      </c>
      <c r="P119" s="192" t="str">
        <f>INDEX('Revenue by Customer'!P:P,MATCH('Full Customer List'!$B119,'Revenue by Customer'!$A:$A,0))</f>
        <v/>
      </c>
      <c r="Q119" s="192" t="str">
        <f>INDEX('Revenue by Customer'!Q:Q,MATCH('Full Customer List'!$B119,'Revenue by Customer'!$A:$A,0))</f>
        <v/>
      </c>
      <c r="R119" s="192" t="str">
        <f>INDEX('Revenue by Customer'!R:R,MATCH('Full Customer List'!$B119,'Revenue by Customer'!$A:$A,0))</f>
        <v/>
      </c>
      <c r="S119" s="192" t="str">
        <f>INDEX('Revenue by Customer'!S:S,MATCH('Full Customer List'!$B119,'Revenue by Customer'!$A:$A,0))</f>
        <v/>
      </c>
      <c r="T119" s="192" t="str">
        <f>INDEX('Revenue by Customer'!T:T,MATCH('Full Customer List'!$B119,'Revenue by Customer'!$A:$A,0))</f>
        <v/>
      </c>
      <c r="U119" s="192" t="str">
        <f>INDEX('Revenue by Customer'!U:U,MATCH('Full Customer List'!$B119,'Revenue by Customer'!$A:$A,0))</f>
        <v/>
      </c>
      <c r="V119" s="192" t="str">
        <f>INDEX('Revenue by Customer'!V:V,MATCH('Full Customer List'!$B119,'Revenue by Customer'!$A:$A,0))</f>
        <v/>
      </c>
      <c r="W119" s="192">
        <f>INDEX('Revenue by Customer'!W:W,MATCH('Full Customer List'!$B119,'Revenue by Customer'!$A:$A,0))</f>
        <v>1783.75</v>
      </c>
      <c r="X119" s="192">
        <f>INDEX('Revenue by Customer'!X:X,MATCH('Full Customer List'!$B119,'Revenue by Customer'!$A:$A,0))</f>
        <v>1108.75</v>
      </c>
      <c r="Y119" s="192">
        <f>INDEX('Revenue by Customer'!Y:Y,MATCH('Full Customer List'!$B119,'Revenue by Customer'!$A:$A,0))</f>
        <v>163.75</v>
      </c>
      <c r="Z119" s="192">
        <f>INDEX('Revenue by Customer'!Z:Z,MATCH('Full Customer List'!$B119,'Revenue by Customer'!$A:$A,0))</f>
        <v>910</v>
      </c>
      <c r="AA119" s="192">
        <f>INDEX('Revenue by Customer'!AA:AA,MATCH('Full Customer List'!$B119,'Revenue by Customer'!$A:$A,0))</f>
        <v>910</v>
      </c>
      <c r="AB119" s="192">
        <f>INDEX('Revenue by Customer'!AB:AB,MATCH('Full Customer List'!$B119,'Revenue by Customer'!$A:$A,0))</f>
        <v>910</v>
      </c>
      <c r="AC119" s="192">
        <f>INDEX('Revenue by Customer'!AC:AC,MATCH('Full Customer List'!$B119,'Revenue by Customer'!$A:$A,0))</f>
        <v>910</v>
      </c>
    </row>
    <row r="120" spans="2:29" ht="12" customHeight="1">
      <c r="B120" s="173" t="s">
        <v>740</v>
      </c>
      <c r="C120" s="173" t="str">
        <f>INDEX('Customer List'!$B:$B,MATCH('Full Customer List'!$B120,'Customer List'!$A:$A,0))</f>
        <v>Active</v>
      </c>
      <c r="D120" s="173" t="str">
        <f>INDEX('Customer List'!$C:$C,MATCH('Full Customer List'!$B120,'Customer List'!$A:$A,0))</f>
        <v>Property manager</v>
      </c>
      <c r="E120" s="173" t="str">
        <f>INDEX('Customer List Mapping'!$C:$C,MATCH('Full Customer List'!D120,'Customer List Mapping'!$B:$B,0))</f>
        <v>Property Manager</v>
      </c>
      <c r="F120" s="192">
        <f>INDEX('Customer List'!$K:$K,MATCH('Full Customer List'!$B120,'Customer List'!$A:$A,0))</f>
        <v>8</v>
      </c>
      <c r="G120" s="192">
        <f>INDEX('Revenue by Customer'!$I:$I,MATCH('Full Customer List'!$B120,'Revenue by Customer'!$A:$A,0))</f>
        <v>649</v>
      </c>
      <c r="H120" s="257" t="str">
        <f>IFERROR(IF(C120="Active","",INDEX('Client Departures'!$G:$G,MATCH('Full Customer List'!$B120,'Client Departures'!$A:$A,0))),"Unclassified")</f>
        <v/>
      </c>
      <c r="I120" s="196">
        <v>45717</v>
      </c>
      <c r="J120" s="196"/>
      <c r="K120" s="192" t="str">
        <f>INDEX('Revenue by Customer'!K:K,MATCH('Full Customer List'!$B120,'Revenue by Customer'!$A:$A,0))</f>
        <v/>
      </c>
      <c r="L120" s="192" t="str">
        <f>INDEX('Revenue by Customer'!L:L,MATCH('Full Customer List'!$B120,'Revenue by Customer'!$A:$A,0))</f>
        <v/>
      </c>
      <c r="M120" s="192">
        <f>INDEX('Revenue by Customer'!M:M,MATCH('Full Customer List'!$B120,'Revenue by Customer'!$A:$A,0))</f>
        <v>350</v>
      </c>
      <c r="N120" s="192">
        <f>INDEX('Revenue by Customer'!N:N,MATCH('Full Customer List'!$B120,'Revenue by Customer'!$A:$A,0))</f>
        <v>150</v>
      </c>
      <c r="O120" s="192">
        <f>INDEX('Revenue by Customer'!O:O,MATCH('Full Customer List'!$B120,'Revenue by Customer'!$A:$A,0))</f>
        <v>360</v>
      </c>
      <c r="P120" s="192">
        <f>INDEX('Revenue by Customer'!P:P,MATCH('Full Customer List'!$B120,'Revenue by Customer'!$A:$A,0))</f>
        <v>280</v>
      </c>
      <c r="Q120" s="192">
        <f>INDEX('Revenue by Customer'!Q:Q,MATCH('Full Customer List'!$B120,'Revenue by Customer'!$A:$A,0))</f>
        <v>430</v>
      </c>
      <c r="R120" s="192">
        <f>INDEX('Revenue by Customer'!R:R,MATCH('Full Customer List'!$B120,'Revenue by Customer'!$A:$A,0))</f>
        <v>430</v>
      </c>
      <c r="S120" s="192">
        <f>INDEX('Revenue by Customer'!S:S,MATCH('Full Customer List'!$B120,'Revenue by Customer'!$A:$A,0))</f>
        <v>430</v>
      </c>
      <c r="T120" s="192">
        <f>INDEX('Revenue by Customer'!T:T,MATCH('Full Customer List'!$B120,'Revenue by Customer'!$A:$A,0))</f>
        <v>430</v>
      </c>
      <c r="U120" s="192">
        <f>INDEX('Revenue by Customer'!U:U,MATCH('Full Customer List'!$B120,'Revenue by Customer'!$A:$A,0))</f>
        <v>525</v>
      </c>
      <c r="V120" s="192">
        <f>INDEX('Revenue by Customer'!V:V,MATCH('Full Customer List'!$B120,'Revenue by Customer'!$A:$A,0))</f>
        <v>525</v>
      </c>
      <c r="W120" s="192">
        <f>INDEX('Revenue by Customer'!W:W,MATCH('Full Customer List'!$B120,'Revenue by Customer'!$A:$A,0))</f>
        <v>525</v>
      </c>
      <c r="X120" s="192">
        <f>INDEX('Revenue by Customer'!X:X,MATCH('Full Customer List'!$B120,'Revenue by Customer'!$A:$A,0))</f>
        <v>630</v>
      </c>
      <c r="Y120" s="192">
        <f>INDEX('Revenue by Customer'!Y:Y,MATCH('Full Customer List'!$B120,'Revenue by Customer'!$A:$A,0))</f>
        <v>525</v>
      </c>
      <c r="Z120" s="192">
        <f>INDEX('Revenue by Customer'!Z:Z,MATCH('Full Customer List'!$B120,'Revenue by Customer'!$A:$A,0))</f>
        <v>649</v>
      </c>
      <c r="AA120" s="192">
        <f>INDEX('Revenue by Customer'!AA:AA,MATCH('Full Customer List'!$B120,'Revenue by Customer'!$A:$A,0))</f>
        <v>649</v>
      </c>
      <c r="AB120" s="192">
        <f>INDEX('Revenue by Customer'!AB:AB,MATCH('Full Customer List'!$B120,'Revenue by Customer'!$A:$A,0))</f>
        <v>649</v>
      </c>
      <c r="AC120" s="192">
        <f>INDEX('Revenue by Customer'!AC:AC,MATCH('Full Customer List'!$B120,'Revenue by Customer'!$A:$A,0))</f>
        <v>649</v>
      </c>
    </row>
    <row r="121" spans="2:29" ht="12" customHeight="1">
      <c r="B121" s="173" t="s">
        <v>741</v>
      </c>
      <c r="C121" s="173" t="str">
        <f>INDEX('Customer List'!$B:$B,MATCH('Full Customer List'!$B121,'Customer List'!$A:$A,0))</f>
        <v>Active</v>
      </c>
      <c r="D121" s="173" t="str">
        <f>INDEX('Customer List'!$C:$C,MATCH('Full Customer List'!$B121,'Customer List'!$A:$A,0))</f>
        <v>Property manager</v>
      </c>
      <c r="E121" s="173" t="str">
        <f>INDEX('Customer List Mapping'!$C:$C,MATCH('Full Customer List'!D121,'Customer List Mapping'!$B:$B,0))</f>
        <v>Property Manager</v>
      </c>
      <c r="F121" s="192">
        <f>INDEX('Customer List'!$K:$K,MATCH('Full Customer List'!$B121,'Customer List'!$A:$A,0))</f>
        <v>3</v>
      </c>
      <c r="G121" s="192">
        <f>INDEX('Revenue by Customer'!$I:$I,MATCH('Full Customer List'!$B121,'Revenue by Customer'!$A:$A,0))</f>
        <v>493</v>
      </c>
      <c r="H121" s="257" t="str">
        <f>IFERROR(IF(C121="Active","",INDEX('Client Departures'!$G:$G,MATCH('Full Customer List'!$B121,'Client Departures'!$A:$A,0))),"Unclassified")</f>
        <v/>
      </c>
      <c r="I121" s="196">
        <v>45474</v>
      </c>
      <c r="J121" s="196"/>
      <c r="K121" s="192">
        <f>INDEX('Revenue by Customer'!K:K,MATCH('Full Customer List'!$B121,'Revenue by Customer'!$A:$A,0))</f>
        <v>570</v>
      </c>
      <c r="L121" s="192">
        <f>INDEX('Revenue by Customer'!L:L,MATCH('Full Customer List'!$B121,'Revenue by Customer'!$A:$A,0))</f>
        <v>810</v>
      </c>
      <c r="M121" s="192">
        <f>INDEX('Revenue by Customer'!M:M,MATCH('Full Customer List'!$B121,'Revenue by Customer'!$A:$A,0))</f>
        <v>570</v>
      </c>
      <c r="N121" s="192">
        <f>INDEX('Revenue by Customer'!N:N,MATCH('Full Customer List'!$B121,'Revenue by Customer'!$A:$A,0))</f>
        <v>570</v>
      </c>
      <c r="O121" s="192">
        <f>INDEX('Revenue by Customer'!O:O,MATCH('Full Customer List'!$B121,'Revenue by Customer'!$A:$A,0))</f>
        <v>570</v>
      </c>
      <c r="P121" s="192">
        <f>INDEX('Revenue by Customer'!P:P,MATCH('Full Customer List'!$B121,'Revenue by Customer'!$A:$A,0))</f>
        <v>570</v>
      </c>
      <c r="Q121" s="192">
        <f>INDEX('Revenue by Customer'!Q:Q,MATCH('Full Customer List'!$B121,'Revenue by Customer'!$A:$A,0))</f>
        <v>555</v>
      </c>
      <c r="R121" s="192">
        <f>INDEX('Revenue by Customer'!R:R,MATCH('Full Customer List'!$B121,'Revenue by Customer'!$A:$A,0))</f>
        <v>555</v>
      </c>
      <c r="S121" s="192">
        <f>INDEX('Revenue by Customer'!S:S,MATCH('Full Customer List'!$B121,'Revenue by Customer'!$A:$A,0))</f>
        <v>555</v>
      </c>
      <c r="T121" s="192">
        <f>INDEX('Revenue by Customer'!T:T,MATCH('Full Customer List'!$B121,'Revenue by Customer'!$A:$A,0))</f>
        <v>555</v>
      </c>
      <c r="U121" s="192">
        <f>INDEX('Revenue by Customer'!U:U,MATCH('Full Customer List'!$B121,'Revenue by Customer'!$A:$A,0))</f>
        <v>555</v>
      </c>
      <c r="V121" s="192">
        <f>INDEX('Revenue by Customer'!V:V,MATCH('Full Customer List'!$B121,'Revenue by Customer'!$A:$A,0))</f>
        <v>535</v>
      </c>
      <c r="W121" s="192">
        <f>INDEX('Revenue by Customer'!W:W,MATCH('Full Customer List'!$B121,'Revenue by Customer'!$A:$A,0))</f>
        <v>535</v>
      </c>
      <c r="X121" s="192">
        <f>INDEX('Revenue by Customer'!X:X,MATCH('Full Customer List'!$B121,'Revenue by Customer'!$A:$A,0))</f>
        <v>775</v>
      </c>
      <c r="Y121" s="192">
        <f>INDEX('Revenue by Customer'!Y:Y,MATCH('Full Customer List'!$B121,'Revenue by Customer'!$A:$A,0))</f>
        <v>535</v>
      </c>
      <c r="Z121" s="192">
        <f>INDEX('Revenue by Customer'!Z:Z,MATCH('Full Customer List'!$B121,'Revenue by Customer'!$A:$A,0))</f>
        <v>535</v>
      </c>
      <c r="AA121" s="192">
        <f>INDEX('Revenue by Customer'!AA:AA,MATCH('Full Customer List'!$B121,'Revenue by Customer'!$A:$A,0))</f>
        <v>518</v>
      </c>
      <c r="AB121" s="192">
        <f>INDEX('Revenue by Customer'!AB:AB,MATCH('Full Customer List'!$B121,'Revenue by Customer'!$A:$A,0))</f>
        <v>468</v>
      </c>
      <c r="AC121" s="192">
        <f>INDEX('Revenue by Customer'!AC:AC,MATCH('Full Customer List'!$B121,'Revenue by Customer'!$A:$A,0))</f>
        <v>493</v>
      </c>
    </row>
    <row r="122" spans="2:29" ht="12" customHeight="1">
      <c r="B122" s="173" t="s">
        <v>742</v>
      </c>
      <c r="C122" s="173" t="str">
        <f>INDEX('Customer List'!$B:$B,MATCH('Full Customer List'!$B122,'Customer List'!$A:$A,0))</f>
        <v>Active</v>
      </c>
      <c r="D122" s="173" t="str">
        <f>INDEX('Customer List'!$C:$C,MATCH('Full Customer List'!$B122,'Customer List'!$A:$A,0))</f>
        <v>Property manager</v>
      </c>
      <c r="E122" s="173" t="str">
        <f>INDEX('Customer List Mapping'!$C:$C,MATCH('Full Customer List'!D122,'Customer List Mapping'!$B:$B,0))</f>
        <v>Property Manager</v>
      </c>
      <c r="F122" s="192">
        <f>INDEX('Customer List'!$K:$K,MATCH('Full Customer List'!$B122,'Customer List'!$A:$A,0))</f>
        <v>6</v>
      </c>
      <c r="G122" s="192">
        <f>INDEX('Revenue by Customer'!$I:$I,MATCH('Full Customer List'!$B122,'Revenue by Customer'!$A:$A,0))</f>
        <v>630</v>
      </c>
      <c r="H122" s="257" t="str">
        <f>IFERROR(IF(C122="Active","",INDEX('Client Departures'!$G:$G,MATCH('Full Customer List'!$B122,'Client Departures'!$A:$A,0))),"Unclassified")</f>
        <v/>
      </c>
      <c r="I122" s="196">
        <v>45536</v>
      </c>
      <c r="J122" s="196"/>
      <c r="K122" s="192">
        <f>INDEX('Revenue by Customer'!K:K,MATCH('Full Customer List'!$B122,'Revenue by Customer'!$A:$A,0))</f>
        <v>350</v>
      </c>
      <c r="L122" s="192">
        <f>INDEX('Revenue by Customer'!L:L,MATCH('Full Customer List'!$B122,'Revenue by Customer'!$A:$A,0))</f>
        <v>440</v>
      </c>
      <c r="M122" s="192">
        <f>INDEX('Revenue by Customer'!M:M,MATCH('Full Customer List'!$B122,'Revenue by Customer'!$A:$A,0))</f>
        <v>350</v>
      </c>
      <c r="N122" s="192">
        <f>INDEX('Revenue by Customer'!N:N,MATCH('Full Customer List'!$B122,'Revenue by Customer'!$A:$A,0))</f>
        <v>350</v>
      </c>
      <c r="O122" s="192">
        <f>INDEX('Revenue by Customer'!O:O,MATCH('Full Customer List'!$B122,'Revenue by Customer'!$A:$A,0))</f>
        <v>350</v>
      </c>
      <c r="P122" s="192">
        <f>INDEX('Revenue by Customer'!P:P,MATCH('Full Customer List'!$B122,'Revenue by Customer'!$A:$A,0))</f>
        <v>350</v>
      </c>
      <c r="Q122" s="192">
        <f>INDEX('Revenue by Customer'!Q:Q,MATCH('Full Customer List'!$B122,'Revenue by Customer'!$A:$A,0))</f>
        <v>350</v>
      </c>
      <c r="R122" s="192">
        <f>INDEX('Revenue by Customer'!R:R,MATCH('Full Customer List'!$B122,'Revenue by Customer'!$A:$A,0))</f>
        <v>350</v>
      </c>
      <c r="S122" s="192">
        <f>INDEX('Revenue by Customer'!S:S,MATCH('Full Customer List'!$B122,'Revenue by Customer'!$A:$A,0))</f>
        <v>510</v>
      </c>
      <c r="T122" s="192">
        <f>INDEX('Revenue by Customer'!T:T,MATCH('Full Customer List'!$B122,'Revenue by Customer'!$A:$A,0))</f>
        <v>510</v>
      </c>
      <c r="U122" s="192">
        <f>INDEX('Revenue by Customer'!U:U,MATCH('Full Customer List'!$B122,'Revenue by Customer'!$A:$A,0))</f>
        <v>510</v>
      </c>
      <c r="V122" s="192">
        <f>INDEX('Revenue by Customer'!V:V,MATCH('Full Customer List'!$B122,'Revenue by Customer'!$A:$A,0))</f>
        <v>510</v>
      </c>
      <c r="W122" s="192">
        <f>INDEX('Revenue by Customer'!W:W,MATCH('Full Customer List'!$B122,'Revenue by Customer'!$A:$A,0))</f>
        <v>530</v>
      </c>
      <c r="X122" s="192">
        <f>INDEX('Revenue by Customer'!X:X,MATCH('Full Customer List'!$B122,'Revenue by Customer'!$A:$A,0))</f>
        <v>620</v>
      </c>
      <c r="Y122" s="192">
        <f>INDEX('Revenue by Customer'!Y:Y,MATCH('Full Customer List'!$B122,'Revenue by Customer'!$A:$A,0))</f>
        <v>530</v>
      </c>
      <c r="Z122" s="192">
        <f>INDEX('Revenue by Customer'!Z:Z,MATCH('Full Customer List'!$B122,'Revenue by Customer'!$A:$A,0))</f>
        <v>630</v>
      </c>
      <c r="AA122" s="192">
        <f>INDEX('Revenue by Customer'!AA:AA,MATCH('Full Customer List'!$B122,'Revenue by Customer'!$A:$A,0))</f>
        <v>630</v>
      </c>
      <c r="AB122" s="192">
        <f>INDEX('Revenue by Customer'!AB:AB,MATCH('Full Customer List'!$B122,'Revenue by Customer'!$A:$A,0))</f>
        <v>630</v>
      </c>
      <c r="AC122" s="192">
        <f>INDEX('Revenue by Customer'!AC:AC,MATCH('Full Customer List'!$B122,'Revenue by Customer'!$A:$A,0))</f>
        <v>630</v>
      </c>
    </row>
    <row r="123" spans="2:29" ht="12" customHeight="1">
      <c r="B123" s="173" t="s">
        <v>743</v>
      </c>
      <c r="C123" s="173" t="str">
        <f>INDEX('Customer List'!$B:$B,MATCH('Full Customer List'!$B123,'Customer List'!$A:$A,0))</f>
        <v>Active</v>
      </c>
      <c r="D123" s="173" t="str">
        <f>INDEX('Customer List'!$C:$C,MATCH('Full Customer List'!$B123,'Customer List'!$A:$A,0))</f>
        <v>Property manager</v>
      </c>
      <c r="E123" s="173" t="str">
        <f>INDEX('Customer List Mapping'!$C:$C,MATCH('Full Customer List'!D123,'Customer List Mapping'!$B:$B,0))</f>
        <v>Property Manager</v>
      </c>
      <c r="F123" s="192">
        <f>INDEX('Customer List'!$K:$K,MATCH('Full Customer List'!$B123,'Customer List'!$A:$A,0))</f>
        <v>4</v>
      </c>
      <c r="G123" s="192">
        <f>INDEX('Revenue by Customer'!$I:$I,MATCH('Full Customer List'!$B123,'Revenue by Customer'!$A:$A,0))</f>
        <v>650</v>
      </c>
      <c r="H123" s="257" t="str">
        <f>IFERROR(IF(C123="Active","",INDEX('Client Departures'!$G:$G,MATCH('Full Customer List'!$B123,'Client Departures'!$A:$A,0))),"Unclassified")</f>
        <v/>
      </c>
      <c r="I123" s="196">
        <v>45931</v>
      </c>
      <c r="J123" s="196"/>
      <c r="K123" s="192" t="str">
        <f>INDEX('Revenue by Customer'!K:K,MATCH('Full Customer List'!$B123,'Revenue by Customer'!$A:$A,0))</f>
        <v/>
      </c>
      <c r="L123" s="192" t="str">
        <f>INDEX('Revenue by Customer'!L:L,MATCH('Full Customer List'!$B123,'Revenue by Customer'!$A:$A,0))</f>
        <v/>
      </c>
      <c r="M123" s="192" t="str">
        <f>INDEX('Revenue by Customer'!M:M,MATCH('Full Customer List'!$B123,'Revenue by Customer'!$A:$A,0))</f>
        <v/>
      </c>
      <c r="N123" s="192" t="str">
        <f>INDEX('Revenue by Customer'!N:N,MATCH('Full Customer List'!$B123,'Revenue by Customer'!$A:$A,0))</f>
        <v/>
      </c>
      <c r="O123" s="192" t="str">
        <f>INDEX('Revenue by Customer'!O:O,MATCH('Full Customer List'!$B123,'Revenue by Customer'!$A:$A,0))</f>
        <v/>
      </c>
      <c r="P123" s="192" t="str">
        <f>INDEX('Revenue by Customer'!P:P,MATCH('Full Customer List'!$B123,'Revenue by Customer'!$A:$A,0))</f>
        <v/>
      </c>
      <c r="Q123" s="192" t="str">
        <f>INDEX('Revenue by Customer'!Q:Q,MATCH('Full Customer List'!$B123,'Revenue by Customer'!$A:$A,0))</f>
        <v/>
      </c>
      <c r="R123" s="192" t="str">
        <f>INDEX('Revenue by Customer'!R:R,MATCH('Full Customer List'!$B123,'Revenue by Customer'!$A:$A,0))</f>
        <v/>
      </c>
      <c r="S123" s="192" t="str">
        <f>INDEX('Revenue by Customer'!S:S,MATCH('Full Customer List'!$B123,'Revenue by Customer'!$A:$A,0))</f>
        <v/>
      </c>
      <c r="T123" s="192">
        <f>INDEX('Revenue by Customer'!T:T,MATCH('Full Customer List'!$B123,'Revenue by Customer'!$A:$A,0))</f>
        <v>925</v>
      </c>
      <c r="U123" s="192">
        <f>INDEX('Revenue by Customer'!U:U,MATCH('Full Customer List'!$B123,'Revenue by Customer'!$A:$A,0))</f>
        <v>736.25</v>
      </c>
      <c r="V123" s="192">
        <f>INDEX('Revenue by Customer'!V:V,MATCH('Full Customer List'!$B123,'Revenue by Customer'!$A:$A,0))</f>
        <v>650</v>
      </c>
      <c r="W123" s="192">
        <f>INDEX('Revenue by Customer'!W:W,MATCH('Full Customer List'!$B123,'Revenue by Customer'!$A:$A,0))</f>
        <v>650</v>
      </c>
      <c r="X123" s="192">
        <f>INDEX('Revenue by Customer'!X:X,MATCH('Full Customer List'!$B123,'Revenue by Customer'!$A:$A,0))</f>
        <v>263.86</v>
      </c>
      <c r="Y123" s="192">
        <f>INDEX('Revenue by Customer'!Y:Y,MATCH('Full Customer List'!$B123,'Revenue by Customer'!$A:$A,0))</f>
        <v>650</v>
      </c>
      <c r="Z123" s="192">
        <f>INDEX('Revenue by Customer'!Z:Z,MATCH('Full Customer List'!$B123,'Revenue by Customer'!$A:$A,0))</f>
        <v>650</v>
      </c>
      <c r="AA123" s="192">
        <f>INDEX('Revenue by Customer'!AA:AA,MATCH('Full Customer List'!$B123,'Revenue by Customer'!$A:$A,0))</f>
        <v>650</v>
      </c>
      <c r="AB123" s="192">
        <f>INDEX('Revenue by Customer'!AB:AB,MATCH('Full Customer List'!$B123,'Revenue by Customer'!$A:$A,0))</f>
        <v>650</v>
      </c>
      <c r="AC123" s="192">
        <f>INDEX('Revenue by Customer'!AC:AC,MATCH('Full Customer List'!$B123,'Revenue by Customer'!$A:$A,0))</f>
        <v>650</v>
      </c>
    </row>
    <row r="124" spans="2:29" ht="12" customHeight="1">
      <c r="B124" s="173" t="s">
        <v>744</v>
      </c>
      <c r="C124" s="173" t="str">
        <f>INDEX('Customer List'!$B:$B,MATCH('Full Customer List'!$B124,'Customer List'!$A:$A,0))</f>
        <v>Active</v>
      </c>
      <c r="D124" s="173" t="str">
        <f>INDEX('Customer List'!$C:$C,MATCH('Full Customer List'!$B124,'Customer List'!$A:$A,0))</f>
        <v>Property manager</v>
      </c>
      <c r="E124" s="173" t="str">
        <f>INDEX('Customer List Mapping'!$C:$C,MATCH('Full Customer List'!D124,'Customer List Mapping'!$B:$B,0))</f>
        <v>Property Manager</v>
      </c>
      <c r="F124" s="192">
        <f>INDEX('Customer List'!$K:$K,MATCH('Full Customer List'!$B124,'Customer List'!$A:$A,0))</f>
        <v>15</v>
      </c>
      <c r="G124" s="192">
        <f>INDEX('Revenue by Customer'!$I:$I,MATCH('Full Customer List'!$B124,'Revenue by Customer'!$A:$A,0))</f>
        <v>476.66666666666669</v>
      </c>
      <c r="H124" s="257" t="str">
        <f>IFERROR(IF(C124="Active","",INDEX('Client Departures'!$G:$G,MATCH('Full Customer List'!$B124,'Client Departures'!$A:$A,0))),"Unclassified")</f>
        <v/>
      </c>
      <c r="I124" s="196">
        <v>45444</v>
      </c>
      <c r="J124" s="196"/>
      <c r="K124" s="192">
        <f>INDEX('Revenue by Customer'!K:K,MATCH('Full Customer List'!$B124,'Revenue by Customer'!$A:$A,0))</f>
        <v>325</v>
      </c>
      <c r="L124" s="192">
        <f>INDEX('Revenue by Customer'!L:L,MATCH('Full Customer List'!$B124,'Revenue by Customer'!$A:$A,0))</f>
        <v>325</v>
      </c>
      <c r="M124" s="192">
        <f>INDEX('Revenue by Customer'!M:M,MATCH('Full Customer List'!$B124,'Revenue by Customer'!$A:$A,0))</f>
        <v>325</v>
      </c>
      <c r="N124" s="192">
        <f>INDEX('Revenue by Customer'!N:N,MATCH('Full Customer List'!$B124,'Revenue by Customer'!$A:$A,0))</f>
        <v>325</v>
      </c>
      <c r="O124" s="192">
        <f>INDEX('Revenue by Customer'!O:O,MATCH('Full Customer List'!$B124,'Revenue by Customer'!$A:$A,0))</f>
        <v>325</v>
      </c>
      <c r="P124" s="192">
        <f>INDEX('Revenue by Customer'!P:P,MATCH('Full Customer List'!$B124,'Revenue by Customer'!$A:$A,0))</f>
        <v>325</v>
      </c>
      <c r="Q124" s="192">
        <f>INDEX('Revenue by Customer'!Q:Q,MATCH('Full Customer List'!$B124,'Revenue by Customer'!$A:$A,0))</f>
        <v>325</v>
      </c>
      <c r="R124" s="192">
        <f>INDEX('Revenue by Customer'!R:R,MATCH('Full Customer List'!$B124,'Revenue by Customer'!$A:$A,0))</f>
        <v>600</v>
      </c>
      <c r="S124" s="192">
        <f>INDEX('Revenue by Customer'!S:S,MATCH('Full Customer List'!$B124,'Revenue by Customer'!$A:$A,0))</f>
        <v>600</v>
      </c>
      <c r="T124" s="192">
        <f>INDEX('Revenue by Customer'!T:T,MATCH('Full Customer List'!$B124,'Revenue by Customer'!$A:$A,0))</f>
        <v>600</v>
      </c>
      <c r="U124" s="192">
        <f>INDEX('Revenue by Customer'!U:U,MATCH('Full Customer List'!$B124,'Revenue by Customer'!$A:$A,0))</f>
        <v>600</v>
      </c>
      <c r="V124" s="192">
        <f>INDEX('Revenue by Customer'!V:V,MATCH('Full Customer List'!$B124,'Revenue by Customer'!$A:$A,0))</f>
        <v>420</v>
      </c>
      <c r="W124" s="192">
        <f>INDEX('Revenue by Customer'!W:W,MATCH('Full Customer List'!$B124,'Revenue by Customer'!$A:$A,0))</f>
        <v>600</v>
      </c>
      <c r="X124" s="192">
        <f>INDEX('Revenue by Customer'!X:X,MATCH('Full Customer List'!$B124,'Revenue by Customer'!$A:$A,0))</f>
        <v>510</v>
      </c>
      <c r="Y124" s="192">
        <f>INDEX('Revenue by Customer'!Y:Y,MATCH('Full Customer List'!$B124,'Revenue by Customer'!$A:$A,0))</f>
        <v>600</v>
      </c>
      <c r="Z124" s="192">
        <f>INDEX('Revenue by Customer'!Z:Z,MATCH('Full Customer List'!$B124,'Revenue by Customer'!$A:$A,0))</f>
        <v>510</v>
      </c>
      <c r="AA124" s="192">
        <f>INDEX('Revenue by Customer'!AA:AA,MATCH('Full Customer List'!$B124,'Revenue by Customer'!$A:$A,0))</f>
        <v>430</v>
      </c>
      <c r="AB124" s="192">
        <f>INDEX('Revenue by Customer'!AB:AB,MATCH('Full Customer List'!$B124,'Revenue by Customer'!$A:$A,0))</f>
        <v>500</v>
      </c>
      <c r="AC124" s="192">
        <f>INDEX('Revenue by Customer'!AC:AC,MATCH('Full Customer List'!$B124,'Revenue by Customer'!$A:$A,0))</f>
        <v>500</v>
      </c>
    </row>
    <row r="125" spans="2:29" ht="12" customHeight="1">
      <c r="B125" s="173" t="s">
        <v>745</v>
      </c>
      <c r="C125" s="173" t="str">
        <f>INDEX('Customer List'!$B:$B,MATCH('Full Customer List'!$B125,'Customer List'!$A:$A,0))</f>
        <v>Former client</v>
      </c>
      <c r="D125" s="173" t="str">
        <f>INDEX('Customer List'!$C:$C,MATCH('Full Customer List'!$B125,'Customer List'!$A:$A,0))</f>
        <v>Small business</v>
      </c>
      <c r="E125" s="173" t="str">
        <f>INDEX('Customer List Mapping'!$C:$C,MATCH('Full Customer List'!D125,'Customer List Mapping'!$B:$B,0))</f>
        <v>Small Business</v>
      </c>
      <c r="F125" s="192" t="str">
        <f>INDEX('Customer List'!$K:$K,MATCH('Full Customer List'!$B125,'Customer List'!$A:$A,0))</f>
        <v/>
      </c>
      <c r="G125" s="192">
        <f>INDEX('Revenue by Customer'!$I:$I,MATCH('Full Customer List'!$B125,'Revenue by Customer'!$A:$A,0))</f>
        <v>535</v>
      </c>
      <c r="H125" s="257" t="str">
        <f>IFERROR(IF(C125="Active","",INDEX('Client Departures'!$G:$G,MATCH('Full Customer List'!$B125,'Client Departures'!$A:$A,0))),"Unclassified")</f>
        <v>No</v>
      </c>
      <c r="I125" s="196">
        <v>44501</v>
      </c>
      <c r="J125" s="196">
        <v>46234</v>
      </c>
      <c r="K125" s="192">
        <f>INDEX('Revenue by Customer'!K:K,MATCH('Full Customer List'!$B125,'Revenue by Customer'!$A:$A,0))</f>
        <v>560</v>
      </c>
      <c r="L125" s="192">
        <f>INDEX('Revenue by Customer'!L:L,MATCH('Full Customer List'!$B125,'Revenue by Customer'!$A:$A,0))</f>
        <v>515</v>
      </c>
      <c r="M125" s="192">
        <f>INDEX('Revenue by Customer'!M:M,MATCH('Full Customer List'!$B125,'Revenue by Customer'!$A:$A,0))</f>
        <v>515</v>
      </c>
      <c r="N125" s="192">
        <f>INDEX('Revenue by Customer'!N:N,MATCH('Full Customer List'!$B125,'Revenue by Customer'!$A:$A,0))</f>
        <v>515</v>
      </c>
      <c r="O125" s="192">
        <f>INDEX('Revenue by Customer'!O:O,MATCH('Full Customer List'!$B125,'Revenue by Customer'!$A:$A,0))</f>
        <v>515</v>
      </c>
      <c r="P125" s="192">
        <f>INDEX('Revenue by Customer'!P:P,MATCH('Full Customer List'!$B125,'Revenue by Customer'!$A:$A,0))</f>
        <v>515</v>
      </c>
      <c r="Q125" s="192">
        <f>INDEX('Revenue by Customer'!Q:Q,MATCH('Full Customer List'!$B125,'Revenue by Customer'!$A:$A,0))</f>
        <v>515</v>
      </c>
      <c r="R125" s="192">
        <f>INDEX('Revenue by Customer'!R:R,MATCH('Full Customer List'!$B125,'Revenue by Customer'!$A:$A,0))</f>
        <v>515</v>
      </c>
      <c r="S125" s="192">
        <f>INDEX('Revenue by Customer'!S:S,MATCH('Full Customer List'!$B125,'Revenue by Customer'!$A:$A,0))</f>
        <v>515</v>
      </c>
      <c r="T125" s="192">
        <f>INDEX('Revenue by Customer'!T:T,MATCH('Full Customer List'!$B125,'Revenue by Customer'!$A:$A,0))</f>
        <v>515</v>
      </c>
      <c r="U125" s="192">
        <f>INDEX('Revenue by Customer'!U:U,MATCH('Full Customer List'!$B125,'Revenue by Customer'!$A:$A,0))</f>
        <v>535</v>
      </c>
      <c r="V125" s="192">
        <f>INDEX('Revenue by Customer'!V:V,MATCH('Full Customer List'!$B125,'Revenue by Customer'!$A:$A,0))</f>
        <v>535</v>
      </c>
      <c r="W125" s="192">
        <f>INDEX('Revenue by Customer'!W:W,MATCH('Full Customer List'!$B125,'Revenue by Customer'!$A:$A,0))</f>
        <v>535</v>
      </c>
      <c r="X125" s="192">
        <f>INDEX('Revenue by Customer'!X:X,MATCH('Full Customer List'!$B125,'Revenue by Customer'!$A:$A,0))</f>
        <v>550</v>
      </c>
      <c r="Y125" s="192">
        <f>INDEX('Revenue by Customer'!Y:Y,MATCH('Full Customer List'!$B125,'Revenue by Customer'!$A:$A,0))</f>
        <v>535</v>
      </c>
      <c r="Z125" s="192">
        <f>INDEX('Revenue by Customer'!Z:Z,MATCH('Full Customer List'!$B125,'Revenue by Customer'!$A:$A,0))</f>
        <v>535</v>
      </c>
      <c r="AA125" s="192">
        <f>INDEX('Revenue by Customer'!AA:AA,MATCH('Full Customer List'!$B125,'Revenue by Customer'!$A:$A,0))</f>
        <v>535</v>
      </c>
      <c r="AB125" s="192">
        <f>INDEX('Revenue by Customer'!AB:AB,MATCH('Full Customer List'!$B125,'Revenue by Customer'!$A:$A,0))</f>
        <v>535</v>
      </c>
      <c r="AC125" s="192">
        <f>INDEX('Revenue by Customer'!AC:AC,MATCH('Full Customer List'!$B125,'Revenue by Customer'!$A:$A,0))</f>
        <v>535</v>
      </c>
    </row>
    <row r="126" spans="2:29" ht="12" customHeight="1">
      <c r="B126" s="173" t="s">
        <v>748</v>
      </c>
      <c r="C126" s="173" t="str">
        <f>INDEX('Customer List'!$B:$B,MATCH('Full Customer List'!$B126,'Customer List'!$A:$A,0))</f>
        <v>Active</v>
      </c>
      <c r="D126" s="173" t="str">
        <f>INDEX('Customer List'!$C:$C,MATCH('Full Customer List'!$B126,'Customer List'!$A:$A,0))</f>
        <v>Property manager</v>
      </c>
      <c r="E126" s="173" t="str">
        <f>INDEX('Customer List Mapping'!$C:$C,MATCH('Full Customer List'!D126,'Customer List Mapping'!$B:$B,0))</f>
        <v>Property Manager</v>
      </c>
      <c r="F126" s="192">
        <f>INDEX('Customer List'!$K:$K,MATCH('Full Customer List'!$B126,'Customer List'!$A:$A,0))</f>
        <v>4</v>
      </c>
      <c r="G126" s="192">
        <f>INDEX('Revenue by Customer'!$I:$I,MATCH('Full Customer List'!$B126,'Revenue by Customer'!$A:$A,0))</f>
        <v>520</v>
      </c>
      <c r="H126" s="257" t="str">
        <f>IFERROR(IF(C126="Active","",INDEX('Client Departures'!$G:$G,MATCH('Full Customer List'!$B126,'Client Departures'!$A:$A,0))),"Unclassified")</f>
        <v/>
      </c>
      <c r="I126" s="196">
        <v>45170</v>
      </c>
      <c r="J126" s="196"/>
      <c r="K126" s="192">
        <f>INDEX('Revenue by Customer'!K:K,MATCH('Full Customer List'!$B126,'Revenue by Customer'!$A:$A,0))</f>
        <v>575</v>
      </c>
      <c r="L126" s="192">
        <f>INDEX('Revenue by Customer'!L:L,MATCH('Full Customer List'!$B126,'Revenue by Customer'!$A:$A,0))</f>
        <v>446</v>
      </c>
      <c r="M126" s="192">
        <f>INDEX('Revenue by Customer'!M:M,MATCH('Full Customer List'!$B126,'Revenue by Customer'!$A:$A,0))</f>
        <v>515</v>
      </c>
      <c r="N126" s="192">
        <f>INDEX('Revenue by Customer'!N:N,MATCH('Full Customer List'!$B126,'Revenue by Customer'!$A:$A,0))</f>
        <v>515</v>
      </c>
      <c r="O126" s="192">
        <f>INDEX('Revenue by Customer'!O:O,MATCH('Full Customer List'!$B126,'Revenue by Customer'!$A:$A,0))</f>
        <v>515</v>
      </c>
      <c r="P126" s="192">
        <f>INDEX('Revenue by Customer'!P:P,MATCH('Full Customer List'!$B126,'Revenue by Customer'!$A:$A,0))</f>
        <v>515</v>
      </c>
      <c r="Q126" s="192">
        <f>INDEX('Revenue by Customer'!Q:Q,MATCH('Full Customer List'!$B126,'Revenue by Customer'!$A:$A,0))</f>
        <v>515</v>
      </c>
      <c r="R126" s="192">
        <f>INDEX('Revenue by Customer'!R:R,MATCH('Full Customer List'!$B126,'Revenue by Customer'!$A:$A,0))</f>
        <v>515</v>
      </c>
      <c r="S126" s="192">
        <f>INDEX('Revenue by Customer'!S:S,MATCH('Full Customer List'!$B126,'Revenue by Customer'!$A:$A,0))</f>
        <v>520</v>
      </c>
      <c r="T126" s="192">
        <f>INDEX('Revenue by Customer'!T:T,MATCH('Full Customer List'!$B126,'Revenue by Customer'!$A:$A,0))</f>
        <v>520</v>
      </c>
      <c r="U126" s="192">
        <f>INDEX('Revenue by Customer'!U:U,MATCH('Full Customer List'!$B126,'Revenue by Customer'!$A:$A,0))</f>
        <v>520</v>
      </c>
      <c r="V126" s="192">
        <f>INDEX('Revenue by Customer'!V:V,MATCH('Full Customer List'!$B126,'Revenue by Customer'!$A:$A,0))</f>
        <v>520</v>
      </c>
      <c r="W126" s="192">
        <f>INDEX('Revenue by Customer'!W:W,MATCH('Full Customer List'!$B126,'Revenue by Customer'!$A:$A,0))</f>
        <v>520</v>
      </c>
      <c r="X126" s="192">
        <f>INDEX('Revenue by Customer'!X:X,MATCH('Full Customer List'!$B126,'Revenue by Customer'!$A:$A,0))</f>
        <v>565</v>
      </c>
      <c r="Y126" s="192">
        <f>INDEX('Revenue by Customer'!Y:Y,MATCH('Full Customer List'!$B126,'Revenue by Customer'!$A:$A,0))</f>
        <v>520</v>
      </c>
      <c r="Z126" s="192">
        <f>INDEX('Revenue by Customer'!Z:Z,MATCH('Full Customer List'!$B126,'Revenue by Customer'!$A:$A,0))</f>
        <v>520</v>
      </c>
      <c r="AA126" s="192">
        <f>INDEX('Revenue by Customer'!AA:AA,MATCH('Full Customer List'!$B126,'Revenue by Customer'!$A:$A,0))</f>
        <v>520</v>
      </c>
      <c r="AB126" s="192">
        <f>INDEX('Revenue by Customer'!AB:AB,MATCH('Full Customer List'!$B126,'Revenue by Customer'!$A:$A,0))</f>
        <v>520</v>
      </c>
      <c r="AC126" s="192">
        <f>INDEX('Revenue by Customer'!AC:AC,MATCH('Full Customer List'!$B126,'Revenue by Customer'!$A:$A,0))</f>
        <v>520</v>
      </c>
    </row>
    <row r="127" spans="2:29" ht="12" customHeight="1">
      <c r="B127" s="173" t="s">
        <v>749</v>
      </c>
      <c r="C127" s="173" t="str">
        <f>INDEX('Customer List'!$B:$B,MATCH('Full Customer List'!$B127,'Customer List'!$A:$A,0))</f>
        <v>Active</v>
      </c>
      <c r="D127" s="173" t="str">
        <f>INDEX('Customer List'!$C:$C,MATCH('Full Customer List'!$B127,'Customer List'!$A:$A,0))</f>
        <v>Property manager</v>
      </c>
      <c r="E127" s="173" t="str">
        <f>INDEX('Customer List Mapping'!$C:$C,MATCH('Full Customer List'!D127,'Customer List Mapping'!$B:$B,0))</f>
        <v>Property Manager</v>
      </c>
      <c r="F127" s="192">
        <f>INDEX('Customer List'!$K:$K,MATCH('Full Customer List'!$B127,'Customer List'!$A:$A,0))</f>
        <v>17</v>
      </c>
      <c r="G127" s="192">
        <f>INDEX('Revenue by Customer'!$I:$I,MATCH('Full Customer List'!$B127,'Revenue by Customer'!$A:$A,0))</f>
        <v>1040</v>
      </c>
      <c r="H127" s="257" t="str">
        <f>IFERROR(IF(C127="Active","",INDEX('Client Departures'!$G:$G,MATCH('Full Customer List'!$B127,'Client Departures'!$A:$A,0))),"Unclassified")</f>
        <v/>
      </c>
      <c r="I127" s="196">
        <v>45962</v>
      </c>
      <c r="J127" s="196"/>
      <c r="K127" s="192" t="str">
        <f>INDEX('Revenue by Customer'!K:K,MATCH('Full Customer List'!$B127,'Revenue by Customer'!$A:$A,0))</f>
        <v/>
      </c>
      <c r="L127" s="192" t="str">
        <f>INDEX('Revenue by Customer'!L:L,MATCH('Full Customer List'!$B127,'Revenue by Customer'!$A:$A,0))</f>
        <v/>
      </c>
      <c r="M127" s="192" t="str">
        <f>INDEX('Revenue by Customer'!M:M,MATCH('Full Customer List'!$B127,'Revenue by Customer'!$A:$A,0))</f>
        <v/>
      </c>
      <c r="N127" s="192" t="str">
        <f>INDEX('Revenue by Customer'!N:N,MATCH('Full Customer List'!$B127,'Revenue by Customer'!$A:$A,0))</f>
        <v/>
      </c>
      <c r="O127" s="192" t="str">
        <f>INDEX('Revenue by Customer'!O:O,MATCH('Full Customer List'!$B127,'Revenue by Customer'!$A:$A,0))</f>
        <v/>
      </c>
      <c r="P127" s="192" t="str">
        <f>INDEX('Revenue by Customer'!P:P,MATCH('Full Customer List'!$B127,'Revenue by Customer'!$A:$A,0))</f>
        <v/>
      </c>
      <c r="Q127" s="192" t="str">
        <f>INDEX('Revenue by Customer'!Q:Q,MATCH('Full Customer List'!$B127,'Revenue by Customer'!$A:$A,0))</f>
        <v/>
      </c>
      <c r="R127" s="192" t="str">
        <f>INDEX('Revenue by Customer'!R:R,MATCH('Full Customer List'!$B127,'Revenue by Customer'!$A:$A,0))</f>
        <v/>
      </c>
      <c r="S127" s="192" t="str">
        <f>INDEX('Revenue by Customer'!S:S,MATCH('Full Customer List'!$B127,'Revenue by Customer'!$A:$A,0))</f>
        <v/>
      </c>
      <c r="T127" s="192" t="str">
        <f>INDEX('Revenue by Customer'!T:T,MATCH('Full Customer List'!$B127,'Revenue by Customer'!$A:$A,0))</f>
        <v/>
      </c>
      <c r="U127" s="192" t="str">
        <f>INDEX('Revenue by Customer'!U:U,MATCH('Full Customer List'!$B127,'Revenue by Customer'!$A:$A,0))</f>
        <v/>
      </c>
      <c r="V127" s="192">
        <f>INDEX('Revenue by Customer'!V:V,MATCH('Full Customer List'!$B127,'Revenue by Customer'!$A:$A,0))</f>
        <v>950</v>
      </c>
      <c r="W127" s="192">
        <f>INDEX('Revenue by Customer'!W:W,MATCH('Full Customer List'!$B127,'Revenue by Customer'!$A:$A,0))</f>
        <v>525</v>
      </c>
      <c r="X127" s="192">
        <f>INDEX('Revenue by Customer'!X:X,MATCH('Full Customer List'!$B127,'Revenue by Customer'!$A:$A,0))</f>
        <v>560</v>
      </c>
      <c r="Y127" s="192">
        <f>INDEX('Revenue by Customer'!Y:Y,MATCH('Full Customer List'!$B127,'Revenue by Customer'!$A:$A,0))</f>
        <v>560</v>
      </c>
      <c r="Z127" s="192">
        <f>INDEX('Revenue by Customer'!Z:Z,MATCH('Full Customer List'!$B127,'Revenue by Customer'!$A:$A,0))</f>
        <v>560</v>
      </c>
      <c r="AA127" s="192">
        <f>INDEX('Revenue by Customer'!AA:AA,MATCH('Full Customer List'!$B127,'Revenue by Customer'!$A:$A,0))</f>
        <v>1040</v>
      </c>
      <c r="AB127" s="192">
        <f>INDEX('Revenue by Customer'!AB:AB,MATCH('Full Customer List'!$B127,'Revenue by Customer'!$A:$A,0))</f>
        <v>1040</v>
      </c>
      <c r="AC127" s="192">
        <f>INDEX('Revenue by Customer'!AC:AC,MATCH('Full Customer List'!$B127,'Revenue by Customer'!$A:$A,0))</f>
        <v>1040</v>
      </c>
    </row>
    <row r="128" spans="2:29" ht="12" customHeight="1">
      <c r="B128" s="173" t="s">
        <v>750</v>
      </c>
      <c r="C128" s="173" t="str">
        <f>INDEX('Customer List'!$B:$B,MATCH('Full Customer List'!$B128,'Customer List'!$A:$A,0))</f>
        <v>Onboarding</v>
      </c>
      <c r="D128" s="173" t="str">
        <f>INDEX('Customer List'!$C:$C,MATCH('Full Customer List'!$B128,'Customer List'!$A:$A,0))</f>
        <v>Property manager</v>
      </c>
      <c r="E128" s="173" t="str">
        <f>INDEX('Customer List Mapping'!$C:$C,MATCH('Full Customer List'!D128,'Customer List Mapping'!$B:$B,0))</f>
        <v>Property Manager</v>
      </c>
      <c r="F128" s="192">
        <f>INDEX('Customer List'!$K:$K,MATCH('Full Customer List'!$B128,'Customer List'!$A:$A,0))</f>
        <v>23</v>
      </c>
      <c r="G128" s="192">
        <f>INDEX('Revenue by Customer'!$I:$I,MATCH('Full Customer List'!$B128,'Revenue by Customer'!$A:$A,0))</f>
        <v>1327</v>
      </c>
      <c r="H128" s="257" t="str">
        <f>IFERROR(IF(C128="Active","",INDEX('Client Departures'!$G:$G,MATCH('Full Customer List'!$B128,'Client Departures'!$A:$A,0))),"Unclassified")</f>
        <v>Unclassified</v>
      </c>
      <c r="I128" s="196">
        <v>46113</v>
      </c>
      <c r="J128" s="196"/>
      <c r="K128" s="192" t="str">
        <f>INDEX('Revenue by Customer'!K:K,MATCH('Full Customer List'!$B128,'Revenue by Customer'!$A:$A,0))</f>
        <v/>
      </c>
      <c r="L128" s="192" t="str">
        <f>INDEX('Revenue by Customer'!L:L,MATCH('Full Customer List'!$B128,'Revenue by Customer'!$A:$A,0))</f>
        <v/>
      </c>
      <c r="M128" s="192" t="str">
        <f>INDEX('Revenue by Customer'!M:M,MATCH('Full Customer List'!$B128,'Revenue by Customer'!$A:$A,0))</f>
        <v/>
      </c>
      <c r="N128" s="192" t="str">
        <f>INDEX('Revenue by Customer'!N:N,MATCH('Full Customer List'!$B128,'Revenue by Customer'!$A:$A,0))</f>
        <v/>
      </c>
      <c r="O128" s="192" t="str">
        <f>INDEX('Revenue by Customer'!O:O,MATCH('Full Customer List'!$B128,'Revenue by Customer'!$A:$A,0))</f>
        <v/>
      </c>
      <c r="P128" s="192" t="str">
        <f>INDEX('Revenue by Customer'!P:P,MATCH('Full Customer List'!$B128,'Revenue by Customer'!$A:$A,0))</f>
        <v/>
      </c>
      <c r="Q128" s="192" t="str">
        <f>INDEX('Revenue by Customer'!Q:Q,MATCH('Full Customer List'!$B128,'Revenue by Customer'!$A:$A,0))</f>
        <v/>
      </c>
      <c r="R128" s="192" t="str">
        <f>INDEX('Revenue by Customer'!R:R,MATCH('Full Customer List'!$B128,'Revenue by Customer'!$A:$A,0))</f>
        <v/>
      </c>
      <c r="S128" s="192" t="str">
        <f>INDEX('Revenue by Customer'!S:S,MATCH('Full Customer List'!$B128,'Revenue by Customer'!$A:$A,0))</f>
        <v/>
      </c>
      <c r="T128" s="192" t="str">
        <f>INDEX('Revenue by Customer'!T:T,MATCH('Full Customer List'!$B128,'Revenue by Customer'!$A:$A,0))</f>
        <v/>
      </c>
      <c r="U128" s="192" t="str">
        <f>INDEX('Revenue by Customer'!U:U,MATCH('Full Customer List'!$B128,'Revenue by Customer'!$A:$A,0))</f>
        <v/>
      </c>
      <c r="V128" s="192" t="str">
        <f>INDEX('Revenue by Customer'!V:V,MATCH('Full Customer List'!$B128,'Revenue by Customer'!$A:$A,0))</f>
        <v/>
      </c>
      <c r="W128" s="192" t="str">
        <f>INDEX('Revenue by Customer'!W:W,MATCH('Full Customer List'!$B128,'Revenue by Customer'!$A:$A,0))</f>
        <v/>
      </c>
      <c r="X128" s="192" t="str">
        <f>INDEX('Revenue by Customer'!X:X,MATCH('Full Customer List'!$B128,'Revenue by Customer'!$A:$A,0))</f>
        <v/>
      </c>
      <c r="Y128" s="192" t="str">
        <f>INDEX('Revenue by Customer'!Y:Y,MATCH('Full Customer List'!$B128,'Revenue by Customer'!$A:$A,0))</f>
        <v/>
      </c>
      <c r="Z128" s="192">
        <f>INDEX('Revenue by Customer'!Z:Z,MATCH('Full Customer List'!$B128,'Revenue by Customer'!$A:$A,0))</f>
        <v>2273</v>
      </c>
      <c r="AA128" s="192">
        <f>INDEX('Revenue by Customer'!AA:AA,MATCH('Full Customer List'!$B128,'Revenue by Customer'!$A:$A,0))</f>
        <v>1286</v>
      </c>
      <c r="AB128" s="192">
        <f>INDEX('Revenue by Customer'!AB:AB,MATCH('Full Customer List'!$B128,'Revenue by Customer'!$A:$A,0))</f>
        <v>1295</v>
      </c>
      <c r="AC128" s="192">
        <f>INDEX('Revenue by Customer'!AC:AC,MATCH('Full Customer List'!$B128,'Revenue by Customer'!$A:$A,0))</f>
        <v>1400</v>
      </c>
    </row>
    <row r="129" spans="2:29" ht="12" customHeight="1">
      <c r="B129" s="173" t="s">
        <v>751</v>
      </c>
      <c r="C129" s="173" t="str">
        <f>INDEX('Customer List'!$B:$B,MATCH('Full Customer List'!$B129,'Customer List'!$A:$A,0))</f>
        <v>Onboarding</v>
      </c>
      <c r="D129" s="173" t="str">
        <f>INDEX('Customer List'!$C:$C,MATCH('Full Customer List'!$B129,'Customer List'!$A:$A,0))</f>
        <v>Property manager</v>
      </c>
      <c r="E129" s="173" t="str">
        <f>INDEX('Customer List Mapping'!$C:$C,MATCH('Full Customer List'!D129,'Customer List Mapping'!$B:$B,0))</f>
        <v>Property Manager</v>
      </c>
      <c r="F129" s="192">
        <f>INDEX('Customer List'!$K:$K,MATCH('Full Customer List'!$B129,'Customer List'!$A:$A,0))</f>
        <v>83</v>
      </c>
      <c r="G129" s="192">
        <f>INDEX('Revenue by Customer'!$I:$I,MATCH('Full Customer List'!$B129,'Revenue by Customer'!$A:$A,0))</f>
        <v>6252</v>
      </c>
      <c r="H129" s="257" t="str">
        <f>IFERROR(IF(C129="Active","",INDEX('Client Departures'!$G:$G,MATCH('Full Customer List'!$B129,'Client Departures'!$A:$A,0))),"Unclassified")</f>
        <v>Unclassified</v>
      </c>
      <c r="I129" s="196">
        <v>46204</v>
      </c>
      <c r="J129" s="196"/>
      <c r="K129" s="192" t="str">
        <f>INDEX('Revenue by Customer'!K:K,MATCH('Full Customer List'!$B129,'Revenue by Customer'!$A:$A,0))</f>
        <v/>
      </c>
      <c r="L129" s="192" t="str">
        <f>INDEX('Revenue by Customer'!L:L,MATCH('Full Customer List'!$B129,'Revenue by Customer'!$A:$A,0))</f>
        <v/>
      </c>
      <c r="M129" s="192" t="str">
        <f>INDEX('Revenue by Customer'!M:M,MATCH('Full Customer List'!$B129,'Revenue by Customer'!$A:$A,0))</f>
        <v/>
      </c>
      <c r="N129" s="192" t="str">
        <f>INDEX('Revenue by Customer'!N:N,MATCH('Full Customer List'!$B129,'Revenue by Customer'!$A:$A,0))</f>
        <v/>
      </c>
      <c r="O129" s="192" t="str">
        <f>INDEX('Revenue by Customer'!O:O,MATCH('Full Customer List'!$B129,'Revenue by Customer'!$A:$A,0))</f>
        <v/>
      </c>
      <c r="P129" s="192" t="str">
        <f>INDEX('Revenue by Customer'!P:P,MATCH('Full Customer List'!$B129,'Revenue by Customer'!$A:$A,0))</f>
        <v/>
      </c>
      <c r="Q129" s="192" t="str">
        <f>INDEX('Revenue by Customer'!Q:Q,MATCH('Full Customer List'!$B129,'Revenue by Customer'!$A:$A,0))</f>
        <v/>
      </c>
      <c r="R129" s="192" t="str">
        <f>INDEX('Revenue by Customer'!R:R,MATCH('Full Customer List'!$B129,'Revenue by Customer'!$A:$A,0))</f>
        <v/>
      </c>
      <c r="S129" s="192" t="str">
        <f>INDEX('Revenue by Customer'!S:S,MATCH('Full Customer List'!$B129,'Revenue by Customer'!$A:$A,0))</f>
        <v/>
      </c>
      <c r="T129" s="192" t="str">
        <f>INDEX('Revenue by Customer'!T:T,MATCH('Full Customer List'!$B129,'Revenue by Customer'!$A:$A,0))</f>
        <v/>
      </c>
      <c r="U129" s="192" t="str">
        <f>INDEX('Revenue by Customer'!U:U,MATCH('Full Customer List'!$B129,'Revenue by Customer'!$A:$A,0))</f>
        <v/>
      </c>
      <c r="V129" s="192" t="str">
        <f>INDEX('Revenue by Customer'!V:V,MATCH('Full Customer List'!$B129,'Revenue by Customer'!$A:$A,0))</f>
        <v/>
      </c>
      <c r="W129" s="192" t="str">
        <f>INDEX('Revenue by Customer'!W:W,MATCH('Full Customer List'!$B129,'Revenue by Customer'!$A:$A,0))</f>
        <v/>
      </c>
      <c r="X129" s="192" t="str">
        <f>INDEX('Revenue by Customer'!X:X,MATCH('Full Customer List'!$B129,'Revenue by Customer'!$A:$A,0))</f>
        <v/>
      </c>
      <c r="Y129" s="192" t="str">
        <f>INDEX('Revenue by Customer'!Y:Y,MATCH('Full Customer List'!$B129,'Revenue by Customer'!$A:$A,0))</f>
        <v/>
      </c>
      <c r="Z129" s="192" t="str">
        <f>INDEX('Revenue by Customer'!Z:Z,MATCH('Full Customer List'!$B129,'Revenue by Customer'!$A:$A,0))</f>
        <v/>
      </c>
      <c r="AA129" s="192" t="str">
        <f>INDEX('Revenue by Customer'!AA:AA,MATCH('Full Customer List'!$B129,'Revenue by Customer'!$A:$A,0))</f>
        <v/>
      </c>
      <c r="AB129" s="192" t="str">
        <f>INDEX('Revenue by Customer'!AB:AB,MATCH('Full Customer List'!$B129,'Revenue by Customer'!$A:$A,0))</f>
        <v/>
      </c>
      <c r="AC129" s="192">
        <f>INDEX('Revenue by Customer'!AC:AC,MATCH('Full Customer List'!$B129,'Revenue by Customer'!$A:$A,0))</f>
        <v>6252</v>
      </c>
    </row>
    <row r="130" spans="2:29" ht="12" customHeight="1">
      <c r="B130" s="173" t="s">
        <v>752</v>
      </c>
      <c r="C130" s="173" t="str">
        <f>INDEX('Customer List'!$B:$B,MATCH('Full Customer List'!$B130,'Customer List'!$A:$A,0))</f>
        <v>Active</v>
      </c>
      <c r="D130" s="173" t="str">
        <f>INDEX('Customer List'!$C:$C,MATCH('Full Customer List'!$B130,'Customer List'!$A:$A,0))</f>
        <v>Property manager</v>
      </c>
      <c r="E130" s="173" t="str">
        <f>INDEX('Customer List Mapping'!$C:$C,MATCH('Full Customer List'!D130,'Customer List Mapping'!$B:$B,0))</f>
        <v>Property Manager</v>
      </c>
      <c r="F130" s="192">
        <f>INDEX('Customer List'!$K:$K,MATCH('Full Customer List'!$B130,'Customer List'!$A:$A,0))</f>
        <v>47</v>
      </c>
      <c r="G130" s="192">
        <f>INDEX('Revenue by Customer'!$I:$I,MATCH('Full Customer List'!$B130,'Revenue by Customer'!$A:$A,0))</f>
        <v>2063</v>
      </c>
      <c r="H130" s="257" t="str">
        <f>IFERROR(IF(C130="Active","",INDEX('Client Departures'!$G:$G,MATCH('Full Customer List'!$B130,'Client Departures'!$A:$A,0))),"Unclassified")</f>
        <v/>
      </c>
      <c r="I130" s="196">
        <v>46143</v>
      </c>
      <c r="J130" s="196"/>
      <c r="K130" s="192" t="str">
        <f>INDEX('Revenue by Customer'!K:K,MATCH('Full Customer List'!$B130,'Revenue by Customer'!$A:$A,0))</f>
        <v/>
      </c>
      <c r="L130" s="192" t="str">
        <f>INDEX('Revenue by Customer'!L:L,MATCH('Full Customer List'!$B130,'Revenue by Customer'!$A:$A,0))</f>
        <v/>
      </c>
      <c r="M130" s="192" t="str">
        <f>INDEX('Revenue by Customer'!M:M,MATCH('Full Customer List'!$B130,'Revenue by Customer'!$A:$A,0))</f>
        <v/>
      </c>
      <c r="N130" s="192" t="str">
        <f>INDEX('Revenue by Customer'!N:N,MATCH('Full Customer List'!$B130,'Revenue by Customer'!$A:$A,0))</f>
        <v/>
      </c>
      <c r="O130" s="192" t="str">
        <f>INDEX('Revenue by Customer'!O:O,MATCH('Full Customer List'!$B130,'Revenue by Customer'!$A:$A,0))</f>
        <v/>
      </c>
      <c r="P130" s="192" t="str">
        <f>INDEX('Revenue by Customer'!P:P,MATCH('Full Customer List'!$B130,'Revenue by Customer'!$A:$A,0))</f>
        <v/>
      </c>
      <c r="Q130" s="192" t="str">
        <f>INDEX('Revenue by Customer'!Q:Q,MATCH('Full Customer List'!$B130,'Revenue by Customer'!$A:$A,0))</f>
        <v/>
      </c>
      <c r="R130" s="192" t="str">
        <f>INDEX('Revenue by Customer'!R:R,MATCH('Full Customer List'!$B130,'Revenue by Customer'!$A:$A,0))</f>
        <v/>
      </c>
      <c r="S130" s="192" t="str">
        <f>INDEX('Revenue by Customer'!S:S,MATCH('Full Customer List'!$B130,'Revenue by Customer'!$A:$A,0))</f>
        <v/>
      </c>
      <c r="T130" s="192" t="str">
        <f>INDEX('Revenue by Customer'!T:T,MATCH('Full Customer List'!$B130,'Revenue by Customer'!$A:$A,0))</f>
        <v/>
      </c>
      <c r="U130" s="192" t="str">
        <f>INDEX('Revenue by Customer'!U:U,MATCH('Full Customer List'!$B130,'Revenue by Customer'!$A:$A,0))</f>
        <v/>
      </c>
      <c r="V130" s="192" t="str">
        <f>INDEX('Revenue by Customer'!V:V,MATCH('Full Customer List'!$B130,'Revenue by Customer'!$A:$A,0))</f>
        <v/>
      </c>
      <c r="W130" s="192" t="str">
        <f>INDEX('Revenue by Customer'!W:W,MATCH('Full Customer List'!$B130,'Revenue by Customer'!$A:$A,0))</f>
        <v/>
      </c>
      <c r="X130" s="192" t="str">
        <f>INDEX('Revenue by Customer'!X:X,MATCH('Full Customer List'!$B130,'Revenue by Customer'!$A:$A,0))</f>
        <v/>
      </c>
      <c r="Y130" s="192" t="str">
        <f>INDEX('Revenue by Customer'!Y:Y,MATCH('Full Customer List'!$B130,'Revenue by Customer'!$A:$A,0))</f>
        <v/>
      </c>
      <c r="Z130" s="192" t="str">
        <f>INDEX('Revenue by Customer'!Z:Z,MATCH('Full Customer List'!$B130,'Revenue by Customer'!$A:$A,0))</f>
        <v/>
      </c>
      <c r="AA130" s="192">
        <f>INDEX('Revenue by Customer'!AA:AA,MATCH('Full Customer List'!$B130,'Revenue by Customer'!$A:$A,0))</f>
        <v>1180</v>
      </c>
      <c r="AB130" s="192">
        <f>INDEX('Revenue by Customer'!AB:AB,MATCH('Full Customer List'!$B130,'Revenue by Customer'!$A:$A,0))</f>
        <v>2676</v>
      </c>
      <c r="AC130" s="192">
        <f>INDEX('Revenue by Customer'!AC:AC,MATCH('Full Customer List'!$B130,'Revenue by Customer'!$A:$A,0))</f>
        <v>2333</v>
      </c>
    </row>
    <row r="131" spans="2:29" ht="12" customHeight="1">
      <c r="B131" s="173" t="s">
        <v>753</v>
      </c>
      <c r="C131" s="173" t="str">
        <f>INDEX('Customer List'!$B:$B,MATCH('Full Customer List'!$B131,'Customer List'!$A:$A,0))</f>
        <v>Former client</v>
      </c>
      <c r="D131" s="173" t="str">
        <f>INDEX('Customer List'!$C:$C,MATCH('Full Customer List'!$B131,'Customer List'!$A:$A,0))</f>
        <v>Short-term rental (departed)</v>
      </c>
      <c r="E131" s="173" t="str">
        <f>INDEX('Customer List Mapping'!$C:$C,MATCH('Full Customer List'!D131,'Customer List Mapping'!$B:$B,0))</f>
        <v>Short-Term Rental</v>
      </c>
      <c r="F131" s="192" t="str">
        <f>INDEX('Customer List'!$K:$K,MATCH('Full Customer List'!$B131,'Customer List'!$A:$A,0))</f>
        <v/>
      </c>
      <c r="G131" s="192">
        <f>INDEX('Revenue by Customer'!$I:$I,MATCH('Full Customer List'!$B131,'Revenue by Customer'!$A:$A,0))</f>
        <v>1574</v>
      </c>
      <c r="H131" s="257" t="str">
        <f>IFERROR(IF(C131="Active","",INDEX('Client Departures'!$G:$G,MATCH('Full Customer List'!$B131,'Client Departures'!$A:$A,0))),"Unclassified")</f>
        <v>Yes</v>
      </c>
      <c r="I131" s="196">
        <v>45809</v>
      </c>
      <c r="J131" s="196">
        <v>45991</v>
      </c>
      <c r="K131" s="192" t="str">
        <f>INDEX('Revenue by Customer'!K:K,MATCH('Full Customer List'!$B131,'Revenue by Customer'!$A:$A,0))</f>
        <v/>
      </c>
      <c r="L131" s="192" t="str">
        <f>INDEX('Revenue by Customer'!L:L,MATCH('Full Customer List'!$B131,'Revenue by Customer'!$A:$A,0))</f>
        <v/>
      </c>
      <c r="M131" s="192" t="str">
        <f>INDEX('Revenue by Customer'!M:M,MATCH('Full Customer List'!$B131,'Revenue by Customer'!$A:$A,0))</f>
        <v/>
      </c>
      <c r="N131" s="192" t="str">
        <f>INDEX('Revenue by Customer'!N:N,MATCH('Full Customer List'!$B131,'Revenue by Customer'!$A:$A,0))</f>
        <v/>
      </c>
      <c r="O131" s="192" t="str">
        <f>INDEX('Revenue by Customer'!O:O,MATCH('Full Customer List'!$B131,'Revenue by Customer'!$A:$A,0))</f>
        <v/>
      </c>
      <c r="P131" s="192">
        <f>INDEX('Revenue by Customer'!P:P,MATCH('Full Customer List'!$B131,'Revenue by Customer'!$A:$A,0))</f>
        <v>2089</v>
      </c>
      <c r="Q131" s="192">
        <f>INDEX('Revenue by Customer'!Q:Q,MATCH('Full Customer List'!$B131,'Revenue by Customer'!$A:$A,0))</f>
        <v>3029</v>
      </c>
      <c r="R131" s="192">
        <f>INDEX('Revenue by Customer'!R:R,MATCH('Full Customer List'!$B131,'Revenue by Customer'!$A:$A,0))</f>
        <v>1440</v>
      </c>
      <c r="S131" s="192">
        <f>INDEX('Revenue by Customer'!S:S,MATCH('Full Customer List'!$B131,'Revenue by Customer'!$A:$A,0))</f>
        <v>1574</v>
      </c>
      <c r="T131" s="192">
        <f>INDEX('Revenue by Customer'!T:T,MATCH('Full Customer List'!$B131,'Revenue by Customer'!$A:$A,0))</f>
        <v>1708</v>
      </c>
      <c r="U131" s="192">
        <f>INDEX('Revenue by Customer'!U:U,MATCH('Full Customer List'!$B131,'Revenue by Customer'!$A:$A,0))</f>
        <v>1440</v>
      </c>
      <c r="V131" s="192" t="str">
        <f>INDEX('Revenue by Customer'!V:V,MATCH('Full Customer List'!$B131,'Revenue by Customer'!$A:$A,0))</f>
        <v/>
      </c>
      <c r="W131" s="192" t="str">
        <f>INDEX('Revenue by Customer'!W:W,MATCH('Full Customer List'!$B131,'Revenue by Customer'!$A:$A,0))</f>
        <v/>
      </c>
      <c r="X131" s="192" t="str">
        <f>INDEX('Revenue by Customer'!X:X,MATCH('Full Customer List'!$B131,'Revenue by Customer'!$A:$A,0))</f>
        <v/>
      </c>
      <c r="Y131" s="192" t="str">
        <f>INDEX('Revenue by Customer'!Y:Y,MATCH('Full Customer List'!$B131,'Revenue by Customer'!$A:$A,0))</f>
        <v/>
      </c>
      <c r="Z131" s="192" t="str">
        <f>INDEX('Revenue by Customer'!Z:Z,MATCH('Full Customer List'!$B131,'Revenue by Customer'!$A:$A,0))</f>
        <v/>
      </c>
      <c r="AA131" s="192" t="str">
        <f>INDEX('Revenue by Customer'!AA:AA,MATCH('Full Customer List'!$B131,'Revenue by Customer'!$A:$A,0))</f>
        <v/>
      </c>
      <c r="AB131" s="192" t="str">
        <f>INDEX('Revenue by Customer'!AB:AB,MATCH('Full Customer List'!$B131,'Revenue by Customer'!$A:$A,0))</f>
        <v/>
      </c>
      <c r="AC131" s="192" t="str">
        <f>INDEX('Revenue by Customer'!AC:AC,MATCH('Full Customer List'!$B131,'Revenue by Customer'!$A:$A,0))</f>
        <v/>
      </c>
    </row>
    <row r="132" spans="2:29" ht="12" customHeight="1">
      <c r="B132" s="173" t="s">
        <v>754</v>
      </c>
      <c r="C132" s="173" t="str">
        <f>INDEX('Customer List'!$B:$B,MATCH('Full Customer List'!$B132,'Customer List'!$A:$A,0))</f>
        <v>Active</v>
      </c>
      <c r="D132" s="173" t="str">
        <f>INDEX('Customer List'!$C:$C,MATCH('Full Customer List'!$B132,'Customer List'!$A:$A,0))</f>
        <v>Property manager</v>
      </c>
      <c r="E132" s="173" t="str">
        <f>INDEX('Customer List Mapping'!$C:$C,MATCH('Full Customer List'!D132,'Customer List Mapping'!$B:$B,0))</f>
        <v>Property Manager</v>
      </c>
      <c r="F132" s="192">
        <f>INDEX('Customer List'!$K:$K,MATCH('Full Customer List'!$B132,'Customer List'!$A:$A,0))</f>
        <v>5</v>
      </c>
      <c r="G132" s="192">
        <f>INDEX('Revenue by Customer'!$I:$I,MATCH('Full Customer List'!$B132,'Revenue by Customer'!$A:$A,0))</f>
        <v>200</v>
      </c>
      <c r="H132" s="257" t="str">
        <f>IFERROR(IF(C132="Active","",INDEX('Client Departures'!$G:$G,MATCH('Full Customer List'!$B132,'Client Departures'!$A:$A,0))),"Unclassified")</f>
        <v/>
      </c>
      <c r="I132" s="196">
        <v>45870</v>
      </c>
      <c r="J132" s="196"/>
      <c r="K132" s="192" t="str">
        <f>INDEX('Revenue by Customer'!K:K,MATCH('Full Customer List'!$B132,'Revenue by Customer'!$A:$A,0))</f>
        <v/>
      </c>
      <c r="L132" s="192" t="str">
        <f>INDEX('Revenue by Customer'!L:L,MATCH('Full Customer List'!$B132,'Revenue by Customer'!$A:$A,0))</f>
        <v/>
      </c>
      <c r="M132" s="192" t="str">
        <f>INDEX('Revenue by Customer'!M:M,MATCH('Full Customer List'!$B132,'Revenue by Customer'!$A:$A,0))</f>
        <v/>
      </c>
      <c r="N132" s="192" t="str">
        <f>INDEX('Revenue by Customer'!N:N,MATCH('Full Customer List'!$B132,'Revenue by Customer'!$A:$A,0))</f>
        <v/>
      </c>
      <c r="O132" s="192" t="str">
        <f>INDEX('Revenue by Customer'!O:O,MATCH('Full Customer List'!$B132,'Revenue by Customer'!$A:$A,0))</f>
        <v/>
      </c>
      <c r="P132" s="192" t="str">
        <f>INDEX('Revenue by Customer'!P:P,MATCH('Full Customer List'!$B132,'Revenue by Customer'!$A:$A,0))</f>
        <v/>
      </c>
      <c r="Q132" s="192" t="str">
        <f>INDEX('Revenue by Customer'!Q:Q,MATCH('Full Customer List'!$B132,'Revenue by Customer'!$A:$A,0))</f>
        <v/>
      </c>
      <c r="R132" s="192">
        <f>INDEX('Revenue by Customer'!R:R,MATCH('Full Customer List'!$B132,'Revenue by Customer'!$A:$A,0))</f>
        <v>990</v>
      </c>
      <c r="S132" s="192">
        <f>INDEX('Revenue by Customer'!S:S,MATCH('Full Customer List'!$B132,'Revenue by Customer'!$A:$A,0))</f>
        <v>640</v>
      </c>
      <c r="T132" s="192">
        <f>INDEX('Revenue by Customer'!T:T,MATCH('Full Customer List'!$B132,'Revenue by Customer'!$A:$A,0))</f>
        <v>640</v>
      </c>
      <c r="U132" s="192">
        <f>INDEX('Revenue by Customer'!U:U,MATCH('Full Customer List'!$B132,'Revenue by Customer'!$A:$A,0))</f>
        <v>675</v>
      </c>
      <c r="V132" s="192">
        <f>INDEX('Revenue by Customer'!V:V,MATCH('Full Customer List'!$B132,'Revenue by Customer'!$A:$A,0))</f>
        <v>675</v>
      </c>
      <c r="W132" s="192">
        <f>INDEX('Revenue by Customer'!W:W,MATCH('Full Customer List'!$B132,'Revenue by Customer'!$A:$A,0))</f>
        <v>600</v>
      </c>
      <c r="X132" s="192">
        <f>INDEX('Revenue by Customer'!X:X,MATCH('Full Customer List'!$B132,'Revenue by Customer'!$A:$A,0))</f>
        <v>705</v>
      </c>
      <c r="Y132" s="192">
        <f>INDEX('Revenue by Customer'!Y:Y,MATCH('Full Customer List'!$B132,'Revenue by Customer'!$A:$A,0))</f>
        <v>240</v>
      </c>
      <c r="Z132" s="192">
        <f>INDEX('Revenue by Customer'!Z:Z,MATCH('Full Customer List'!$B132,'Revenue by Customer'!$A:$A,0))</f>
        <v>240</v>
      </c>
      <c r="AA132" s="192">
        <f>INDEX('Revenue by Customer'!AA:AA,MATCH('Full Customer List'!$B132,'Revenue by Customer'!$A:$A,0))</f>
        <v>200</v>
      </c>
      <c r="AB132" s="192">
        <f>INDEX('Revenue by Customer'!AB:AB,MATCH('Full Customer List'!$B132,'Revenue by Customer'!$A:$A,0))</f>
        <v>200</v>
      </c>
      <c r="AC132" s="192">
        <f>INDEX('Revenue by Customer'!AC:AC,MATCH('Full Customer List'!$B132,'Revenue by Customer'!$A:$A,0))</f>
        <v>200</v>
      </c>
    </row>
    <row r="133" spans="2:29" ht="12" customHeight="1">
      <c r="B133" s="173" t="s">
        <v>755</v>
      </c>
      <c r="C133" s="173" t="str">
        <f>INDEX('Customer List'!$B:$B,MATCH('Full Customer List'!$B133,'Customer List'!$A:$A,0))</f>
        <v>Former client</v>
      </c>
      <c r="D133" s="173" t="str">
        <f>INDEX('Customer List'!$C:$C,MATCH('Full Customer List'!$B133,'Customer List'!$A:$A,0))</f>
        <v>Short-term rental (departed)</v>
      </c>
      <c r="E133" s="173" t="str">
        <f>INDEX('Customer List Mapping'!$C:$C,MATCH('Full Customer List'!D133,'Customer List Mapping'!$B:$B,0))</f>
        <v>Short-Term Rental</v>
      </c>
      <c r="F133" s="192" t="str">
        <f>INDEX('Customer List'!$K:$K,MATCH('Full Customer List'!$B133,'Customer List'!$A:$A,0))</f>
        <v/>
      </c>
      <c r="G133" s="192">
        <f>INDEX('Revenue by Customer'!$I:$I,MATCH('Full Customer List'!$B133,'Revenue by Customer'!$A:$A,0))</f>
        <v>1500</v>
      </c>
      <c r="H133" s="257" t="str">
        <f>IFERROR(IF(C133="Active","",INDEX('Client Departures'!$G:$G,MATCH('Full Customer List'!$B133,'Client Departures'!$A:$A,0))),"Unclassified")</f>
        <v>No</v>
      </c>
      <c r="I133" s="196">
        <v>46113</v>
      </c>
      <c r="J133" s="196">
        <v>46234</v>
      </c>
      <c r="K133" s="192" t="str">
        <f>INDEX('Revenue by Customer'!K:K,MATCH('Full Customer List'!$B133,'Revenue by Customer'!$A:$A,0))</f>
        <v/>
      </c>
      <c r="L133" s="192" t="str">
        <f>INDEX('Revenue by Customer'!L:L,MATCH('Full Customer List'!$B133,'Revenue by Customer'!$A:$A,0))</f>
        <v/>
      </c>
      <c r="M133" s="192" t="str">
        <f>INDEX('Revenue by Customer'!M:M,MATCH('Full Customer List'!$B133,'Revenue by Customer'!$A:$A,0))</f>
        <v/>
      </c>
      <c r="N133" s="192" t="str">
        <f>INDEX('Revenue by Customer'!N:N,MATCH('Full Customer List'!$B133,'Revenue by Customer'!$A:$A,0))</f>
        <v/>
      </c>
      <c r="O133" s="192" t="str">
        <f>INDEX('Revenue by Customer'!O:O,MATCH('Full Customer List'!$B133,'Revenue by Customer'!$A:$A,0))</f>
        <v/>
      </c>
      <c r="P133" s="192" t="str">
        <f>INDEX('Revenue by Customer'!P:P,MATCH('Full Customer List'!$B133,'Revenue by Customer'!$A:$A,0))</f>
        <v/>
      </c>
      <c r="Q133" s="192" t="str">
        <f>INDEX('Revenue by Customer'!Q:Q,MATCH('Full Customer List'!$B133,'Revenue by Customer'!$A:$A,0))</f>
        <v/>
      </c>
      <c r="R133" s="192" t="str">
        <f>INDEX('Revenue by Customer'!R:R,MATCH('Full Customer List'!$B133,'Revenue by Customer'!$A:$A,0))</f>
        <v/>
      </c>
      <c r="S133" s="192" t="str">
        <f>INDEX('Revenue by Customer'!S:S,MATCH('Full Customer List'!$B133,'Revenue by Customer'!$A:$A,0))</f>
        <v/>
      </c>
      <c r="T133" s="192" t="str">
        <f>INDEX('Revenue by Customer'!T:T,MATCH('Full Customer List'!$B133,'Revenue by Customer'!$A:$A,0))</f>
        <v/>
      </c>
      <c r="U133" s="192" t="str">
        <f>INDEX('Revenue by Customer'!U:U,MATCH('Full Customer List'!$B133,'Revenue by Customer'!$A:$A,0))</f>
        <v/>
      </c>
      <c r="V133" s="192" t="str">
        <f>INDEX('Revenue by Customer'!V:V,MATCH('Full Customer List'!$B133,'Revenue by Customer'!$A:$A,0))</f>
        <v/>
      </c>
      <c r="W133" s="192" t="str">
        <f>INDEX('Revenue by Customer'!W:W,MATCH('Full Customer List'!$B133,'Revenue by Customer'!$A:$A,0))</f>
        <v/>
      </c>
      <c r="X133" s="192" t="str">
        <f>INDEX('Revenue by Customer'!X:X,MATCH('Full Customer List'!$B133,'Revenue by Customer'!$A:$A,0))</f>
        <v/>
      </c>
      <c r="Y133" s="192" t="str">
        <f>INDEX('Revenue by Customer'!Y:Y,MATCH('Full Customer List'!$B133,'Revenue by Customer'!$A:$A,0))</f>
        <v/>
      </c>
      <c r="Z133" s="192">
        <f>INDEX('Revenue by Customer'!Z:Z,MATCH('Full Customer List'!$B133,'Revenue by Customer'!$A:$A,0))</f>
        <v>1500</v>
      </c>
      <c r="AA133" s="192">
        <f>INDEX('Revenue by Customer'!AA:AA,MATCH('Full Customer List'!$B133,'Revenue by Customer'!$A:$A,0))</f>
        <v>1500</v>
      </c>
      <c r="AB133" s="192">
        <f>INDEX('Revenue by Customer'!AB:AB,MATCH('Full Customer List'!$B133,'Revenue by Customer'!$A:$A,0))</f>
        <v>1500</v>
      </c>
      <c r="AC133" s="192">
        <f>INDEX('Revenue by Customer'!AC:AC,MATCH('Full Customer List'!$B133,'Revenue by Customer'!$A:$A,0))</f>
        <v>1500</v>
      </c>
    </row>
    <row r="134" spans="2:29" ht="12" customHeight="1">
      <c r="B134" s="173" t="s">
        <v>756</v>
      </c>
      <c r="C134" s="173" t="str">
        <f>INDEX('Customer List'!$B:$B,MATCH('Full Customer List'!$B134,'Customer List'!$A:$A,0))</f>
        <v>Active</v>
      </c>
      <c r="D134" s="173" t="str">
        <f>INDEX('Customer List'!$C:$C,MATCH('Full Customer List'!$B134,'Customer List'!$A:$A,0))</f>
        <v>Property manager</v>
      </c>
      <c r="E134" s="173" t="str">
        <f>INDEX('Customer List Mapping'!$C:$C,MATCH('Full Customer List'!D134,'Customer List Mapping'!$B:$B,0))</f>
        <v>Property Manager</v>
      </c>
      <c r="F134" s="192">
        <f>INDEX('Customer List'!$K:$K,MATCH('Full Customer List'!$B134,'Customer List'!$A:$A,0))</f>
        <v>10</v>
      </c>
      <c r="G134" s="192">
        <f>INDEX('Revenue by Customer'!$I:$I,MATCH('Full Customer List'!$B134,'Revenue by Customer'!$A:$A,0))</f>
        <v>546.33333333333337</v>
      </c>
      <c r="H134" s="257" t="str">
        <f>IFERROR(IF(C134="Active","",INDEX('Client Departures'!$G:$G,MATCH('Full Customer List'!$B134,'Client Departures'!$A:$A,0))),"Unclassified")</f>
        <v/>
      </c>
      <c r="I134" s="196">
        <v>45748</v>
      </c>
      <c r="J134" s="196"/>
      <c r="K134" s="192" t="str">
        <f>INDEX('Revenue by Customer'!K:K,MATCH('Full Customer List'!$B134,'Revenue by Customer'!$A:$A,0))</f>
        <v/>
      </c>
      <c r="L134" s="192" t="str">
        <f>INDEX('Revenue by Customer'!L:L,MATCH('Full Customer List'!$B134,'Revenue by Customer'!$A:$A,0))</f>
        <v/>
      </c>
      <c r="M134" s="192" t="str">
        <f>INDEX('Revenue by Customer'!M:M,MATCH('Full Customer List'!$B134,'Revenue by Customer'!$A:$A,0))</f>
        <v/>
      </c>
      <c r="N134" s="192">
        <f>INDEX('Revenue by Customer'!N:N,MATCH('Full Customer List'!$B134,'Revenue by Customer'!$A:$A,0))</f>
        <v>778.75</v>
      </c>
      <c r="O134" s="192">
        <f>INDEX('Revenue by Customer'!O:O,MATCH('Full Customer List'!$B134,'Revenue by Customer'!$A:$A,0))</f>
        <v>340</v>
      </c>
      <c r="P134" s="192">
        <f>INDEX('Revenue by Customer'!P:P,MATCH('Full Customer List'!$B134,'Revenue by Customer'!$A:$A,0))</f>
        <v>340</v>
      </c>
      <c r="Q134" s="192">
        <f>INDEX('Revenue by Customer'!Q:Q,MATCH('Full Customer List'!$B134,'Revenue by Customer'!$A:$A,0))</f>
        <v>400</v>
      </c>
      <c r="R134" s="192">
        <f>INDEX('Revenue by Customer'!R:R,MATCH('Full Customer List'!$B134,'Revenue by Customer'!$A:$A,0))</f>
        <v>400</v>
      </c>
      <c r="S134" s="192">
        <f>INDEX('Revenue by Customer'!S:S,MATCH('Full Customer List'!$B134,'Revenue by Customer'!$A:$A,0))</f>
        <v>625</v>
      </c>
      <c r="T134" s="192">
        <f>INDEX('Revenue by Customer'!T:T,MATCH('Full Customer List'!$B134,'Revenue by Customer'!$A:$A,0))</f>
        <v>400</v>
      </c>
      <c r="U134" s="192">
        <f>INDEX('Revenue by Customer'!U:U,MATCH('Full Customer List'!$B134,'Revenue by Customer'!$A:$A,0))</f>
        <v>475</v>
      </c>
      <c r="V134" s="192">
        <f>INDEX('Revenue by Customer'!V:V,MATCH('Full Customer List'!$B134,'Revenue by Customer'!$A:$A,0))</f>
        <v>475</v>
      </c>
      <c r="W134" s="192">
        <f>INDEX('Revenue by Customer'!W:W,MATCH('Full Customer List'!$B134,'Revenue by Customer'!$A:$A,0))</f>
        <v>475</v>
      </c>
      <c r="X134" s="192">
        <f>INDEX('Revenue by Customer'!X:X,MATCH('Full Customer List'!$B134,'Revenue by Customer'!$A:$A,0))</f>
        <v>520</v>
      </c>
      <c r="Y134" s="192">
        <f>INDEX('Revenue by Customer'!Y:Y,MATCH('Full Customer List'!$B134,'Revenue by Customer'!$A:$A,0))</f>
        <v>475</v>
      </c>
      <c r="Z134" s="192">
        <f>INDEX('Revenue by Customer'!Z:Z,MATCH('Full Customer List'!$B134,'Revenue by Customer'!$A:$A,0))</f>
        <v>495</v>
      </c>
      <c r="AA134" s="192">
        <f>INDEX('Revenue by Customer'!AA:AA,MATCH('Full Customer List'!$B134,'Revenue by Customer'!$A:$A,0))</f>
        <v>495</v>
      </c>
      <c r="AB134" s="192">
        <f>INDEX('Revenue by Customer'!AB:AB,MATCH('Full Customer List'!$B134,'Revenue by Customer'!$A:$A,0))</f>
        <v>495</v>
      </c>
      <c r="AC134" s="192">
        <f>INDEX('Revenue by Customer'!AC:AC,MATCH('Full Customer List'!$B134,'Revenue by Customer'!$A:$A,0))</f>
        <v>649</v>
      </c>
    </row>
    <row r="135" spans="2:29" ht="12" customHeight="1">
      <c r="B135" s="173" t="s">
        <v>758</v>
      </c>
      <c r="C135" s="173" t="str">
        <f>INDEX('Customer List'!$B:$B,MATCH('Full Customer List'!$B135,'Customer List'!$A:$A,0))</f>
        <v>Active</v>
      </c>
      <c r="D135" s="173" t="str">
        <f>INDEX('Customer List'!$C:$C,MATCH('Full Customer List'!$B135,'Customer List'!$A:$A,0))</f>
        <v>Property manager</v>
      </c>
      <c r="E135" s="173" t="str">
        <f>INDEX('Customer List Mapping'!$C:$C,MATCH('Full Customer List'!D135,'Customer List Mapping'!$B:$B,0))</f>
        <v>Property Manager</v>
      </c>
      <c r="F135" s="192">
        <f>INDEX('Customer List'!$K:$K,MATCH('Full Customer List'!$B135,'Customer List'!$A:$A,0))</f>
        <v>16</v>
      </c>
      <c r="G135" s="192">
        <f>INDEX('Revenue by Customer'!$I:$I,MATCH('Full Customer List'!$B135,'Revenue by Customer'!$A:$A,0))</f>
        <v>495</v>
      </c>
      <c r="H135" s="257" t="str">
        <f>IFERROR(IF(C135="Active","",INDEX('Client Departures'!$G:$G,MATCH('Full Customer List'!$B135,'Client Departures'!$A:$A,0))),"Unclassified")</f>
        <v/>
      </c>
      <c r="I135" s="196">
        <v>45413</v>
      </c>
      <c r="J135" s="196"/>
      <c r="K135" s="192">
        <f>INDEX('Revenue by Customer'!K:K,MATCH('Full Customer List'!$B135,'Revenue by Customer'!$A:$A,0))</f>
        <v>385</v>
      </c>
      <c r="L135" s="192">
        <f>INDEX('Revenue by Customer'!L:L,MATCH('Full Customer List'!$B135,'Revenue by Customer'!$A:$A,0))</f>
        <v>325</v>
      </c>
      <c r="M135" s="192">
        <f>INDEX('Revenue by Customer'!M:M,MATCH('Full Customer List'!$B135,'Revenue by Customer'!$A:$A,0))</f>
        <v>325</v>
      </c>
      <c r="N135" s="192">
        <f>INDEX('Revenue by Customer'!N:N,MATCH('Full Customer List'!$B135,'Revenue by Customer'!$A:$A,0))</f>
        <v>325</v>
      </c>
      <c r="O135" s="192">
        <f>INDEX('Revenue by Customer'!O:O,MATCH('Full Customer List'!$B135,'Revenue by Customer'!$A:$A,0))</f>
        <v>325</v>
      </c>
      <c r="P135" s="192">
        <f>INDEX('Revenue by Customer'!P:P,MATCH('Full Customer List'!$B135,'Revenue by Customer'!$A:$A,0))</f>
        <v>360</v>
      </c>
      <c r="Q135" s="192">
        <f>INDEX('Revenue by Customer'!Q:Q,MATCH('Full Customer List'!$B135,'Revenue by Customer'!$A:$A,0))</f>
        <v>360</v>
      </c>
      <c r="R135" s="192">
        <f>INDEX('Revenue by Customer'!R:R,MATCH('Full Customer List'!$B135,'Revenue by Customer'!$A:$A,0))</f>
        <v>360</v>
      </c>
      <c r="S135" s="192">
        <f>INDEX('Revenue by Customer'!S:S,MATCH('Full Customer List'!$B135,'Revenue by Customer'!$A:$A,0))</f>
        <v>360</v>
      </c>
      <c r="T135" s="192">
        <f>INDEX('Revenue by Customer'!T:T,MATCH('Full Customer List'!$B135,'Revenue by Customer'!$A:$A,0))</f>
        <v>360</v>
      </c>
      <c r="U135" s="192">
        <f>INDEX('Revenue by Customer'!U:U,MATCH('Full Customer List'!$B135,'Revenue by Customer'!$A:$A,0))</f>
        <v>375</v>
      </c>
      <c r="V135" s="192">
        <f>INDEX('Revenue by Customer'!V:V,MATCH('Full Customer List'!$B135,'Revenue by Customer'!$A:$A,0))</f>
        <v>375</v>
      </c>
      <c r="W135" s="192">
        <f>INDEX('Revenue by Customer'!W:W,MATCH('Full Customer List'!$B135,'Revenue by Customer'!$A:$A,0))</f>
        <v>450</v>
      </c>
      <c r="X135" s="192">
        <f>INDEX('Revenue by Customer'!X:X,MATCH('Full Customer List'!$B135,'Revenue by Customer'!$A:$A,0))</f>
        <v>555</v>
      </c>
      <c r="Y135" s="192">
        <f>INDEX('Revenue by Customer'!Y:Y,MATCH('Full Customer List'!$B135,'Revenue by Customer'!$A:$A,0))</f>
        <v>675</v>
      </c>
      <c r="Z135" s="192">
        <f>INDEX('Revenue by Customer'!Z:Z,MATCH('Full Customer List'!$B135,'Revenue by Customer'!$A:$A,0))</f>
        <v>975</v>
      </c>
      <c r="AA135" s="192">
        <f>INDEX('Revenue by Customer'!AA:AA,MATCH('Full Customer List'!$B135,'Revenue by Customer'!$A:$A,0))</f>
        <v>400</v>
      </c>
      <c r="AB135" s="192">
        <f>INDEX('Revenue by Customer'!AB:AB,MATCH('Full Customer List'!$B135,'Revenue by Customer'!$A:$A,0))</f>
        <v>560</v>
      </c>
      <c r="AC135" s="192">
        <f>INDEX('Revenue by Customer'!AC:AC,MATCH('Full Customer List'!$B135,'Revenue by Customer'!$A:$A,0))</f>
        <v>525</v>
      </c>
    </row>
    <row r="136" spans="2:29" ht="12" customHeight="1">
      <c r="B136" s="173" t="s">
        <v>759</v>
      </c>
      <c r="C136" s="173" t="str">
        <f>INDEX('Customer List'!$B:$B,MATCH('Full Customer List'!$B136,'Customer List'!$A:$A,0))</f>
        <v>Active</v>
      </c>
      <c r="D136" s="173" t="str">
        <f>INDEX('Customer List'!$C:$C,MATCH('Full Customer List'!$B136,'Customer List'!$A:$A,0))</f>
        <v>Property manager</v>
      </c>
      <c r="E136" s="173" t="str">
        <f>INDEX('Customer List Mapping'!$C:$C,MATCH('Full Customer List'!D136,'Customer List Mapping'!$B:$B,0))</f>
        <v>Property Manager</v>
      </c>
      <c r="F136" s="192">
        <f>INDEX('Customer List'!$K:$K,MATCH('Full Customer List'!$B136,'Customer List'!$A:$A,0))</f>
        <v>11</v>
      </c>
      <c r="G136" s="192">
        <f>INDEX('Revenue by Customer'!$I:$I,MATCH('Full Customer List'!$B136,'Revenue by Customer'!$A:$A,0))</f>
        <v>840</v>
      </c>
      <c r="H136" s="257" t="str">
        <f>IFERROR(IF(C136="Active","",INDEX('Client Departures'!$G:$G,MATCH('Full Customer List'!$B136,'Client Departures'!$A:$A,0))),"Unclassified")</f>
        <v/>
      </c>
      <c r="I136" s="196">
        <v>45992</v>
      </c>
      <c r="J136" s="196"/>
      <c r="K136" s="192" t="str">
        <f>INDEX('Revenue by Customer'!K:K,MATCH('Full Customer List'!$B136,'Revenue by Customer'!$A:$A,0))</f>
        <v/>
      </c>
      <c r="L136" s="192" t="str">
        <f>INDEX('Revenue by Customer'!L:L,MATCH('Full Customer List'!$B136,'Revenue by Customer'!$A:$A,0))</f>
        <v/>
      </c>
      <c r="M136" s="192" t="str">
        <f>INDEX('Revenue by Customer'!M:M,MATCH('Full Customer List'!$B136,'Revenue by Customer'!$A:$A,0))</f>
        <v/>
      </c>
      <c r="N136" s="192" t="str">
        <f>INDEX('Revenue by Customer'!N:N,MATCH('Full Customer List'!$B136,'Revenue by Customer'!$A:$A,0))</f>
        <v/>
      </c>
      <c r="O136" s="192" t="str">
        <f>INDEX('Revenue by Customer'!O:O,MATCH('Full Customer List'!$B136,'Revenue by Customer'!$A:$A,0))</f>
        <v/>
      </c>
      <c r="P136" s="192" t="str">
        <f>INDEX('Revenue by Customer'!P:P,MATCH('Full Customer List'!$B136,'Revenue by Customer'!$A:$A,0))</f>
        <v/>
      </c>
      <c r="Q136" s="192" t="str">
        <f>INDEX('Revenue by Customer'!Q:Q,MATCH('Full Customer List'!$B136,'Revenue by Customer'!$A:$A,0))</f>
        <v/>
      </c>
      <c r="R136" s="192" t="str">
        <f>INDEX('Revenue by Customer'!R:R,MATCH('Full Customer List'!$B136,'Revenue by Customer'!$A:$A,0))</f>
        <v/>
      </c>
      <c r="S136" s="192" t="str">
        <f>INDEX('Revenue by Customer'!S:S,MATCH('Full Customer List'!$B136,'Revenue by Customer'!$A:$A,0))</f>
        <v/>
      </c>
      <c r="T136" s="192" t="str">
        <f>INDEX('Revenue by Customer'!T:T,MATCH('Full Customer List'!$B136,'Revenue by Customer'!$A:$A,0))</f>
        <v/>
      </c>
      <c r="U136" s="192" t="str">
        <f>INDEX('Revenue by Customer'!U:U,MATCH('Full Customer List'!$B136,'Revenue by Customer'!$A:$A,0))</f>
        <v/>
      </c>
      <c r="V136" s="192">
        <f>INDEX('Revenue by Customer'!V:V,MATCH('Full Customer List'!$B136,'Revenue by Customer'!$A:$A,0))</f>
        <v>700</v>
      </c>
      <c r="W136" s="192">
        <f>INDEX('Revenue by Customer'!W:W,MATCH('Full Customer List'!$B136,'Revenue by Customer'!$A:$A,0))</f>
        <v>600</v>
      </c>
      <c r="X136" s="192">
        <f>INDEX('Revenue by Customer'!X:X,MATCH('Full Customer List'!$B136,'Revenue by Customer'!$A:$A,0))</f>
        <v>720</v>
      </c>
      <c r="Y136" s="192">
        <f>INDEX('Revenue by Customer'!Y:Y,MATCH('Full Customer List'!$B136,'Revenue by Customer'!$A:$A,0))</f>
        <v>720</v>
      </c>
      <c r="Z136" s="192">
        <f>INDEX('Revenue by Customer'!Z:Z,MATCH('Full Customer List'!$B136,'Revenue by Customer'!$A:$A,0))</f>
        <v>700</v>
      </c>
      <c r="AA136" s="192">
        <f>INDEX('Revenue by Customer'!AA:AA,MATCH('Full Customer List'!$B136,'Revenue by Customer'!$A:$A,0))</f>
        <v>780</v>
      </c>
      <c r="AB136" s="192">
        <f>INDEX('Revenue by Customer'!AB:AB,MATCH('Full Customer List'!$B136,'Revenue by Customer'!$A:$A,0))</f>
        <v>880</v>
      </c>
      <c r="AC136" s="192">
        <f>INDEX('Revenue by Customer'!AC:AC,MATCH('Full Customer List'!$B136,'Revenue by Customer'!$A:$A,0))</f>
        <v>860</v>
      </c>
    </row>
    <row r="137" spans="2:29" ht="12" customHeight="1">
      <c r="B137" s="173" t="s">
        <v>760</v>
      </c>
      <c r="C137" s="173" t="str">
        <f>INDEX('Customer List'!$B:$B,MATCH('Full Customer List'!$B137,'Customer List'!$A:$A,0))</f>
        <v>Active</v>
      </c>
      <c r="D137" s="173" t="str">
        <f>INDEX('Customer List'!$C:$C,MATCH('Full Customer List'!$B137,'Customer List'!$A:$A,0))</f>
        <v>Property manager</v>
      </c>
      <c r="E137" s="173" t="str">
        <f>INDEX('Customer List Mapping'!$C:$C,MATCH('Full Customer List'!D137,'Customer List Mapping'!$B:$B,0))</f>
        <v>Property Manager</v>
      </c>
      <c r="F137" s="192">
        <f>INDEX('Customer List'!$K:$K,MATCH('Full Customer List'!$B137,'Customer List'!$A:$A,0))</f>
        <v>6</v>
      </c>
      <c r="G137" s="192">
        <f>INDEX('Revenue by Customer'!$I:$I,MATCH('Full Customer List'!$B137,'Revenue by Customer'!$A:$A,0))</f>
        <v>653.9666666666667</v>
      </c>
      <c r="H137" s="257" t="str">
        <f>IFERROR(IF(C137="Active","",INDEX('Client Departures'!$G:$G,MATCH('Full Customer List'!$B137,'Client Departures'!$A:$A,0))),"Unclassified")</f>
        <v/>
      </c>
      <c r="I137" s="196">
        <v>45839</v>
      </c>
      <c r="J137" s="196"/>
      <c r="K137" s="192" t="str">
        <f>INDEX('Revenue by Customer'!K:K,MATCH('Full Customer List'!$B137,'Revenue by Customer'!$A:$A,0))</f>
        <v/>
      </c>
      <c r="L137" s="192" t="str">
        <f>INDEX('Revenue by Customer'!L:L,MATCH('Full Customer List'!$B137,'Revenue by Customer'!$A:$A,0))</f>
        <v/>
      </c>
      <c r="M137" s="192" t="str">
        <f>INDEX('Revenue by Customer'!M:M,MATCH('Full Customer List'!$B137,'Revenue by Customer'!$A:$A,0))</f>
        <v/>
      </c>
      <c r="N137" s="192" t="str">
        <f>INDEX('Revenue by Customer'!N:N,MATCH('Full Customer List'!$B137,'Revenue by Customer'!$A:$A,0))</f>
        <v/>
      </c>
      <c r="O137" s="192" t="str">
        <f>INDEX('Revenue by Customer'!O:O,MATCH('Full Customer List'!$B137,'Revenue by Customer'!$A:$A,0))</f>
        <v/>
      </c>
      <c r="P137" s="192" t="str">
        <f>INDEX('Revenue by Customer'!P:P,MATCH('Full Customer List'!$B137,'Revenue by Customer'!$A:$A,0))</f>
        <v/>
      </c>
      <c r="Q137" s="192">
        <f>INDEX('Revenue by Customer'!Q:Q,MATCH('Full Customer List'!$B137,'Revenue by Customer'!$A:$A,0))</f>
        <v>896.25</v>
      </c>
      <c r="R137" s="192">
        <f>INDEX('Revenue by Customer'!R:R,MATCH('Full Customer List'!$B137,'Revenue by Customer'!$A:$A,0))</f>
        <v>331.5</v>
      </c>
      <c r="S137" s="192">
        <f>INDEX('Revenue by Customer'!S:S,MATCH('Full Customer List'!$B137,'Revenue by Customer'!$A:$A,0))</f>
        <v>331.5</v>
      </c>
      <c r="T137" s="192">
        <f>INDEX('Revenue by Customer'!T:T,MATCH('Full Customer List'!$B137,'Revenue by Customer'!$A:$A,0))</f>
        <v>390</v>
      </c>
      <c r="U137" s="192">
        <f>INDEX('Revenue by Customer'!U:U,MATCH('Full Customer List'!$B137,'Revenue by Customer'!$A:$A,0))</f>
        <v>390</v>
      </c>
      <c r="V137" s="192">
        <f>INDEX('Revenue by Customer'!V:V,MATCH('Full Customer List'!$B137,'Revenue by Customer'!$A:$A,0))</f>
        <v>470</v>
      </c>
      <c r="W137" s="192">
        <f>INDEX('Revenue by Customer'!W:W,MATCH('Full Customer List'!$B137,'Revenue by Customer'!$A:$A,0))</f>
        <v>470</v>
      </c>
      <c r="X137" s="192">
        <f>INDEX('Revenue by Customer'!X:X,MATCH('Full Customer List'!$B137,'Revenue by Customer'!$A:$A,0))</f>
        <v>635</v>
      </c>
      <c r="Y137" s="192">
        <f>INDEX('Revenue by Customer'!Y:Y,MATCH('Full Customer List'!$B137,'Revenue by Customer'!$A:$A,0))</f>
        <v>470</v>
      </c>
      <c r="Z137" s="192">
        <f>INDEX('Revenue by Customer'!Z:Z,MATCH('Full Customer List'!$B137,'Revenue by Customer'!$A:$A,0))</f>
        <v>470</v>
      </c>
      <c r="AA137" s="192">
        <f>INDEX('Revenue by Customer'!AA:AA,MATCH('Full Customer List'!$B137,'Revenue by Customer'!$A:$A,0))</f>
        <v>660</v>
      </c>
      <c r="AB137" s="192">
        <f>INDEX('Revenue by Customer'!AB:AB,MATCH('Full Customer List'!$B137,'Revenue by Customer'!$A:$A,0))</f>
        <v>660</v>
      </c>
      <c r="AC137" s="192">
        <f>INDEX('Revenue by Customer'!AC:AC,MATCH('Full Customer List'!$B137,'Revenue by Customer'!$A:$A,0))</f>
        <v>641.9</v>
      </c>
    </row>
    <row r="138" spans="2:29" ht="12" customHeight="1">
      <c r="B138" s="173" t="s">
        <v>761</v>
      </c>
      <c r="C138" s="173" t="str">
        <f>INDEX('Customer List'!$B:$B,MATCH('Full Customer List'!$B138,'Customer List'!$A:$A,0))</f>
        <v>Active</v>
      </c>
      <c r="D138" s="173" t="str">
        <f>INDEX('Customer List'!$C:$C,MATCH('Full Customer List'!$B138,'Customer List'!$A:$A,0))</f>
        <v>STR owner</v>
      </c>
      <c r="E138" s="173" t="str">
        <f>INDEX('Customer List Mapping'!$C:$C,MATCH('Full Customer List'!D138,'Customer List Mapping'!$B:$B,0))</f>
        <v>STR Owner</v>
      </c>
      <c r="F138" s="192">
        <f>INDEX('Customer List'!$K:$K,MATCH('Full Customer List'!$B138,'Customer List'!$A:$A,0))</f>
        <v>0</v>
      </c>
      <c r="G138" s="192">
        <f>INDEX('Revenue by Customer'!$I:$I,MATCH('Full Customer List'!$B138,'Revenue by Customer'!$A:$A,0))</f>
        <v>500</v>
      </c>
      <c r="H138" s="257" t="str">
        <f>IFERROR(IF(C138="Active","",INDEX('Client Departures'!$G:$G,MATCH('Full Customer List'!$B138,'Client Departures'!$A:$A,0))),"Unclassified")</f>
        <v/>
      </c>
      <c r="I138" s="196">
        <v>44805</v>
      </c>
      <c r="J138" s="196"/>
      <c r="K138" s="192">
        <f>INDEX('Revenue by Customer'!K:K,MATCH('Full Customer List'!$B138,'Revenue by Customer'!$A:$A,0))</f>
        <v>564</v>
      </c>
      <c r="L138" s="192">
        <f>INDEX('Revenue by Customer'!L:L,MATCH('Full Customer List'!$B138,'Revenue by Customer'!$A:$A,0))</f>
        <v>395</v>
      </c>
      <c r="M138" s="192">
        <f>INDEX('Revenue by Customer'!M:M,MATCH('Full Customer List'!$B138,'Revenue by Customer'!$A:$A,0))</f>
        <v>395</v>
      </c>
      <c r="N138" s="192">
        <f>INDEX('Revenue by Customer'!N:N,MATCH('Full Customer List'!$B138,'Revenue by Customer'!$A:$A,0))</f>
        <v>395</v>
      </c>
      <c r="O138" s="192">
        <f>INDEX('Revenue by Customer'!O:O,MATCH('Full Customer List'!$B138,'Revenue by Customer'!$A:$A,0))</f>
        <v>474</v>
      </c>
      <c r="P138" s="192">
        <f>INDEX('Revenue by Customer'!P:P,MATCH('Full Customer List'!$B138,'Revenue by Customer'!$A:$A,0))</f>
        <v>474</v>
      </c>
      <c r="Q138" s="192">
        <f>INDEX('Revenue by Customer'!Q:Q,MATCH('Full Customer List'!$B138,'Revenue by Customer'!$A:$A,0))</f>
        <v>632</v>
      </c>
      <c r="R138" s="192">
        <f>INDEX('Revenue by Customer'!R:R,MATCH('Full Customer List'!$B138,'Revenue by Customer'!$A:$A,0))</f>
        <v>316</v>
      </c>
      <c r="S138" s="192">
        <f>INDEX('Revenue by Customer'!S:S,MATCH('Full Customer List'!$B138,'Revenue by Customer'!$A:$A,0))</f>
        <v>500</v>
      </c>
      <c r="T138" s="192">
        <f>INDEX('Revenue by Customer'!T:T,MATCH('Full Customer List'!$B138,'Revenue by Customer'!$A:$A,0))</f>
        <v>500</v>
      </c>
      <c r="U138" s="192">
        <f>INDEX('Revenue by Customer'!U:U,MATCH('Full Customer List'!$B138,'Revenue by Customer'!$A:$A,0))</f>
        <v>500</v>
      </c>
      <c r="V138" s="192">
        <f>INDEX('Revenue by Customer'!V:V,MATCH('Full Customer List'!$B138,'Revenue by Customer'!$A:$A,0))</f>
        <v>500</v>
      </c>
      <c r="W138" s="192">
        <f>INDEX('Revenue by Customer'!W:W,MATCH('Full Customer List'!$B138,'Revenue by Customer'!$A:$A,0))</f>
        <v>500</v>
      </c>
      <c r="X138" s="192">
        <f>INDEX('Revenue by Customer'!X:X,MATCH('Full Customer List'!$B138,'Revenue by Customer'!$A:$A,0))</f>
        <v>515</v>
      </c>
      <c r="Y138" s="192">
        <f>INDEX('Revenue by Customer'!Y:Y,MATCH('Full Customer List'!$B138,'Revenue by Customer'!$A:$A,0))</f>
        <v>500</v>
      </c>
      <c r="Z138" s="192">
        <f>INDEX('Revenue by Customer'!Z:Z,MATCH('Full Customer List'!$B138,'Revenue by Customer'!$A:$A,0))</f>
        <v>500</v>
      </c>
      <c r="AA138" s="192">
        <f>INDEX('Revenue by Customer'!AA:AA,MATCH('Full Customer List'!$B138,'Revenue by Customer'!$A:$A,0))</f>
        <v>500</v>
      </c>
      <c r="AB138" s="192">
        <f>INDEX('Revenue by Customer'!AB:AB,MATCH('Full Customer List'!$B138,'Revenue by Customer'!$A:$A,0))</f>
        <v>500</v>
      </c>
      <c r="AC138" s="192">
        <f>INDEX('Revenue by Customer'!AC:AC,MATCH('Full Customer List'!$B138,'Revenue by Customer'!$A:$A,0))</f>
        <v>500</v>
      </c>
    </row>
    <row r="139" spans="2:29" ht="12" customHeight="1">
      <c r="B139" s="173" t="s">
        <v>763</v>
      </c>
      <c r="C139" s="173" t="str">
        <f>INDEX('Customer List'!$B:$B,MATCH('Full Customer List'!$B139,'Customer List'!$A:$A,0))</f>
        <v>Former client</v>
      </c>
      <c r="D139" s="173" t="str">
        <f>INDEX('Customer List'!$C:$C,MATCH('Full Customer List'!$B139,'Customer List'!$A:$A,0))</f>
        <v>Small business</v>
      </c>
      <c r="E139" s="173" t="str">
        <f>INDEX('Customer List Mapping'!$C:$C,MATCH('Full Customer List'!D139,'Customer List Mapping'!$B:$B,0))</f>
        <v>Small Business</v>
      </c>
      <c r="F139" s="192" t="str">
        <f>INDEX('Customer List'!$K:$K,MATCH('Full Customer List'!$B139,'Customer List'!$A:$A,0))</f>
        <v/>
      </c>
      <c r="G139" s="192">
        <f>INDEX('Revenue by Customer'!$I:$I,MATCH('Full Customer List'!$B139,'Revenue by Customer'!$A:$A,0))</f>
        <v>485</v>
      </c>
      <c r="H139" s="257" t="str">
        <f>IFERROR(IF(C139="Active","",INDEX('Client Departures'!$G:$G,MATCH('Full Customer List'!$B139,'Client Departures'!$A:$A,0))),"Unclassified")</f>
        <v>No</v>
      </c>
      <c r="I139" s="196">
        <v>45139</v>
      </c>
      <c r="J139" s="196">
        <v>46234</v>
      </c>
      <c r="K139" s="192">
        <f>INDEX('Revenue by Customer'!K:K,MATCH('Full Customer List'!$B139,'Revenue by Customer'!$A:$A,0))</f>
        <v>485</v>
      </c>
      <c r="L139" s="192">
        <f>INDEX('Revenue by Customer'!L:L,MATCH('Full Customer List'!$B139,'Revenue by Customer'!$A:$A,0))</f>
        <v>470</v>
      </c>
      <c r="M139" s="192">
        <f>INDEX('Revenue by Customer'!M:M,MATCH('Full Customer List'!$B139,'Revenue by Customer'!$A:$A,0))</f>
        <v>470</v>
      </c>
      <c r="N139" s="192">
        <f>INDEX('Revenue by Customer'!N:N,MATCH('Full Customer List'!$B139,'Revenue by Customer'!$A:$A,0))</f>
        <v>470</v>
      </c>
      <c r="O139" s="192">
        <f>INDEX('Revenue by Customer'!O:O,MATCH('Full Customer List'!$B139,'Revenue by Customer'!$A:$A,0))</f>
        <v>470</v>
      </c>
      <c r="P139" s="192">
        <f>INDEX('Revenue by Customer'!P:P,MATCH('Full Customer List'!$B139,'Revenue by Customer'!$A:$A,0))</f>
        <v>470</v>
      </c>
      <c r="Q139" s="192">
        <f>INDEX('Revenue by Customer'!Q:Q,MATCH('Full Customer List'!$B139,'Revenue by Customer'!$A:$A,0))</f>
        <v>470</v>
      </c>
      <c r="R139" s="192">
        <f>INDEX('Revenue by Customer'!R:R,MATCH('Full Customer List'!$B139,'Revenue by Customer'!$A:$A,0))</f>
        <v>485</v>
      </c>
      <c r="S139" s="192">
        <f>INDEX('Revenue by Customer'!S:S,MATCH('Full Customer List'!$B139,'Revenue by Customer'!$A:$A,0))</f>
        <v>485</v>
      </c>
      <c r="T139" s="192">
        <f>INDEX('Revenue by Customer'!T:T,MATCH('Full Customer List'!$B139,'Revenue by Customer'!$A:$A,0))</f>
        <v>485</v>
      </c>
      <c r="U139" s="192">
        <f>INDEX('Revenue by Customer'!U:U,MATCH('Full Customer List'!$B139,'Revenue by Customer'!$A:$A,0))</f>
        <v>485</v>
      </c>
      <c r="V139" s="192">
        <f>INDEX('Revenue by Customer'!V:V,MATCH('Full Customer List'!$B139,'Revenue by Customer'!$A:$A,0))</f>
        <v>485</v>
      </c>
      <c r="W139" s="192">
        <f>INDEX('Revenue by Customer'!W:W,MATCH('Full Customer List'!$B139,'Revenue by Customer'!$A:$A,0))</f>
        <v>485</v>
      </c>
      <c r="X139" s="192">
        <f>INDEX('Revenue by Customer'!X:X,MATCH('Full Customer List'!$B139,'Revenue by Customer'!$A:$A,0))</f>
        <v>485</v>
      </c>
      <c r="Y139" s="192">
        <f>INDEX('Revenue by Customer'!Y:Y,MATCH('Full Customer List'!$B139,'Revenue by Customer'!$A:$A,0))</f>
        <v>485</v>
      </c>
      <c r="Z139" s="192">
        <f>INDEX('Revenue by Customer'!Z:Z,MATCH('Full Customer List'!$B139,'Revenue by Customer'!$A:$A,0))</f>
        <v>485</v>
      </c>
      <c r="AA139" s="192">
        <f>INDEX('Revenue by Customer'!AA:AA,MATCH('Full Customer List'!$B139,'Revenue by Customer'!$A:$A,0))</f>
        <v>485</v>
      </c>
      <c r="AB139" s="192">
        <f>INDEX('Revenue by Customer'!AB:AB,MATCH('Full Customer List'!$B139,'Revenue by Customer'!$A:$A,0))</f>
        <v>485</v>
      </c>
      <c r="AC139" s="192">
        <f>INDEX('Revenue by Customer'!AC:AC,MATCH('Full Customer List'!$B139,'Revenue by Customer'!$A:$A,0))</f>
        <v>485</v>
      </c>
    </row>
    <row r="140" spans="2:29" ht="12" customHeight="1">
      <c r="B140" s="173" t="s">
        <v>765</v>
      </c>
      <c r="C140" s="173" t="str">
        <f>INDEX('Customer List'!$B:$B,MATCH('Full Customer List'!$B140,'Customer List'!$A:$A,0))</f>
        <v>Active</v>
      </c>
      <c r="D140" s="173" t="str">
        <f>INDEX('Customer List'!$C:$C,MATCH('Full Customer List'!$B140,'Customer List'!$A:$A,0))</f>
        <v>STR owner</v>
      </c>
      <c r="E140" s="173" t="str">
        <f>INDEX('Customer List Mapping'!$C:$C,MATCH('Full Customer List'!D140,'Customer List Mapping'!$B:$B,0))</f>
        <v>STR Owner</v>
      </c>
      <c r="F140" s="192" t="str">
        <f>INDEX('Customer List'!$K:$K,MATCH('Full Customer List'!$B140,'Customer List'!$A:$A,0))</f>
        <v/>
      </c>
      <c r="G140" s="192">
        <f>INDEX('Revenue by Customer'!$I:$I,MATCH('Full Customer List'!$B140,'Revenue by Customer'!$A:$A,0))</f>
        <v>495</v>
      </c>
      <c r="H140" s="257" t="str">
        <f>IFERROR(IF(C140="Active","",INDEX('Client Departures'!$G:$G,MATCH('Full Customer List'!$B140,'Client Departures'!$A:$A,0))),"Unclassified")</f>
        <v/>
      </c>
      <c r="I140" s="196">
        <v>45778</v>
      </c>
      <c r="J140" s="196"/>
      <c r="K140" s="192" t="str">
        <f>INDEX('Revenue by Customer'!K:K,MATCH('Full Customer List'!$B140,'Revenue by Customer'!$A:$A,0))</f>
        <v/>
      </c>
      <c r="L140" s="192" t="str">
        <f>INDEX('Revenue by Customer'!L:L,MATCH('Full Customer List'!$B140,'Revenue by Customer'!$A:$A,0))</f>
        <v/>
      </c>
      <c r="M140" s="192" t="str">
        <f>INDEX('Revenue by Customer'!M:M,MATCH('Full Customer List'!$B140,'Revenue by Customer'!$A:$A,0))</f>
        <v/>
      </c>
      <c r="N140" s="192" t="str">
        <f>INDEX('Revenue by Customer'!N:N,MATCH('Full Customer List'!$B140,'Revenue by Customer'!$A:$A,0))</f>
        <v/>
      </c>
      <c r="O140" s="192">
        <f>INDEX('Revenue by Customer'!O:O,MATCH('Full Customer List'!$B140,'Revenue by Customer'!$A:$A,0))</f>
        <v>640</v>
      </c>
      <c r="P140" s="192">
        <f>INDEX('Revenue by Customer'!P:P,MATCH('Full Customer List'!$B140,'Revenue by Customer'!$A:$A,0))</f>
        <v>403.75</v>
      </c>
      <c r="Q140" s="192">
        <f>INDEX('Revenue by Customer'!Q:Q,MATCH('Full Customer List'!$B140,'Revenue by Customer'!$A:$A,0))</f>
        <v>403.75</v>
      </c>
      <c r="R140" s="192">
        <f>INDEX('Revenue by Customer'!R:R,MATCH('Full Customer List'!$B140,'Revenue by Customer'!$A:$A,0))</f>
        <v>475</v>
      </c>
      <c r="S140" s="192">
        <f>INDEX('Revenue by Customer'!S:S,MATCH('Full Customer List'!$B140,'Revenue by Customer'!$A:$A,0))</f>
        <v>475</v>
      </c>
      <c r="T140" s="192">
        <f>INDEX('Revenue by Customer'!T:T,MATCH('Full Customer List'!$B140,'Revenue by Customer'!$A:$A,0))</f>
        <v>475</v>
      </c>
      <c r="U140" s="192">
        <f>INDEX('Revenue by Customer'!U:U,MATCH('Full Customer List'!$B140,'Revenue by Customer'!$A:$A,0))</f>
        <v>475</v>
      </c>
      <c r="V140" s="192">
        <f>INDEX('Revenue by Customer'!V:V,MATCH('Full Customer List'!$B140,'Revenue by Customer'!$A:$A,0))</f>
        <v>475</v>
      </c>
      <c r="W140" s="192">
        <f>INDEX('Revenue by Customer'!W:W,MATCH('Full Customer List'!$B140,'Revenue by Customer'!$A:$A,0))</f>
        <v>475</v>
      </c>
      <c r="X140" s="192">
        <f>INDEX('Revenue by Customer'!X:X,MATCH('Full Customer List'!$B140,'Revenue by Customer'!$A:$A,0))</f>
        <v>475</v>
      </c>
      <c r="Y140" s="192">
        <f>INDEX('Revenue by Customer'!Y:Y,MATCH('Full Customer List'!$B140,'Revenue by Customer'!$A:$A,0))</f>
        <v>475</v>
      </c>
      <c r="Z140" s="192">
        <f>INDEX('Revenue by Customer'!Z:Z,MATCH('Full Customer List'!$B140,'Revenue by Customer'!$A:$A,0))</f>
        <v>475</v>
      </c>
      <c r="AA140" s="192">
        <f>INDEX('Revenue by Customer'!AA:AA,MATCH('Full Customer List'!$B140,'Revenue by Customer'!$A:$A,0))</f>
        <v>495</v>
      </c>
      <c r="AB140" s="192">
        <f>INDEX('Revenue by Customer'!AB:AB,MATCH('Full Customer List'!$B140,'Revenue by Customer'!$A:$A,0))</f>
        <v>495</v>
      </c>
      <c r="AC140" s="192">
        <f>INDEX('Revenue by Customer'!AC:AC,MATCH('Full Customer List'!$B140,'Revenue by Customer'!$A:$A,0))</f>
        <v>495</v>
      </c>
    </row>
    <row r="141" spans="2:29" ht="12" customHeight="1">
      <c r="B141" s="173" t="s">
        <v>766</v>
      </c>
      <c r="C141" s="173" t="str">
        <f>INDEX('Customer List'!$B:$B,MATCH('Full Customer List'!$B141,'Customer List'!$A:$A,0))</f>
        <v>Active</v>
      </c>
      <c r="D141" s="173" t="str">
        <f>INDEX('Customer List'!$C:$C,MATCH('Full Customer List'!$B141,'Customer List'!$A:$A,0))</f>
        <v>STR owner</v>
      </c>
      <c r="E141" s="173" t="str">
        <f>INDEX('Customer List Mapping'!$C:$C,MATCH('Full Customer List'!D141,'Customer List Mapping'!$B:$B,0))</f>
        <v>STR Owner</v>
      </c>
      <c r="F141" s="192" t="str">
        <f>INDEX('Customer List'!$K:$K,MATCH('Full Customer List'!$B141,'Customer List'!$A:$A,0))</f>
        <v/>
      </c>
      <c r="G141" s="192">
        <f>INDEX('Revenue by Customer'!$I:$I,MATCH('Full Customer List'!$B141,'Revenue by Customer'!$A:$A,0))</f>
        <v>406</v>
      </c>
      <c r="H141" s="257" t="str">
        <f>IFERROR(IF(C141="Active","",INDEX('Client Departures'!$G:$G,MATCH('Full Customer List'!$B141,'Client Departures'!$A:$A,0))),"Unclassified")</f>
        <v/>
      </c>
      <c r="I141" s="196">
        <v>45474</v>
      </c>
      <c r="J141" s="196"/>
      <c r="K141" s="192">
        <f>INDEX('Revenue by Customer'!K:K,MATCH('Full Customer List'!$B141,'Revenue by Customer'!$A:$A,0))</f>
        <v>395</v>
      </c>
      <c r="L141" s="192">
        <f>INDEX('Revenue by Customer'!L:L,MATCH('Full Customer List'!$B141,'Revenue by Customer'!$A:$A,0))</f>
        <v>395</v>
      </c>
      <c r="M141" s="192">
        <f>INDEX('Revenue by Customer'!M:M,MATCH('Full Customer List'!$B141,'Revenue by Customer'!$A:$A,0))</f>
        <v>395</v>
      </c>
      <c r="N141" s="192">
        <f>INDEX('Revenue by Customer'!N:N,MATCH('Full Customer List'!$B141,'Revenue by Customer'!$A:$A,0))</f>
        <v>395</v>
      </c>
      <c r="O141" s="192">
        <f>INDEX('Revenue by Customer'!O:O,MATCH('Full Customer List'!$B141,'Revenue by Customer'!$A:$A,0))</f>
        <v>395</v>
      </c>
      <c r="P141" s="192">
        <f>INDEX('Revenue by Customer'!P:P,MATCH('Full Customer List'!$B141,'Revenue by Customer'!$A:$A,0))</f>
        <v>395</v>
      </c>
      <c r="Q141" s="192">
        <f>INDEX('Revenue by Customer'!Q:Q,MATCH('Full Customer List'!$B141,'Revenue by Customer'!$A:$A,0))</f>
        <v>400</v>
      </c>
      <c r="R141" s="192">
        <f>INDEX('Revenue by Customer'!R:R,MATCH('Full Customer List'!$B141,'Revenue by Customer'!$A:$A,0))</f>
        <v>400</v>
      </c>
      <c r="S141" s="192">
        <f>INDEX('Revenue by Customer'!S:S,MATCH('Full Customer List'!$B141,'Revenue by Customer'!$A:$A,0))</f>
        <v>400</v>
      </c>
      <c r="T141" s="192">
        <f>INDEX('Revenue by Customer'!T:T,MATCH('Full Customer List'!$B141,'Revenue by Customer'!$A:$A,0))</f>
        <v>1225</v>
      </c>
      <c r="U141" s="192">
        <f>INDEX('Revenue by Customer'!U:U,MATCH('Full Customer List'!$B141,'Revenue by Customer'!$A:$A,0))</f>
        <v>400</v>
      </c>
      <c r="V141" s="192">
        <f>INDEX('Revenue by Customer'!V:V,MATCH('Full Customer List'!$B141,'Revenue by Customer'!$A:$A,0))</f>
        <v>400</v>
      </c>
      <c r="W141" s="192">
        <f>INDEX('Revenue by Customer'!W:W,MATCH('Full Customer List'!$B141,'Revenue by Customer'!$A:$A,0))</f>
        <v>400</v>
      </c>
      <c r="X141" s="192">
        <f>INDEX('Revenue by Customer'!X:X,MATCH('Full Customer List'!$B141,'Revenue by Customer'!$A:$A,0))</f>
        <v>400</v>
      </c>
      <c r="Y141" s="192">
        <f>INDEX('Revenue by Customer'!Y:Y,MATCH('Full Customer List'!$B141,'Revenue by Customer'!$A:$A,0))</f>
        <v>400</v>
      </c>
      <c r="Z141" s="192">
        <f>INDEX('Revenue by Customer'!Z:Z,MATCH('Full Customer List'!$B141,'Revenue by Customer'!$A:$A,0))</f>
        <v>400</v>
      </c>
      <c r="AA141" s="192">
        <f>INDEX('Revenue by Customer'!AA:AA,MATCH('Full Customer List'!$B141,'Revenue by Customer'!$A:$A,0))</f>
        <v>400</v>
      </c>
      <c r="AB141" s="192">
        <f>INDEX('Revenue by Customer'!AB:AB,MATCH('Full Customer List'!$B141,'Revenue by Customer'!$A:$A,0))</f>
        <v>400</v>
      </c>
      <c r="AC141" s="192">
        <f>INDEX('Revenue by Customer'!AC:AC,MATCH('Full Customer List'!$B141,'Revenue by Customer'!$A:$A,0))</f>
        <v>418</v>
      </c>
    </row>
    <row r="142" spans="2:29" ht="12" customHeight="1">
      <c r="B142" s="173" t="s">
        <v>767</v>
      </c>
      <c r="C142" s="173" t="str">
        <f>INDEX('Customer List'!$B:$B,MATCH('Full Customer List'!$B142,'Customer List'!$A:$A,0))</f>
        <v>Former client</v>
      </c>
      <c r="D142" s="173" t="str">
        <f>INDEX('Customer List'!$C:$C,MATCH('Full Customer List'!$B142,'Customer List'!$A:$A,0))</f>
        <v>Small business</v>
      </c>
      <c r="E142" s="173" t="str">
        <f>INDEX('Customer List Mapping'!$C:$C,MATCH('Full Customer List'!D142,'Customer List Mapping'!$B:$B,0))</f>
        <v>Small Business</v>
      </c>
      <c r="F142" s="192" t="str">
        <f>INDEX('Customer List'!$K:$K,MATCH('Full Customer List'!$B142,'Customer List'!$A:$A,0))</f>
        <v/>
      </c>
      <c r="G142" s="192">
        <f>INDEX('Revenue by Customer'!$I:$I,MATCH('Full Customer List'!$B142,'Revenue by Customer'!$A:$A,0))</f>
        <v>460</v>
      </c>
      <c r="H142" s="257" t="str">
        <f>IFERROR(IF(C142="Active","",INDEX('Client Departures'!$G:$G,MATCH('Full Customer List'!$B142,'Client Departures'!$A:$A,0))),"Unclassified")</f>
        <v>No</v>
      </c>
      <c r="I142" s="196">
        <v>44652</v>
      </c>
      <c r="J142" s="196">
        <v>46234</v>
      </c>
      <c r="K142" s="192">
        <f>INDEX('Revenue by Customer'!K:K,MATCH('Full Customer List'!$B142,'Revenue by Customer'!$A:$A,0))</f>
        <v>500</v>
      </c>
      <c r="L142" s="192">
        <f>INDEX('Revenue by Customer'!L:L,MATCH('Full Customer List'!$B142,'Revenue by Customer'!$A:$A,0))</f>
        <v>440</v>
      </c>
      <c r="M142" s="192">
        <f>INDEX('Revenue by Customer'!M:M,MATCH('Full Customer List'!$B142,'Revenue by Customer'!$A:$A,0))</f>
        <v>440</v>
      </c>
      <c r="N142" s="192">
        <f>INDEX('Revenue by Customer'!N:N,MATCH('Full Customer List'!$B142,'Revenue by Customer'!$A:$A,0))</f>
        <v>440</v>
      </c>
      <c r="O142" s="192">
        <f>INDEX('Revenue by Customer'!O:O,MATCH('Full Customer List'!$B142,'Revenue by Customer'!$A:$A,0))</f>
        <v>440</v>
      </c>
      <c r="P142" s="192">
        <f>INDEX('Revenue by Customer'!P:P,MATCH('Full Customer List'!$B142,'Revenue by Customer'!$A:$A,0))</f>
        <v>440</v>
      </c>
      <c r="Q142" s="192">
        <f>INDEX('Revenue by Customer'!Q:Q,MATCH('Full Customer List'!$B142,'Revenue by Customer'!$A:$A,0))</f>
        <v>460</v>
      </c>
      <c r="R142" s="192">
        <f>INDEX('Revenue by Customer'!R:R,MATCH('Full Customer List'!$B142,'Revenue by Customer'!$A:$A,0))</f>
        <v>460</v>
      </c>
      <c r="S142" s="192">
        <f>INDEX('Revenue by Customer'!S:S,MATCH('Full Customer List'!$B142,'Revenue by Customer'!$A:$A,0))</f>
        <v>460</v>
      </c>
      <c r="T142" s="192">
        <f>INDEX('Revenue by Customer'!T:T,MATCH('Full Customer List'!$B142,'Revenue by Customer'!$A:$A,0))</f>
        <v>460</v>
      </c>
      <c r="U142" s="192">
        <f>INDEX('Revenue by Customer'!U:U,MATCH('Full Customer List'!$B142,'Revenue by Customer'!$A:$A,0))</f>
        <v>460</v>
      </c>
      <c r="V142" s="192">
        <f>INDEX('Revenue by Customer'!V:V,MATCH('Full Customer List'!$B142,'Revenue by Customer'!$A:$A,0))</f>
        <v>460</v>
      </c>
      <c r="W142" s="192">
        <f>INDEX('Revenue by Customer'!W:W,MATCH('Full Customer List'!$B142,'Revenue by Customer'!$A:$A,0))</f>
        <v>460</v>
      </c>
      <c r="X142" s="192">
        <f>INDEX('Revenue by Customer'!X:X,MATCH('Full Customer List'!$B142,'Revenue by Customer'!$A:$A,0))</f>
        <v>520</v>
      </c>
      <c r="Y142" s="192">
        <f>INDEX('Revenue by Customer'!Y:Y,MATCH('Full Customer List'!$B142,'Revenue by Customer'!$A:$A,0))</f>
        <v>460</v>
      </c>
      <c r="Z142" s="192">
        <f>INDEX('Revenue by Customer'!Z:Z,MATCH('Full Customer List'!$B142,'Revenue by Customer'!$A:$A,0))</f>
        <v>460</v>
      </c>
      <c r="AA142" s="192">
        <f>INDEX('Revenue by Customer'!AA:AA,MATCH('Full Customer List'!$B142,'Revenue by Customer'!$A:$A,0))</f>
        <v>460</v>
      </c>
      <c r="AB142" s="192">
        <f>INDEX('Revenue by Customer'!AB:AB,MATCH('Full Customer List'!$B142,'Revenue by Customer'!$A:$A,0))</f>
        <v>460</v>
      </c>
      <c r="AC142" s="192">
        <f>INDEX('Revenue by Customer'!AC:AC,MATCH('Full Customer List'!$B142,'Revenue by Customer'!$A:$A,0))</f>
        <v>460</v>
      </c>
    </row>
    <row r="143" spans="2:29" ht="12" customHeight="1">
      <c r="B143" s="173" t="s">
        <v>768</v>
      </c>
      <c r="C143" s="173" t="str">
        <f>INDEX('Customer List'!$B:$B,MATCH('Full Customer List'!$B143,'Customer List'!$A:$A,0))</f>
        <v>Former client</v>
      </c>
      <c r="D143" s="173" t="str">
        <f>INDEX('Customer List'!$C:$C,MATCH('Full Customer List'!$B143,'Customer List'!$A:$A,0))</f>
        <v>Property manager</v>
      </c>
      <c r="E143" s="173" t="str">
        <f>INDEX('Customer List Mapping'!$C:$C,MATCH('Full Customer List'!D143,'Customer List Mapping'!$B:$B,0))</f>
        <v>Property Manager</v>
      </c>
      <c r="F143" s="192">
        <f>INDEX('Customer List'!$K:$K,MATCH('Full Customer List'!$B143,'Customer List'!$A:$A,0))</f>
        <v>0</v>
      </c>
      <c r="G143" s="192">
        <f>INDEX('Revenue by Customer'!$I:$I,MATCH('Full Customer List'!$B143,'Revenue by Customer'!$A:$A,0))</f>
        <v>486.33333333333331</v>
      </c>
      <c r="H143" s="257" t="str">
        <f>IFERROR(IF(C143="Active","",INDEX('Client Departures'!$G:$G,MATCH('Full Customer List'!$B143,'Client Departures'!$A:$A,0))),"Unclassified")</f>
        <v>Yes</v>
      </c>
      <c r="I143" s="196">
        <v>45444</v>
      </c>
      <c r="J143" s="196">
        <v>46173</v>
      </c>
      <c r="K143" s="192">
        <f>INDEX('Revenue by Customer'!K:K,MATCH('Full Customer List'!$B143,'Revenue by Customer'!$A:$A,0))</f>
        <v>560</v>
      </c>
      <c r="L143" s="192">
        <f>INDEX('Revenue by Customer'!L:L,MATCH('Full Customer List'!$B143,'Revenue by Customer'!$A:$A,0))</f>
        <v>680</v>
      </c>
      <c r="M143" s="192">
        <f>INDEX('Revenue by Customer'!M:M,MATCH('Full Customer List'!$B143,'Revenue by Customer'!$A:$A,0))</f>
        <v>560</v>
      </c>
      <c r="N143" s="192">
        <f>INDEX('Revenue by Customer'!N:N,MATCH('Full Customer List'!$B143,'Revenue by Customer'!$A:$A,0))</f>
        <v>560</v>
      </c>
      <c r="O143" s="192">
        <f>INDEX('Revenue by Customer'!O:O,MATCH('Full Customer List'!$B143,'Revenue by Customer'!$A:$A,0))</f>
        <v>560</v>
      </c>
      <c r="P143" s="192">
        <f>INDEX('Revenue by Customer'!P:P,MATCH('Full Customer List'!$B143,'Revenue by Customer'!$A:$A,0))</f>
        <v>588</v>
      </c>
      <c r="Q143" s="192">
        <f>INDEX('Revenue by Customer'!Q:Q,MATCH('Full Customer List'!$B143,'Revenue by Customer'!$A:$A,0))</f>
        <v>588</v>
      </c>
      <c r="R143" s="192">
        <f>INDEX('Revenue by Customer'!R:R,MATCH('Full Customer List'!$B143,'Revenue by Customer'!$A:$A,0))</f>
        <v>588</v>
      </c>
      <c r="S143" s="192">
        <f>INDEX('Revenue by Customer'!S:S,MATCH('Full Customer List'!$B143,'Revenue by Customer'!$A:$A,0))</f>
        <v>588</v>
      </c>
      <c r="T143" s="192">
        <f>INDEX('Revenue by Customer'!T:T,MATCH('Full Customer List'!$B143,'Revenue by Customer'!$A:$A,0))</f>
        <v>588</v>
      </c>
      <c r="U143" s="192">
        <f>INDEX('Revenue by Customer'!U:U,MATCH('Full Customer List'!$B143,'Revenue by Customer'!$A:$A,0))</f>
        <v>588</v>
      </c>
      <c r="V143" s="192">
        <f>INDEX('Revenue by Customer'!V:V,MATCH('Full Customer List'!$B143,'Revenue by Customer'!$A:$A,0))</f>
        <v>588</v>
      </c>
      <c r="W143" s="192">
        <f>INDEX('Revenue by Customer'!W:W,MATCH('Full Customer List'!$B143,'Revenue by Customer'!$A:$A,0))</f>
        <v>588</v>
      </c>
      <c r="X143" s="192">
        <f>INDEX('Revenue by Customer'!X:X,MATCH('Full Customer List'!$B143,'Revenue by Customer'!$A:$A,0))</f>
        <v>588</v>
      </c>
      <c r="Y143" s="192">
        <f>INDEX('Revenue by Customer'!Y:Y,MATCH('Full Customer List'!$B143,'Revenue by Customer'!$A:$A,0))</f>
        <v>649</v>
      </c>
      <c r="Z143" s="192">
        <f>INDEX('Revenue by Customer'!Z:Z,MATCH('Full Customer List'!$B143,'Revenue by Customer'!$A:$A,0))</f>
        <v>344</v>
      </c>
      <c r="AA143" s="192">
        <f>INDEX('Revenue by Customer'!AA:AA,MATCH('Full Customer List'!$B143,'Revenue by Customer'!$A:$A,0))</f>
        <v>466</v>
      </c>
      <c r="AB143" s="192" t="str">
        <f>INDEX('Revenue by Customer'!AB:AB,MATCH('Full Customer List'!$B143,'Revenue by Customer'!$A:$A,0))</f>
        <v/>
      </c>
      <c r="AC143" s="192" t="str">
        <f>INDEX('Revenue by Customer'!AC:AC,MATCH('Full Customer List'!$B143,'Revenue by Customer'!$A:$A,0))</f>
        <v/>
      </c>
    </row>
    <row r="144" spans="2:29" ht="12" customHeight="1">
      <c r="B144" s="173" t="s">
        <v>770</v>
      </c>
      <c r="C144" s="173" t="str">
        <f>INDEX('Customer List'!$B:$B,MATCH('Full Customer List'!$B144,'Customer List'!$A:$A,0))</f>
        <v>Active</v>
      </c>
      <c r="D144" s="173" t="str">
        <f>INDEX('Customer List'!$C:$C,MATCH('Full Customer List'!$B144,'Customer List'!$A:$A,0))</f>
        <v>STR owner</v>
      </c>
      <c r="E144" s="173" t="str">
        <f>INDEX('Customer List Mapping'!$C:$C,MATCH('Full Customer List'!D144,'Customer List Mapping'!$B:$B,0))</f>
        <v>STR Owner</v>
      </c>
      <c r="F144" s="192" t="str">
        <f>INDEX('Customer List'!$K:$K,MATCH('Full Customer List'!$B144,'Customer List'!$A:$A,0))</f>
        <v/>
      </c>
      <c r="G144" s="192">
        <f>INDEX('Revenue by Customer'!$I:$I,MATCH('Full Customer List'!$B144,'Revenue by Customer'!$A:$A,0))</f>
        <v>358.33333333333331</v>
      </c>
      <c r="H144" s="257" t="str">
        <f>IFERROR(IF(C144="Active","",INDEX('Client Departures'!$G:$G,MATCH('Full Customer List'!$B144,'Client Departures'!$A:$A,0))),"Unclassified")</f>
        <v/>
      </c>
      <c r="I144" s="196">
        <v>45444</v>
      </c>
      <c r="J144" s="196"/>
      <c r="K144" s="192">
        <f>INDEX('Revenue by Customer'!K:K,MATCH('Full Customer List'!$B144,'Revenue by Customer'!$A:$A,0))</f>
        <v>330</v>
      </c>
      <c r="L144" s="192">
        <f>INDEX('Revenue by Customer'!L:L,MATCH('Full Customer List'!$B144,'Revenue by Customer'!$A:$A,0))</f>
        <v>300</v>
      </c>
      <c r="M144" s="192">
        <f>INDEX('Revenue by Customer'!M:M,MATCH('Full Customer List'!$B144,'Revenue by Customer'!$A:$A,0))</f>
        <v>300</v>
      </c>
      <c r="N144" s="192">
        <f>INDEX('Revenue by Customer'!N:N,MATCH('Full Customer List'!$B144,'Revenue by Customer'!$A:$A,0))</f>
        <v>300</v>
      </c>
      <c r="O144" s="192">
        <f>INDEX('Revenue by Customer'!O:O,MATCH('Full Customer List'!$B144,'Revenue by Customer'!$A:$A,0))</f>
        <v>300</v>
      </c>
      <c r="P144" s="192">
        <f>INDEX('Revenue by Customer'!P:P,MATCH('Full Customer List'!$B144,'Revenue by Customer'!$A:$A,0))</f>
        <v>325</v>
      </c>
      <c r="Q144" s="192">
        <f>INDEX('Revenue by Customer'!Q:Q,MATCH('Full Customer List'!$B144,'Revenue by Customer'!$A:$A,0))</f>
        <v>325</v>
      </c>
      <c r="R144" s="192">
        <f>INDEX('Revenue by Customer'!R:R,MATCH('Full Customer List'!$B144,'Revenue by Customer'!$A:$A,0))</f>
        <v>325</v>
      </c>
      <c r="S144" s="192">
        <f>INDEX('Revenue by Customer'!S:S,MATCH('Full Customer List'!$B144,'Revenue by Customer'!$A:$A,0))</f>
        <v>325</v>
      </c>
      <c r="T144" s="192">
        <f>INDEX('Revenue by Customer'!T:T,MATCH('Full Customer List'!$B144,'Revenue by Customer'!$A:$A,0))</f>
        <v>1090</v>
      </c>
      <c r="U144" s="192">
        <f>INDEX('Revenue by Customer'!U:U,MATCH('Full Customer List'!$B144,'Revenue by Customer'!$A:$A,0))</f>
        <v>325</v>
      </c>
      <c r="V144" s="192">
        <f>INDEX('Revenue by Customer'!V:V,MATCH('Full Customer List'!$B144,'Revenue by Customer'!$A:$A,0))</f>
        <v>325</v>
      </c>
      <c r="W144" s="192">
        <f>INDEX('Revenue by Customer'!W:W,MATCH('Full Customer List'!$B144,'Revenue by Customer'!$A:$A,0))</f>
        <v>325</v>
      </c>
      <c r="X144" s="192">
        <f>INDEX('Revenue by Customer'!X:X,MATCH('Full Customer List'!$B144,'Revenue by Customer'!$A:$A,0))</f>
        <v>355</v>
      </c>
      <c r="Y144" s="192">
        <f>INDEX('Revenue by Customer'!Y:Y,MATCH('Full Customer List'!$B144,'Revenue by Customer'!$A:$A,0))</f>
        <v>1090</v>
      </c>
      <c r="Z144" s="192">
        <f>INDEX('Revenue by Customer'!Z:Z,MATCH('Full Customer List'!$B144,'Revenue by Customer'!$A:$A,0))</f>
        <v>325</v>
      </c>
      <c r="AA144" s="192">
        <f>INDEX('Revenue by Customer'!AA:AA,MATCH('Full Customer List'!$B144,'Revenue by Customer'!$A:$A,0))</f>
        <v>325</v>
      </c>
      <c r="AB144" s="192">
        <f>INDEX('Revenue by Customer'!AB:AB,MATCH('Full Customer List'!$B144,'Revenue by Customer'!$A:$A,0))</f>
        <v>375</v>
      </c>
      <c r="AC144" s="192">
        <f>INDEX('Revenue by Customer'!AC:AC,MATCH('Full Customer List'!$B144,'Revenue by Customer'!$A:$A,0))</f>
        <v>375</v>
      </c>
    </row>
    <row r="145" spans="2:29" ht="12" customHeight="1">
      <c r="B145" s="173" t="s">
        <v>772</v>
      </c>
      <c r="C145" s="173" t="str">
        <f>INDEX('Customer List'!$B:$B,MATCH('Full Customer List'!$B145,'Customer List'!$A:$A,0))</f>
        <v>Active</v>
      </c>
      <c r="D145" s="173" t="str">
        <f>INDEX('Customer List'!$C:$C,MATCH('Full Customer List'!$B145,'Customer List'!$A:$A,0))</f>
        <v>STR owner</v>
      </c>
      <c r="E145" s="173" t="str">
        <f>INDEX('Customer List Mapping'!$C:$C,MATCH('Full Customer List'!D145,'Customer List Mapping'!$B:$B,0))</f>
        <v>STR Owner</v>
      </c>
      <c r="F145" s="192" t="str">
        <f>INDEX('Customer List'!$K:$K,MATCH('Full Customer List'!$B145,'Customer List'!$A:$A,0))</f>
        <v/>
      </c>
      <c r="G145" s="192">
        <f>INDEX('Revenue by Customer'!$I:$I,MATCH('Full Customer List'!$B145,'Revenue by Customer'!$A:$A,0))</f>
        <v>725</v>
      </c>
      <c r="H145" s="257" t="str">
        <f>IFERROR(IF(C145="Active","",INDEX('Client Departures'!$G:$G,MATCH('Full Customer List'!$B145,'Client Departures'!$A:$A,0))),"Unclassified")</f>
        <v/>
      </c>
      <c r="I145" s="196">
        <v>45992</v>
      </c>
      <c r="J145" s="196"/>
      <c r="K145" s="192" t="str">
        <f>INDEX('Revenue by Customer'!K:K,MATCH('Full Customer List'!$B145,'Revenue by Customer'!$A:$A,0))</f>
        <v/>
      </c>
      <c r="L145" s="192" t="str">
        <f>INDEX('Revenue by Customer'!L:L,MATCH('Full Customer List'!$B145,'Revenue by Customer'!$A:$A,0))</f>
        <v/>
      </c>
      <c r="M145" s="192" t="str">
        <f>INDEX('Revenue by Customer'!M:M,MATCH('Full Customer List'!$B145,'Revenue by Customer'!$A:$A,0))</f>
        <v/>
      </c>
      <c r="N145" s="192" t="str">
        <f>INDEX('Revenue by Customer'!N:N,MATCH('Full Customer List'!$B145,'Revenue by Customer'!$A:$A,0))</f>
        <v/>
      </c>
      <c r="O145" s="192" t="str">
        <f>INDEX('Revenue by Customer'!O:O,MATCH('Full Customer List'!$B145,'Revenue by Customer'!$A:$A,0))</f>
        <v/>
      </c>
      <c r="P145" s="192" t="str">
        <f>INDEX('Revenue by Customer'!P:P,MATCH('Full Customer List'!$B145,'Revenue by Customer'!$A:$A,0))</f>
        <v/>
      </c>
      <c r="Q145" s="192" t="str">
        <f>INDEX('Revenue by Customer'!Q:Q,MATCH('Full Customer List'!$B145,'Revenue by Customer'!$A:$A,0))</f>
        <v/>
      </c>
      <c r="R145" s="192" t="str">
        <f>INDEX('Revenue by Customer'!R:R,MATCH('Full Customer List'!$B145,'Revenue by Customer'!$A:$A,0))</f>
        <v/>
      </c>
      <c r="S145" s="192" t="str">
        <f>INDEX('Revenue by Customer'!S:S,MATCH('Full Customer List'!$B145,'Revenue by Customer'!$A:$A,0))</f>
        <v/>
      </c>
      <c r="T145" s="192" t="str">
        <f>INDEX('Revenue by Customer'!T:T,MATCH('Full Customer List'!$B145,'Revenue by Customer'!$A:$A,0))</f>
        <v/>
      </c>
      <c r="U145" s="192" t="str">
        <f>INDEX('Revenue by Customer'!U:U,MATCH('Full Customer List'!$B145,'Revenue by Customer'!$A:$A,0))</f>
        <v/>
      </c>
      <c r="V145" s="192">
        <f>INDEX('Revenue by Customer'!V:V,MATCH('Full Customer List'!$B145,'Revenue by Customer'!$A:$A,0))</f>
        <v>695</v>
      </c>
      <c r="W145" s="192">
        <f>INDEX('Revenue by Customer'!W:W,MATCH('Full Customer List'!$B145,'Revenue by Customer'!$A:$A,0))</f>
        <v>616.25</v>
      </c>
      <c r="X145" s="192">
        <f>INDEX('Revenue by Customer'!X:X,MATCH('Full Customer List'!$B145,'Revenue by Customer'!$A:$A,0))</f>
        <v>616.25</v>
      </c>
      <c r="Y145" s="192">
        <f>INDEX('Revenue by Customer'!Y:Y,MATCH('Full Customer List'!$B145,'Revenue by Customer'!$A:$A,0))</f>
        <v>725</v>
      </c>
      <c r="Z145" s="192">
        <f>INDEX('Revenue by Customer'!Z:Z,MATCH('Full Customer List'!$B145,'Revenue by Customer'!$A:$A,0))</f>
        <v>725</v>
      </c>
      <c r="AA145" s="192">
        <f>INDEX('Revenue by Customer'!AA:AA,MATCH('Full Customer List'!$B145,'Revenue by Customer'!$A:$A,0))</f>
        <v>725</v>
      </c>
      <c r="AB145" s="192">
        <f>INDEX('Revenue by Customer'!AB:AB,MATCH('Full Customer List'!$B145,'Revenue by Customer'!$A:$A,0))</f>
        <v>725</v>
      </c>
      <c r="AC145" s="192">
        <f>INDEX('Revenue by Customer'!AC:AC,MATCH('Full Customer List'!$B145,'Revenue by Customer'!$A:$A,0))</f>
        <v>725</v>
      </c>
    </row>
    <row r="146" spans="2:29" ht="12" customHeight="1">
      <c r="B146" s="173" t="s">
        <v>773</v>
      </c>
      <c r="C146" s="173" t="str">
        <f>INDEX('Customer List'!$B:$B,MATCH('Full Customer List'!$B146,'Customer List'!$A:$A,0))</f>
        <v>Former client</v>
      </c>
      <c r="D146" s="173" t="str">
        <f>INDEX('Customer List'!$C:$C,MATCH('Full Customer List'!$B146,'Customer List'!$A:$A,0))</f>
        <v>Property manager</v>
      </c>
      <c r="E146" s="173" t="str">
        <f>INDEX('Customer List Mapping'!$C:$C,MATCH('Full Customer List'!D146,'Customer List Mapping'!$B:$B,0))</f>
        <v>Property Manager</v>
      </c>
      <c r="F146" s="192">
        <f>INDEX('Customer List'!$K:$K,MATCH('Full Customer List'!$B146,'Customer List'!$A:$A,0))</f>
        <v>4</v>
      </c>
      <c r="G146" s="192">
        <f>INDEX('Revenue by Customer'!$I:$I,MATCH('Full Customer List'!$B146,'Revenue by Customer'!$A:$A,0))</f>
        <v>350</v>
      </c>
      <c r="H146" s="257" t="str">
        <f>IFERROR(IF(C146="Active","",INDEX('Client Departures'!$G:$G,MATCH('Full Customer List'!$B146,'Client Departures'!$A:$A,0))),"Unclassified")</f>
        <v>Yes</v>
      </c>
      <c r="I146" s="196">
        <v>45505</v>
      </c>
      <c r="J146" s="196">
        <v>46234</v>
      </c>
      <c r="K146" s="192">
        <f>INDEX('Revenue by Customer'!K:K,MATCH('Full Customer List'!$B146,'Revenue by Customer'!$A:$A,0))</f>
        <v>553</v>
      </c>
      <c r="L146" s="192">
        <f>INDEX('Revenue by Customer'!L:L,MATCH('Full Customer List'!$B146,'Revenue by Customer'!$A:$A,0))</f>
        <v>568</v>
      </c>
      <c r="M146" s="192">
        <f>INDEX('Revenue by Customer'!M:M,MATCH('Full Customer List'!$B146,'Revenue by Customer'!$A:$A,0))</f>
        <v>553</v>
      </c>
      <c r="N146" s="192">
        <f>INDEX('Revenue by Customer'!N:N,MATCH('Full Customer List'!$B146,'Revenue by Customer'!$A:$A,0))</f>
        <v>553</v>
      </c>
      <c r="O146" s="192">
        <f>INDEX('Revenue by Customer'!O:O,MATCH('Full Customer List'!$B146,'Revenue by Customer'!$A:$A,0))</f>
        <v>553</v>
      </c>
      <c r="P146" s="192">
        <f>INDEX('Revenue by Customer'!P:P,MATCH('Full Customer List'!$B146,'Revenue by Customer'!$A:$A,0))</f>
        <v>553</v>
      </c>
      <c r="Q146" s="192">
        <f>INDEX('Revenue by Customer'!Q:Q,MATCH('Full Customer List'!$B146,'Revenue by Customer'!$A:$A,0))</f>
        <v>553</v>
      </c>
      <c r="R146" s="192">
        <f>INDEX('Revenue by Customer'!R:R,MATCH('Full Customer List'!$B146,'Revenue by Customer'!$A:$A,0))</f>
        <v>575</v>
      </c>
      <c r="S146" s="192">
        <f>INDEX('Revenue by Customer'!S:S,MATCH('Full Customer List'!$B146,'Revenue by Customer'!$A:$A,0))</f>
        <v>575</v>
      </c>
      <c r="T146" s="192">
        <f>INDEX('Revenue by Customer'!T:T,MATCH('Full Customer List'!$B146,'Revenue by Customer'!$A:$A,0))</f>
        <v>575</v>
      </c>
      <c r="U146" s="192">
        <f>INDEX('Revenue by Customer'!U:U,MATCH('Full Customer List'!$B146,'Revenue by Customer'!$A:$A,0))</f>
        <v>575</v>
      </c>
      <c r="V146" s="192">
        <f>INDEX('Revenue by Customer'!V:V,MATCH('Full Customer List'!$B146,'Revenue by Customer'!$A:$A,0))</f>
        <v>575</v>
      </c>
      <c r="W146" s="192">
        <f>INDEX('Revenue by Customer'!W:W,MATCH('Full Customer List'!$B146,'Revenue by Customer'!$A:$A,0))</f>
        <v>575</v>
      </c>
      <c r="X146" s="192">
        <f>INDEX('Revenue by Customer'!X:X,MATCH('Full Customer List'!$B146,'Revenue by Customer'!$A:$A,0))</f>
        <v>350</v>
      </c>
      <c r="Y146" s="192">
        <f>INDEX('Revenue by Customer'!Y:Y,MATCH('Full Customer List'!$B146,'Revenue by Customer'!$A:$A,0))</f>
        <v>350</v>
      </c>
      <c r="Z146" s="192">
        <f>INDEX('Revenue by Customer'!Z:Z,MATCH('Full Customer List'!$B146,'Revenue by Customer'!$A:$A,0))</f>
        <v>350</v>
      </c>
      <c r="AA146" s="192">
        <f>INDEX('Revenue by Customer'!AA:AA,MATCH('Full Customer List'!$B146,'Revenue by Customer'!$A:$A,0))</f>
        <v>350</v>
      </c>
      <c r="AB146" s="192">
        <f>INDEX('Revenue by Customer'!AB:AB,MATCH('Full Customer List'!$B146,'Revenue by Customer'!$A:$A,0))</f>
        <v>350</v>
      </c>
      <c r="AC146" s="192">
        <f>INDEX('Revenue by Customer'!AC:AC,MATCH('Full Customer List'!$B146,'Revenue by Customer'!$A:$A,0))</f>
        <v>350</v>
      </c>
    </row>
    <row r="147" spans="2:29" ht="12" customHeight="1">
      <c r="B147" s="173" t="s">
        <v>775</v>
      </c>
      <c r="C147" s="173" t="str">
        <f>INDEX('Customer List'!$B:$B,MATCH('Full Customer List'!$B147,'Customer List'!$A:$A,0))</f>
        <v>Former client</v>
      </c>
      <c r="D147" s="173" t="str">
        <f>INDEX('Customer List'!$C:$C,MATCH('Full Customer List'!$B147,'Customer List'!$A:$A,0))</f>
        <v>STR owner</v>
      </c>
      <c r="E147" s="173" t="str">
        <f>INDEX('Customer List Mapping'!$C:$C,MATCH('Full Customer List'!D147,'Customer List Mapping'!$B:$B,0))</f>
        <v>STR Owner</v>
      </c>
      <c r="F147" s="192" t="str">
        <f>INDEX('Customer List'!$K:$K,MATCH('Full Customer List'!$B147,'Customer List'!$A:$A,0))</f>
        <v/>
      </c>
      <c r="G147" s="192">
        <f>INDEX('Revenue by Customer'!$I:$I,MATCH('Full Customer List'!$B147,'Revenue by Customer'!$A:$A,0))</f>
        <v>500</v>
      </c>
      <c r="H147" s="257" t="str">
        <f>IFERROR(IF(C147="Active","",INDEX('Client Departures'!$G:$G,MATCH('Full Customer List'!$B147,'Client Departures'!$A:$A,0))),"Unclassified")</f>
        <v>Yes</v>
      </c>
      <c r="I147" s="196">
        <v>45597</v>
      </c>
      <c r="J147" s="196">
        <v>46173</v>
      </c>
      <c r="K147" s="192">
        <f>INDEX('Revenue by Customer'!K:K,MATCH('Full Customer List'!$B147,'Revenue by Customer'!$A:$A,0))</f>
        <v>550</v>
      </c>
      <c r="L147" s="192">
        <f>INDEX('Revenue by Customer'!L:L,MATCH('Full Customer List'!$B147,'Revenue by Customer'!$A:$A,0))</f>
        <v>450</v>
      </c>
      <c r="M147" s="192">
        <f>INDEX('Revenue by Customer'!M:M,MATCH('Full Customer List'!$B147,'Revenue by Customer'!$A:$A,0))</f>
        <v>450</v>
      </c>
      <c r="N147" s="192">
        <f>INDEX('Revenue by Customer'!N:N,MATCH('Full Customer List'!$B147,'Revenue by Customer'!$A:$A,0))</f>
        <v>450</v>
      </c>
      <c r="O147" s="192">
        <f>INDEX('Revenue by Customer'!O:O,MATCH('Full Customer List'!$B147,'Revenue by Customer'!$A:$A,0))</f>
        <v>450</v>
      </c>
      <c r="P147" s="192">
        <f>INDEX('Revenue by Customer'!P:P,MATCH('Full Customer List'!$B147,'Revenue by Customer'!$A:$A,0))</f>
        <v>450</v>
      </c>
      <c r="Q147" s="192">
        <f>INDEX('Revenue by Customer'!Q:Q,MATCH('Full Customer List'!$B147,'Revenue by Customer'!$A:$A,0))</f>
        <v>450</v>
      </c>
      <c r="R147" s="192">
        <f>INDEX('Revenue by Customer'!R:R,MATCH('Full Customer List'!$B147,'Revenue by Customer'!$A:$A,0))</f>
        <v>450</v>
      </c>
      <c r="S147" s="192">
        <f>INDEX('Revenue by Customer'!S:S,MATCH('Full Customer List'!$B147,'Revenue by Customer'!$A:$A,0))</f>
        <v>500</v>
      </c>
      <c r="T147" s="192">
        <f>INDEX('Revenue by Customer'!T:T,MATCH('Full Customer List'!$B147,'Revenue by Customer'!$A:$A,0))</f>
        <v>600</v>
      </c>
      <c r="U147" s="192">
        <f>INDEX('Revenue by Customer'!U:U,MATCH('Full Customer List'!$B147,'Revenue by Customer'!$A:$A,0))</f>
        <v>600</v>
      </c>
      <c r="V147" s="192">
        <f>INDEX('Revenue by Customer'!V:V,MATCH('Full Customer List'!$B147,'Revenue by Customer'!$A:$A,0))</f>
        <v>600</v>
      </c>
      <c r="W147" s="192">
        <f>INDEX('Revenue by Customer'!W:W,MATCH('Full Customer List'!$B147,'Revenue by Customer'!$A:$A,0))</f>
        <v>645</v>
      </c>
      <c r="X147" s="192">
        <f>INDEX('Revenue by Customer'!X:X,MATCH('Full Customer List'!$B147,'Revenue by Customer'!$A:$A,0))</f>
        <v>600</v>
      </c>
      <c r="Y147" s="192">
        <f>INDEX('Revenue by Customer'!Y:Y,MATCH('Full Customer List'!$B147,'Revenue by Customer'!$A:$A,0))</f>
        <v>500</v>
      </c>
      <c r="Z147" s="192">
        <f>INDEX('Revenue by Customer'!Z:Z,MATCH('Full Customer List'!$B147,'Revenue by Customer'!$A:$A,0))</f>
        <v>500</v>
      </c>
      <c r="AA147" s="192">
        <f>INDEX('Revenue by Customer'!AA:AA,MATCH('Full Customer List'!$B147,'Revenue by Customer'!$A:$A,0))</f>
        <v>500</v>
      </c>
      <c r="AB147" s="192" t="str">
        <f>INDEX('Revenue by Customer'!AB:AB,MATCH('Full Customer List'!$B147,'Revenue by Customer'!$A:$A,0))</f>
        <v/>
      </c>
      <c r="AC147" s="192" t="str">
        <f>INDEX('Revenue by Customer'!AC:AC,MATCH('Full Customer List'!$B147,'Revenue by Customer'!$A:$A,0))</f>
        <v/>
      </c>
    </row>
    <row r="148" spans="2:29" ht="12" customHeight="1">
      <c r="B148" s="173" t="s">
        <v>776</v>
      </c>
      <c r="C148" s="173" t="str">
        <f>INDEX('Customer List'!$B:$B,MATCH('Full Customer List'!$B148,'Customer List'!$A:$A,0))</f>
        <v>Active</v>
      </c>
      <c r="D148" s="173" t="str">
        <f>INDEX('Customer List'!$C:$C,MATCH('Full Customer List'!$B148,'Customer List'!$A:$A,0))</f>
        <v>Property manager</v>
      </c>
      <c r="E148" s="173" t="str">
        <f>INDEX('Customer List Mapping'!$C:$C,MATCH('Full Customer List'!D148,'Customer List Mapping'!$B:$B,0))</f>
        <v>Property Manager</v>
      </c>
      <c r="F148" s="192">
        <f>INDEX('Customer List'!$K:$K,MATCH('Full Customer List'!$B148,'Customer List'!$A:$A,0))</f>
        <v>17</v>
      </c>
      <c r="G148" s="192">
        <f>INDEX('Revenue by Customer'!$I:$I,MATCH('Full Customer List'!$B148,'Revenue by Customer'!$A:$A,0))</f>
        <v>1119.4666666666667</v>
      </c>
      <c r="H148" s="257" t="str">
        <f>IFERROR(IF(C148="Active","",INDEX('Client Departures'!$G:$G,MATCH('Full Customer List'!$B148,'Client Departures'!$A:$A,0))),"Unclassified")</f>
        <v/>
      </c>
      <c r="I148" s="196">
        <v>46082</v>
      </c>
      <c r="J148" s="196"/>
      <c r="K148" s="192" t="str">
        <f>INDEX('Revenue by Customer'!K:K,MATCH('Full Customer List'!$B148,'Revenue by Customer'!$A:$A,0))</f>
        <v/>
      </c>
      <c r="L148" s="192" t="str">
        <f>INDEX('Revenue by Customer'!L:L,MATCH('Full Customer List'!$B148,'Revenue by Customer'!$A:$A,0))</f>
        <v/>
      </c>
      <c r="M148" s="192" t="str">
        <f>INDEX('Revenue by Customer'!M:M,MATCH('Full Customer List'!$B148,'Revenue by Customer'!$A:$A,0))</f>
        <v/>
      </c>
      <c r="N148" s="192" t="str">
        <f>INDEX('Revenue by Customer'!N:N,MATCH('Full Customer List'!$B148,'Revenue by Customer'!$A:$A,0))</f>
        <v/>
      </c>
      <c r="O148" s="192" t="str">
        <f>INDEX('Revenue by Customer'!O:O,MATCH('Full Customer List'!$B148,'Revenue by Customer'!$A:$A,0))</f>
        <v/>
      </c>
      <c r="P148" s="192" t="str">
        <f>INDEX('Revenue by Customer'!P:P,MATCH('Full Customer List'!$B148,'Revenue by Customer'!$A:$A,0))</f>
        <v/>
      </c>
      <c r="Q148" s="192" t="str">
        <f>INDEX('Revenue by Customer'!Q:Q,MATCH('Full Customer List'!$B148,'Revenue by Customer'!$A:$A,0))</f>
        <v/>
      </c>
      <c r="R148" s="192" t="str">
        <f>INDEX('Revenue by Customer'!R:R,MATCH('Full Customer List'!$B148,'Revenue by Customer'!$A:$A,0))</f>
        <v/>
      </c>
      <c r="S148" s="192" t="str">
        <f>INDEX('Revenue by Customer'!S:S,MATCH('Full Customer List'!$B148,'Revenue by Customer'!$A:$A,0))</f>
        <v/>
      </c>
      <c r="T148" s="192" t="str">
        <f>INDEX('Revenue by Customer'!T:T,MATCH('Full Customer List'!$B148,'Revenue by Customer'!$A:$A,0))</f>
        <v/>
      </c>
      <c r="U148" s="192" t="str">
        <f>INDEX('Revenue by Customer'!U:U,MATCH('Full Customer List'!$B148,'Revenue by Customer'!$A:$A,0))</f>
        <v/>
      </c>
      <c r="V148" s="192" t="str">
        <f>INDEX('Revenue by Customer'!V:V,MATCH('Full Customer List'!$B148,'Revenue by Customer'!$A:$A,0))</f>
        <v/>
      </c>
      <c r="W148" s="192" t="str">
        <f>INDEX('Revenue by Customer'!W:W,MATCH('Full Customer List'!$B148,'Revenue by Customer'!$A:$A,0))</f>
        <v/>
      </c>
      <c r="X148" s="192" t="str">
        <f>INDEX('Revenue by Customer'!X:X,MATCH('Full Customer List'!$B148,'Revenue by Customer'!$A:$A,0))</f>
        <v/>
      </c>
      <c r="Y148" s="192">
        <f>INDEX('Revenue by Customer'!Y:Y,MATCH('Full Customer List'!$B148,'Revenue by Customer'!$A:$A,0))</f>
        <v>1425</v>
      </c>
      <c r="Z148" s="192">
        <f>INDEX('Revenue by Customer'!Z:Z,MATCH('Full Customer List'!$B148,'Revenue by Customer'!$A:$A,0))</f>
        <v>705</v>
      </c>
      <c r="AA148" s="192">
        <f>INDEX('Revenue by Customer'!AA:AA,MATCH('Full Customer List'!$B148,'Revenue by Customer'!$A:$A,0))</f>
        <v>947.4</v>
      </c>
      <c r="AB148" s="192">
        <f>INDEX('Revenue by Customer'!AB:AB,MATCH('Full Customer List'!$B148,'Revenue by Customer'!$A:$A,0))</f>
        <v>1094</v>
      </c>
      <c r="AC148" s="192">
        <f>INDEX('Revenue by Customer'!AC:AC,MATCH('Full Customer List'!$B148,'Revenue by Customer'!$A:$A,0))</f>
        <v>1317</v>
      </c>
    </row>
    <row r="149" spans="2:29" ht="12" customHeight="1">
      <c r="B149" s="173" t="s">
        <v>777</v>
      </c>
      <c r="C149" s="173" t="str">
        <f>INDEX('Customer List'!$B:$B,MATCH('Full Customer List'!$B149,'Customer List'!$A:$A,0))</f>
        <v>Active</v>
      </c>
      <c r="D149" s="173" t="str">
        <f>INDEX('Customer List'!$C:$C,MATCH('Full Customer List'!$B149,'Customer List'!$A:$A,0))</f>
        <v>Property manager</v>
      </c>
      <c r="E149" s="173" t="str">
        <f>INDEX('Customer List Mapping'!$C:$C,MATCH('Full Customer List'!D149,'Customer List Mapping'!$B:$B,0))</f>
        <v>Property Manager</v>
      </c>
      <c r="F149" s="192">
        <f>INDEX('Customer List'!$K:$K,MATCH('Full Customer List'!$B149,'Customer List'!$A:$A,0))</f>
        <v>4</v>
      </c>
      <c r="G149" s="192">
        <f>INDEX('Revenue by Customer'!$I:$I,MATCH('Full Customer List'!$B149,'Revenue by Customer'!$A:$A,0))</f>
        <v>495</v>
      </c>
      <c r="H149" s="257" t="str">
        <f>IFERROR(IF(C149="Active","",INDEX('Client Departures'!$G:$G,MATCH('Full Customer List'!$B149,'Client Departures'!$A:$A,0))),"Unclassified")</f>
        <v/>
      </c>
      <c r="I149" s="196">
        <v>45748</v>
      </c>
      <c r="J149" s="196"/>
      <c r="K149" s="192" t="str">
        <f>INDEX('Revenue by Customer'!K:K,MATCH('Full Customer List'!$B149,'Revenue by Customer'!$A:$A,0))</f>
        <v/>
      </c>
      <c r="L149" s="192" t="str">
        <f>INDEX('Revenue by Customer'!L:L,MATCH('Full Customer List'!$B149,'Revenue by Customer'!$A:$A,0))</f>
        <v/>
      </c>
      <c r="M149" s="192" t="str">
        <f>INDEX('Revenue by Customer'!M:M,MATCH('Full Customer List'!$B149,'Revenue by Customer'!$A:$A,0))</f>
        <v/>
      </c>
      <c r="N149" s="192">
        <f>INDEX('Revenue by Customer'!N:N,MATCH('Full Customer List'!$B149,'Revenue by Customer'!$A:$A,0))</f>
        <v>640</v>
      </c>
      <c r="O149" s="192">
        <f>INDEX('Revenue by Customer'!O:O,MATCH('Full Customer List'!$B149,'Revenue by Customer'!$A:$A,0))</f>
        <v>340</v>
      </c>
      <c r="P149" s="192">
        <f>INDEX('Revenue by Customer'!P:P,MATCH('Full Customer List'!$B149,'Revenue by Customer'!$A:$A,0))</f>
        <v>340</v>
      </c>
      <c r="Q149" s="192">
        <f>INDEX('Revenue by Customer'!Q:Q,MATCH('Full Customer List'!$B149,'Revenue by Customer'!$A:$A,0))</f>
        <v>400</v>
      </c>
      <c r="R149" s="192">
        <f>INDEX('Revenue by Customer'!R:R,MATCH('Full Customer List'!$B149,'Revenue by Customer'!$A:$A,0))</f>
        <v>400</v>
      </c>
      <c r="S149" s="192">
        <f>INDEX('Revenue by Customer'!S:S,MATCH('Full Customer List'!$B149,'Revenue by Customer'!$A:$A,0))</f>
        <v>400</v>
      </c>
      <c r="T149" s="192">
        <f>INDEX('Revenue by Customer'!T:T,MATCH('Full Customer List'!$B149,'Revenue by Customer'!$A:$A,0))</f>
        <v>400</v>
      </c>
      <c r="U149" s="192">
        <f>INDEX('Revenue by Customer'!U:U,MATCH('Full Customer List'!$B149,'Revenue by Customer'!$A:$A,0))</f>
        <v>400</v>
      </c>
      <c r="V149" s="192">
        <f>INDEX('Revenue by Customer'!V:V,MATCH('Full Customer List'!$B149,'Revenue by Customer'!$A:$A,0))</f>
        <v>400</v>
      </c>
      <c r="W149" s="192">
        <f>INDEX('Revenue by Customer'!W:W,MATCH('Full Customer List'!$B149,'Revenue by Customer'!$A:$A,0))</f>
        <v>400</v>
      </c>
      <c r="X149" s="192">
        <f>INDEX('Revenue by Customer'!X:X,MATCH('Full Customer List'!$B149,'Revenue by Customer'!$A:$A,0))</f>
        <v>550</v>
      </c>
      <c r="Y149" s="192">
        <f>INDEX('Revenue by Customer'!Y:Y,MATCH('Full Customer List'!$B149,'Revenue by Customer'!$A:$A,0))</f>
        <v>475</v>
      </c>
      <c r="Z149" s="192">
        <f>INDEX('Revenue by Customer'!Z:Z,MATCH('Full Customer List'!$B149,'Revenue by Customer'!$A:$A,0))</f>
        <v>495</v>
      </c>
      <c r="AA149" s="192">
        <f>INDEX('Revenue by Customer'!AA:AA,MATCH('Full Customer List'!$B149,'Revenue by Customer'!$A:$A,0))</f>
        <v>495</v>
      </c>
      <c r="AB149" s="192">
        <f>INDEX('Revenue by Customer'!AB:AB,MATCH('Full Customer List'!$B149,'Revenue by Customer'!$A:$A,0))</f>
        <v>495</v>
      </c>
      <c r="AC149" s="192">
        <f>INDEX('Revenue by Customer'!AC:AC,MATCH('Full Customer List'!$B149,'Revenue by Customer'!$A:$A,0))</f>
        <v>495</v>
      </c>
    </row>
    <row r="150" spans="2:29" ht="12" customHeight="1">
      <c r="B150" s="173" t="s">
        <v>778</v>
      </c>
      <c r="C150" s="173" t="str">
        <f>INDEX('Customer List'!$B:$B,MATCH('Full Customer List'!$B150,'Customer List'!$A:$A,0))</f>
        <v>Former client</v>
      </c>
      <c r="D150" s="173" t="str">
        <f>INDEX('Customer List'!$C:$C,MATCH('Full Customer List'!$B150,'Customer List'!$A:$A,0))</f>
        <v>Small business</v>
      </c>
      <c r="E150" s="173" t="str">
        <f>INDEX('Customer List Mapping'!$C:$C,MATCH('Full Customer List'!D150,'Customer List Mapping'!$B:$B,0))</f>
        <v>Small Business</v>
      </c>
      <c r="F150" s="192" t="str">
        <f>INDEX('Customer List'!$K:$K,MATCH('Full Customer List'!$B150,'Customer List'!$A:$A,0))</f>
        <v/>
      </c>
      <c r="G150" s="192">
        <f>INDEX('Revenue by Customer'!$I:$I,MATCH('Full Customer List'!$B150,'Revenue by Customer'!$A:$A,0))</f>
        <v>455</v>
      </c>
      <c r="H150" s="257" t="str">
        <f>IFERROR(IF(C150="Active","",INDEX('Client Departures'!$G:$G,MATCH('Full Customer List'!$B150,'Client Departures'!$A:$A,0))),"Unclassified")</f>
        <v>Unclassified</v>
      </c>
      <c r="I150" s="196">
        <v>44317</v>
      </c>
      <c r="J150" s="196">
        <v>46234</v>
      </c>
      <c r="K150" s="192">
        <f>INDEX('Revenue by Customer'!K:K,MATCH('Full Customer List'!$B150,'Revenue by Customer'!$A:$A,0))</f>
        <v>495</v>
      </c>
      <c r="L150" s="192">
        <f>INDEX('Revenue by Customer'!L:L,MATCH('Full Customer List'!$B150,'Revenue by Customer'!$A:$A,0))</f>
        <v>435</v>
      </c>
      <c r="M150" s="192">
        <f>INDEX('Revenue by Customer'!M:M,MATCH('Full Customer List'!$B150,'Revenue by Customer'!$A:$A,0))</f>
        <v>435</v>
      </c>
      <c r="N150" s="192">
        <f>INDEX('Revenue by Customer'!N:N,MATCH('Full Customer List'!$B150,'Revenue by Customer'!$A:$A,0))</f>
        <v>435</v>
      </c>
      <c r="O150" s="192">
        <f>INDEX('Revenue by Customer'!O:O,MATCH('Full Customer List'!$B150,'Revenue by Customer'!$A:$A,0))</f>
        <v>435</v>
      </c>
      <c r="P150" s="192">
        <f>INDEX('Revenue by Customer'!P:P,MATCH('Full Customer List'!$B150,'Revenue by Customer'!$A:$A,0))</f>
        <v>435</v>
      </c>
      <c r="Q150" s="192">
        <f>INDEX('Revenue by Customer'!Q:Q,MATCH('Full Customer List'!$B150,'Revenue by Customer'!$A:$A,0))</f>
        <v>435</v>
      </c>
      <c r="R150" s="192">
        <f>INDEX('Revenue by Customer'!R:R,MATCH('Full Customer List'!$B150,'Revenue by Customer'!$A:$A,0))</f>
        <v>435</v>
      </c>
      <c r="S150" s="192">
        <f>INDEX('Revenue by Customer'!S:S,MATCH('Full Customer List'!$B150,'Revenue by Customer'!$A:$A,0))</f>
        <v>435</v>
      </c>
      <c r="T150" s="192">
        <f>INDEX('Revenue by Customer'!T:T,MATCH('Full Customer List'!$B150,'Revenue by Customer'!$A:$A,0))</f>
        <v>435</v>
      </c>
      <c r="U150" s="192">
        <f>INDEX('Revenue by Customer'!U:U,MATCH('Full Customer List'!$B150,'Revenue by Customer'!$A:$A,0))</f>
        <v>455</v>
      </c>
      <c r="V150" s="192">
        <f>INDEX('Revenue by Customer'!V:V,MATCH('Full Customer List'!$B150,'Revenue by Customer'!$A:$A,0))</f>
        <v>455</v>
      </c>
      <c r="W150" s="192">
        <f>INDEX('Revenue by Customer'!W:W,MATCH('Full Customer List'!$B150,'Revenue by Customer'!$A:$A,0))</f>
        <v>455</v>
      </c>
      <c r="X150" s="192">
        <f>INDEX('Revenue by Customer'!X:X,MATCH('Full Customer List'!$B150,'Revenue by Customer'!$A:$A,0))</f>
        <v>455</v>
      </c>
      <c r="Y150" s="192">
        <f>INDEX('Revenue by Customer'!Y:Y,MATCH('Full Customer List'!$B150,'Revenue by Customer'!$A:$A,0))</f>
        <v>455</v>
      </c>
      <c r="Z150" s="192">
        <f>INDEX('Revenue by Customer'!Z:Z,MATCH('Full Customer List'!$B150,'Revenue by Customer'!$A:$A,0))</f>
        <v>455</v>
      </c>
      <c r="AA150" s="192">
        <f>INDEX('Revenue by Customer'!AA:AA,MATCH('Full Customer List'!$B150,'Revenue by Customer'!$A:$A,0))</f>
        <v>455</v>
      </c>
      <c r="AB150" s="192">
        <f>INDEX('Revenue by Customer'!AB:AB,MATCH('Full Customer List'!$B150,'Revenue by Customer'!$A:$A,0))</f>
        <v>455</v>
      </c>
      <c r="AC150" s="192">
        <f>INDEX('Revenue by Customer'!AC:AC,MATCH('Full Customer List'!$B150,'Revenue by Customer'!$A:$A,0))</f>
        <v>455</v>
      </c>
    </row>
    <row r="151" spans="2:29" ht="12" customHeight="1">
      <c r="B151" s="173" t="s">
        <v>780</v>
      </c>
      <c r="C151" s="173" t="str">
        <f>INDEX('Customer List'!$B:$B,MATCH('Full Customer List'!$B151,'Customer List'!$A:$A,0))</f>
        <v>Former client</v>
      </c>
      <c r="D151" s="173" t="str">
        <f>INDEX('Customer List'!$C:$C,MATCH('Full Customer List'!$B151,'Customer List'!$A:$A,0))</f>
        <v>Small business</v>
      </c>
      <c r="E151" s="173" t="str">
        <f>INDEX('Customer List Mapping'!$C:$C,MATCH('Full Customer List'!D151,'Customer List Mapping'!$B:$B,0))</f>
        <v>Small Business</v>
      </c>
      <c r="F151" s="192" t="str">
        <f>INDEX('Customer List'!$K:$K,MATCH('Full Customer List'!$B151,'Customer List'!$A:$A,0))</f>
        <v/>
      </c>
      <c r="G151" s="192">
        <f>INDEX('Revenue by Customer'!$I:$I,MATCH('Full Customer List'!$B151,'Revenue by Customer'!$A:$A,0))</f>
        <v>455</v>
      </c>
      <c r="H151" s="257" t="str">
        <f>IFERROR(IF(C151="Active","",INDEX('Client Departures'!$G:$G,MATCH('Full Customer List'!$B151,'Client Departures'!$A:$A,0))),"Unclassified")</f>
        <v>No</v>
      </c>
      <c r="I151" s="196">
        <v>44927</v>
      </c>
      <c r="J151" s="196">
        <v>46234</v>
      </c>
      <c r="K151" s="192">
        <f>INDEX('Revenue by Customer'!K:K,MATCH('Full Customer List'!$B151,'Revenue by Customer'!$A:$A,0))</f>
        <v>440</v>
      </c>
      <c r="L151" s="192">
        <f>INDEX('Revenue by Customer'!L:L,MATCH('Full Customer List'!$B151,'Revenue by Customer'!$A:$A,0))</f>
        <v>455</v>
      </c>
      <c r="M151" s="192">
        <f>INDEX('Revenue by Customer'!M:M,MATCH('Full Customer List'!$B151,'Revenue by Customer'!$A:$A,0))</f>
        <v>440</v>
      </c>
      <c r="N151" s="192">
        <f>INDEX('Revenue by Customer'!N:N,MATCH('Full Customer List'!$B151,'Revenue by Customer'!$A:$A,0))</f>
        <v>440</v>
      </c>
      <c r="O151" s="192">
        <f>INDEX('Revenue by Customer'!O:O,MATCH('Full Customer List'!$B151,'Revenue by Customer'!$A:$A,0))</f>
        <v>440</v>
      </c>
      <c r="P151" s="192">
        <f>INDEX('Revenue by Customer'!P:P,MATCH('Full Customer List'!$B151,'Revenue by Customer'!$A:$A,0))</f>
        <v>440</v>
      </c>
      <c r="Q151" s="192">
        <f>INDEX('Revenue by Customer'!Q:Q,MATCH('Full Customer List'!$B151,'Revenue by Customer'!$A:$A,0))</f>
        <v>440</v>
      </c>
      <c r="R151" s="192">
        <f>INDEX('Revenue by Customer'!R:R,MATCH('Full Customer List'!$B151,'Revenue by Customer'!$A:$A,0))</f>
        <v>440</v>
      </c>
      <c r="S151" s="192">
        <f>INDEX('Revenue by Customer'!S:S,MATCH('Full Customer List'!$B151,'Revenue by Customer'!$A:$A,0))</f>
        <v>440</v>
      </c>
      <c r="T151" s="192">
        <f>INDEX('Revenue by Customer'!T:T,MATCH('Full Customer List'!$B151,'Revenue by Customer'!$A:$A,0))</f>
        <v>440</v>
      </c>
      <c r="U151" s="192">
        <f>INDEX('Revenue by Customer'!U:U,MATCH('Full Customer List'!$B151,'Revenue by Customer'!$A:$A,0))</f>
        <v>440</v>
      </c>
      <c r="V151" s="192">
        <f>INDEX('Revenue by Customer'!V:V,MATCH('Full Customer List'!$B151,'Revenue by Customer'!$A:$A,0))</f>
        <v>440</v>
      </c>
      <c r="W151" s="192">
        <f>INDEX('Revenue by Customer'!W:W,MATCH('Full Customer List'!$B151,'Revenue by Customer'!$A:$A,0))</f>
        <v>455</v>
      </c>
      <c r="X151" s="192">
        <f>INDEX('Revenue by Customer'!X:X,MATCH('Full Customer List'!$B151,'Revenue by Customer'!$A:$A,0))</f>
        <v>455</v>
      </c>
      <c r="Y151" s="192">
        <f>INDEX('Revenue by Customer'!Y:Y,MATCH('Full Customer List'!$B151,'Revenue by Customer'!$A:$A,0))</f>
        <v>455</v>
      </c>
      <c r="Z151" s="192">
        <f>INDEX('Revenue by Customer'!Z:Z,MATCH('Full Customer List'!$B151,'Revenue by Customer'!$A:$A,0))</f>
        <v>455</v>
      </c>
      <c r="AA151" s="192">
        <f>INDEX('Revenue by Customer'!AA:AA,MATCH('Full Customer List'!$B151,'Revenue by Customer'!$A:$A,0))</f>
        <v>455</v>
      </c>
      <c r="AB151" s="192">
        <f>INDEX('Revenue by Customer'!AB:AB,MATCH('Full Customer List'!$B151,'Revenue by Customer'!$A:$A,0))</f>
        <v>455</v>
      </c>
      <c r="AC151" s="192">
        <f>INDEX('Revenue by Customer'!AC:AC,MATCH('Full Customer List'!$B151,'Revenue by Customer'!$A:$A,0))</f>
        <v>455</v>
      </c>
    </row>
    <row r="152" spans="2:29" ht="12" customHeight="1">
      <c r="B152" s="173" t="s">
        <v>783</v>
      </c>
      <c r="C152" s="173" t="str">
        <f>INDEX('Customer List'!$B:$B,MATCH('Full Customer List'!$B152,'Customer List'!$A:$A,0))</f>
        <v>Active</v>
      </c>
      <c r="D152" s="173" t="str">
        <f>INDEX('Customer List'!$C:$C,MATCH('Full Customer List'!$B152,'Customer List'!$A:$A,0))</f>
        <v>STR owner</v>
      </c>
      <c r="E152" s="173" t="str">
        <f>INDEX('Customer List Mapping'!$C:$C,MATCH('Full Customer List'!D152,'Customer List Mapping'!$B:$B,0))</f>
        <v>STR Owner</v>
      </c>
      <c r="F152" s="192" t="str">
        <f>INDEX('Customer List'!$K:$K,MATCH('Full Customer List'!$B152,'Customer List'!$A:$A,0))</f>
        <v/>
      </c>
      <c r="G152" s="192">
        <f>INDEX('Revenue by Customer'!$I:$I,MATCH('Full Customer List'!$B152,'Revenue by Customer'!$A:$A,0))</f>
        <v>425</v>
      </c>
      <c r="H152" s="257" t="str">
        <f>IFERROR(IF(C152="Active","",INDEX('Client Departures'!$G:$G,MATCH('Full Customer List'!$B152,'Client Departures'!$A:$A,0))),"Unclassified")</f>
        <v/>
      </c>
      <c r="I152" s="196">
        <v>45566</v>
      </c>
      <c r="J152" s="196"/>
      <c r="K152" s="192">
        <f>INDEX('Revenue by Customer'!K:K,MATCH('Full Customer List'!$B152,'Revenue by Customer'!$A:$A,0))</f>
        <v>395</v>
      </c>
      <c r="L152" s="192">
        <f>INDEX('Revenue by Customer'!L:L,MATCH('Full Customer List'!$B152,'Revenue by Customer'!$A:$A,0))</f>
        <v>785</v>
      </c>
      <c r="M152" s="192">
        <f>INDEX('Revenue by Customer'!M:M,MATCH('Full Customer List'!$B152,'Revenue by Customer'!$A:$A,0))</f>
        <v>395</v>
      </c>
      <c r="N152" s="192">
        <f>INDEX('Revenue by Customer'!N:N,MATCH('Full Customer List'!$B152,'Revenue by Customer'!$A:$A,0))</f>
        <v>395</v>
      </c>
      <c r="O152" s="192">
        <f>INDEX('Revenue by Customer'!O:O,MATCH('Full Customer List'!$B152,'Revenue by Customer'!$A:$A,0))</f>
        <v>395</v>
      </c>
      <c r="P152" s="192">
        <f>INDEX('Revenue by Customer'!P:P,MATCH('Full Customer List'!$B152,'Revenue by Customer'!$A:$A,0))</f>
        <v>395</v>
      </c>
      <c r="Q152" s="192">
        <f>INDEX('Revenue by Customer'!Q:Q,MATCH('Full Customer List'!$B152,'Revenue by Customer'!$A:$A,0))</f>
        <v>395</v>
      </c>
      <c r="R152" s="192">
        <f>INDEX('Revenue by Customer'!R:R,MATCH('Full Customer List'!$B152,'Revenue by Customer'!$A:$A,0))</f>
        <v>395</v>
      </c>
      <c r="S152" s="192">
        <f>INDEX('Revenue by Customer'!S:S,MATCH('Full Customer List'!$B152,'Revenue by Customer'!$A:$A,0))</f>
        <v>395</v>
      </c>
      <c r="T152" s="192">
        <f>INDEX('Revenue by Customer'!T:T,MATCH('Full Customer List'!$B152,'Revenue by Customer'!$A:$A,0))</f>
        <v>425</v>
      </c>
      <c r="U152" s="192">
        <f>INDEX('Revenue by Customer'!U:U,MATCH('Full Customer List'!$B152,'Revenue by Customer'!$A:$A,0))</f>
        <v>425</v>
      </c>
      <c r="V152" s="192">
        <f>INDEX('Revenue by Customer'!V:V,MATCH('Full Customer List'!$B152,'Revenue by Customer'!$A:$A,0))</f>
        <v>425</v>
      </c>
      <c r="W152" s="192">
        <f>INDEX('Revenue by Customer'!W:W,MATCH('Full Customer List'!$B152,'Revenue by Customer'!$A:$A,0))</f>
        <v>425</v>
      </c>
      <c r="X152" s="192">
        <f>INDEX('Revenue by Customer'!X:X,MATCH('Full Customer List'!$B152,'Revenue by Customer'!$A:$A,0))</f>
        <v>665</v>
      </c>
      <c r="Y152" s="192">
        <f>INDEX('Revenue by Customer'!Y:Y,MATCH('Full Customer List'!$B152,'Revenue by Customer'!$A:$A,0))</f>
        <v>425</v>
      </c>
      <c r="Z152" s="192">
        <f>INDEX('Revenue by Customer'!Z:Z,MATCH('Full Customer List'!$B152,'Revenue by Customer'!$A:$A,0))</f>
        <v>425</v>
      </c>
      <c r="AA152" s="192">
        <f>INDEX('Revenue by Customer'!AA:AA,MATCH('Full Customer List'!$B152,'Revenue by Customer'!$A:$A,0))</f>
        <v>425</v>
      </c>
      <c r="AB152" s="192">
        <f>INDEX('Revenue by Customer'!AB:AB,MATCH('Full Customer List'!$B152,'Revenue by Customer'!$A:$A,0))</f>
        <v>425</v>
      </c>
      <c r="AC152" s="192">
        <f>INDEX('Revenue by Customer'!AC:AC,MATCH('Full Customer List'!$B152,'Revenue by Customer'!$A:$A,0))</f>
        <v>425</v>
      </c>
    </row>
    <row r="153" spans="2:29" ht="12" customHeight="1">
      <c r="B153" s="173" t="s">
        <v>784</v>
      </c>
      <c r="C153" s="173" t="str">
        <f>INDEX('Customer List'!$B:$B,MATCH('Full Customer List'!$B153,'Customer List'!$A:$A,0))</f>
        <v>Active</v>
      </c>
      <c r="D153" s="173" t="str">
        <f>INDEX('Customer List'!$C:$C,MATCH('Full Customer List'!$B153,'Customer List'!$A:$A,0))</f>
        <v>STR owner</v>
      </c>
      <c r="E153" s="173" t="str">
        <f>INDEX('Customer List Mapping'!$C:$C,MATCH('Full Customer List'!D153,'Customer List Mapping'!$B:$B,0))</f>
        <v>STR Owner</v>
      </c>
      <c r="F153" s="192" t="str">
        <f>INDEX('Customer List'!$K:$K,MATCH('Full Customer List'!$B153,'Customer List'!$A:$A,0))</f>
        <v/>
      </c>
      <c r="G153" s="192">
        <f>INDEX('Revenue by Customer'!$I:$I,MATCH('Full Customer List'!$B153,'Revenue by Customer'!$A:$A,0))</f>
        <v>406.66666666666669</v>
      </c>
      <c r="H153" s="257" t="str">
        <f>IFERROR(IF(C153="Active","",INDEX('Client Departures'!$G:$G,MATCH('Full Customer List'!$B153,'Client Departures'!$A:$A,0))),"Unclassified")</f>
        <v/>
      </c>
      <c r="I153" s="196">
        <v>45658</v>
      </c>
      <c r="J153" s="196"/>
      <c r="K153" s="192">
        <f>INDEX('Revenue by Customer'!K:K,MATCH('Full Customer List'!$B153,'Revenue by Customer'!$A:$A,0))</f>
        <v>474</v>
      </c>
      <c r="L153" s="192">
        <f>INDEX('Revenue by Customer'!L:L,MATCH('Full Customer List'!$B153,'Revenue by Customer'!$A:$A,0))</f>
        <v>568</v>
      </c>
      <c r="M153" s="192">
        <f>INDEX('Revenue by Customer'!M:M,MATCH('Full Customer List'!$B153,'Revenue by Customer'!$A:$A,0))</f>
        <v>553</v>
      </c>
      <c r="N153" s="192">
        <f>INDEX('Revenue by Customer'!N:N,MATCH('Full Customer List'!$B153,'Revenue by Customer'!$A:$A,0))</f>
        <v>553</v>
      </c>
      <c r="O153" s="192">
        <f>INDEX('Revenue by Customer'!O:O,MATCH('Full Customer List'!$B153,'Revenue by Customer'!$A:$A,0))</f>
        <v>237</v>
      </c>
      <c r="P153" s="192">
        <f>INDEX('Revenue by Customer'!P:P,MATCH('Full Customer List'!$B153,'Revenue by Customer'!$A:$A,0))</f>
        <v>400</v>
      </c>
      <c r="Q153" s="192">
        <f>INDEX('Revenue by Customer'!Q:Q,MATCH('Full Customer List'!$B153,'Revenue by Customer'!$A:$A,0))</f>
        <v>450</v>
      </c>
      <c r="R153" s="192">
        <f>INDEX('Revenue by Customer'!R:R,MATCH('Full Customer List'!$B153,'Revenue by Customer'!$A:$A,0))</f>
        <v>450</v>
      </c>
      <c r="S153" s="192">
        <f>INDEX('Revenue by Customer'!S:S,MATCH('Full Customer List'!$B153,'Revenue by Customer'!$A:$A,0))</f>
        <v>450</v>
      </c>
      <c r="T153" s="192">
        <f>INDEX('Revenue by Customer'!T:T,MATCH('Full Customer List'!$B153,'Revenue by Customer'!$A:$A,0))</f>
        <v>500</v>
      </c>
      <c r="U153" s="192">
        <f>INDEX('Revenue by Customer'!U:U,MATCH('Full Customer List'!$B153,'Revenue by Customer'!$A:$A,0))</f>
        <v>450</v>
      </c>
      <c r="V153" s="192">
        <f>INDEX('Revenue by Customer'!V:V,MATCH('Full Customer List'!$B153,'Revenue by Customer'!$A:$A,0))</f>
        <v>450</v>
      </c>
      <c r="W153" s="192">
        <f>INDEX('Revenue by Customer'!W:W,MATCH('Full Customer List'!$B153,'Revenue by Customer'!$A:$A,0))</f>
        <v>450</v>
      </c>
      <c r="X153" s="192">
        <f>INDEX('Revenue by Customer'!X:X,MATCH('Full Customer List'!$B153,'Revenue by Customer'!$A:$A,0))</f>
        <v>400</v>
      </c>
      <c r="Y153" s="192">
        <f>INDEX('Revenue by Customer'!Y:Y,MATCH('Full Customer List'!$B153,'Revenue by Customer'!$A:$A,0))</f>
        <v>400</v>
      </c>
      <c r="Z153" s="192">
        <f>INDEX('Revenue by Customer'!Z:Z,MATCH('Full Customer List'!$B153,'Revenue by Customer'!$A:$A,0))</f>
        <v>400</v>
      </c>
      <c r="AA153" s="192">
        <f>INDEX('Revenue by Customer'!AA:AA,MATCH('Full Customer List'!$B153,'Revenue by Customer'!$A:$A,0))</f>
        <v>400</v>
      </c>
      <c r="AB153" s="192">
        <f>INDEX('Revenue by Customer'!AB:AB,MATCH('Full Customer List'!$B153,'Revenue by Customer'!$A:$A,0))</f>
        <v>410</v>
      </c>
      <c r="AC153" s="192">
        <f>INDEX('Revenue by Customer'!AC:AC,MATCH('Full Customer List'!$B153,'Revenue by Customer'!$A:$A,0))</f>
        <v>410</v>
      </c>
    </row>
    <row r="154" spans="2:29" ht="12" customHeight="1">
      <c r="B154" s="173" t="s">
        <v>785</v>
      </c>
      <c r="C154" s="173" t="str">
        <f>INDEX('Customer List'!$B:$B,MATCH('Full Customer List'!$B154,'Customer List'!$A:$A,0))</f>
        <v>Active</v>
      </c>
      <c r="D154" s="173" t="str">
        <f>INDEX('Customer List'!$C:$C,MATCH('Full Customer List'!$B154,'Customer List'!$A:$A,0))</f>
        <v>Property manager</v>
      </c>
      <c r="E154" s="173" t="str">
        <f>INDEX('Customer List Mapping'!$C:$C,MATCH('Full Customer List'!D154,'Customer List Mapping'!$B:$B,0))</f>
        <v>Property Manager</v>
      </c>
      <c r="F154" s="192">
        <f>INDEX('Customer List'!$K:$K,MATCH('Full Customer List'!$B154,'Customer List'!$A:$A,0))</f>
        <v>13</v>
      </c>
      <c r="G154" s="192">
        <f>INDEX('Revenue by Customer'!$I:$I,MATCH('Full Customer List'!$B154,'Revenue by Customer'!$A:$A,0))</f>
        <v>1265</v>
      </c>
      <c r="H154" s="257" t="str">
        <f>IFERROR(IF(C154="Active","",INDEX('Client Departures'!$G:$G,MATCH('Full Customer List'!$B154,'Client Departures'!$A:$A,0))),"Unclassified")</f>
        <v/>
      </c>
      <c r="I154" s="196">
        <v>46113</v>
      </c>
      <c r="J154" s="196"/>
      <c r="K154" s="192" t="str">
        <f>INDEX('Revenue by Customer'!K:K,MATCH('Full Customer List'!$B154,'Revenue by Customer'!$A:$A,0))</f>
        <v/>
      </c>
      <c r="L154" s="192" t="str">
        <f>INDEX('Revenue by Customer'!L:L,MATCH('Full Customer List'!$B154,'Revenue by Customer'!$A:$A,0))</f>
        <v/>
      </c>
      <c r="M154" s="192" t="str">
        <f>INDEX('Revenue by Customer'!M:M,MATCH('Full Customer List'!$B154,'Revenue by Customer'!$A:$A,0))</f>
        <v/>
      </c>
      <c r="N154" s="192" t="str">
        <f>INDEX('Revenue by Customer'!N:N,MATCH('Full Customer List'!$B154,'Revenue by Customer'!$A:$A,0))</f>
        <v/>
      </c>
      <c r="O154" s="192" t="str">
        <f>INDEX('Revenue by Customer'!O:O,MATCH('Full Customer List'!$B154,'Revenue by Customer'!$A:$A,0))</f>
        <v/>
      </c>
      <c r="P154" s="192" t="str">
        <f>INDEX('Revenue by Customer'!P:P,MATCH('Full Customer List'!$B154,'Revenue by Customer'!$A:$A,0))</f>
        <v/>
      </c>
      <c r="Q154" s="192" t="str">
        <f>INDEX('Revenue by Customer'!Q:Q,MATCH('Full Customer List'!$B154,'Revenue by Customer'!$A:$A,0))</f>
        <v/>
      </c>
      <c r="R154" s="192" t="str">
        <f>INDEX('Revenue by Customer'!R:R,MATCH('Full Customer List'!$B154,'Revenue by Customer'!$A:$A,0))</f>
        <v/>
      </c>
      <c r="S154" s="192" t="str">
        <f>INDEX('Revenue by Customer'!S:S,MATCH('Full Customer List'!$B154,'Revenue by Customer'!$A:$A,0))</f>
        <v/>
      </c>
      <c r="T154" s="192" t="str">
        <f>INDEX('Revenue by Customer'!T:T,MATCH('Full Customer List'!$B154,'Revenue by Customer'!$A:$A,0))</f>
        <v/>
      </c>
      <c r="U154" s="192" t="str">
        <f>INDEX('Revenue by Customer'!U:U,MATCH('Full Customer List'!$B154,'Revenue by Customer'!$A:$A,0))</f>
        <v/>
      </c>
      <c r="V154" s="192" t="str">
        <f>INDEX('Revenue by Customer'!V:V,MATCH('Full Customer List'!$B154,'Revenue by Customer'!$A:$A,0))</f>
        <v/>
      </c>
      <c r="W154" s="192" t="str">
        <f>INDEX('Revenue by Customer'!W:W,MATCH('Full Customer List'!$B154,'Revenue by Customer'!$A:$A,0))</f>
        <v/>
      </c>
      <c r="X154" s="192" t="str">
        <f>INDEX('Revenue by Customer'!X:X,MATCH('Full Customer List'!$B154,'Revenue by Customer'!$A:$A,0))</f>
        <v/>
      </c>
      <c r="Y154" s="192" t="str">
        <f>INDEX('Revenue by Customer'!Y:Y,MATCH('Full Customer List'!$B154,'Revenue by Customer'!$A:$A,0))</f>
        <v/>
      </c>
      <c r="Z154" s="192">
        <f>INDEX('Revenue by Customer'!Z:Z,MATCH('Full Customer List'!$B154,'Revenue by Customer'!$A:$A,0))</f>
        <v>1360</v>
      </c>
      <c r="AA154" s="192">
        <f>INDEX('Revenue by Customer'!AA:AA,MATCH('Full Customer List'!$B154,'Revenue by Customer'!$A:$A,0))</f>
        <v>1430</v>
      </c>
      <c r="AB154" s="192">
        <f>INDEX('Revenue by Customer'!AB:AB,MATCH('Full Customer List'!$B154,'Revenue by Customer'!$A:$A,0))</f>
        <v>1430</v>
      </c>
      <c r="AC154" s="192">
        <f>INDEX('Revenue by Customer'!AC:AC,MATCH('Full Customer List'!$B154,'Revenue by Customer'!$A:$A,0))</f>
        <v>935</v>
      </c>
    </row>
    <row r="155" spans="2:29" ht="12" customHeight="1">
      <c r="B155" s="173" t="s">
        <v>787</v>
      </c>
      <c r="C155" s="173" t="str">
        <f>INDEX('Customer List'!$B:$B,MATCH('Full Customer List'!$B155,'Customer List'!$A:$A,0))</f>
        <v>Active</v>
      </c>
      <c r="D155" s="173" t="str">
        <f>INDEX('Customer List'!$C:$C,MATCH('Full Customer List'!$B155,'Customer List'!$A:$A,0))</f>
        <v>Property manager</v>
      </c>
      <c r="E155" s="173" t="str">
        <f>INDEX('Customer List Mapping'!$C:$C,MATCH('Full Customer List'!D155,'Customer List Mapping'!$B:$B,0))</f>
        <v>Property Manager</v>
      </c>
      <c r="F155" s="192">
        <f>INDEX('Customer List'!$K:$K,MATCH('Full Customer List'!$B155,'Customer List'!$A:$A,0))</f>
        <v>5</v>
      </c>
      <c r="G155" s="192">
        <f>INDEX('Revenue by Customer'!$I:$I,MATCH('Full Customer List'!$B155,'Revenue by Customer'!$A:$A,0))</f>
        <v>596.62</v>
      </c>
      <c r="H155" s="257" t="str">
        <f>IFERROR(IF(C155="Active","",INDEX('Client Departures'!$G:$G,MATCH('Full Customer List'!$B155,'Client Departures'!$A:$A,0))),"Unclassified")</f>
        <v/>
      </c>
      <c r="I155" s="196">
        <v>45870</v>
      </c>
      <c r="J155" s="196"/>
      <c r="K155" s="192" t="str">
        <f>INDEX('Revenue by Customer'!K:K,MATCH('Full Customer List'!$B155,'Revenue by Customer'!$A:$A,0))</f>
        <v/>
      </c>
      <c r="L155" s="192" t="str">
        <f>INDEX('Revenue by Customer'!L:L,MATCH('Full Customer List'!$B155,'Revenue by Customer'!$A:$A,0))</f>
        <v/>
      </c>
      <c r="M155" s="192" t="str">
        <f>INDEX('Revenue by Customer'!M:M,MATCH('Full Customer List'!$B155,'Revenue by Customer'!$A:$A,0))</f>
        <v/>
      </c>
      <c r="N155" s="192" t="str">
        <f>INDEX('Revenue by Customer'!N:N,MATCH('Full Customer List'!$B155,'Revenue by Customer'!$A:$A,0))</f>
        <v/>
      </c>
      <c r="O155" s="192" t="str">
        <f>INDEX('Revenue by Customer'!O:O,MATCH('Full Customer List'!$B155,'Revenue by Customer'!$A:$A,0))</f>
        <v/>
      </c>
      <c r="P155" s="192" t="str">
        <f>INDEX('Revenue by Customer'!P:P,MATCH('Full Customer List'!$B155,'Revenue by Customer'!$A:$A,0))</f>
        <v/>
      </c>
      <c r="Q155" s="192" t="str">
        <f>INDEX('Revenue by Customer'!Q:Q,MATCH('Full Customer List'!$B155,'Revenue by Customer'!$A:$A,0))</f>
        <v/>
      </c>
      <c r="R155" s="192" t="str">
        <f>INDEX('Revenue by Customer'!R:R,MATCH('Full Customer List'!$B155,'Revenue by Customer'!$A:$A,0))</f>
        <v/>
      </c>
      <c r="S155" s="192" t="str">
        <f>INDEX('Revenue by Customer'!S:S,MATCH('Full Customer List'!$B155,'Revenue by Customer'!$A:$A,0))</f>
        <v/>
      </c>
      <c r="T155" s="192" t="str">
        <f>INDEX('Revenue by Customer'!T:T,MATCH('Full Customer List'!$B155,'Revenue by Customer'!$A:$A,0))</f>
        <v/>
      </c>
      <c r="U155" s="192">
        <f>INDEX('Revenue by Customer'!U:U,MATCH('Full Customer List'!$B155,'Revenue by Customer'!$A:$A,0))</f>
        <v>715</v>
      </c>
      <c r="V155" s="192">
        <f>INDEX('Revenue by Customer'!V:V,MATCH('Full Customer List'!$B155,'Revenue by Customer'!$A:$A,0))</f>
        <v>490</v>
      </c>
      <c r="W155" s="192">
        <f>INDEX('Revenue by Customer'!W:W,MATCH('Full Customer List'!$B155,'Revenue by Customer'!$A:$A,0))</f>
        <v>490</v>
      </c>
      <c r="X155" s="192">
        <f>INDEX('Revenue by Customer'!X:X,MATCH('Full Customer List'!$B155,'Revenue by Customer'!$A:$A,0))</f>
        <v>520</v>
      </c>
      <c r="Y155" s="192">
        <f>INDEX('Revenue by Customer'!Y:Y,MATCH('Full Customer List'!$B155,'Revenue by Customer'!$A:$A,0))</f>
        <v>520</v>
      </c>
      <c r="Z155" s="192">
        <f>INDEX('Revenue by Customer'!Z:Z,MATCH('Full Customer List'!$B155,'Revenue by Customer'!$A:$A,0))</f>
        <v>625</v>
      </c>
      <c r="AA155" s="192">
        <f>INDEX('Revenue by Customer'!AA:AA,MATCH('Full Customer List'!$B155,'Revenue by Customer'!$A:$A,0))</f>
        <v>625</v>
      </c>
      <c r="AB155" s="192">
        <f>INDEX('Revenue by Customer'!AB:AB,MATCH('Full Customer List'!$B155,'Revenue by Customer'!$A:$A,0))</f>
        <v>539.86</v>
      </c>
      <c r="AC155" s="192">
        <f>INDEX('Revenue by Customer'!AC:AC,MATCH('Full Customer List'!$B155,'Revenue by Customer'!$A:$A,0))</f>
        <v>625</v>
      </c>
    </row>
    <row r="156" spans="2:29" ht="12" customHeight="1">
      <c r="B156" s="173" t="s">
        <v>788</v>
      </c>
      <c r="C156" s="173" t="str">
        <f>INDEX('Customer List'!$B:$B,MATCH('Full Customer List'!$B156,'Customer List'!$A:$A,0))</f>
        <v>Active</v>
      </c>
      <c r="D156" s="173" t="str">
        <f>INDEX('Customer List'!$C:$C,MATCH('Full Customer List'!$B156,'Customer List'!$A:$A,0))</f>
        <v>STR owner</v>
      </c>
      <c r="E156" s="173" t="str">
        <f>INDEX('Customer List Mapping'!$C:$C,MATCH('Full Customer List'!D156,'Customer List Mapping'!$B:$B,0))</f>
        <v>STR Owner</v>
      </c>
      <c r="F156" s="192" t="str">
        <f>INDEX('Customer List'!$K:$K,MATCH('Full Customer List'!$B156,'Customer List'!$A:$A,0))</f>
        <v/>
      </c>
      <c r="G156" s="192">
        <f>INDEX('Revenue by Customer'!$I:$I,MATCH('Full Customer List'!$B156,'Revenue by Customer'!$A:$A,0))</f>
        <v>410</v>
      </c>
      <c r="H156" s="257" t="str">
        <f>IFERROR(IF(C156="Active","",INDEX('Client Departures'!$G:$G,MATCH('Full Customer List'!$B156,'Client Departures'!$A:$A,0))),"Unclassified")</f>
        <v/>
      </c>
      <c r="I156" s="196">
        <v>45870</v>
      </c>
      <c r="J156" s="196"/>
      <c r="K156" s="192" t="str">
        <f>INDEX('Revenue by Customer'!K:K,MATCH('Full Customer List'!$B156,'Revenue by Customer'!$A:$A,0))</f>
        <v/>
      </c>
      <c r="L156" s="192" t="str">
        <f>INDEX('Revenue by Customer'!L:L,MATCH('Full Customer List'!$B156,'Revenue by Customer'!$A:$A,0))</f>
        <v/>
      </c>
      <c r="M156" s="192" t="str">
        <f>INDEX('Revenue by Customer'!M:M,MATCH('Full Customer List'!$B156,'Revenue by Customer'!$A:$A,0))</f>
        <v/>
      </c>
      <c r="N156" s="192" t="str">
        <f>INDEX('Revenue by Customer'!N:N,MATCH('Full Customer List'!$B156,'Revenue by Customer'!$A:$A,0))</f>
        <v/>
      </c>
      <c r="O156" s="192" t="str">
        <f>INDEX('Revenue by Customer'!O:O,MATCH('Full Customer List'!$B156,'Revenue by Customer'!$A:$A,0))</f>
        <v/>
      </c>
      <c r="P156" s="192" t="str">
        <f>INDEX('Revenue by Customer'!P:P,MATCH('Full Customer List'!$B156,'Revenue by Customer'!$A:$A,0))</f>
        <v/>
      </c>
      <c r="Q156" s="192" t="str">
        <f>INDEX('Revenue by Customer'!Q:Q,MATCH('Full Customer List'!$B156,'Revenue by Customer'!$A:$A,0))</f>
        <v/>
      </c>
      <c r="R156" s="192">
        <f>INDEX('Revenue by Customer'!R:R,MATCH('Full Customer List'!$B156,'Revenue by Customer'!$A:$A,0))</f>
        <v>425</v>
      </c>
      <c r="S156" s="192">
        <f>INDEX('Revenue by Customer'!S:S,MATCH('Full Customer List'!$B156,'Revenue by Customer'!$A:$A,0))</f>
        <v>350</v>
      </c>
      <c r="T156" s="192">
        <f>INDEX('Revenue by Customer'!T:T,MATCH('Full Customer List'!$B156,'Revenue by Customer'!$A:$A,0))</f>
        <v>350</v>
      </c>
      <c r="U156" s="192">
        <f>INDEX('Revenue by Customer'!U:U,MATCH('Full Customer List'!$B156,'Revenue by Customer'!$A:$A,0))</f>
        <v>410</v>
      </c>
      <c r="V156" s="192">
        <f>INDEX('Revenue by Customer'!V:V,MATCH('Full Customer List'!$B156,'Revenue by Customer'!$A:$A,0))</f>
        <v>410</v>
      </c>
      <c r="W156" s="192">
        <f>INDEX('Revenue by Customer'!W:W,MATCH('Full Customer List'!$B156,'Revenue by Customer'!$A:$A,0))</f>
        <v>622.5</v>
      </c>
      <c r="X156" s="192">
        <f>INDEX('Revenue by Customer'!X:X,MATCH('Full Customer List'!$B156,'Revenue by Customer'!$A:$A,0))</f>
        <v>500</v>
      </c>
      <c r="Y156" s="192">
        <f>INDEX('Revenue by Customer'!Y:Y,MATCH('Full Customer List'!$B156,'Revenue by Customer'!$A:$A,0))</f>
        <v>410</v>
      </c>
      <c r="Z156" s="192">
        <f>INDEX('Revenue by Customer'!Z:Z,MATCH('Full Customer List'!$B156,'Revenue by Customer'!$A:$A,0))</f>
        <v>410</v>
      </c>
      <c r="AA156" s="192">
        <f>INDEX('Revenue by Customer'!AA:AA,MATCH('Full Customer List'!$B156,'Revenue by Customer'!$A:$A,0))</f>
        <v>410</v>
      </c>
      <c r="AB156" s="192">
        <f>INDEX('Revenue by Customer'!AB:AB,MATCH('Full Customer List'!$B156,'Revenue by Customer'!$A:$A,0))</f>
        <v>410</v>
      </c>
      <c r="AC156" s="192">
        <f>INDEX('Revenue by Customer'!AC:AC,MATCH('Full Customer List'!$B156,'Revenue by Customer'!$A:$A,0))</f>
        <v>410</v>
      </c>
    </row>
    <row r="157" spans="2:29" ht="12" customHeight="1">
      <c r="B157" s="173" t="s">
        <v>789</v>
      </c>
      <c r="C157" s="173" t="str">
        <f>INDEX('Customer List'!$B:$B,MATCH('Full Customer List'!$B157,'Customer List'!$A:$A,0))</f>
        <v>Former client</v>
      </c>
      <c r="D157" s="173" t="str">
        <f>INDEX('Customer List'!$C:$C,MATCH('Full Customer List'!$B157,'Customer List'!$A:$A,0))</f>
        <v>Property manager</v>
      </c>
      <c r="E157" s="173" t="str">
        <f>INDEX('Customer List Mapping'!$C:$C,MATCH('Full Customer List'!D157,'Customer List Mapping'!$B:$B,0))</f>
        <v>Property Manager</v>
      </c>
      <c r="F157" s="192">
        <f>INDEX('Customer List'!$K:$K,MATCH('Full Customer List'!$B157,'Customer List'!$A:$A,0))</f>
        <v>14</v>
      </c>
      <c r="G157" s="192">
        <f>INDEX('Revenue by Customer'!$I:$I,MATCH('Full Customer List'!$B157,'Revenue by Customer'!$A:$A,0))</f>
        <v>666.66666666666663</v>
      </c>
      <c r="H157" s="257" t="str">
        <f>IFERROR(IF(C157="Active","",INDEX('Client Departures'!$G:$G,MATCH('Full Customer List'!$B157,'Client Departures'!$A:$A,0))),"Unclassified")</f>
        <v>Unclassified</v>
      </c>
      <c r="I157" s="196">
        <v>44896</v>
      </c>
      <c r="J157" s="196">
        <v>46112</v>
      </c>
      <c r="K157" s="192">
        <f>INDEX('Revenue by Customer'!K:K,MATCH('Full Customer List'!$B157,'Revenue by Customer'!$A:$A,0))</f>
        <v>755</v>
      </c>
      <c r="L157" s="192">
        <f>INDEX('Revenue by Customer'!L:L,MATCH('Full Customer List'!$B157,'Revenue by Customer'!$A:$A,0))</f>
        <v>560</v>
      </c>
      <c r="M157" s="192">
        <f>INDEX('Revenue by Customer'!M:M,MATCH('Full Customer List'!$B157,'Revenue by Customer'!$A:$A,0))</f>
        <v>475</v>
      </c>
      <c r="N157" s="192">
        <f>INDEX('Revenue by Customer'!N:N,MATCH('Full Customer List'!$B157,'Revenue by Customer'!$A:$A,0))</f>
        <v>475</v>
      </c>
      <c r="O157" s="192">
        <f>INDEX('Revenue by Customer'!O:O,MATCH('Full Customer List'!$B157,'Revenue by Customer'!$A:$A,0))</f>
        <v>475</v>
      </c>
      <c r="P157" s="192">
        <f>INDEX('Revenue by Customer'!P:P,MATCH('Full Customer List'!$B157,'Revenue by Customer'!$A:$A,0))</f>
        <v>475</v>
      </c>
      <c r="Q157" s="192">
        <f>INDEX('Revenue by Customer'!Q:Q,MATCH('Full Customer List'!$B157,'Revenue by Customer'!$A:$A,0))</f>
        <v>475</v>
      </c>
      <c r="R157" s="192">
        <f>INDEX('Revenue by Customer'!R:R,MATCH('Full Customer List'!$B157,'Revenue by Customer'!$A:$A,0))</f>
        <v>560</v>
      </c>
      <c r="S157" s="192">
        <f>INDEX('Revenue by Customer'!S:S,MATCH('Full Customer List'!$B157,'Revenue by Customer'!$A:$A,0))</f>
        <v>560</v>
      </c>
      <c r="T157" s="192">
        <f>INDEX('Revenue by Customer'!T:T,MATCH('Full Customer List'!$B157,'Revenue by Customer'!$A:$A,0))</f>
        <v>815</v>
      </c>
      <c r="U157" s="192">
        <f>INDEX('Revenue by Customer'!U:U,MATCH('Full Customer List'!$B157,'Revenue by Customer'!$A:$A,0))</f>
        <v>560</v>
      </c>
      <c r="V157" s="192">
        <f>INDEX('Revenue by Customer'!V:V,MATCH('Full Customer List'!$B157,'Revenue by Customer'!$A:$A,0))</f>
        <v>585</v>
      </c>
      <c r="W157" s="192">
        <f>INDEX('Revenue by Customer'!W:W,MATCH('Full Customer List'!$B157,'Revenue by Customer'!$A:$A,0))</f>
        <v>670</v>
      </c>
      <c r="X157" s="192">
        <f>INDEX('Revenue by Customer'!X:X,MATCH('Full Customer List'!$B157,'Revenue by Customer'!$A:$A,0))</f>
        <v>1045</v>
      </c>
      <c r="Y157" s="192">
        <f>INDEX('Revenue by Customer'!Y:Y,MATCH('Full Customer List'!$B157,'Revenue by Customer'!$A:$A,0))</f>
        <v>285</v>
      </c>
      <c r="Z157" s="192" t="str">
        <f>INDEX('Revenue by Customer'!Z:Z,MATCH('Full Customer List'!$B157,'Revenue by Customer'!$A:$A,0))</f>
        <v/>
      </c>
      <c r="AA157" s="192" t="str">
        <f>INDEX('Revenue by Customer'!AA:AA,MATCH('Full Customer List'!$B157,'Revenue by Customer'!$A:$A,0))</f>
        <v/>
      </c>
      <c r="AB157" s="192" t="str">
        <f>INDEX('Revenue by Customer'!AB:AB,MATCH('Full Customer List'!$B157,'Revenue by Customer'!$A:$A,0))</f>
        <v/>
      </c>
      <c r="AC157" s="192" t="str">
        <f>INDEX('Revenue by Customer'!AC:AC,MATCH('Full Customer List'!$B157,'Revenue by Customer'!$A:$A,0))</f>
        <v/>
      </c>
    </row>
    <row r="158" spans="2:29" ht="12" customHeight="1">
      <c r="B158" s="173" t="s">
        <v>791</v>
      </c>
      <c r="C158" s="173" t="str">
        <f>INDEX('Customer List'!$B:$B,MATCH('Full Customer List'!$B158,'Customer List'!$A:$A,0))</f>
        <v>Active</v>
      </c>
      <c r="D158" s="173" t="str">
        <f>INDEX('Customer List'!$C:$C,MATCH('Full Customer List'!$B158,'Customer List'!$A:$A,0))</f>
        <v>STR owner</v>
      </c>
      <c r="E158" s="173" t="str">
        <f>INDEX('Customer List Mapping'!$C:$C,MATCH('Full Customer List'!D158,'Customer List Mapping'!$B:$B,0))</f>
        <v>STR Owner</v>
      </c>
      <c r="F158" s="192">
        <f>INDEX('Customer List'!$K:$K,MATCH('Full Customer List'!$B158,'Customer List'!$A:$A,0))</f>
        <v>0</v>
      </c>
      <c r="G158" s="192">
        <f>INDEX('Revenue by Customer'!$I:$I,MATCH('Full Customer List'!$B158,'Revenue by Customer'!$A:$A,0))</f>
        <v>425</v>
      </c>
      <c r="H158" s="257" t="str">
        <f>IFERROR(IF(C158="Active","",INDEX('Client Departures'!$G:$G,MATCH('Full Customer List'!$B158,'Client Departures'!$A:$A,0))),"Unclassified")</f>
        <v/>
      </c>
      <c r="I158" s="196">
        <v>44866</v>
      </c>
      <c r="J158" s="196"/>
      <c r="K158" s="192">
        <f>INDEX('Revenue by Customer'!K:K,MATCH('Full Customer List'!$B158,'Revenue by Customer'!$A:$A,0))</f>
        <v>400</v>
      </c>
      <c r="L158" s="192">
        <f>INDEX('Revenue by Customer'!L:L,MATCH('Full Customer List'!$B158,'Revenue by Customer'!$A:$A,0))</f>
        <v>400</v>
      </c>
      <c r="M158" s="192">
        <f>INDEX('Revenue by Customer'!M:M,MATCH('Full Customer List'!$B158,'Revenue by Customer'!$A:$A,0))</f>
        <v>470</v>
      </c>
      <c r="N158" s="192">
        <f>INDEX('Revenue by Customer'!N:N,MATCH('Full Customer List'!$B158,'Revenue by Customer'!$A:$A,0))</f>
        <v>330</v>
      </c>
      <c r="O158" s="192">
        <f>INDEX('Revenue by Customer'!O:O,MATCH('Full Customer List'!$B158,'Revenue by Customer'!$A:$A,0))</f>
        <v>400</v>
      </c>
      <c r="P158" s="192">
        <f>INDEX('Revenue by Customer'!P:P,MATCH('Full Customer List'!$B158,'Revenue by Customer'!$A:$A,0))</f>
        <v>400</v>
      </c>
      <c r="Q158" s="192">
        <f>INDEX('Revenue by Customer'!Q:Q,MATCH('Full Customer List'!$B158,'Revenue by Customer'!$A:$A,0))</f>
        <v>400</v>
      </c>
      <c r="R158" s="192">
        <f>INDEX('Revenue by Customer'!R:R,MATCH('Full Customer List'!$B158,'Revenue by Customer'!$A:$A,0))</f>
        <v>400</v>
      </c>
      <c r="S158" s="192">
        <f>INDEX('Revenue by Customer'!S:S,MATCH('Full Customer List'!$B158,'Revenue by Customer'!$A:$A,0))</f>
        <v>400</v>
      </c>
      <c r="T158" s="192">
        <f>INDEX('Revenue by Customer'!T:T,MATCH('Full Customer List'!$B158,'Revenue by Customer'!$A:$A,0))</f>
        <v>400</v>
      </c>
      <c r="U158" s="192">
        <f>INDEX('Revenue by Customer'!U:U,MATCH('Full Customer List'!$B158,'Revenue by Customer'!$A:$A,0))</f>
        <v>425</v>
      </c>
      <c r="V158" s="192">
        <f>INDEX('Revenue by Customer'!V:V,MATCH('Full Customer List'!$B158,'Revenue by Customer'!$A:$A,0))</f>
        <v>425</v>
      </c>
      <c r="W158" s="192">
        <f>INDEX('Revenue by Customer'!W:W,MATCH('Full Customer List'!$B158,'Revenue by Customer'!$A:$A,0))</f>
        <v>425</v>
      </c>
      <c r="X158" s="192">
        <f>INDEX('Revenue by Customer'!X:X,MATCH('Full Customer List'!$B158,'Revenue by Customer'!$A:$A,0))</f>
        <v>425</v>
      </c>
      <c r="Y158" s="192">
        <f>INDEX('Revenue by Customer'!Y:Y,MATCH('Full Customer List'!$B158,'Revenue by Customer'!$A:$A,0))</f>
        <v>425</v>
      </c>
      <c r="Z158" s="192">
        <f>INDEX('Revenue by Customer'!Z:Z,MATCH('Full Customer List'!$B158,'Revenue by Customer'!$A:$A,0))</f>
        <v>425</v>
      </c>
      <c r="AA158" s="192">
        <f>INDEX('Revenue by Customer'!AA:AA,MATCH('Full Customer List'!$B158,'Revenue by Customer'!$A:$A,0))</f>
        <v>425</v>
      </c>
      <c r="AB158" s="192">
        <f>INDEX('Revenue by Customer'!AB:AB,MATCH('Full Customer List'!$B158,'Revenue by Customer'!$A:$A,0))</f>
        <v>425</v>
      </c>
      <c r="AC158" s="192">
        <f>INDEX('Revenue by Customer'!AC:AC,MATCH('Full Customer List'!$B158,'Revenue by Customer'!$A:$A,0))</f>
        <v>425</v>
      </c>
    </row>
    <row r="159" spans="2:29" ht="12" customHeight="1">
      <c r="B159" s="173" t="s">
        <v>792</v>
      </c>
      <c r="C159" s="173" t="str">
        <f>INDEX('Customer List'!$B:$B,MATCH('Full Customer List'!$B159,'Customer List'!$A:$A,0))</f>
        <v>Active</v>
      </c>
      <c r="D159" s="173" t="str">
        <f>INDEX('Customer List'!$C:$C,MATCH('Full Customer List'!$B159,'Customer List'!$A:$A,0))</f>
        <v>STR owner</v>
      </c>
      <c r="E159" s="173" t="str">
        <f>INDEX('Customer List Mapping'!$C:$C,MATCH('Full Customer List'!D159,'Customer List Mapping'!$B:$B,0))</f>
        <v>STR Owner</v>
      </c>
      <c r="F159" s="192">
        <f>INDEX('Customer List'!$K:$K,MATCH('Full Customer List'!$B159,'Customer List'!$A:$A,0))</f>
        <v>11</v>
      </c>
      <c r="G159" s="192">
        <f>INDEX('Revenue by Customer'!$I:$I,MATCH('Full Customer List'!$B159,'Revenue by Customer'!$A:$A,0))</f>
        <v>425</v>
      </c>
      <c r="H159" s="257" t="str">
        <f>IFERROR(IF(C159="Active","",INDEX('Client Departures'!$G:$G,MATCH('Full Customer List'!$B159,'Client Departures'!$A:$A,0))),"Unclassified")</f>
        <v/>
      </c>
      <c r="I159" s="196">
        <v>45231</v>
      </c>
      <c r="J159" s="196"/>
      <c r="K159" s="192">
        <f>INDEX('Revenue by Customer'!K:K,MATCH('Full Customer List'!$B159,'Revenue by Customer'!$A:$A,0))</f>
        <v>400</v>
      </c>
      <c r="L159" s="192">
        <f>INDEX('Revenue by Customer'!L:L,MATCH('Full Customer List'!$B159,'Revenue by Customer'!$A:$A,0))</f>
        <v>400</v>
      </c>
      <c r="M159" s="192">
        <f>INDEX('Revenue by Customer'!M:M,MATCH('Full Customer List'!$B159,'Revenue by Customer'!$A:$A,0))</f>
        <v>400</v>
      </c>
      <c r="N159" s="192">
        <f>INDEX('Revenue by Customer'!N:N,MATCH('Full Customer List'!$B159,'Revenue by Customer'!$A:$A,0))</f>
        <v>400</v>
      </c>
      <c r="O159" s="192">
        <f>INDEX('Revenue by Customer'!O:O,MATCH('Full Customer List'!$B159,'Revenue by Customer'!$A:$A,0))</f>
        <v>400</v>
      </c>
      <c r="P159" s="192">
        <f>INDEX('Revenue by Customer'!P:P,MATCH('Full Customer List'!$B159,'Revenue by Customer'!$A:$A,0))</f>
        <v>400</v>
      </c>
      <c r="Q159" s="192">
        <f>INDEX('Revenue by Customer'!Q:Q,MATCH('Full Customer List'!$B159,'Revenue by Customer'!$A:$A,0))</f>
        <v>400</v>
      </c>
      <c r="R159" s="192">
        <f>INDEX('Revenue by Customer'!R:R,MATCH('Full Customer List'!$B159,'Revenue by Customer'!$A:$A,0))</f>
        <v>400</v>
      </c>
      <c r="S159" s="192">
        <f>INDEX('Revenue by Customer'!S:S,MATCH('Full Customer List'!$B159,'Revenue by Customer'!$A:$A,0))</f>
        <v>400</v>
      </c>
      <c r="T159" s="192">
        <f>INDEX('Revenue by Customer'!T:T,MATCH('Full Customer List'!$B159,'Revenue by Customer'!$A:$A,0))</f>
        <v>400</v>
      </c>
      <c r="U159" s="192">
        <f>INDEX('Revenue by Customer'!U:U,MATCH('Full Customer List'!$B159,'Revenue by Customer'!$A:$A,0))</f>
        <v>425</v>
      </c>
      <c r="V159" s="192">
        <f>INDEX('Revenue by Customer'!V:V,MATCH('Full Customer List'!$B159,'Revenue by Customer'!$A:$A,0))</f>
        <v>425</v>
      </c>
      <c r="W159" s="192">
        <f>INDEX('Revenue by Customer'!W:W,MATCH('Full Customer List'!$B159,'Revenue by Customer'!$A:$A,0))</f>
        <v>425</v>
      </c>
      <c r="X159" s="192">
        <f>INDEX('Revenue by Customer'!X:X,MATCH('Full Customer List'!$B159,'Revenue by Customer'!$A:$A,0))</f>
        <v>425</v>
      </c>
      <c r="Y159" s="192">
        <f>INDEX('Revenue by Customer'!Y:Y,MATCH('Full Customer List'!$B159,'Revenue by Customer'!$A:$A,0))</f>
        <v>425</v>
      </c>
      <c r="Z159" s="192">
        <f>INDEX('Revenue by Customer'!Z:Z,MATCH('Full Customer List'!$B159,'Revenue by Customer'!$A:$A,0))</f>
        <v>425</v>
      </c>
      <c r="AA159" s="192">
        <f>INDEX('Revenue by Customer'!AA:AA,MATCH('Full Customer List'!$B159,'Revenue by Customer'!$A:$A,0))</f>
        <v>425</v>
      </c>
      <c r="AB159" s="192">
        <f>INDEX('Revenue by Customer'!AB:AB,MATCH('Full Customer List'!$B159,'Revenue by Customer'!$A:$A,0))</f>
        <v>425</v>
      </c>
      <c r="AC159" s="192">
        <f>INDEX('Revenue by Customer'!AC:AC,MATCH('Full Customer List'!$B159,'Revenue by Customer'!$A:$A,0))</f>
        <v>425</v>
      </c>
    </row>
    <row r="160" spans="2:29" ht="12" customHeight="1">
      <c r="B160" s="173" t="s">
        <v>793</v>
      </c>
      <c r="C160" s="173" t="str">
        <f>INDEX('Customer List'!$B:$B,MATCH('Full Customer List'!$B160,'Customer List'!$A:$A,0))</f>
        <v>Active</v>
      </c>
      <c r="D160" s="173" t="str">
        <f>INDEX('Customer List'!$C:$C,MATCH('Full Customer List'!$B160,'Customer List'!$A:$A,0))</f>
        <v>Property manager</v>
      </c>
      <c r="E160" s="173" t="str">
        <f>INDEX('Customer List Mapping'!$C:$C,MATCH('Full Customer List'!D160,'Customer List Mapping'!$B:$B,0))</f>
        <v>Property Manager</v>
      </c>
      <c r="F160" s="192">
        <f>INDEX('Customer List'!$K:$K,MATCH('Full Customer List'!$B160,'Customer List'!$A:$A,0))</f>
        <v>2</v>
      </c>
      <c r="G160" s="192">
        <f>INDEX('Revenue by Customer'!$I:$I,MATCH('Full Customer List'!$B160,'Revenue by Customer'!$A:$A,0))</f>
        <v>452</v>
      </c>
      <c r="H160" s="257" t="str">
        <f>IFERROR(IF(C160="Active","",INDEX('Client Departures'!$G:$G,MATCH('Full Customer List'!$B160,'Client Departures'!$A:$A,0))),"Unclassified")</f>
        <v/>
      </c>
      <c r="I160" s="196">
        <v>45444</v>
      </c>
      <c r="J160" s="196"/>
      <c r="K160" s="192">
        <f>INDEX('Revenue by Customer'!K:K,MATCH('Full Customer List'!$B160,'Revenue by Customer'!$A:$A,0))</f>
        <v>395</v>
      </c>
      <c r="L160" s="192">
        <f>INDEX('Revenue by Customer'!L:L,MATCH('Full Customer List'!$B160,'Revenue by Customer'!$A:$A,0))</f>
        <v>395</v>
      </c>
      <c r="M160" s="192">
        <f>INDEX('Revenue by Customer'!M:M,MATCH('Full Customer List'!$B160,'Revenue by Customer'!$A:$A,0))</f>
        <v>395</v>
      </c>
      <c r="N160" s="192">
        <f>INDEX('Revenue by Customer'!N:N,MATCH('Full Customer List'!$B160,'Revenue by Customer'!$A:$A,0))</f>
        <v>395</v>
      </c>
      <c r="O160" s="192">
        <f>INDEX('Revenue by Customer'!O:O,MATCH('Full Customer List'!$B160,'Revenue by Customer'!$A:$A,0))</f>
        <v>395</v>
      </c>
      <c r="P160" s="192">
        <f>INDEX('Revenue by Customer'!P:P,MATCH('Full Customer List'!$B160,'Revenue by Customer'!$A:$A,0))</f>
        <v>400</v>
      </c>
      <c r="Q160" s="192">
        <f>INDEX('Revenue by Customer'!Q:Q,MATCH('Full Customer List'!$B160,'Revenue by Customer'!$A:$A,0))</f>
        <v>400</v>
      </c>
      <c r="R160" s="192">
        <f>INDEX('Revenue by Customer'!R:R,MATCH('Full Customer List'!$B160,'Revenue by Customer'!$A:$A,0))</f>
        <v>400</v>
      </c>
      <c r="S160" s="192">
        <f>INDEX('Revenue by Customer'!S:S,MATCH('Full Customer List'!$B160,'Revenue by Customer'!$A:$A,0))</f>
        <v>400</v>
      </c>
      <c r="T160" s="192">
        <f>INDEX('Revenue by Customer'!T:T,MATCH('Full Customer List'!$B160,'Revenue by Customer'!$A:$A,0))</f>
        <v>400</v>
      </c>
      <c r="U160" s="192">
        <f>INDEX('Revenue by Customer'!U:U,MATCH('Full Customer List'!$B160,'Revenue by Customer'!$A:$A,0))</f>
        <v>400</v>
      </c>
      <c r="V160" s="192">
        <f>INDEX('Revenue by Customer'!V:V,MATCH('Full Customer List'!$B160,'Revenue by Customer'!$A:$A,0))</f>
        <v>400</v>
      </c>
      <c r="W160" s="192">
        <f>INDEX('Revenue by Customer'!W:W,MATCH('Full Customer List'!$B160,'Revenue by Customer'!$A:$A,0))</f>
        <v>445</v>
      </c>
      <c r="X160" s="192">
        <f>INDEX('Revenue by Customer'!X:X,MATCH('Full Customer List'!$B160,'Revenue by Customer'!$A:$A,0))</f>
        <v>400</v>
      </c>
      <c r="Y160" s="192">
        <f>INDEX('Revenue by Customer'!Y:Y,MATCH('Full Customer List'!$B160,'Revenue by Customer'!$A:$A,0))</f>
        <v>400</v>
      </c>
      <c r="Z160" s="192">
        <f>INDEX('Revenue by Customer'!Z:Z,MATCH('Full Customer List'!$B160,'Revenue by Customer'!$A:$A,0))</f>
        <v>400</v>
      </c>
      <c r="AA160" s="192">
        <f>INDEX('Revenue by Customer'!AA:AA,MATCH('Full Customer List'!$B160,'Revenue by Customer'!$A:$A,0))</f>
        <v>400</v>
      </c>
      <c r="AB160" s="192">
        <f>INDEX('Revenue by Customer'!AB:AB,MATCH('Full Customer List'!$B160,'Revenue by Customer'!$A:$A,0))</f>
        <v>478</v>
      </c>
      <c r="AC160" s="192">
        <f>INDEX('Revenue by Customer'!AC:AC,MATCH('Full Customer List'!$B160,'Revenue by Customer'!$A:$A,0))</f>
        <v>478</v>
      </c>
    </row>
    <row r="161" spans="2:29" ht="12" customHeight="1">
      <c r="B161" s="173" t="s">
        <v>794</v>
      </c>
      <c r="C161" s="173" t="str">
        <f>INDEX('Customer List'!$B:$B,MATCH('Full Customer List'!$B161,'Customer List'!$A:$A,0))</f>
        <v>Active</v>
      </c>
      <c r="D161" s="173" t="str">
        <f>INDEX('Customer List'!$C:$C,MATCH('Full Customer List'!$B161,'Customer List'!$A:$A,0))</f>
        <v>STR owner</v>
      </c>
      <c r="E161" s="173" t="str">
        <f>INDEX('Customer List Mapping'!$C:$C,MATCH('Full Customer List'!D161,'Customer List Mapping'!$B:$B,0))</f>
        <v>STR Owner</v>
      </c>
      <c r="F161" s="192" t="str">
        <f>INDEX('Customer List'!$K:$K,MATCH('Full Customer List'!$B161,'Customer List'!$A:$A,0))</f>
        <v/>
      </c>
      <c r="G161" s="192">
        <f>INDEX('Revenue by Customer'!$I:$I,MATCH('Full Customer List'!$B161,'Revenue by Customer'!$A:$A,0))</f>
        <v>406</v>
      </c>
      <c r="H161" s="257" t="str">
        <f>IFERROR(IF(C161="Active","",INDEX('Client Departures'!$G:$G,MATCH('Full Customer List'!$B161,'Client Departures'!$A:$A,0))),"Unclassified")</f>
        <v/>
      </c>
      <c r="I161" s="196">
        <v>45839</v>
      </c>
      <c r="J161" s="196"/>
      <c r="K161" s="192" t="str">
        <f>INDEX('Revenue by Customer'!K:K,MATCH('Full Customer List'!$B161,'Revenue by Customer'!$A:$A,0))</f>
        <v/>
      </c>
      <c r="L161" s="192" t="str">
        <f>INDEX('Revenue by Customer'!L:L,MATCH('Full Customer List'!$B161,'Revenue by Customer'!$A:$A,0))</f>
        <v/>
      </c>
      <c r="M161" s="192" t="str">
        <f>INDEX('Revenue by Customer'!M:M,MATCH('Full Customer List'!$B161,'Revenue by Customer'!$A:$A,0))</f>
        <v/>
      </c>
      <c r="N161" s="192" t="str">
        <f>INDEX('Revenue by Customer'!N:N,MATCH('Full Customer List'!$B161,'Revenue by Customer'!$A:$A,0))</f>
        <v/>
      </c>
      <c r="O161" s="192" t="str">
        <f>INDEX('Revenue by Customer'!O:O,MATCH('Full Customer List'!$B161,'Revenue by Customer'!$A:$A,0))</f>
        <v/>
      </c>
      <c r="P161" s="192" t="str">
        <f>INDEX('Revenue by Customer'!P:P,MATCH('Full Customer List'!$B161,'Revenue by Customer'!$A:$A,0))</f>
        <v/>
      </c>
      <c r="Q161" s="192">
        <f>INDEX('Revenue by Customer'!Q:Q,MATCH('Full Customer List'!$B161,'Revenue by Customer'!$A:$A,0))</f>
        <v>640</v>
      </c>
      <c r="R161" s="192">
        <f>INDEX('Revenue by Customer'!R:R,MATCH('Full Customer List'!$B161,'Revenue by Customer'!$A:$A,0))</f>
        <v>595</v>
      </c>
      <c r="S161" s="192">
        <f>INDEX('Revenue by Customer'!S:S,MATCH('Full Customer List'!$B161,'Revenue by Customer'!$A:$A,0))</f>
        <v>340</v>
      </c>
      <c r="T161" s="192">
        <f>INDEX('Revenue by Customer'!T:T,MATCH('Full Customer List'!$B161,'Revenue by Customer'!$A:$A,0))</f>
        <v>400</v>
      </c>
      <c r="U161" s="192">
        <f>INDEX('Revenue by Customer'!U:U,MATCH('Full Customer List'!$B161,'Revenue by Customer'!$A:$A,0))</f>
        <v>400</v>
      </c>
      <c r="V161" s="192">
        <f>INDEX('Revenue by Customer'!V:V,MATCH('Full Customer List'!$B161,'Revenue by Customer'!$A:$A,0))</f>
        <v>400</v>
      </c>
      <c r="W161" s="192">
        <f>INDEX('Revenue by Customer'!W:W,MATCH('Full Customer List'!$B161,'Revenue by Customer'!$A:$A,0))</f>
        <v>400</v>
      </c>
      <c r="X161" s="192">
        <f>INDEX('Revenue by Customer'!X:X,MATCH('Full Customer List'!$B161,'Revenue by Customer'!$A:$A,0))</f>
        <v>430</v>
      </c>
      <c r="Y161" s="192">
        <f>INDEX('Revenue by Customer'!Y:Y,MATCH('Full Customer List'!$B161,'Revenue by Customer'!$A:$A,0))</f>
        <v>400</v>
      </c>
      <c r="Z161" s="192">
        <f>INDEX('Revenue by Customer'!Z:Z,MATCH('Full Customer List'!$B161,'Revenue by Customer'!$A:$A,0))</f>
        <v>400</v>
      </c>
      <c r="AA161" s="192">
        <f>INDEX('Revenue by Customer'!AA:AA,MATCH('Full Customer List'!$B161,'Revenue by Customer'!$A:$A,0))</f>
        <v>400</v>
      </c>
      <c r="AB161" s="192">
        <f>INDEX('Revenue by Customer'!AB:AB,MATCH('Full Customer List'!$B161,'Revenue by Customer'!$A:$A,0))</f>
        <v>400</v>
      </c>
      <c r="AC161" s="192">
        <f>INDEX('Revenue by Customer'!AC:AC,MATCH('Full Customer List'!$B161,'Revenue by Customer'!$A:$A,0))</f>
        <v>418</v>
      </c>
    </row>
    <row r="162" spans="2:29" ht="12" customHeight="1">
      <c r="B162" s="173" t="s">
        <v>795</v>
      </c>
      <c r="C162" s="173" t="str">
        <f>INDEX('Customer List'!$B:$B,MATCH('Full Customer List'!$B162,'Customer List'!$A:$A,0))</f>
        <v>Former client</v>
      </c>
      <c r="D162" s="173" t="str">
        <f>INDEX('Customer List'!$C:$C,MATCH('Full Customer List'!$B162,'Customer List'!$A:$A,0))</f>
        <v>Small business</v>
      </c>
      <c r="E162" s="173" t="str">
        <f>INDEX('Customer List Mapping'!$C:$C,MATCH('Full Customer List'!D162,'Customer List Mapping'!$B:$B,0))</f>
        <v>Small Business</v>
      </c>
      <c r="F162" s="192" t="str">
        <f>INDEX('Customer List'!$K:$K,MATCH('Full Customer List'!$B162,'Customer List'!$A:$A,0))</f>
        <v/>
      </c>
      <c r="G162" s="192">
        <f>INDEX('Revenue by Customer'!$I:$I,MATCH('Full Customer List'!$B162,'Revenue by Customer'!$A:$A,0))</f>
        <v>410</v>
      </c>
      <c r="H162" s="257" t="str">
        <f>IFERROR(IF(C162="Active","",INDEX('Client Departures'!$G:$G,MATCH('Full Customer List'!$B162,'Client Departures'!$A:$A,0))),"Unclassified")</f>
        <v>No</v>
      </c>
      <c r="I162" s="196">
        <v>45292</v>
      </c>
      <c r="J162" s="196">
        <v>46234</v>
      </c>
      <c r="K162" s="192">
        <f>INDEX('Revenue by Customer'!K:K,MATCH('Full Customer List'!$B162,'Revenue by Customer'!$A:$A,0))</f>
        <v>395</v>
      </c>
      <c r="L162" s="192">
        <f>INDEX('Revenue by Customer'!L:L,MATCH('Full Customer List'!$B162,'Revenue by Customer'!$A:$A,0))</f>
        <v>395</v>
      </c>
      <c r="M162" s="192">
        <f>INDEX('Revenue by Customer'!M:M,MATCH('Full Customer List'!$B162,'Revenue by Customer'!$A:$A,0))</f>
        <v>395</v>
      </c>
      <c r="N162" s="192">
        <f>INDEX('Revenue by Customer'!N:N,MATCH('Full Customer List'!$B162,'Revenue by Customer'!$A:$A,0))</f>
        <v>395</v>
      </c>
      <c r="O162" s="192">
        <f>INDEX('Revenue by Customer'!O:O,MATCH('Full Customer List'!$B162,'Revenue by Customer'!$A:$A,0))</f>
        <v>395</v>
      </c>
      <c r="P162" s="192">
        <f>INDEX('Revenue by Customer'!P:P,MATCH('Full Customer List'!$B162,'Revenue by Customer'!$A:$A,0))</f>
        <v>395</v>
      </c>
      <c r="Q162" s="192">
        <f>INDEX('Revenue by Customer'!Q:Q,MATCH('Full Customer List'!$B162,'Revenue by Customer'!$A:$A,0))</f>
        <v>395</v>
      </c>
      <c r="R162" s="192">
        <f>INDEX('Revenue by Customer'!R:R,MATCH('Full Customer List'!$B162,'Revenue by Customer'!$A:$A,0))</f>
        <v>410</v>
      </c>
      <c r="S162" s="192">
        <f>INDEX('Revenue by Customer'!S:S,MATCH('Full Customer List'!$B162,'Revenue by Customer'!$A:$A,0))</f>
        <v>410</v>
      </c>
      <c r="T162" s="192">
        <f>INDEX('Revenue by Customer'!T:T,MATCH('Full Customer List'!$B162,'Revenue by Customer'!$A:$A,0))</f>
        <v>410</v>
      </c>
      <c r="U162" s="192">
        <f>INDEX('Revenue by Customer'!U:U,MATCH('Full Customer List'!$B162,'Revenue by Customer'!$A:$A,0))</f>
        <v>410</v>
      </c>
      <c r="V162" s="192">
        <f>INDEX('Revenue by Customer'!V:V,MATCH('Full Customer List'!$B162,'Revenue by Customer'!$A:$A,0))</f>
        <v>410</v>
      </c>
      <c r="W162" s="192">
        <f>INDEX('Revenue by Customer'!W:W,MATCH('Full Customer List'!$B162,'Revenue by Customer'!$A:$A,0))</f>
        <v>410</v>
      </c>
      <c r="X162" s="192">
        <f>INDEX('Revenue by Customer'!X:X,MATCH('Full Customer List'!$B162,'Revenue by Customer'!$A:$A,0))</f>
        <v>410</v>
      </c>
      <c r="Y162" s="192">
        <f>INDEX('Revenue by Customer'!Y:Y,MATCH('Full Customer List'!$B162,'Revenue by Customer'!$A:$A,0))</f>
        <v>410</v>
      </c>
      <c r="Z162" s="192">
        <f>INDEX('Revenue by Customer'!Z:Z,MATCH('Full Customer List'!$B162,'Revenue by Customer'!$A:$A,0))</f>
        <v>410</v>
      </c>
      <c r="AA162" s="192">
        <f>INDEX('Revenue by Customer'!AA:AA,MATCH('Full Customer List'!$B162,'Revenue by Customer'!$A:$A,0))</f>
        <v>410</v>
      </c>
      <c r="AB162" s="192">
        <f>INDEX('Revenue by Customer'!AB:AB,MATCH('Full Customer List'!$B162,'Revenue by Customer'!$A:$A,0))</f>
        <v>410</v>
      </c>
      <c r="AC162" s="192">
        <f>INDEX('Revenue by Customer'!AC:AC,MATCH('Full Customer List'!$B162,'Revenue by Customer'!$A:$A,0))</f>
        <v>410</v>
      </c>
    </row>
    <row r="163" spans="2:29" ht="12" customHeight="1">
      <c r="B163" s="173" t="s">
        <v>797</v>
      </c>
      <c r="C163" s="173" t="str">
        <f>INDEX('Customer List'!$B:$B,MATCH('Full Customer List'!$B163,'Customer List'!$A:$A,0))</f>
        <v>Active</v>
      </c>
      <c r="D163" s="173" t="str">
        <f>INDEX('Customer List'!$C:$C,MATCH('Full Customer List'!$B163,'Customer List'!$A:$A,0))</f>
        <v>Property manager</v>
      </c>
      <c r="E163" s="173" t="str">
        <f>INDEX('Customer List Mapping'!$C:$C,MATCH('Full Customer List'!D163,'Customer List Mapping'!$B:$B,0))</f>
        <v>Property Manager</v>
      </c>
      <c r="F163" s="192">
        <f>INDEX('Customer List'!$K:$K,MATCH('Full Customer List'!$B163,'Customer List'!$A:$A,0))</f>
        <v>4</v>
      </c>
      <c r="G163" s="192">
        <f>INDEX('Revenue by Customer'!$I:$I,MATCH('Full Customer List'!$B163,'Revenue by Customer'!$A:$A,0))</f>
        <v>418</v>
      </c>
      <c r="H163" s="257" t="str">
        <f>IFERROR(IF(C163="Active","",INDEX('Client Departures'!$G:$G,MATCH('Full Customer List'!$B163,'Client Departures'!$A:$A,0))),"Unclassified")</f>
        <v/>
      </c>
      <c r="I163" s="196">
        <v>45748</v>
      </c>
      <c r="J163" s="196"/>
      <c r="K163" s="192" t="str">
        <f>INDEX('Revenue by Customer'!K:K,MATCH('Full Customer List'!$B163,'Revenue by Customer'!$A:$A,0))</f>
        <v/>
      </c>
      <c r="L163" s="192" t="str">
        <f>INDEX('Revenue by Customer'!L:L,MATCH('Full Customer List'!$B163,'Revenue by Customer'!$A:$A,0))</f>
        <v/>
      </c>
      <c r="M163" s="192" t="str">
        <f>INDEX('Revenue by Customer'!M:M,MATCH('Full Customer List'!$B163,'Revenue by Customer'!$A:$A,0))</f>
        <v/>
      </c>
      <c r="N163" s="192">
        <f>INDEX('Revenue by Customer'!N:N,MATCH('Full Customer List'!$B163,'Revenue by Customer'!$A:$A,0))</f>
        <v>640</v>
      </c>
      <c r="O163" s="192">
        <f>INDEX('Revenue by Customer'!O:O,MATCH('Full Customer List'!$B163,'Revenue by Customer'!$A:$A,0))</f>
        <v>340</v>
      </c>
      <c r="P163" s="192">
        <f>INDEX('Revenue by Customer'!P:P,MATCH('Full Customer List'!$B163,'Revenue by Customer'!$A:$A,0))</f>
        <v>340</v>
      </c>
      <c r="Q163" s="192">
        <f>INDEX('Revenue by Customer'!Q:Q,MATCH('Full Customer List'!$B163,'Revenue by Customer'!$A:$A,0))</f>
        <v>400</v>
      </c>
      <c r="R163" s="192">
        <f>INDEX('Revenue by Customer'!R:R,MATCH('Full Customer List'!$B163,'Revenue by Customer'!$A:$A,0))</f>
        <v>400</v>
      </c>
      <c r="S163" s="192">
        <f>INDEX('Revenue by Customer'!S:S,MATCH('Full Customer List'!$B163,'Revenue by Customer'!$A:$A,0))</f>
        <v>400</v>
      </c>
      <c r="T163" s="192">
        <f>INDEX('Revenue by Customer'!T:T,MATCH('Full Customer List'!$B163,'Revenue by Customer'!$A:$A,0))</f>
        <v>400</v>
      </c>
      <c r="U163" s="192">
        <f>INDEX('Revenue by Customer'!U:U,MATCH('Full Customer List'!$B163,'Revenue by Customer'!$A:$A,0))</f>
        <v>400</v>
      </c>
      <c r="V163" s="192">
        <f>INDEX('Revenue by Customer'!V:V,MATCH('Full Customer List'!$B163,'Revenue by Customer'!$A:$A,0))</f>
        <v>400</v>
      </c>
      <c r="W163" s="192">
        <f>INDEX('Revenue by Customer'!W:W,MATCH('Full Customer List'!$B163,'Revenue by Customer'!$A:$A,0))</f>
        <v>400</v>
      </c>
      <c r="X163" s="192">
        <f>INDEX('Revenue by Customer'!X:X,MATCH('Full Customer List'!$B163,'Revenue by Customer'!$A:$A,0))</f>
        <v>400</v>
      </c>
      <c r="Y163" s="192">
        <f>INDEX('Revenue by Customer'!Y:Y,MATCH('Full Customer List'!$B163,'Revenue by Customer'!$A:$A,0))</f>
        <v>445</v>
      </c>
      <c r="Z163" s="192">
        <f>INDEX('Revenue by Customer'!Z:Z,MATCH('Full Customer List'!$B163,'Revenue by Customer'!$A:$A,0))</f>
        <v>418</v>
      </c>
      <c r="AA163" s="192">
        <f>INDEX('Revenue by Customer'!AA:AA,MATCH('Full Customer List'!$B163,'Revenue by Customer'!$A:$A,0))</f>
        <v>418</v>
      </c>
      <c r="AB163" s="192">
        <f>INDEX('Revenue by Customer'!AB:AB,MATCH('Full Customer List'!$B163,'Revenue by Customer'!$A:$A,0))</f>
        <v>418</v>
      </c>
      <c r="AC163" s="192">
        <f>INDEX('Revenue by Customer'!AC:AC,MATCH('Full Customer List'!$B163,'Revenue by Customer'!$A:$A,0))</f>
        <v>418</v>
      </c>
    </row>
    <row r="164" spans="2:29" ht="12" customHeight="1">
      <c r="B164" s="173" t="s">
        <v>798</v>
      </c>
      <c r="C164" s="173" t="str">
        <f>INDEX('Customer List'!$B:$B,MATCH('Full Customer List'!$B164,'Customer List'!$A:$A,0))</f>
        <v>Active</v>
      </c>
      <c r="D164" s="173" t="str">
        <f>INDEX('Customer List'!$C:$C,MATCH('Full Customer List'!$B164,'Customer List'!$A:$A,0))</f>
        <v>STR owner</v>
      </c>
      <c r="E164" s="173" t="str">
        <f>INDEX('Customer List Mapping'!$C:$C,MATCH('Full Customer List'!D164,'Customer List Mapping'!$B:$B,0))</f>
        <v>STR Owner</v>
      </c>
      <c r="F164" s="192" t="str">
        <f>INDEX('Customer List'!$K:$K,MATCH('Full Customer List'!$B164,'Customer List'!$A:$A,0))</f>
        <v/>
      </c>
      <c r="G164" s="192">
        <f>INDEX('Revenue by Customer'!$I:$I,MATCH('Full Customer List'!$B164,'Revenue by Customer'!$A:$A,0))</f>
        <v>400</v>
      </c>
      <c r="H164" s="257" t="str">
        <f>IFERROR(IF(C164="Active","",INDEX('Client Departures'!$G:$G,MATCH('Full Customer List'!$B164,'Client Departures'!$A:$A,0))),"Unclassified")</f>
        <v/>
      </c>
      <c r="I164" s="196">
        <v>44774</v>
      </c>
      <c r="J164" s="196"/>
      <c r="K164" s="192">
        <f>INDEX('Revenue by Customer'!K:K,MATCH('Full Customer List'!$B164,'Revenue by Customer'!$A:$A,0))</f>
        <v>395</v>
      </c>
      <c r="L164" s="192">
        <f>INDEX('Revenue by Customer'!L:L,MATCH('Full Customer List'!$B164,'Revenue by Customer'!$A:$A,0))</f>
        <v>455</v>
      </c>
      <c r="M164" s="192">
        <f>INDEX('Revenue by Customer'!M:M,MATCH('Full Customer List'!$B164,'Revenue by Customer'!$A:$A,0))</f>
        <v>395</v>
      </c>
      <c r="N164" s="192">
        <f>INDEX('Revenue by Customer'!N:N,MATCH('Full Customer List'!$B164,'Revenue by Customer'!$A:$A,0))</f>
        <v>395</v>
      </c>
      <c r="O164" s="192">
        <f>INDEX('Revenue by Customer'!O:O,MATCH('Full Customer List'!$B164,'Revenue by Customer'!$A:$A,0))</f>
        <v>395</v>
      </c>
      <c r="P164" s="192">
        <f>INDEX('Revenue by Customer'!P:P,MATCH('Full Customer List'!$B164,'Revenue by Customer'!$A:$A,0))</f>
        <v>395</v>
      </c>
      <c r="Q164" s="192">
        <f>INDEX('Revenue by Customer'!Q:Q,MATCH('Full Customer List'!$B164,'Revenue by Customer'!$A:$A,0))</f>
        <v>395</v>
      </c>
      <c r="R164" s="192">
        <f>INDEX('Revenue by Customer'!R:R,MATCH('Full Customer List'!$B164,'Revenue by Customer'!$A:$A,0))</f>
        <v>400</v>
      </c>
      <c r="S164" s="192">
        <f>INDEX('Revenue by Customer'!S:S,MATCH('Full Customer List'!$B164,'Revenue by Customer'!$A:$A,0))</f>
        <v>400</v>
      </c>
      <c r="T164" s="192">
        <f>INDEX('Revenue by Customer'!T:T,MATCH('Full Customer List'!$B164,'Revenue by Customer'!$A:$A,0))</f>
        <v>400</v>
      </c>
      <c r="U164" s="192">
        <f>INDEX('Revenue by Customer'!U:U,MATCH('Full Customer List'!$B164,'Revenue by Customer'!$A:$A,0))</f>
        <v>400</v>
      </c>
      <c r="V164" s="192">
        <f>INDEX('Revenue by Customer'!V:V,MATCH('Full Customer List'!$B164,'Revenue by Customer'!$A:$A,0))</f>
        <v>400</v>
      </c>
      <c r="W164" s="192">
        <f>INDEX('Revenue by Customer'!W:W,MATCH('Full Customer List'!$B164,'Revenue by Customer'!$A:$A,0))</f>
        <v>400</v>
      </c>
      <c r="X164" s="192">
        <f>INDEX('Revenue by Customer'!X:X,MATCH('Full Customer List'!$B164,'Revenue by Customer'!$A:$A,0))</f>
        <v>400</v>
      </c>
      <c r="Y164" s="192">
        <f>INDEX('Revenue by Customer'!Y:Y,MATCH('Full Customer List'!$B164,'Revenue by Customer'!$A:$A,0))</f>
        <v>400</v>
      </c>
      <c r="Z164" s="192">
        <f>INDEX('Revenue by Customer'!Z:Z,MATCH('Full Customer List'!$B164,'Revenue by Customer'!$A:$A,0))</f>
        <v>475</v>
      </c>
      <c r="AA164" s="192">
        <f>INDEX('Revenue by Customer'!AA:AA,MATCH('Full Customer List'!$B164,'Revenue by Customer'!$A:$A,0))</f>
        <v>400</v>
      </c>
      <c r="AB164" s="192">
        <f>INDEX('Revenue by Customer'!AB:AB,MATCH('Full Customer List'!$B164,'Revenue by Customer'!$A:$A,0))</f>
        <v>400</v>
      </c>
      <c r="AC164" s="192">
        <f>INDEX('Revenue by Customer'!AC:AC,MATCH('Full Customer List'!$B164,'Revenue by Customer'!$A:$A,0))</f>
        <v>400</v>
      </c>
    </row>
    <row r="165" spans="2:29" ht="12" customHeight="1">
      <c r="B165" s="173" t="s">
        <v>800</v>
      </c>
      <c r="C165" s="173" t="str">
        <f>INDEX('Customer List'!$B:$B,MATCH('Full Customer List'!$B165,'Customer List'!$A:$A,0))</f>
        <v>Active</v>
      </c>
      <c r="D165" s="173" t="str">
        <f>INDEX('Customer List'!$C:$C,MATCH('Full Customer List'!$B165,'Customer List'!$A:$A,0))</f>
        <v>STR owner</v>
      </c>
      <c r="E165" s="173" t="str">
        <f>INDEX('Customer List Mapping'!$C:$C,MATCH('Full Customer List'!D165,'Customer List Mapping'!$B:$B,0))</f>
        <v>STR Owner</v>
      </c>
      <c r="F165" s="192">
        <f>INDEX('Customer List'!$K:$K,MATCH('Full Customer List'!$B165,'Customer List'!$A:$A,0))</f>
        <v>12</v>
      </c>
      <c r="G165" s="192">
        <f>INDEX('Revenue by Customer'!$I:$I,MATCH('Full Customer List'!$B165,'Revenue by Customer'!$A:$A,0))</f>
        <v>412</v>
      </c>
      <c r="H165" s="257" t="str">
        <f>IFERROR(IF(C165="Active","",INDEX('Client Departures'!$G:$G,MATCH('Full Customer List'!$B165,'Client Departures'!$A:$A,0))),"Unclassified")</f>
        <v/>
      </c>
      <c r="I165" s="196">
        <v>45809</v>
      </c>
      <c r="J165" s="196"/>
      <c r="K165" s="192" t="str">
        <f>INDEX('Revenue by Customer'!K:K,MATCH('Full Customer List'!$B165,'Revenue by Customer'!$A:$A,0))</f>
        <v/>
      </c>
      <c r="L165" s="192" t="str">
        <f>INDEX('Revenue by Customer'!L:L,MATCH('Full Customer List'!$B165,'Revenue by Customer'!$A:$A,0))</f>
        <v/>
      </c>
      <c r="M165" s="192" t="str">
        <f>INDEX('Revenue by Customer'!M:M,MATCH('Full Customer List'!$B165,'Revenue by Customer'!$A:$A,0))</f>
        <v/>
      </c>
      <c r="N165" s="192" t="str">
        <f>INDEX('Revenue by Customer'!N:N,MATCH('Full Customer List'!$B165,'Revenue by Customer'!$A:$A,0))</f>
        <v/>
      </c>
      <c r="O165" s="192" t="str">
        <f>INDEX('Revenue by Customer'!O:O,MATCH('Full Customer List'!$B165,'Revenue by Customer'!$A:$A,0))</f>
        <v/>
      </c>
      <c r="P165" s="192">
        <f>INDEX('Revenue by Customer'!P:P,MATCH('Full Customer List'!$B165,'Revenue by Customer'!$A:$A,0))</f>
        <v>400</v>
      </c>
      <c r="Q165" s="192">
        <f>INDEX('Revenue by Customer'!Q:Q,MATCH('Full Customer List'!$B165,'Revenue by Customer'!$A:$A,0))</f>
        <v>400</v>
      </c>
      <c r="R165" s="192">
        <f>INDEX('Revenue by Customer'!R:R,MATCH('Full Customer List'!$B165,'Revenue by Customer'!$A:$A,0))</f>
        <v>400</v>
      </c>
      <c r="S165" s="192">
        <f>INDEX('Revenue by Customer'!S:S,MATCH('Full Customer List'!$B165,'Revenue by Customer'!$A:$A,0))</f>
        <v>400</v>
      </c>
      <c r="T165" s="192">
        <f>INDEX('Revenue by Customer'!T:T,MATCH('Full Customer List'!$B165,'Revenue by Customer'!$A:$A,0))</f>
        <v>400</v>
      </c>
      <c r="U165" s="192">
        <f>INDEX('Revenue by Customer'!U:U,MATCH('Full Customer List'!$B165,'Revenue by Customer'!$A:$A,0))</f>
        <v>400</v>
      </c>
      <c r="V165" s="192">
        <f>INDEX('Revenue by Customer'!V:V,MATCH('Full Customer List'!$B165,'Revenue by Customer'!$A:$A,0))</f>
        <v>400</v>
      </c>
      <c r="W165" s="192">
        <f>INDEX('Revenue by Customer'!W:W,MATCH('Full Customer List'!$B165,'Revenue by Customer'!$A:$A,0))</f>
        <v>400</v>
      </c>
      <c r="X165" s="192">
        <f>INDEX('Revenue by Customer'!X:X,MATCH('Full Customer List'!$B165,'Revenue by Customer'!$A:$A,0))</f>
        <v>430</v>
      </c>
      <c r="Y165" s="192">
        <f>INDEX('Revenue by Customer'!Y:Y,MATCH('Full Customer List'!$B165,'Revenue by Customer'!$A:$A,0))</f>
        <v>400</v>
      </c>
      <c r="Z165" s="192">
        <f>INDEX('Revenue by Customer'!Z:Z,MATCH('Full Customer List'!$B165,'Revenue by Customer'!$A:$A,0))</f>
        <v>400</v>
      </c>
      <c r="AA165" s="192">
        <f>INDEX('Revenue by Customer'!AA:AA,MATCH('Full Customer List'!$B165,'Revenue by Customer'!$A:$A,0))</f>
        <v>400</v>
      </c>
      <c r="AB165" s="192">
        <f>INDEX('Revenue by Customer'!AB:AB,MATCH('Full Customer List'!$B165,'Revenue by Customer'!$A:$A,0))</f>
        <v>418</v>
      </c>
      <c r="AC165" s="192">
        <f>INDEX('Revenue by Customer'!AC:AC,MATCH('Full Customer List'!$B165,'Revenue by Customer'!$A:$A,0))</f>
        <v>418</v>
      </c>
    </row>
    <row r="166" spans="2:29" ht="12" customHeight="1">
      <c r="B166" s="173" t="s">
        <v>801</v>
      </c>
      <c r="C166" s="173" t="str">
        <f>INDEX('Customer List'!$B:$B,MATCH('Full Customer List'!$B166,'Customer List'!$A:$A,0))</f>
        <v>Former client</v>
      </c>
      <c r="D166" s="173" t="str">
        <f>INDEX('Customer List'!$C:$C,MATCH('Full Customer List'!$B166,'Customer List'!$A:$A,0))</f>
        <v>Small business</v>
      </c>
      <c r="E166" s="173" t="str">
        <f>INDEX('Customer List Mapping'!$C:$C,MATCH('Full Customer List'!D166,'Customer List Mapping'!$B:$B,0))</f>
        <v>Small Business</v>
      </c>
      <c r="F166" s="192" t="str">
        <f>INDEX('Customer List'!$K:$K,MATCH('Full Customer List'!$B166,'Customer List'!$A:$A,0))</f>
        <v/>
      </c>
      <c r="G166" s="192">
        <f>INDEX('Revenue by Customer'!$I:$I,MATCH('Full Customer List'!$B166,'Revenue by Customer'!$A:$A,0))</f>
        <v>405</v>
      </c>
      <c r="H166" s="257" t="str">
        <f>IFERROR(IF(C166="Active","",INDEX('Client Departures'!$G:$G,MATCH('Full Customer List'!$B166,'Client Departures'!$A:$A,0))),"Unclassified")</f>
        <v>No</v>
      </c>
      <c r="I166" s="196">
        <v>44805</v>
      </c>
      <c r="J166" s="196">
        <v>46234</v>
      </c>
      <c r="K166" s="192">
        <f>INDEX('Revenue by Customer'!K:K,MATCH('Full Customer List'!$B166,'Revenue by Customer'!$A:$A,0))</f>
        <v>395</v>
      </c>
      <c r="L166" s="192">
        <f>INDEX('Revenue by Customer'!L:L,MATCH('Full Customer List'!$B166,'Revenue by Customer'!$A:$A,0))</f>
        <v>425</v>
      </c>
      <c r="M166" s="192">
        <f>INDEX('Revenue by Customer'!M:M,MATCH('Full Customer List'!$B166,'Revenue by Customer'!$A:$A,0))</f>
        <v>395</v>
      </c>
      <c r="N166" s="192">
        <f>INDEX('Revenue by Customer'!N:N,MATCH('Full Customer List'!$B166,'Revenue by Customer'!$A:$A,0))</f>
        <v>395</v>
      </c>
      <c r="O166" s="192">
        <f>INDEX('Revenue by Customer'!O:O,MATCH('Full Customer List'!$B166,'Revenue by Customer'!$A:$A,0))</f>
        <v>395</v>
      </c>
      <c r="P166" s="192">
        <f>INDEX('Revenue by Customer'!P:P,MATCH('Full Customer List'!$B166,'Revenue by Customer'!$A:$A,0))</f>
        <v>395</v>
      </c>
      <c r="Q166" s="192">
        <f>INDEX('Revenue by Customer'!Q:Q,MATCH('Full Customer List'!$B166,'Revenue by Customer'!$A:$A,0))</f>
        <v>395</v>
      </c>
      <c r="R166" s="192">
        <f>INDEX('Revenue by Customer'!R:R,MATCH('Full Customer List'!$B166,'Revenue by Customer'!$A:$A,0))</f>
        <v>395</v>
      </c>
      <c r="S166" s="192">
        <f>INDEX('Revenue by Customer'!S:S,MATCH('Full Customer List'!$B166,'Revenue by Customer'!$A:$A,0))</f>
        <v>405</v>
      </c>
      <c r="T166" s="192">
        <f>INDEX('Revenue by Customer'!T:T,MATCH('Full Customer List'!$B166,'Revenue by Customer'!$A:$A,0))</f>
        <v>405</v>
      </c>
      <c r="U166" s="192">
        <f>INDEX('Revenue by Customer'!U:U,MATCH('Full Customer List'!$B166,'Revenue by Customer'!$A:$A,0))</f>
        <v>405</v>
      </c>
      <c r="V166" s="192">
        <f>INDEX('Revenue by Customer'!V:V,MATCH('Full Customer List'!$B166,'Revenue by Customer'!$A:$A,0))</f>
        <v>405</v>
      </c>
      <c r="W166" s="192">
        <f>INDEX('Revenue by Customer'!W:W,MATCH('Full Customer List'!$B166,'Revenue by Customer'!$A:$A,0))</f>
        <v>405</v>
      </c>
      <c r="X166" s="192">
        <f>INDEX('Revenue by Customer'!X:X,MATCH('Full Customer List'!$B166,'Revenue by Customer'!$A:$A,0))</f>
        <v>420</v>
      </c>
      <c r="Y166" s="192">
        <f>INDEX('Revenue by Customer'!Y:Y,MATCH('Full Customer List'!$B166,'Revenue by Customer'!$A:$A,0))</f>
        <v>405</v>
      </c>
      <c r="Z166" s="192">
        <f>INDEX('Revenue by Customer'!Z:Z,MATCH('Full Customer List'!$B166,'Revenue by Customer'!$A:$A,0))</f>
        <v>405</v>
      </c>
      <c r="AA166" s="192">
        <f>INDEX('Revenue by Customer'!AA:AA,MATCH('Full Customer List'!$B166,'Revenue by Customer'!$A:$A,0))</f>
        <v>405</v>
      </c>
      <c r="AB166" s="192">
        <f>INDEX('Revenue by Customer'!AB:AB,MATCH('Full Customer List'!$B166,'Revenue by Customer'!$A:$A,0))</f>
        <v>405</v>
      </c>
      <c r="AC166" s="192">
        <f>INDEX('Revenue by Customer'!AC:AC,MATCH('Full Customer List'!$B166,'Revenue by Customer'!$A:$A,0))</f>
        <v>405</v>
      </c>
    </row>
    <row r="167" spans="2:29" ht="12" customHeight="1">
      <c r="B167" s="173" t="s">
        <v>802</v>
      </c>
      <c r="C167" s="173" t="str">
        <f>INDEX('Customer List'!$B:$B,MATCH('Full Customer List'!$B167,'Customer List'!$A:$A,0))</f>
        <v>Active</v>
      </c>
      <c r="D167" s="173" t="str">
        <f>INDEX('Customer List'!$C:$C,MATCH('Full Customer List'!$B167,'Customer List'!$A:$A,0))</f>
        <v>STR owner</v>
      </c>
      <c r="E167" s="173" t="str">
        <f>INDEX('Customer List Mapping'!$C:$C,MATCH('Full Customer List'!D167,'Customer List Mapping'!$B:$B,0))</f>
        <v>STR Owner</v>
      </c>
      <c r="F167" s="192" t="str">
        <f>INDEX('Customer List'!$K:$K,MATCH('Full Customer List'!$B167,'Customer List'!$A:$A,0))</f>
        <v/>
      </c>
      <c r="G167" s="192">
        <f>INDEX('Revenue by Customer'!$I:$I,MATCH('Full Customer List'!$B167,'Revenue by Customer'!$A:$A,0))</f>
        <v>418</v>
      </c>
      <c r="H167" s="257" t="str">
        <f>IFERROR(IF(C167="Active","",INDEX('Client Departures'!$G:$G,MATCH('Full Customer List'!$B167,'Client Departures'!$A:$A,0))),"Unclassified")</f>
        <v/>
      </c>
      <c r="I167" s="196">
        <v>45778</v>
      </c>
      <c r="J167" s="196"/>
      <c r="K167" s="192" t="str">
        <f>INDEX('Revenue by Customer'!K:K,MATCH('Full Customer List'!$B167,'Revenue by Customer'!$A:$A,0))</f>
        <v/>
      </c>
      <c r="L167" s="192" t="str">
        <f>INDEX('Revenue by Customer'!L:L,MATCH('Full Customer List'!$B167,'Revenue by Customer'!$A:$A,0))</f>
        <v/>
      </c>
      <c r="M167" s="192" t="str">
        <f>INDEX('Revenue by Customer'!M:M,MATCH('Full Customer List'!$B167,'Revenue by Customer'!$A:$A,0))</f>
        <v/>
      </c>
      <c r="N167" s="192" t="str">
        <f>INDEX('Revenue by Customer'!N:N,MATCH('Full Customer List'!$B167,'Revenue by Customer'!$A:$A,0))</f>
        <v/>
      </c>
      <c r="O167" s="192">
        <f>INDEX('Revenue by Customer'!O:O,MATCH('Full Customer List'!$B167,'Revenue by Customer'!$A:$A,0))</f>
        <v>340</v>
      </c>
      <c r="P167" s="192">
        <f>INDEX('Revenue by Customer'!P:P,MATCH('Full Customer List'!$B167,'Revenue by Customer'!$A:$A,0))</f>
        <v>340</v>
      </c>
      <c r="Q167" s="192">
        <f>INDEX('Revenue by Customer'!Q:Q,MATCH('Full Customer List'!$B167,'Revenue by Customer'!$A:$A,0))</f>
        <v>340</v>
      </c>
      <c r="R167" s="192">
        <f>INDEX('Revenue by Customer'!R:R,MATCH('Full Customer List'!$B167,'Revenue by Customer'!$A:$A,0))</f>
        <v>400</v>
      </c>
      <c r="S167" s="192">
        <f>INDEX('Revenue by Customer'!S:S,MATCH('Full Customer List'!$B167,'Revenue by Customer'!$A:$A,0))</f>
        <v>400</v>
      </c>
      <c r="T167" s="192">
        <f>INDEX('Revenue by Customer'!T:T,MATCH('Full Customer List'!$B167,'Revenue by Customer'!$A:$A,0))</f>
        <v>400</v>
      </c>
      <c r="U167" s="192">
        <f>INDEX('Revenue by Customer'!U:U,MATCH('Full Customer List'!$B167,'Revenue by Customer'!$A:$A,0))</f>
        <v>400</v>
      </c>
      <c r="V167" s="192">
        <f>INDEX('Revenue by Customer'!V:V,MATCH('Full Customer List'!$B167,'Revenue by Customer'!$A:$A,0))</f>
        <v>400</v>
      </c>
      <c r="W167" s="192">
        <f>INDEX('Revenue by Customer'!W:W,MATCH('Full Customer List'!$B167,'Revenue by Customer'!$A:$A,0))</f>
        <v>400</v>
      </c>
      <c r="X167" s="192">
        <f>INDEX('Revenue by Customer'!X:X,MATCH('Full Customer List'!$B167,'Revenue by Customer'!$A:$A,0))</f>
        <v>400</v>
      </c>
      <c r="Y167" s="192">
        <f>INDEX('Revenue by Customer'!Y:Y,MATCH('Full Customer List'!$B167,'Revenue by Customer'!$A:$A,0))</f>
        <v>400</v>
      </c>
      <c r="Z167" s="192">
        <f>INDEX('Revenue by Customer'!Z:Z,MATCH('Full Customer List'!$B167,'Revenue by Customer'!$A:$A,0))</f>
        <v>400</v>
      </c>
      <c r="AA167" s="192">
        <f>INDEX('Revenue by Customer'!AA:AA,MATCH('Full Customer List'!$B167,'Revenue by Customer'!$A:$A,0))</f>
        <v>418</v>
      </c>
      <c r="AB167" s="192">
        <f>INDEX('Revenue by Customer'!AB:AB,MATCH('Full Customer List'!$B167,'Revenue by Customer'!$A:$A,0))</f>
        <v>418</v>
      </c>
      <c r="AC167" s="192">
        <f>INDEX('Revenue by Customer'!AC:AC,MATCH('Full Customer List'!$B167,'Revenue by Customer'!$A:$A,0))</f>
        <v>418</v>
      </c>
    </row>
    <row r="168" spans="2:29" ht="12" customHeight="1">
      <c r="B168" s="173" t="s">
        <v>803</v>
      </c>
      <c r="C168" s="173" t="str">
        <f>INDEX('Customer List'!$B:$B,MATCH('Full Customer List'!$B168,'Customer List'!$A:$A,0))</f>
        <v>Active</v>
      </c>
      <c r="D168" s="173" t="str">
        <f>INDEX('Customer List'!$C:$C,MATCH('Full Customer List'!$B168,'Customer List'!$A:$A,0))</f>
        <v>STR owner</v>
      </c>
      <c r="E168" s="173" t="str">
        <f>INDEX('Customer List Mapping'!$C:$C,MATCH('Full Customer List'!D168,'Customer List Mapping'!$B:$B,0))</f>
        <v>STR Owner</v>
      </c>
      <c r="F168" s="192" t="str">
        <f>INDEX('Customer List'!$K:$K,MATCH('Full Customer List'!$B168,'Customer List'!$A:$A,0))</f>
        <v/>
      </c>
      <c r="G168" s="192">
        <f>INDEX('Revenue by Customer'!$I:$I,MATCH('Full Customer List'!$B168,'Revenue by Customer'!$A:$A,0))</f>
        <v>400</v>
      </c>
      <c r="H168" s="257" t="str">
        <f>IFERROR(IF(C168="Active","",INDEX('Client Departures'!$G:$G,MATCH('Full Customer List'!$B168,'Client Departures'!$A:$A,0))),"Unclassified")</f>
        <v/>
      </c>
      <c r="I168" s="196">
        <v>45261</v>
      </c>
      <c r="J168" s="196"/>
      <c r="K168" s="192">
        <f>INDEX('Revenue by Customer'!K:K,MATCH('Full Customer List'!$B168,'Revenue by Customer'!$A:$A,0))</f>
        <v>415</v>
      </c>
      <c r="L168" s="192">
        <f>INDEX('Revenue by Customer'!L:L,MATCH('Full Customer List'!$B168,'Revenue by Customer'!$A:$A,0))</f>
        <v>400</v>
      </c>
      <c r="M168" s="192">
        <f>INDEX('Revenue by Customer'!M:M,MATCH('Full Customer List'!$B168,'Revenue by Customer'!$A:$A,0))</f>
        <v>400</v>
      </c>
      <c r="N168" s="192">
        <f>INDEX('Revenue by Customer'!N:N,MATCH('Full Customer List'!$B168,'Revenue by Customer'!$A:$A,0))</f>
        <v>400</v>
      </c>
      <c r="O168" s="192">
        <f>INDEX('Revenue by Customer'!O:O,MATCH('Full Customer List'!$B168,'Revenue by Customer'!$A:$A,0))</f>
        <v>400</v>
      </c>
      <c r="P168" s="192">
        <f>INDEX('Revenue by Customer'!P:P,MATCH('Full Customer List'!$B168,'Revenue by Customer'!$A:$A,0))</f>
        <v>400</v>
      </c>
      <c r="Q168" s="192">
        <f>INDEX('Revenue by Customer'!Q:Q,MATCH('Full Customer List'!$B168,'Revenue by Customer'!$A:$A,0))</f>
        <v>400</v>
      </c>
      <c r="R168" s="192">
        <f>INDEX('Revenue by Customer'!R:R,MATCH('Full Customer List'!$B168,'Revenue by Customer'!$A:$A,0))</f>
        <v>400</v>
      </c>
      <c r="S168" s="192">
        <f>INDEX('Revenue by Customer'!S:S,MATCH('Full Customer List'!$B168,'Revenue by Customer'!$A:$A,0))</f>
        <v>400</v>
      </c>
      <c r="T168" s="192">
        <f>INDEX('Revenue by Customer'!T:T,MATCH('Full Customer List'!$B168,'Revenue by Customer'!$A:$A,0))</f>
        <v>400</v>
      </c>
      <c r="U168" s="192">
        <f>INDEX('Revenue by Customer'!U:U,MATCH('Full Customer List'!$B168,'Revenue by Customer'!$A:$A,0))</f>
        <v>400</v>
      </c>
      <c r="V168" s="192">
        <f>INDEX('Revenue by Customer'!V:V,MATCH('Full Customer List'!$B168,'Revenue by Customer'!$A:$A,0))</f>
        <v>400</v>
      </c>
      <c r="W168" s="192">
        <f>INDEX('Revenue by Customer'!W:W,MATCH('Full Customer List'!$B168,'Revenue by Customer'!$A:$A,0))</f>
        <v>400</v>
      </c>
      <c r="X168" s="192">
        <f>INDEX('Revenue by Customer'!X:X,MATCH('Full Customer List'!$B168,'Revenue by Customer'!$A:$A,0))</f>
        <v>430</v>
      </c>
      <c r="Y168" s="192">
        <f>INDEX('Revenue by Customer'!Y:Y,MATCH('Full Customer List'!$B168,'Revenue by Customer'!$A:$A,0))</f>
        <v>400</v>
      </c>
      <c r="Z168" s="192">
        <f>INDEX('Revenue by Customer'!Z:Z,MATCH('Full Customer List'!$B168,'Revenue by Customer'!$A:$A,0))</f>
        <v>400</v>
      </c>
      <c r="AA168" s="192">
        <f>INDEX('Revenue by Customer'!AA:AA,MATCH('Full Customer List'!$B168,'Revenue by Customer'!$A:$A,0))</f>
        <v>400</v>
      </c>
      <c r="AB168" s="192">
        <f>INDEX('Revenue by Customer'!AB:AB,MATCH('Full Customer List'!$B168,'Revenue by Customer'!$A:$A,0))</f>
        <v>400</v>
      </c>
      <c r="AC168" s="192">
        <f>INDEX('Revenue by Customer'!AC:AC,MATCH('Full Customer List'!$B168,'Revenue by Customer'!$A:$A,0))</f>
        <v>400</v>
      </c>
    </row>
    <row r="169" spans="2:29" ht="12" customHeight="1">
      <c r="B169" s="173" t="s">
        <v>804</v>
      </c>
      <c r="C169" s="173" t="str">
        <f>INDEX('Customer List'!$B:$B,MATCH('Full Customer List'!$B169,'Customer List'!$A:$A,0))</f>
        <v>Former client</v>
      </c>
      <c r="D169" s="173" t="str">
        <f>INDEX('Customer List'!$C:$C,MATCH('Full Customer List'!$B169,'Customer List'!$A:$A,0))</f>
        <v>STR owner</v>
      </c>
      <c r="E169" s="173" t="str">
        <f>INDEX('Customer List Mapping'!$C:$C,MATCH('Full Customer List'!D169,'Customer List Mapping'!$B:$B,0))</f>
        <v>STR Owner</v>
      </c>
      <c r="F169" s="192" t="str">
        <f>INDEX('Customer List'!$K:$K,MATCH('Full Customer List'!$B169,'Customer List'!$A:$A,0))</f>
        <v/>
      </c>
      <c r="G169" s="192">
        <f>INDEX('Revenue by Customer'!$I:$I,MATCH('Full Customer List'!$B169,'Revenue by Customer'!$A:$A,0))</f>
        <v>648.33333333333337</v>
      </c>
      <c r="H169" s="257" t="str">
        <f>IFERROR(IF(C169="Active","",INDEX('Client Departures'!$G:$G,MATCH('Full Customer List'!$B169,'Client Departures'!$A:$A,0))),"Unclassified")</f>
        <v>Unclassified</v>
      </c>
      <c r="I169" s="196">
        <v>45748</v>
      </c>
      <c r="J169" s="196">
        <v>46112</v>
      </c>
      <c r="K169" s="192" t="str">
        <f>INDEX('Revenue by Customer'!K:K,MATCH('Full Customer List'!$B169,'Revenue by Customer'!$A:$A,0))</f>
        <v/>
      </c>
      <c r="L169" s="192" t="str">
        <f>INDEX('Revenue by Customer'!L:L,MATCH('Full Customer List'!$B169,'Revenue by Customer'!$A:$A,0))</f>
        <v/>
      </c>
      <c r="M169" s="192" t="str">
        <f>INDEX('Revenue by Customer'!M:M,MATCH('Full Customer List'!$B169,'Revenue by Customer'!$A:$A,0))</f>
        <v/>
      </c>
      <c r="N169" s="192">
        <f>INDEX('Revenue by Customer'!N:N,MATCH('Full Customer List'!$B169,'Revenue by Customer'!$A:$A,0))</f>
        <v>878.75</v>
      </c>
      <c r="O169" s="192">
        <f>INDEX('Revenue by Customer'!O:O,MATCH('Full Customer List'!$B169,'Revenue by Customer'!$A:$A,0))</f>
        <v>503.75</v>
      </c>
      <c r="P169" s="192">
        <f>INDEX('Revenue by Customer'!P:P,MATCH('Full Customer List'!$B169,'Revenue by Customer'!$A:$A,0))</f>
        <v>503.75</v>
      </c>
      <c r="Q169" s="192">
        <f>INDEX('Revenue by Customer'!Q:Q,MATCH('Full Customer List'!$B169,'Revenue by Customer'!$A:$A,0))</f>
        <v>575</v>
      </c>
      <c r="R169" s="192">
        <f>INDEX('Revenue by Customer'!R:R,MATCH('Full Customer List'!$B169,'Revenue by Customer'!$A:$A,0))</f>
        <v>575</v>
      </c>
      <c r="S169" s="192">
        <f>INDEX('Revenue by Customer'!S:S,MATCH('Full Customer List'!$B169,'Revenue by Customer'!$A:$A,0))</f>
        <v>575</v>
      </c>
      <c r="T169" s="192">
        <f>INDEX('Revenue by Customer'!T:T,MATCH('Full Customer List'!$B169,'Revenue by Customer'!$A:$A,0))</f>
        <v>575</v>
      </c>
      <c r="U169" s="192">
        <f>INDEX('Revenue by Customer'!U:U,MATCH('Full Customer List'!$B169,'Revenue by Customer'!$A:$A,0))</f>
        <v>575</v>
      </c>
      <c r="V169" s="192">
        <f>INDEX('Revenue by Customer'!V:V,MATCH('Full Customer List'!$B169,'Revenue by Customer'!$A:$A,0))</f>
        <v>575</v>
      </c>
      <c r="W169" s="192">
        <f>INDEX('Revenue by Customer'!W:W,MATCH('Full Customer List'!$B169,'Revenue by Customer'!$A:$A,0))</f>
        <v>575</v>
      </c>
      <c r="X169" s="192">
        <f>INDEX('Revenue by Customer'!X:X,MATCH('Full Customer List'!$B169,'Revenue by Customer'!$A:$A,0))</f>
        <v>795</v>
      </c>
      <c r="Y169" s="192">
        <f>INDEX('Revenue by Customer'!Y:Y,MATCH('Full Customer List'!$B169,'Revenue by Customer'!$A:$A,0))</f>
        <v>575</v>
      </c>
      <c r="Z169" s="192" t="str">
        <f>INDEX('Revenue by Customer'!Z:Z,MATCH('Full Customer List'!$B169,'Revenue by Customer'!$A:$A,0))</f>
        <v/>
      </c>
      <c r="AA169" s="192" t="str">
        <f>INDEX('Revenue by Customer'!AA:AA,MATCH('Full Customer List'!$B169,'Revenue by Customer'!$A:$A,0))</f>
        <v/>
      </c>
      <c r="AB169" s="192" t="str">
        <f>INDEX('Revenue by Customer'!AB:AB,MATCH('Full Customer List'!$B169,'Revenue by Customer'!$A:$A,0))</f>
        <v/>
      </c>
      <c r="AC169" s="192" t="str">
        <f>INDEX('Revenue by Customer'!AC:AC,MATCH('Full Customer List'!$B169,'Revenue by Customer'!$A:$A,0))</f>
        <v/>
      </c>
    </row>
    <row r="170" spans="2:29" ht="12" customHeight="1">
      <c r="B170" s="173" t="s">
        <v>805</v>
      </c>
      <c r="C170" s="173" t="str">
        <f>INDEX('Customer List'!$B:$B,MATCH('Full Customer List'!$B170,'Customer List'!$A:$A,0))</f>
        <v>Active</v>
      </c>
      <c r="D170" s="173" t="str">
        <f>INDEX('Customer List'!$C:$C,MATCH('Full Customer List'!$B170,'Customer List'!$A:$A,0))</f>
        <v>Property manager</v>
      </c>
      <c r="E170" s="173" t="str">
        <f>INDEX('Customer List Mapping'!$C:$C,MATCH('Full Customer List'!D170,'Customer List Mapping'!$B:$B,0))</f>
        <v>Property Manager</v>
      </c>
      <c r="F170" s="192">
        <f>INDEX('Customer List'!$K:$K,MATCH('Full Customer List'!$B170,'Customer List'!$A:$A,0))</f>
        <v>15</v>
      </c>
      <c r="G170" s="192">
        <f>INDEX('Revenue by Customer'!$I:$I,MATCH('Full Customer List'!$B170,'Revenue by Customer'!$A:$A,0))</f>
        <v>1592.6666666666667</v>
      </c>
      <c r="H170" s="257" t="str">
        <f>IFERROR(IF(C170="Active","",INDEX('Client Departures'!$G:$G,MATCH('Full Customer List'!$B170,'Client Departures'!$A:$A,0))),"Unclassified")</f>
        <v/>
      </c>
      <c r="I170" s="196">
        <v>46143</v>
      </c>
      <c r="J170" s="196"/>
      <c r="K170" s="192" t="str">
        <f>INDEX('Revenue by Customer'!K:K,MATCH('Full Customer List'!$B170,'Revenue by Customer'!$A:$A,0))</f>
        <v/>
      </c>
      <c r="L170" s="192" t="str">
        <f>INDEX('Revenue by Customer'!L:L,MATCH('Full Customer List'!$B170,'Revenue by Customer'!$A:$A,0))</f>
        <v/>
      </c>
      <c r="M170" s="192" t="str">
        <f>INDEX('Revenue by Customer'!M:M,MATCH('Full Customer List'!$B170,'Revenue by Customer'!$A:$A,0))</f>
        <v/>
      </c>
      <c r="N170" s="192" t="str">
        <f>INDEX('Revenue by Customer'!N:N,MATCH('Full Customer List'!$B170,'Revenue by Customer'!$A:$A,0))</f>
        <v/>
      </c>
      <c r="O170" s="192" t="str">
        <f>INDEX('Revenue by Customer'!O:O,MATCH('Full Customer List'!$B170,'Revenue by Customer'!$A:$A,0))</f>
        <v/>
      </c>
      <c r="P170" s="192" t="str">
        <f>INDEX('Revenue by Customer'!P:P,MATCH('Full Customer List'!$B170,'Revenue by Customer'!$A:$A,0))</f>
        <v/>
      </c>
      <c r="Q170" s="192" t="str">
        <f>INDEX('Revenue by Customer'!Q:Q,MATCH('Full Customer List'!$B170,'Revenue by Customer'!$A:$A,0))</f>
        <v/>
      </c>
      <c r="R170" s="192" t="str">
        <f>INDEX('Revenue by Customer'!R:R,MATCH('Full Customer List'!$B170,'Revenue by Customer'!$A:$A,0))</f>
        <v/>
      </c>
      <c r="S170" s="192" t="str">
        <f>INDEX('Revenue by Customer'!S:S,MATCH('Full Customer List'!$B170,'Revenue by Customer'!$A:$A,0))</f>
        <v/>
      </c>
      <c r="T170" s="192" t="str">
        <f>INDEX('Revenue by Customer'!T:T,MATCH('Full Customer List'!$B170,'Revenue by Customer'!$A:$A,0))</f>
        <v/>
      </c>
      <c r="U170" s="192" t="str">
        <f>INDEX('Revenue by Customer'!U:U,MATCH('Full Customer List'!$B170,'Revenue by Customer'!$A:$A,0))</f>
        <v/>
      </c>
      <c r="V170" s="192" t="str">
        <f>INDEX('Revenue by Customer'!V:V,MATCH('Full Customer List'!$B170,'Revenue by Customer'!$A:$A,0))</f>
        <v/>
      </c>
      <c r="W170" s="192" t="str">
        <f>INDEX('Revenue by Customer'!W:W,MATCH('Full Customer List'!$B170,'Revenue by Customer'!$A:$A,0))</f>
        <v/>
      </c>
      <c r="X170" s="192" t="str">
        <f>INDEX('Revenue by Customer'!X:X,MATCH('Full Customer List'!$B170,'Revenue by Customer'!$A:$A,0))</f>
        <v/>
      </c>
      <c r="Y170" s="192" t="str">
        <f>INDEX('Revenue by Customer'!Y:Y,MATCH('Full Customer List'!$B170,'Revenue by Customer'!$A:$A,0))</f>
        <v/>
      </c>
      <c r="Z170" s="192" t="str">
        <f>INDEX('Revenue by Customer'!Z:Z,MATCH('Full Customer List'!$B170,'Revenue by Customer'!$A:$A,0))</f>
        <v/>
      </c>
      <c r="AA170" s="192">
        <f>INDEX('Revenue by Customer'!AA:AA,MATCH('Full Customer List'!$B170,'Revenue by Customer'!$A:$A,0))</f>
        <v>2696</v>
      </c>
      <c r="AB170" s="192">
        <f>INDEX('Revenue by Customer'!AB:AB,MATCH('Full Customer List'!$B170,'Revenue by Customer'!$A:$A,0))</f>
        <v>974</v>
      </c>
      <c r="AC170" s="192">
        <f>INDEX('Revenue by Customer'!AC:AC,MATCH('Full Customer List'!$B170,'Revenue by Customer'!$A:$A,0))</f>
        <v>1108</v>
      </c>
    </row>
    <row r="171" spans="2:29" ht="12" customHeight="1">
      <c r="B171" s="173" t="s">
        <v>806</v>
      </c>
      <c r="C171" s="173" t="str">
        <f>INDEX('Customer List'!$B:$B,MATCH('Full Customer List'!$B171,'Customer List'!$A:$A,0))</f>
        <v>Former client</v>
      </c>
      <c r="D171" s="173" t="str">
        <f>INDEX('Customer List'!$C:$C,MATCH('Full Customer List'!$B171,'Customer List'!$A:$A,0))</f>
        <v>Small business</v>
      </c>
      <c r="E171" s="173" t="str">
        <f>INDEX('Customer List Mapping'!$C:$C,MATCH('Full Customer List'!D171,'Customer List Mapping'!$B:$B,0))</f>
        <v>Small Business</v>
      </c>
      <c r="F171" s="192" t="str">
        <f>INDEX('Customer List'!$K:$K,MATCH('Full Customer List'!$B171,'Customer List'!$A:$A,0))</f>
        <v/>
      </c>
      <c r="G171" s="192">
        <f>INDEX('Revenue by Customer'!$I:$I,MATCH('Full Customer List'!$B171,'Revenue by Customer'!$A:$A,0))</f>
        <v>400</v>
      </c>
      <c r="H171" s="257" t="str">
        <f>IFERROR(IF(C171="Active","",INDEX('Client Departures'!$G:$G,MATCH('Full Customer List'!$B171,'Client Departures'!$A:$A,0))),"Unclassified")</f>
        <v>No</v>
      </c>
      <c r="I171" s="196">
        <v>44317</v>
      </c>
      <c r="J171" s="196">
        <v>46234</v>
      </c>
      <c r="K171" s="192">
        <f>INDEX('Revenue by Customer'!K:K,MATCH('Full Customer List'!$B171,'Revenue by Customer'!$A:$A,0))</f>
        <v>385</v>
      </c>
      <c r="L171" s="192">
        <f>INDEX('Revenue by Customer'!L:L,MATCH('Full Customer List'!$B171,'Revenue by Customer'!$A:$A,0))</f>
        <v>385</v>
      </c>
      <c r="M171" s="192">
        <f>INDEX('Revenue by Customer'!M:M,MATCH('Full Customer List'!$B171,'Revenue by Customer'!$A:$A,0))</f>
        <v>385</v>
      </c>
      <c r="N171" s="192">
        <f>INDEX('Revenue by Customer'!N:N,MATCH('Full Customer List'!$B171,'Revenue by Customer'!$A:$A,0))</f>
        <v>385</v>
      </c>
      <c r="O171" s="192">
        <f>INDEX('Revenue by Customer'!O:O,MATCH('Full Customer List'!$B171,'Revenue by Customer'!$A:$A,0))</f>
        <v>385</v>
      </c>
      <c r="P171" s="192">
        <f>INDEX('Revenue by Customer'!P:P,MATCH('Full Customer List'!$B171,'Revenue by Customer'!$A:$A,0))</f>
        <v>385</v>
      </c>
      <c r="Q171" s="192">
        <f>INDEX('Revenue by Customer'!Q:Q,MATCH('Full Customer List'!$B171,'Revenue by Customer'!$A:$A,0))</f>
        <v>385</v>
      </c>
      <c r="R171" s="192">
        <f>INDEX('Revenue by Customer'!R:R,MATCH('Full Customer List'!$B171,'Revenue by Customer'!$A:$A,0))</f>
        <v>385</v>
      </c>
      <c r="S171" s="192">
        <f>INDEX('Revenue by Customer'!S:S,MATCH('Full Customer List'!$B171,'Revenue by Customer'!$A:$A,0))</f>
        <v>385</v>
      </c>
      <c r="T171" s="192">
        <f>INDEX('Revenue by Customer'!T:T,MATCH('Full Customer List'!$B171,'Revenue by Customer'!$A:$A,0))</f>
        <v>385</v>
      </c>
      <c r="U171" s="192">
        <f>INDEX('Revenue by Customer'!U:U,MATCH('Full Customer List'!$B171,'Revenue by Customer'!$A:$A,0))</f>
        <v>385</v>
      </c>
      <c r="V171" s="192">
        <f>INDEX('Revenue by Customer'!V:V,MATCH('Full Customer List'!$B171,'Revenue by Customer'!$A:$A,0))</f>
        <v>385</v>
      </c>
      <c r="W171" s="192">
        <f>INDEX('Revenue by Customer'!W:W,MATCH('Full Customer List'!$B171,'Revenue by Customer'!$A:$A,0))</f>
        <v>400</v>
      </c>
      <c r="X171" s="192">
        <f>INDEX('Revenue by Customer'!X:X,MATCH('Full Customer List'!$B171,'Revenue by Customer'!$A:$A,0))</f>
        <v>400</v>
      </c>
      <c r="Y171" s="192">
        <f>INDEX('Revenue by Customer'!Y:Y,MATCH('Full Customer List'!$B171,'Revenue by Customer'!$A:$A,0))</f>
        <v>400</v>
      </c>
      <c r="Z171" s="192">
        <f>INDEX('Revenue by Customer'!Z:Z,MATCH('Full Customer List'!$B171,'Revenue by Customer'!$A:$A,0))</f>
        <v>400</v>
      </c>
      <c r="AA171" s="192">
        <f>INDEX('Revenue by Customer'!AA:AA,MATCH('Full Customer List'!$B171,'Revenue by Customer'!$A:$A,0))</f>
        <v>400</v>
      </c>
      <c r="AB171" s="192">
        <f>INDEX('Revenue by Customer'!AB:AB,MATCH('Full Customer List'!$B171,'Revenue by Customer'!$A:$A,0))</f>
        <v>400</v>
      </c>
      <c r="AC171" s="192">
        <f>INDEX('Revenue by Customer'!AC:AC,MATCH('Full Customer List'!$B171,'Revenue by Customer'!$A:$A,0))</f>
        <v>400</v>
      </c>
    </row>
    <row r="172" spans="2:29" ht="12" customHeight="1">
      <c r="B172" s="173" t="s">
        <v>808</v>
      </c>
      <c r="C172" s="173" t="str">
        <f>INDEX('Customer List'!$B:$B,MATCH('Full Customer List'!$B172,'Customer List'!$A:$A,0))</f>
        <v>Active</v>
      </c>
      <c r="D172" s="173" t="str">
        <f>INDEX('Customer List'!$C:$C,MATCH('Full Customer List'!$B172,'Customer List'!$A:$A,0))</f>
        <v>Property manager</v>
      </c>
      <c r="E172" s="173" t="str">
        <f>INDEX('Customer List Mapping'!$C:$C,MATCH('Full Customer List'!D172,'Customer List Mapping'!$B:$B,0))</f>
        <v>Property Manager</v>
      </c>
      <c r="F172" s="192">
        <f>INDEX('Customer List'!$K:$K,MATCH('Full Customer List'!$B172,'Customer List'!$A:$A,0))</f>
        <v>10</v>
      </c>
      <c r="G172" s="192">
        <f>INDEX('Revenue by Customer'!$I:$I,MATCH('Full Customer List'!$B172,'Revenue by Customer'!$A:$A,0))</f>
        <v>363.3</v>
      </c>
      <c r="H172" s="257" t="str">
        <f>IFERROR(IF(C172="Active","",INDEX('Client Departures'!$G:$G,MATCH('Full Customer List'!$B172,'Client Departures'!$A:$A,0))),"Unclassified")</f>
        <v/>
      </c>
      <c r="I172" s="196">
        <v>45809</v>
      </c>
      <c r="J172" s="196"/>
      <c r="K172" s="192" t="str">
        <f>INDEX('Revenue by Customer'!K:K,MATCH('Full Customer List'!$B172,'Revenue by Customer'!$A:$A,0))</f>
        <v/>
      </c>
      <c r="L172" s="192" t="str">
        <f>INDEX('Revenue by Customer'!L:L,MATCH('Full Customer List'!$B172,'Revenue by Customer'!$A:$A,0))</f>
        <v/>
      </c>
      <c r="M172" s="192" t="str">
        <f>INDEX('Revenue by Customer'!M:M,MATCH('Full Customer List'!$B172,'Revenue by Customer'!$A:$A,0))</f>
        <v/>
      </c>
      <c r="N172" s="192" t="str">
        <f>INDEX('Revenue by Customer'!N:N,MATCH('Full Customer List'!$B172,'Revenue by Customer'!$A:$A,0))</f>
        <v/>
      </c>
      <c r="O172" s="192" t="str">
        <f>INDEX('Revenue by Customer'!O:O,MATCH('Full Customer List'!$B172,'Revenue by Customer'!$A:$A,0))</f>
        <v/>
      </c>
      <c r="P172" s="192">
        <f>INDEX('Revenue by Customer'!P:P,MATCH('Full Customer List'!$B172,'Revenue by Customer'!$A:$A,0))</f>
        <v>350</v>
      </c>
      <c r="Q172" s="192">
        <f>INDEX('Revenue by Customer'!Q:Q,MATCH('Full Customer List'!$B172,'Revenue by Customer'!$A:$A,0))</f>
        <v>360</v>
      </c>
      <c r="R172" s="192">
        <f>INDEX('Revenue by Customer'!R:R,MATCH('Full Customer List'!$B172,'Revenue by Customer'!$A:$A,0))</f>
        <v>400</v>
      </c>
      <c r="S172" s="192">
        <f>INDEX('Revenue by Customer'!S:S,MATCH('Full Customer List'!$B172,'Revenue by Customer'!$A:$A,0))</f>
        <v>400</v>
      </c>
      <c r="T172" s="192">
        <f>INDEX('Revenue by Customer'!T:T,MATCH('Full Customer List'!$B172,'Revenue by Customer'!$A:$A,0))</f>
        <v>420</v>
      </c>
      <c r="U172" s="192">
        <f>INDEX('Revenue by Customer'!U:U,MATCH('Full Customer List'!$B172,'Revenue by Customer'!$A:$A,0))</f>
        <v>530</v>
      </c>
      <c r="V172" s="192">
        <f>INDEX('Revenue by Customer'!V:V,MATCH('Full Customer List'!$B172,'Revenue by Customer'!$A:$A,0))</f>
        <v>625</v>
      </c>
      <c r="W172" s="192">
        <f>INDEX('Revenue by Customer'!W:W,MATCH('Full Customer List'!$B172,'Revenue by Customer'!$A:$A,0))</f>
        <v>345</v>
      </c>
      <c r="X172" s="192">
        <f>INDEX('Revenue by Customer'!X:X,MATCH('Full Customer List'!$B172,'Revenue by Customer'!$A:$A,0))</f>
        <v>300</v>
      </c>
      <c r="Y172" s="192">
        <f>INDEX('Revenue by Customer'!Y:Y,MATCH('Full Customer List'!$B172,'Revenue by Customer'!$A:$A,0))</f>
        <v>300</v>
      </c>
      <c r="Z172" s="192">
        <f>INDEX('Revenue by Customer'!Z:Z,MATCH('Full Customer List'!$B172,'Revenue by Customer'!$A:$A,0))</f>
        <v>300</v>
      </c>
      <c r="AA172" s="192">
        <f>INDEX('Revenue by Customer'!AA:AA,MATCH('Full Customer List'!$B172,'Revenue by Customer'!$A:$A,0))</f>
        <v>360</v>
      </c>
      <c r="AB172" s="192">
        <f>INDEX('Revenue by Customer'!AB:AB,MATCH('Full Customer List'!$B172,'Revenue by Customer'!$A:$A,0))</f>
        <v>360</v>
      </c>
      <c r="AC172" s="192">
        <f>INDEX('Revenue by Customer'!AC:AC,MATCH('Full Customer List'!$B172,'Revenue by Customer'!$A:$A,0))</f>
        <v>369.9</v>
      </c>
    </row>
    <row r="173" spans="2:29" ht="12" customHeight="1">
      <c r="B173" s="173" t="s">
        <v>809</v>
      </c>
      <c r="C173" s="173" t="str">
        <f>INDEX('Customer List'!$B:$B,MATCH('Full Customer List'!$B173,'Customer List'!$A:$A,0))</f>
        <v>Active</v>
      </c>
      <c r="D173" s="173" t="str">
        <f>INDEX('Customer List'!$C:$C,MATCH('Full Customer List'!$B173,'Customer List'!$A:$A,0))</f>
        <v>Property manager</v>
      </c>
      <c r="E173" s="173" t="str">
        <f>INDEX('Customer List Mapping'!$C:$C,MATCH('Full Customer List'!D173,'Customer List Mapping'!$B:$B,0))</f>
        <v>Property Manager</v>
      </c>
      <c r="F173" s="192">
        <f>INDEX('Customer List'!$K:$K,MATCH('Full Customer List'!$B173,'Customer List'!$A:$A,0))</f>
        <v>2</v>
      </c>
      <c r="G173" s="192">
        <f>INDEX('Revenue by Customer'!$I:$I,MATCH('Full Customer List'!$B173,'Revenue by Customer'!$A:$A,0))</f>
        <v>386</v>
      </c>
      <c r="H173" s="257" t="str">
        <f>IFERROR(IF(C173="Active","",INDEX('Client Departures'!$G:$G,MATCH('Full Customer List'!$B173,'Client Departures'!$A:$A,0))),"Unclassified")</f>
        <v/>
      </c>
      <c r="I173" s="196">
        <v>45839</v>
      </c>
      <c r="J173" s="196"/>
      <c r="K173" s="192" t="str">
        <f>INDEX('Revenue by Customer'!K:K,MATCH('Full Customer List'!$B173,'Revenue by Customer'!$A:$A,0))</f>
        <v/>
      </c>
      <c r="L173" s="192" t="str">
        <f>INDEX('Revenue by Customer'!L:L,MATCH('Full Customer List'!$B173,'Revenue by Customer'!$A:$A,0))</f>
        <v/>
      </c>
      <c r="M173" s="192" t="str">
        <f>INDEX('Revenue by Customer'!M:M,MATCH('Full Customer List'!$B173,'Revenue by Customer'!$A:$A,0))</f>
        <v/>
      </c>
      <c r="N173" s="192" t="str">
        <f>INDEX('Revenue by Customer'!N:N,MATCH('Full Customer List'!$B173,'Revenue by Customer'!$A:$A,0))</f>
        <v/>
      </c>
      <c r="O173" s="192" t="str">
        <f>INDEX('Revenue by Customer'!O:O,MATCH('Full Customer List'!$B173,'Revenue by Customer'!$A:$A,0))</f>
        <v/>
      </c>
      <c r="P173" s="192" t="str">
        <f>INDEX('Revenue by Customer'!P:P,MATCH('Full Customer List'!$B173,'Revenue by Customer'!$A:$A,0))</f>
        <v/>
      </c>
      <c r="Q173" s="192">
        <f>INDEX('Revenue by Customer'!Q:Q,MATCH('Full Customer List'!$B173,'Revenue by Customer'!$A:$A,0))</f>
        <v>340</v>
      </c>
      <c r="R173" s="192">
        <f>INDEX('Revenue by Customer'!R:R,MATCH('Full Customer List'!$B173,'Revenue by Customer'!$A:$A,0))</f>
        <v>340</v>
      </c>
      <c r="S173" s="192">
        <f>INDEX('Revenue by Customer'!S:S,MATCH('Full Customer List'!$B173,'Revenue by Customer'!$A:$A,0))</f>
        <v>340</v>
      </c>
      <c r="T173" s="192">
        <f>INDEX('Revenue by Customer'!T:T,MATCH('Full Customer List'!$B173,'Revenue by Customer'!$A:$A,0))</f>
        <v>400</v>
      </c>
      <c r="U173" s="192">
        <f>INDEX('Revenue by Customer'!U:U,MATCH('Full Customer List'!$B173,'Revenue by Customer'!$A:$A,0))</f>
        <v>400</v>
      </c>
      <c r="V173" s="192">
        <f>INDEX('Revenue by Customer'!V:V,MATCH('Full Customer List'!$B173,'Revenue by Customer'!$A:$A,0))</f>
        <v>400</v>
      </c>
      <c r="W173" s="192">
        <f>INDEX('Revenue by Customer'!W:W,MATCH('Full Customer List'!$B173,'Revenue by Customer'!$A:$A,0))</f>
        <v>430</v>
      </c>
      <c r="X173" s="192">
        <f>INDEX('Revenue by Customer'!X:X,MATCH('Full Customer List'!$B173,'Revenue by Customer'!$A:$A,0))</f>
        <v>400</v>
      </c>
      <c r="Y173" s="192">
        <f>INDEX('Revenue by Customer'!Y:Y,MATCH('Full Customer List'!$B173,'Revenue by Customer'!$A:$A,0))</f>
        <v>400</v>
      </c>
      <c r="Z173" s="192">
        <f>INDEX('Revenue by Customer'!Z:Z,MATCH('Full Customer List'!$B173,'Revenue by Customer'!$A:$A,0))</f>
        <v>400</v>
      </c>
      <c r="AA173" s="192">
        <f>INDEX('Revenue by Customer'!AA:AA,MATCH('Full Customer List'!$B173,'Revenue by Customer'!$A:$A,0))</f>
        <v>400</v>
      </c>
      <c r="AB173" s="192">
        <f>INDEX('Revenue by Customer'!AB:AB,MATCH('Full Customer List'!$B173,'Revenue by Customer'!$A:$A,0))</f>
        <v>400</v>
      </c>
      <c r="AC173" s="192">
        <f>INDEX('Revenue by Customer'!AC:AC,MATCH('Full Customer List'!$B173,'Revenue by Customer'!$A:$A,0))</f>
        <v>358</v>
      </c>
    </row>
    <row r="174" spans="2:29" ht="12" customHeight="1">
      <c r="B174" s="173" t="s">
        <v>811</v>
      </c>
      <c r="C174" s="173" t="str">
        <f>INDEX('Customer List'!$B:$B,MATCH('Full Customer List'!$B174,'Customer List'!$A:$A,0))</f>
        <v>Former client</v>
      </c>
      <c r="D174" s="173" t="str">
        <f>INDEX('Customer List'!$C:$C,MATCH('Full Customer List'!$B174,'Customer List'!$A:$A,0))</f>
        <v>Small business</v>
      </c>
      <c r="E174" s="173" t="str">
        <f>INDEX('Customer List Mapping'!$C:$C,MATCH('Full Customer List'!D174,'Customer List Mapping'!$B:$B,0))</f>
        <v>Small Business</v>
      </c>
      <c r="F174" s="192" t="str">
        <f>INDEX('Customer List'!$K:$K,MATCH('Full Customer List'!$B174,'Customer List'!$A:$A,0))</f>
        <v/>
      </c>
      <c r="G174" s="192">
        <f>INDEX('Revenue by Customer'!$I:$I,MATCH('Full Customer List'!$B174,'Revenue by Customer'!$A:$A,0))</f>
        <v>385</v>
      </c>
      <c r="H174" s="257" t="str">
        <f>IFERROR(IF(C174="Active","",INDEX('Client Departures'!$G:$G,MATCH('Full Customer List'!$B174,'Client Departures'!$A:$A,0))),"Unclassified")</f>
        <v>No</v>
      </c>
      <c r="I174" s="196">
        <v>44470</v>
      </c>
      <c r="J174" s="196">
        <v>46234</v>
      </c>
      <c r="K174" s="192">
        <f>INDEX('Revenue by Customer'!K:K,MATCH('Full Customer List'!$B174,'Revenue by Customer'!$A:$A,0))</f>
        <v>480</v>
      </c>
      <c r="L174" s="192">
        <f>INDEX('Revenue by Customer'!L:L,MATCH('Full Customer List'!$B174,'Revenue by Customer'!$A:$A,0))</f>
        <v>375</v>
      </c>
      <c r="M174" s="192">
        <f>INDEX('Revenue by Customer'!M:M,MATCH('Full Customer List'!$B174,'Revenue by Customer'!$A:$A,0))</f>
        <v>375</v>
      </c>
      <c r="N174" s="192">
        <f>INDEX('Revenue by Customer'!N:N,MATCH('Full Customer List'!$B174,'Revenue by Customer'!$A:$A,0))</f>
        <v>375</v>
      </c>
      <c r="O174" s="192">
        <f>INDEX('Revenue by Customer'!O:O,MATCH('Full Customer List'!$B174,'Revenue by Customer'!$A:$A,0))</f>
        <v>375</v>
      </c>
      <c r="P174" s="192">
        <f>INDEX('Revenue by Customer'!P:P,MATCH('Full Customer List'!$B174,'Revenue by Customer'!$A:$A,0))</f>
        <v>375</v>
      </c>
      <c r="Q174" s="192">
        <f>INDEX('Revenue by Customer'!Q:Q,MATCH('Full Customer List'!$B174,'Revenue by Customer'!$A:$A,0))</f>
        <v>375</v>
      </c>
      <c r="R174" s="192">
        <f>INDEX('Revenue by Customer'!R:R,MATCH('Full Customer List'!$B174,'Revenue by Customer'!$A:$A,0))</f>
        <v>375</v>
      </c>
      <c r="S174" s="192">
        <f>INDEX('Revenue by Customer'!S:S,MATCH('Full Customer List'!$B174,'Revenue by Customer'!$A:$A,0))</f>
        <v>375</v>
      </c>
      <c r="T174" s="192">
        <f>INDEX('Revenue by Customer'!T:T,MATCH('Full Customer List'!$B174,'Revenue by Customer'!$A:$A,0))</f>
        <v>385</v>
      </c>
      <c r="U174" s="192">
        <f>INDEX('Revenue by Customer'!U:U,MATCH('Full Customer List'!$B174,'Revenue by Customer'!$A:$A,0))</f>
        <v>385</v>
      </c>
      <c r="V174" s="192">
        <f>INDEX('Revenue by Customer'!V:V,MATCH('Full Customer List'!$B174,'Revenue by Customer'!$A:$A,0))</f>
        <v>385</v>
      </c>
      <c r="W174" s="192">
        <f>INDEX('Revenue by Customer'!W:W,MATCH('Full Customer List'!$B174,'Revenue by Customer'!$A:$A,0))</f>
        <v>385</v>
      </c>
      <c r="X174" s="192">
        <f>INDEX('Revenue by Customer'!X:X,MATCH('Full Customer List'!$B174,'Revenue by Customer'!$A:$A,0))</f>
        <v>445</v>
      </c>
      <c r="Y174" s="192">
        <f>INDEX('Revenue by Customer'!Y:Y,MATCH('Full Customer List'!$B174,'Revenue by Customer'!$A:$A,0))</f>
        <v>385</v>
      </c>
      <c r="Z174" s="192">
        <f>INDEX('Revenue by Customer'!Z:Z,MATCH('Full Customer List'!$B174,'Revenue by Customer'!$A:$A,0))</f>
        <v>385</v>
      </c>
      <c r="AA174" s="192">
        <f>INDEX('Revenue by Customer'!AA:AA,MATCH('Full Customer List'!$B174,'Revenue by Customer'!$A:$A,0))</f>
        <v>385</v>
      </c>
      <c r="AB174" s="192">
        <f>INDEX('Revenue by Customer'!AB:AB,MATCH('Full Customer List'!$B174,'Revenue by Customer'!$A:$A,0))</f>
        <v>385</v>
      </c>
      <c r="AC174" s="192">
        <f>INDEX('Revenue by Customer'!AC:AC,MATCH('Full Customer List'!$B174,'Revenue by Customer'!$A:$A,0))</f>
        <v>385</v>
      </c>
    </row>
    <row r="175" spans="2:29" ht="12" customHeight="1">
      <c r="B175" s="173" t="s">
        <v>814</v>
      </c>
      <c r="C175" s="173" t="str">
        <f>INDEX('Customer List'!$B:$B,MATCH('Full Customer List'!$B175,'Customer List'!$A:$A,0))</f>
        <v>Former client</v>
      </c>
      <c r="D175" s="173" t="str">
        <f>INDEX('Customer List'!$C:$C,MATCH('Full Customer List'!$B175,'Customer List'!$A:$A,0))</f>
        <v>Property manager</v>
      </c>
      <c r="E175" s="173" t="str">
        <f>INDEX('Customer List Mapping'!$C:$C,MATCH('Full Customer List'!D175,'Customer List Mapping'!$B:$B,0))</f>
        <v>Property Manager</v>
      </c>
      <c r="F175" s="192">
        <f>INDEX('Customer List'!$K:$K,MATCH('Full Customer List'!$B175,'Customer List'!$A:$A,0))</f>
        <v>0</v>
      </c>
      <c r="G175" s="192">
        <f>INDEX('Revenue by Customer'!$I:$I,MATCH('Full Customer List'!$B175,'Revenue by Customer'!$A:$A,0))</f>
        <v>540</v>
      </c>
      <c r="H175" s="257" t="str">
        <f>IFERROR(IF(C175="Active","",INDEX('Client Departures'!$G:$G,MATCH('Full Customer List'!$B175,'Client Departures'!$A:$A,0))),"Unclassified")</f>
        <v>No</v>
      </c>
      <c r="I175" s="196">
        <v>45778</v>
      </c>
      <c r="J175" s="196">
        <v>46142</v>
      </c>
      <c r="K175" s="192" t="str">
        <f>INDEX('Revenue by Customer'!K:K,MATCH('Full Customer List'!$B175,'Revenue by Customer'!$A:$A,0))</f>
        <v/>
      </c>
      <c r="L175" s="192" t="str">
        <f>INDEX('Revenue by Customer'!L:L,MATCH('Full Customer List'!$B175,'Revenue by Customer'!$A:$A,0))</f>
        <v/>
      </c>
      <c r="M175" s="192" t="str">
        <f>INDEX('Revenue by Customer'!M:M,MATCH('Full Customer List'!$B175,'Revenue by Customer'!$A:$A,0))</f>
        <v/>
      </c>
      <c r="N175" s="192" t="str">
        <f>INDEX('Revenue by Customer'!N:N,MATCH('Full Customer List'!$B175,'Revenue by Customer'!$A:$A,0))</f>
        <v/>
      </c>
      <c r="O175" s="192">
        <f>INDEX('Revenue by Customer'!O:O,MATCH('Full Customer List'!$B175,'Revenue by Customer'!$A:$A,0))</f>
        <v>820</v>
      </c>
      <c r="P175" s="192">
        <f>INDEX('Revenue by Customer'!P:P,MATCH('Full Customer List'!$B175,'Revenue by Customer'!$A:$A,0))</f>
        <v>520</v>
      </c>
      <c r="Q175" s="192">
        <f>INDEX('Revenue by Customer'!Q:Q,MATCH('Full Customer List'!$B175,'Revenue by Customer'!$A:$A,0))</f>
        <v>520</v>
      </c>
      <c r="R175" s="192">
        <f>INDEX('Revenue by Customer'!R:R,MATCH('Full Customer List'!$B175,'Revenue by Customer'!$A:$A,0))</f>
        <v>500</v>
      </c>
      <c r="S175" s="192">
        <f>INDEX('Revenue by Customer'!S:S,MATCH('Full Customer List'!$B175,'Revenue by Customer'!$A:$A,0))</f>
        <v>500</v>
      </c>
      <c r="T175" s="192">
        <f>INDEX('Revenue by Customer'!T:T,MATCH('Full Customer List'!$B175,'Revenue by Customer'!$A:$A,0))</f>
        <v>490</v>
      </c>
      <c r="U175" s="192">
        <f>INDEX('Revenue by Customer'!U:U,MATCH('Full Customer List'!$B175,'Revenue by Customer'!$A:$A,0))</f>
        <v>490</v>
      </c>
      <c r="V175" s="192">
        <f>INDEX('Revenue by Customer'!V:V,MATCH('Full Customer List'!$B175,'Revenue by Customer'!$A:$A,0))</f>
        <v>520</v>
      </c>
      <c r="W175" s="192">
        <f>INDEX('Revenue by Customer'!W:W,MATCH('Full Customer List'!$B175,'Revenue by Customer'!$A:$A,0))</f>
        <v>520</v>
      </c>
      <c r="X175" s="192">
        <f>INDEX('Revenue by Customer'!X:X,MATCH('Full Customer List'!$B175,'Revenue by Customer'!$A:$A,0))</f>
        <v>580</v>
      </c>
      <c r="Y175" s="192">
        <f>INDEX('Revenue by Customer'!Y:Y,MATCH('Full Customer List'!$B175,'Revenue by Customer'!$A:$A,0))</f>
        <v>520</v>
      </c>
      <c r="Z175" s="192">
        <f>INDEX('Revenue by Customer'!Z:Z,MATCH('Full Customer List'!$B175,'Revenue by Customer'!$A:$A,0))</f>
        <v>520</v>
      </c>
      <c r="AA175" s="192" t="str">
        <f>INDEX('Revenue by Customer'!AA:AA,MATCH('Full Customer List'!$B175,'Revenue by Customer'!$A:$A,0))</f>
        <v/>
      </c>
      <c r="AB175" s="192" t="str">
        <f>INDEX('Revenue by Customer'!AB:AB,MATCH('Full Customer List'!$B175,'Revenue by Customer'!$A:$A,0))</f>
        <v/>
      </c>
      <c r="AC175" s="192" t="str">
        <f>INDEX('Revenue by Customer'!AC:AC,MATCH('Full Customer List'!$B175,'Revenue by Customer'!$A:$A,0))</f>
        <v/>
      </c>
    </row>
    <row r="176" spans="2:29" ht="12" customHeight="1">
      <c r="B176" s="173" t="s">
        <v>815</v>
      </c>
      <c r="C176" s="173" t="str">
        <f>INDEX('Customer List'!$B:$B,MATCH('Full Customer List'!$B176,'Customer List'!$A:$A,0))</f>
        <v>Former client</v>
      </c>
      <c r="D176" s="173" t="str">
        <f>INDEX('Customer List'!$C:$C,MATCH('Full Customer List'!$B176,'Customer List'!$A:$A,0))</f>
        <v>Property manager</v>
      </c>
      <c r="E176" s="173" t="str">
        <f>INDEX('Customer List Mapping'!$C:$C,MATCH('Full Customer List'!D176,'Customer List Mapping'!$B:$B,0))</f>
        <v>Property Manager</v>
      </c>
      <c r="F176" s="192">
        <f>INDEX('Customer List'!$K:$K,MATCH('Full Customer List'!$B176,'Customer List'!$A:$A,0))</f>
        <v>0</v>
      </c>
      <c r="G176" s="192">
        <f>INDEX('Revenue by Customer'!$I:$I,MATCH('Full Customer List'!$B176,'Revenue by Customer'!$A:$A,0))</f>
        <v>358</v>
      </c>
      <c r="H176" s="257" t="str">
        <f>IFERROR(IF(C176="Active","",INDEX('Client Departures'!$G:$G,MATCH('Full Customer List'!$B176,'Client Departures'!$A:$A,0))),"Unclassified")</f>
        <v>Yes</v>
      </c>
      <c r="I176" s="196">
        <v>45323</v>
      </c>
      <c r="J176" s="196">
        <v>46203</v>
      </c>
      <c r="K176" s="192">
        <f>INDEX('Revenue by Customer'!K:K,MATCH('Full Customer List'!$B176,'Revenue by Customer'!$A:$A,0))</f>
        <v>585</v>
      </c>
      <c r="L176" s="192">
        <f>INDEX('Revenue by Customer'!L:L,MATCH('Full Customer List'!$B176,'Revenue by Customer'!$A:$A,0))</f>
        <v>475</v>
      </c>
      <c r="M176" s="192">
        <f>INDEX('Revenue by Customer'!M:M,MATCH('Full Customer List'!$B176,'Revenue by Customer'!$A:$A,0))</f>
        <v>550</v>
      </c>
      <c r="N176" s="192">
        <f>INDEX('Revenue by Customer'!N:N,MATCH('Full Customer List'!$B176,'Revenue by Customer'!$A:$A,0))</f>
        <v>550</v>
      </c>
      <c r="O176" s="192">
        <f>INDEX('Revenue by Customer'!O:O,MATCH('Full Customer List'!$B176,'Revenue by Customer'!$A:$A,0))</f>
        <v>550</v>
      </c>
      <c r="P176" s="192">
        <f>INDEX('Revenue by Customer'!P:P,MATCH('Full Customer List'!$B176,'Revenue by Customer'!$A:$A,0))</f>
        <v>550</v>
      </c>
      <c r="Q176" s="192">
        <f>INDEX('Revenue by Customer'!Q:Q,MATCH('Full Customer List'!$B176,'Revenue by Customer'!$A:$A,0))</f>
        <v>550</v>
      </c>
      <c r="R176" s="192">
        <f>INDEX('Revenue by Customer'!R:R,MATCH('Full Customer List'!$B176,'Revenue by Customer'!$A:$A,0))</f>
        <v>550</v>
      </c>
      <c r="S176" s="192">
        <f>INDEX('Revenue by Customer'!S:S,MATCH('Full Customer List'!$B176,'Revenue by Customer'!$A:$A,0))</f>
        <v>400</v>
      </c>
      <c r="T176" s="192">
        <f>INDEX('Revenue by Customer'!T:T,MATCH('Full Customer List'!$B176,'Revenue by Customer'!$A:$A,0))</f>
        <v>400</v>
      </c>
      <c r="U176" s="192">
        <f>INDEX('Revenue by Customer'!U:U,MATCH('Full Customer List'!$B176,'Revenue by Customer'!$A:$A,0))</f>
        <v>400</v>
      </c>
      <c r="V176" s="192">
        <f>INDEX('Revenue by Customer'!V:V,MATCH('Full Customer List'!$B176,'Revenue by Customer'!$A:$A,0))</f>
        <v>400</v>
      </c>
      <c r="W176" s="192">
        <f>INDEX('Revenue by Customer'!W:W,MATCH('Full Customer List'!$B176,'Revenue by Customer'!$A:$A,0))</f>
        <v>685</v>
      </c>
      <c r="X176" s="192">
        <f>INDEX('Revenue by Customer'!X:X,MATCH('Full Customer List'!$B176,'Revenue by Customer'!$A:$A,0))</f>
        <v>358</v>
      </c>
      <c r="Y176" s="192">
        <f>INDEX('Revenue by Customer'!Y:Y,MATCH('Full Customer List'!$B176,'Revenue by Customer'!$A:$A,0))</f>
        <v>358</v>
      </c>
      <c r="Z176" s="192">
        <f>INDEX('Revenue by Customer'!Z:Z,MATCH('Full Customer List'!$B176,'Revenue by Customer'!$A:$A,0))</f>
        <v>358</v>
      </c>
      <c r="AA176" s="192">
        <f>INDEX('Revenue by Customer'!AA:AA,MATCH('Full Customer List'!$B176,'Revenue by Customer'!$A:$A,0))</f>
        <v>358</v>
      </c>
      <c r="AB176" s="192">
        <f>INDEX('Revenue by Customer'!AB:AB,MATCH('Full Customer List'!$B176,'Revenue by Customer'!$A:$A,0))</f>
        <v>358</v>
      </c>
      <c r="AC176" s="192" t="str">
        <f>INDEX('Revenue by Customer'!AC:AC,MATCH('Full Customer List'!$B176,'Revenue by Customer'!$A:$A,0))</f>
        <v/>
      </c>
    </row>
    <row r="177" spans="2:29" ht="12" customHeight="1">
      <c r="B177" s="173" t="s">
        <v>816</v>
      </c>
      <c r="C177" s="173" t="str">
        <f>INDEX('Customer List'!$B:$B,MATCH('Full Customer List'!$B177,'Customer List'!$A:$A,0))</f>
        <v>Former client</v>
      </c>
      <c r="D177" s="173" t="str">
        <f>INDEX('Customer List'!$C:$C,MATCH('Full Customer List'!$B177,'Customer List'!$A:$A,0))</f>
        <v>Small business</v>
      </c>
      <c r="E177" s="173" t="str">
        <f>INDEX('Customer List Mapping'!$C:$C,MATCH('Full Customer List'!D177,'Customer List Mapping'!$B:$B,0))</f>
        <v>Small Business</v>
      </c>
      <c r="F177" s="192" t="str">
        <f>INDEX('Customer List'!$K:$K,MATCH('Full Customer List'!$B177,'Customer List'!$A:$A,0))</f>
        <v/>
      </c>
      <c r="G177" s="192">
        <f>INDEX('Revenue by Customer'!$I:$I,MATCH('Full Customer List'!$B177,'Revenue by Customer'!$A:$A,0))</f>
        <v>385</v>
      </c>
      <c r="H177" s="257" t="str">
        <f>IFERROR(IF(C177="Active","",INDEX('Client Departures'!$G:$G,MATCH('Full Customer List'!$B177,'Client Departures'!$A:$A,0))),"Unclassified")</f>
        <v>No</v>
      </c>
      <c r="I177" s="196">
        <v>45170</v>
      </c>
      <c r="J177" s="196">
        <v>46234</v>
      </c>
      <c r="K177" s="192">
        <f>INDEX('Revenue by Customer'!K:K,MATCH('Full Customer List'!$B177,'Revenue by Customer'!$A:$A,0))</f>
        <v>375</v>
      </c>
      <c r="L177" s="192">
        <f>INDEX('Revenue by Customer'!L:L,MATCH('Full Customer List'!$B177,'Revenue by Customer'!$A:$A,0))</f>
        <v>375</v>
      </c>
      <c r="M177" s="192">
        <f>INDEX('Revenue by Customer'!M:M,MATCH('Full Customer List'!$B177,'Revenue by Customer'!$A:$A,0))</f>
        <v>375</v>
      </c>
      <c r="N177" s="192">
        <f>INDEX('Revenue by Customer'!N:N,MATCH('Full Customer List'!$B177,'Revenue by Customer'!$A:$A,0))</f>
        <v>375</v>
      </c>
      <c r="O177" s="192">
        <f>INDEX('Revenue by Customer'!O:O,MATCH('Full Customer List'!$B177,'Revenue by Customer'!$A:$A,0))</f>
        <v>375</v>
      </c>
      <c r="P177" s="192">
        <f>INDEX('Revenue by Customer'!P:P,MATCH('Full Customer List'!$B177,'Revenue by Customer'!$A:$A,0))</f>
        <v>375</v>
      </c>
      <c r="Q177" s="192">
        <f>INDEX('Revenue by Customer'!Q:Q,MATCH('Full Customer List'!$B177,'Revenue by Customer'!$A:$A,0))</f>
        <v>375</v>
      </c>
      <c r="R177" s="192">
        <f>INDEX('Revenue by Customer'!R:R,MATCH('Full Customer List'!$B177,'Revenue by Customer'!$A:$A,0))</f>
        <v>375</v>
      </c>
      <c r="S177" s="192">
        <f>INDEX('Revenue by Customer'!S:S,MATCH('Full Customer List'!$B177,'Revenue by Customer'!$A:$A,0))</f>
        <v>375</v>
      </c>
      <c r="T177" s="192">
        <f>INDEX('Revenue by Customer'!T:T,MATCH('Full Customer List'!$B177,'Revenue by Customer'!$A:$A,0))</f>
        <v>385</v>
      </c>
      <c r="U177" s="192">
        <f>INDEX('Revenue by Customer'!U:U,MATCH('Full Customer List'!$B177,'Revenue by Customer'!$A:$A,0))</f>
        <v>385</v>
      </c>
      <c r="V177" s="192">
        <f>INDEX('Revenue by Customer'!V:V,MATCH('Full Customer List'!$B177,'Revenue by Customer'!$A:$A,0))</f>
        <v>385</v>
      </c>
      <c r="W177" s="192">
        <f>INDEX('Revenue by Customer'!W:W,MATCH('Full Customer List'!$B177,'Revenue by Customer'!$A:$A,0))</f>
        <v>385</v>
      </c>
      <c r="X177" s="192">
        <f>INDEX('Revenue by Customer'!X:X,MATCH('Full Customer List'!$B177,'Revenue by Customer'!$A:$A,0))</f>
        <v>385</v>
      </c>
      <c r="Y177" s="192">
        <f>INDEX('Revenue by Customer'!Y:Y,MATCH('Full Customer List'!$B177,'Revenue by Customer'!$A:$A,0))</f>
        <v>385</v>
      </c>
      <c r="Z177" s="192">
        <f>INDEX('Revenue by Customer'!Z:Z,MATCH('Full Customer List'!$B177,'Revenue by Customer'!$A:$A,0))</f>
        <v>385</v>
      </c>
      <c r="AA177" s="192">
        <f>INDEX('Revenue by Customer'!AA:AA,MATCH('Full Customer List'!$B177,'Revenue by Customer'!$A:$A,0))</f>
        <v>385</v>
      </c>
      <c r="AB177" s="192">
        <f>INDEX('Revenue by Customer'!AB:AB,MATCH('Full Customer List'!$B177,'Revenue by Customer'!$A:$A,0))</f>
        <v>385</v>
      </c>
      <c r="AC177" s="192">
        <f>INDEX('Revenue by Customer'!AC:AC,MATCH('Full Customer List'!$B177,'Revenue by Customer'!$A:$A,0))</f>
        <v>385</v>
      </c>
    </row>
    <row r="178" spans="2:29" ht="12" customHeight="1">
      <c r="B178" s="173" t="s">
        <v>818</v>
      </c>
      <c r="C178" s="173" t="str">
        <f>INDEX('Customer List'!$B:$B,MATCH('Full Customer List'!$B178,'Customer List'!$A:$A,0))</f>
        <v>Active</v>
      </c>
      <c r="D178" s="173" t="str">
        <f>INDEX('Customer List'!$C:$C,MATCH('Full Customer List'!$B178,'Customer List'!$A:$A,0))</f>
        <v>Property manager</v>
      </c>
      <c r="E178" s="173" t="str">
        <f>INDEX('Customer List Mapping'!$C:$C,MATCH('Full Customer List'!D178,'Customer List Mapping'!$B:$B,0))</f>
        <v>Property Manager</v>
      </c>
      <c r="F178" s="192">
        <f>INDEX('Customer List'!$K:$K,MATCH('Full Customer List'!$B178,'Customer List'!$A:$A,0))</f>
        <v>3</v>
      </c>
      <c r="G178" s="192">
        <f>INDEX('Revenue by Customer'!$I:$I,MATCH('Full Customer List'!$B178,'Revenue by Customer'!$A:$A,0))</f>
        <v>389.33333333333331</v>
      </c>
      <c r="H178" s="257" t="str">
        <f>IFERROR(IF(C178="Active","",INDEX('Client Departures'!$G:$G,MATCH('Full Customer List'!$B178,'Client Departures'!$A:$A,0))),"Unclassified")</f>
        <v/>
      </c>
      <c r="I178" s="196">
        <v>45413</v>
      </c>
      <c r="J178" s="196"/>
      <c r="K178" s="192">
        <f>INDEX('Revenue by Customer'!K:K,MATCH('Full Customer List'!$B178,'Revenue by Customer'!$A:$A,0))</f>
        <v>400</v>
      </c>
      <c r="L178" s="192">
        <f>INDEX('Revenue by Customer'!L:L,MATCH('Full Customer List'!$B178,'Revenue by Customer'!$A:$A,0))</f>
        <v>325</v>
      </c>
      <c r="M178" s="192">
        <f>INDEX('Revenue by Customer'!M:M,MATCH('Full Customer List'!$B178,'Revenue by Customer'!$A:$A,0))</f>
        <v>325</v>
      </c>
      <c r="N178" s="192">
        <f>INDEX('Revenue by Customer'!N:N,MATCH('Full Customer List'!$B178,'Revenue by Customer'!$A:$A,0))</f>
        <v>575</v>
      </c>
      <c r="O178" s="192">
        <f>INDEX('Revenue by Customer'!O:O,MATCH('Full Customer List'!$B178,'Revenue by Customer'!$A:$A,0))</f>
        <v>325</v>
      </c>
      <c r="P178" s="192">
        <f>INDEX('Revenue by Customer'!P:P,MATCH('Full Customer List'!$B178,'Revenue by Customer'!$A:$A,0))</f>
        <v>325</v>
      </c>
      <c r="Q178" s="192">
        <f>INDEX('Revenue by Customer'!Q:Q,MATCH('Full Customer List'!$B178,'Revenue by Customer'!$A:$A,0))</f>
        <v>430</v>
      </c>
      <c r="R178" s="192">
        <f>INDEX('Revenue by Customer'!R:R,MATCH('Full Customer List'!$B178,'Revenue by Customer'!$A:$A,0))</f>
        <v>360</v>
      </c>
      <c r="S178" s="192">
        <f>INDEX('Revenue by Customer'!S:S,MATCH('Full Customer List'!$B178,'Revenue by Customer'!$A:$A,0))</f>
        <v>360</v>
      </c>
      <c r="T178" s="192">
        <f>INDEX('Revenue by Customer'!T:T,MATCH('Full Customer List'!$B178,'Revenue by Customer'!$A:$A,0))</f>
        <v>360</v>
      </c>
      <c r="U178" s="192">
        <f>INDEX('Revenue by Customer'!U:U,MATCH('Full Customer List'!$B178,'Revenue by Customer'!$A:$A,0))</f>
        <v>375</v>
      </c>
      <c r="V178" s="192">
        <f>INDEX('Revenue by Customer'!V:V,MATCH('Full Customer List'!$B178,'Revenue by Customer'!$A:$A,0))</f>
        <v>375</v>
      </c>
      <c r="W178" s="192">
        <f>INDEX('Revenue by Customer'!W:W,MATCH('Full Customer List'!$B178,'Revenue by Customer'!$A:$A,0))</f>
        <v>465</v>
      </c>
      <c r="X178" s="192">
        <f>INDEX('Revenue by Customer'!X:X,MATCH('Full Customer List'!$B178,'Revenue by Customer'!$A:$A,0))</f>
        <v>375</v>
      </c>
      <c r="Y178" s="192">
        <f>INDEX('Revenue by Customer'!Y:Y,MATCH('Full Customer List'!$B178,'Revenue by Customer'!$A:$A,0))</f>
        <v>375</v>
      </c>
      <c r="Z178" s="192">
        <f>INDEX('Revenue by Customer'!Z:Z,MATCH('Full Customer List'!$B178,'Revenue by Customer'!$A:$A,0))</f>
        <v>375</v>
      </c>
      <c r="AA178" s="192">
        <f>INDEX('Revenue by Customer'!AA:AA,MATCH('Full Customer List'!$B178,'Revenue by Customer'!$A:$A,0))</f>
        <v>375</v>
      </c>
      <c r="AB178" s="192">
        <f>INDEX('Revenue by Customer'!AB:AB,MATCH('Full Customer List'!$B178,'Revenue by Customer'!$A:$A,0))</f>
        <v>375</v>
      </c>
      <c r="AC178" s="192">
        <f>INDEX('Revenue by Customer'!AC:AC,MATCH('Full Customer List'!$B178,'Revenue by Customer'!$A:$A,0))</f>
        <v>418</v>
      </c>
    </row>
    <row r="179" spans="2:29" ht="12" customHeight="1">
      <c r="B179" s="173" t="s">
        <v>819</v>
      </c>
      <c r="C179" s="173" t="str">
        <f>INDEX('Customer List'!$B:$B,MATCH('Full Customer List'!$B179,'Customer List'!$A:$A,0))</f>
        <v>Active</v>
      </c>
      <c r="D179" s="173" t="str">
        <f>INDEX('Customer List'!$C:$C,MATCH('Full Customer List'!$B179,'Customer List'!$A:$A,0))</f>
        <v>STR owner</v>
      </c>
      <c r="E179" s="173" t="str">
        <f>INDEX('Customer List Mapping'!$C:$C,MATCH('Full Customer List'!D179,'Customer List Mapping'!$B:$B,0))</f>
        <v>STR Owner</v>
      </c>
      <c r="F179" s="192">
        <f>INDEX('Customer List'!$K:$K,MATCH('Full Customer List'!$B179,'Customer List'!$A:$A,0))</f>
        <v>0</v>
      </c>
      <c r="G179" s="192">
        <f>INDEX('Revenue by Customer'!$I:$I,MATCH('Full Customer List'!$B179,'Revenue by Customer'!$A:$A,0))</f>
        <v>410</v>
      </c>
      <c r="H179" s="257" t="str">
        <f>IFERROR(IF(C179="Active","",INDEX('Client Departures'!$G:$G,MATCH('Full Customer List'!$B179,'Client Departures'!$A:$A,0))),"Unclassified")</f>
        <v/>
      </c>
      <c r="I179" s="196">
        <v>44958</v>
      </c>
      <c r="J179" s="196"/>
      <c r="K179" s="192">
        <f>INDEX('Revenue by Customer'!K:K,MATCH('Full Customer List'!$B179,'Revenue by Customer'!$A:$A,0))</f>
        <v>500</v>
      </c>
      <c r="L179" s="192">
        <f>INDEX('Revenue by Customer'!L:L,MATCH('Full Customer List'!$B179,'Revenue by Customer'!$A:$A,0))</f>
        <v>425</v>
      </c>
      <c r="M179" s="192">
        <f>INDEX('Revenue by Customer'!M:M,MATCH('Full Customer List'!$B179,'Revenue by Customer'!$A:$A,0))</f>
        <v>300</v>
      </c>
      <c r="N179" s="192">
        <f>INDEX('Revenue by Customer'!N:N,MATCH('Full Customer List'!$B179,'Revenue by Customer'!$A:$A,0))</f>
        <v>300</v>
      </c>
      <c r="O179" s="192">
        <f>INDEX('Revenue by Customer'!O:O,MATCH('Full Customer List'!$B179,'Revenue by Customer'!$A:$A,0))</f>
        <v>400</v>
      </c>
      <c r="P179" s="192">
        <f>INDEX('Revenue by Customer'!P:P,MATCH('Full Customer List'!$B179,'Revenue by Customer'!$A:$A,0))</f>
        <v>400</v>
      </c>
      <c r="Q179" s="192">
        <f>INDEX('Revenue by Customer'!Q:Q,MATCH('Full Customer List'!$B179,'Revenue by Customer'!$A:$A,0))</f>
        <v>400</v>
      </c>
      <c r="R179" s="192">
        <f>INDEX('Revenue by Customer'!R:R,MATCH('Full Customer List'!$B179,'Revenue by Customer'!$A:$A,0))</f>
        <v>400</v>
      </c>
      <c r="S179" s="192">
        <f>INDEX('Revenue by Customer'!S:S,MATCH('Full Customer List'!$B179,'Revenue by Customer'!$A:$A,0))</f>
        <v>200</v>
      </c>
      <c r="T179" s="192">
        <f>INDEX('Revenue by Customer'!T:T,MATCH('Full Customer List'!$B179,'Revenue by Customer'!$A:$A,0))</f>
        <v>350</v>
      </c>
      <c r="U179" s="192">
        <f>INDEX('Revenue by Customer'!U:U,MATCH('Full Customer List'!$B179,'Revenue by Customer'!$A:$A,0))</f>
        <v>350</v>
      </c>
      <c r="V179" s="192">
        <f>INDEX('Revenue by Customer'!V:V,MATCH('Full Customer List'!$B179,'Revenue by Customer'!$A:$A,0))</f>
        <v>350</v>
      </c>
      <c r="W179" s="192">
        <f>INDEX('Revenue by Customer'!W:W,MATCH('Full Customer List'!$B179,'Revenue by Customer'!$A:$A,0))</f>
        <v>350</v>
      </c>
      <c r="X179" s="192">
        <f>INDEX('Revenue by Customer'!X:X,MATCH('Full Customer List'!$B179,'Revenue by Customer'!$A:$A,0))</f>
        <v>485</v>
      </c>
      <c r="Y179" s="192">
        <f>INDEX('Revenue by Customer'!Y:Y,MATCH('Full Customer List'!$B179,'Revenue by Customer'!$A:$A,0))</f>
        <v>410</v>
      </c>
      <c r="Z179" s="192">
        <f>INDEX('Revenue by Customer'!Z:Z,MATCH('Full Customer List'!$B179,'Revenue by Customer'!$A:$A,0))</f>
        <v>410</v>
      </c>
      <c r="AA179" s="192">
        <f>INDEX('Revenue by Customer'!AA:AA,MATCH('Full Customer List'!$B179,'Revenue by Customer'!$A:$A,0))</f>
        <v>410</v>
      </c>
      <c r="AB179" s="192">
        <f>INDEX('Revenue by Customer'!AB:AB,MATCH('Full Customer List'!$B179,'Revenue by Customer'!$A:$A,0))</f>
        <v>410</v>
      </c>
      <c r="AC179" s="192">
        <f>INDEX('Revenue by Customer'!AC:AC,MATCH('Full Customer List'!$B179,'Revenue by Customer'!$A:$A,0))</f>
        <v>410</v>
      </c>
    </row>
    <row r="180" spans="2:29" ht="12" customHeight="1">
      <c r="B180" s="173" t="s">
        <v>820</v>
      </c>
      <c r="C180" s="173" t="str">
        <f>INDEX('Customer List'!$B:$B,MATCH('Full Customer List'!$B180,'Customer List'!$A:$A,0))</f>
        <v>Active</v>
      </c>
      <c r="D180" s="173" t="str">
        <f>INDEX('Customer List'!$C:$C,MATCH('Full Customer List'!$B180,'Customer List'!$A:$A,0))</f>
        <v>STR owner</v>
      </c>
      <c r="E180" s="173" t="str">
        <f>INDEX('Customer List Mapping'!$C:$C,MATCH('Full Customer List'!D180,'Customer List Mapping'!$B:$B,0))</f>
        <v>STR Owner</v>
      </c>
      <c r="F180" s="192">
        <f>INDEX('Customer List'!$K:$K,MATCH('Full Customer List'!$B180,'Customer List'!$A:$A,0))</f>
        <v>2</v>
      </c>
      <c r="G180" s="192">
        <f>INDEX('Revenue by Customer'!$I:$I,MATCH('Full Customer List'!$B180,'Revenue by Customer'!$A:$A,0))</f>
        <v>420</v>
      </c>
      <c r="H180" s="257" t="str">
        <f>IFERROR(IF(C180="Active","",INDEX('Client Departures'!$G:$G,MATCH('Full Customer List'!$B180,'Client Departures'!$A:$A,0))),"Unclassified")</f>
        <v/>
      </c>
      <c r="I180" s="196">
        <v>45931</v>
      </c>
      <c r="J180" s="196"/>
      <c r="K180" s="192" t="str">
        <f>INDEX('Revenue by Customer'!K:K,MATCH('Full Customer List'!$B180,'Revenue by Customer'!$A:$A,0))</f>
        <v/>
      </c>
      <c r="L180" s="192" t="str">
        <f>INDEX('Revenue by Customer'!L:L,MATCH('Full Customer List'!$B180,'Revenue by Customer'!$A:$A,0))</f>
        <v/>
      </c>
      <c r="M180" s="192" t="str">
        <f>INDEX('Revenue by Customer'!M:M,MATCH('Full Customer List'!$B180,'Revenue by Customer'!$A:$A,0))</f>
        <v/>
      </c>
      <c r="N180" s="192" t="str">
        <f>INDEX('Revenue by Customer'!N:N,MATCH('Full Customer List'!$B180,'Revenue by Customer'!$A:$A,0))</f>
        <v/>
      </c>
      <c r="O180" s="192" t="str">
        <f>INDEX('Revenue by Customer'!O:O,MATCH('Full Customer List'!$B180,'Revenue by Customer'!$A:$A,0))</f>
        <v/>
      </c>
      <c r="P180" s="192" t="str">
        <f>INDEX('Revenue by Customer'!P:P,MATCH('Full Customer List'!$B180,'Revenue by Customer'!$A:$A,0))</f>
        <v/>
      </c>
      <c r="Q180" s="192" t="str">
        <f>INDEX('Revenue by Customer'!Q:Q,MATCH('Full Customer List'!$B180,'Revenue by Customer'!$A:$A,0))</f>
        <v/>
      </c>
      <c r="R180" s="192" t="str">
        <f>INDEX('Revenue by Customer'!R:R,MATCH('Full Customer List'!$B180,'Revenue by Customer'!$A:$A,0))</f>
        <v/>
      </c>
      <c r="S180" s="192" t="str">
        <f>INDEX('Revenue by Customer'!S:S,MATCH('Full Customer List'!$B180,'Revenue by Customer'!$A:$A,0))</f>
        <v/>
      </c>
      <c r="T180" s="192">
        <f>INDEX('Revenue by Customer'!T:T,MATCH('Full Customer List'!$B180,'Revenue by Customer'!$A:$A,0))</f>
        <v>700</v>
      </c>
      <c r="U180" s="192">
        <f>INDEX('Revenue by Customer'!U:U,MATCH('Full Customer List'!$B180,'Revenue by Customer'!$A:$A,0))</f>
        <v>400</v>
      </c>
      <c r="V180" s="192">
        <f>INDEX('Revenue by Customer'!V:V,MATCH('Full Customer List'!$B180,'Revenue by Customer'!$A:$A,0))</f>
        <v>420</v>
      </c>
      <c r="W180" s="192">
        <f>INDEX('Revenue by Customer'!W:W,MATCH('Full Customer List'!$B180,'Revenue by Customer'!$A:$A,0))</f>
        <v>270</v>
      </c>
      <c r="X180" s="192">
        <f>INDEX('Revenue by Customer'!X:X,MATCH('Full Customer List'!$B180,'Revenue by Customer'!$A:$A,0))</f>
        <v>525</v>
      </c>
      <c r="Y180" s="192">
        <f>INDEX('Revenue by Customer'!Y:Y,MATCH('Full Customer List'!$B180,'Revenue by Customer'!$A:$A,0))</f>
        <v>420</v>
      </c>
      <c r="Z180" s="192">
        <f>INDEX('Revenue by Customer'!Z:Z,MATCH('Full Customer List'!$B180,'Revenue by Customer'!$A:$A,0))</f>
        <v>420</v>
      </c>
      <c r="AA180" s="192">
        <f>INDEX('Revenue by Customer'!AA:AA,MATCH('Full Customer List'!$B180,'Revenue by Customer'!$A:$A,0))</f>
        <v>420</v>
      </c>
      <c r="AB180" s="192">
        <f>INDEX('Revenue by Customer'!AB:AB,MATCH('Full Customer List'!$B180,'Revenue by Customer'!$A:$A,0))</f>
        <v>420</v>
      </c>
      <c r="AC180" s="192">
        <f>INDEX('Revenue by Customer'!AC:AC,MATCH('Full Customer List'!$B180,'Revenue by Customer'!$A:$A,0))</f>
        <v>420</v>
      </c>
    </row>
    <row r="181" spans="2:29" ht="12" customHeight="1">
      <c r="B181" s="173" t="s">
        <v>821</v>
      </c>
      <c r="C181" s="173" t="str">
        <f>INDEX('Customer List'!$B:$B,MATCH('Full Customer List'!$B181,'Customer List'!$A:$A,0))</f>
        <v>Former client</v>
      </c>
      <c r="D181" s="173" t="str">
        <f>INDEX('Customer List'!$C:$C,MATCH('Full Customer List'!$B181,'Customer List'!$A:$A,0))</f>
        <v>STR owner</v>
      </c>
      <c r="E181" s="173" t="str">
        <f>INDEX('Customer List Mapping'!$C:$C,MATCH('Full Customer List'!D181,'Customer List Mapping'!$B:$B,0))</f>
        <v>STR Owner</v>
      </c>
      <c r="F181" s="192" t="str">
        <f>INDEX('Customer List'!$K:$K,MATCH('Full Customer List'!$B181,'Customer List'!$A:$A,0))</f>
        <v/>
      </c>
      <c r="G181" s="192">
        <f>INDEX('Revenue by Customer'!$I:$I,MATCH('Full Customer List'!$B181,'Revenue by Customer'!$A:$A,0))</f>
        <v>306.66666666666669</v>
      </c>
      <c r="H181" s="257" t="str">
        <f>IFERROR(IF(C181="Active","",INDEX('Client Departures'!$G:$G,MATCH('Full Customer List'!$B181,'Client Departures'!$A:$A,0))),"Unclassified")</f>
        <v>Yes</v>
      </c>
      <c r="I181" s="196">
        <v>45809</v>
      </c>
      <c r="J181" s="196">
        <v>46173</v>
      </c>
      <c r="K181" s="192" t="str">
        <f>INDEX('Revenue by Customer'!K:K,MATCH('Full Customer List'!$B181,'Revenue by Customer'!$A:$A,0))</f>
        <v/>
      </c>
      <c r="L181" s="192" t="str">
        <f>INDEX('Revenue by Customer'!L:L,MATCH('Full Customer List'!$B181,'Revenue by Customer'!$A:$A,0))</f>
        <v/>
      </c>
      <c r="M181" s="192" t="str">
        <f>INDEX('Revenue by Customer'!M:M,MATCH('Full Customer List'!$B181,'Revenue by Customer'!$A:$A,0))</f>
        <v/>
      </c>
      <c r="N181" s="192" t="str">
        <f>INDEX('Revenue by Customer'!N:N,MATCH('Full Customer List'!$B181,'Revenue by Customer'!$A:$A,0))</f>
        <v/>
      </c>
      <c r="O181" s="192" t="str">
        <f>INDEX('Revenue by Customer'!O:O,MATCH('Full Customer List'!$B181,'Revenue by Customer'!$A:$A,0))</f>
        <v/>
      </c>
      <c r="P181" s="192">
        <f>INDEX('Revenue by Customer'!P:P,MATCH('Full Customer List'!$B181,'Revenue by Customer'!$A:$A,0))</f>
        <v>660</v>
      </c>
      <c r="Q181" s="192">
        <f>INDEX('Revenue by Customer'!Q:Q,MATCH('Full Customer List'!$B181,'Revenue by Customer'!$A:$A,0))</f>
        <v>619.25</v>
      </c>
      <c r="R181" s="192">
        <f>INDEX('Revenue by Customer'!R:R,MATCH('Full Customer List'!$B181,'Revenue by Customer'!$A:$A,0))</f>
        <v>360</v>
      </c>
      <c r="S181" s="192">
        <f>INDEX('Revenue by Customer'!S:S,MATCH('Full Customer List'!$B181,'Revenue by Customer'!$A:$A,0))</f>
        <v>420</v>
      </c>
      <c r="T181" s="192">
        <f>INDEX('Revenue by Customer'!T:T,MATCH('Full Customer List'!$B181,'Revenue by Customer'!$A:$A,0))</f>
        <v>440</v>
      </c>
      <c r="U181" s="192">
        <f>INDEX('Revenue by Customer'!U:U,MATCH('Full Customer List'!$B181,'Revenue by Customer'!$A:$A,0))</f>
        <v>440</v>
      </c>
      <c r="V181" s="192">
        <f>INDEX('Revenue by Customer'!V:V,MATCH('Full Customer List'!$B181,'Revenue by Customer'!$A:$A,0))</f>
        <v>440</v>
      </c>
      <c r="W181" s="192">
        <f>INDEX('Revenue by Customer'!W:W,MATCH('Full Customer List'!$B181,'Revenue by Customer'!$A:$A,0))</f>
        <v>440</v>
      </c>
      <c r="X181" s="192">
        <f>INDEX('Revenue by Customer'!X:X,MATCH('Full Customer List'!$B181,'Revenue by Customer'!$A:$A,0))</f>
        <v>500</v>
      </c>
      <c r="Y181" s="192">
        <f>INDEX('Revenue by Customer'!Y:Y,MATCH('Full Customer List'!$B181,'Revenue by Customer'!$A:$A,0))</f>
        <v>440</v>
      </c>
      <c r="Z181" s="192">
        <f>INDEX('Revenue by Customer'!Z:Z,MATCH('Full Customer List'!$B181,'Revenue by Customer'!$A:$A,0))</f>
        <v>440</v>
      </c>
      <c r="AA181" s="192">
        <f>INDEX('Revenue by Customer'!AA:AA,MATCH('Full Customer List'!$B181,'Revenue by Customer'!$A:$A,0))</f>
        <v>440</v>
      </c>
      <c r="AB181" s="192">
        <f>INDEX('Revenue by Customer'!AB:AB,MATCH('Full Customer List'!$B181,'Revenue by Customer'!$A:$A,0))</f>
        <v>40</v>
      </c>
      <c r="AC181" s="192" t="str">
        <f>INDEX('Revenue by Customer'!AC:AC,MATCH('Full Customer List'!$B181,'Revenue by Customer'!$A:$A,0))</f>
        <v/>
      </c>
    </row>
    <row r="182" spans="2:29" ht="12" customHeight="1">
      <c r="B182" s="173" t="s">
        <v>822</v>
      </c>
      <c r="C182" s="173" t="str">
        <f>INDEX('Customer List'!$B:$B,MATCH('Full Customer List'!$B182,'Customer List'!$A:$A,0))</f>
        <v>Former client</v>
      </c>
      <c r="D182" s="173" t="str">
        <f>INDEX('Customer List'!$C:$C,MATCH('Full Customer List'!$B182,'Customer List'!$A:$A,0))</f>
        <v>STR owner</v>
      </c>
      <c r="E182" s="173" t="str">
        <f>INDEX('Customer List Mapping'!$C:$C,MATCH('Full Customer List'!D182,'Customer List Mapping'!$B:$B,0))</f>
        <v>STR Owner</v>
      </c>
      <c r="F182" s="192">
        <f>INDEX('Customer List'!$K:$K,MATCH('Full Customer List'!$B182,'Customer List'!$A:$A,0))</f>
        <v>25</v>
      </c>
      <c r="G182" s="192">
        <f>INDEX('Revenue by Customer'!$I:$I,MATCH('Full Customer List'!$B182,'Revenue by Customer'!$A:$A,0))</f>
        <v>400</v>
      </c>
      <c r="H182" s="257" t="str">
        <f>IFERROR(IF(C182="Active","",INDEX('Client Departures'!$G:$G,MATCH('Full Customer List'!$B182,'Client Departures'!$A:$A,0))),"Unclassified")</f>
        <v>Yes</v>
      </c>
      <c r="I182" s="196">
        <v>45566</v>
      </c>
      <c r="J182" s="196">
        <v>46203</v>
      </c>
      <c r="K182" s="192">
        <f>INDEX('Revenue by Customer'!K:K,MATCH('Full Customer List'!$B182,'Revenue by Customer'!$A:$A,0))</f>
        <v>395</v>
      </c>
      <c r="L182" s="192">
        <f>INDEX('Revenue by Customer'!L:L,MATCH('Full Customer List'!$B182,'Revenue by Customer'!$A:$A,0))</f>
        <v>395</v>
      </c>
      <c r="M182" s="192">
        <f>INDEX('Revenue by Customer'!M:M,MATCH('Full Customer List'!$B182,'Revenue by Customer'!$A:$A,0))</f>
        <v>395</v>
      </c>
      <c r="N182" s="192">
        <f>INDEX('Revenue by Customer'!N:N,MATCH('Full Customer List'!$B182,'Revenue by Customer'!$A:$A,0))</f>
        <v>395</v>
      </c>
      <c r="O182" s="192">
        <f>INDEX('Revenue by Customer'!O:O,MATCH('Full Customer List'!$B182,'Revenue by Customer'!$A:$A,0))</f>
        <v>395</v>
      </c>
      <c r="P182" s="192">
        <f>INDEX('Revenue by Customer'!P:P,MATCH('Full Customer List'!$B182,'Revenue by Customer'!$A:$A,0))</f>
        <v>395</v>
      </c>
      <c r="Q182" s="192">
        <f>INDEX('Revenue by Customer'!Q:Q,MATCH('Full Customer List'!$B182,'Revenue by Customer'!$A:$A,0))</f>
        <v>395</v>
      </c>
      <c r="R182" s="192">
        <f>INDEX('Revenue by Customer'!R:R,MATCH('Full Customer List'!$B182,'Revenue by Customer'!$A:$A,0))</f>
        <v>395</v>
      </c>
      <c r="S182" s="192">
        <f>INDEX('Revenue by Customer'!S:S,MATCH('Full Customer List'!$B182,'Revenue by Customer'!$A:$A,0))</f>
        <v>395</v>
      </c>
      <c r="T182" s="192">
        <f>INDEX('Revenue by Customer'!T:T,MATCH('Full Customer List'!$B182,'Revenue by Customer'!$A:$A,0))</f>
        <v>400</v>
      </c>
      <c r="U182" s="192">
        <f>INDEX('Revenue by Customer'!U:U,MATCH('Full Customer List'!$B182,'Revenue by Customer'!$A:$A,0))</f>
        <v>400</v>
      </c>
      <c r="V182" s="192">
        <f>INDEX('Revenue by Customer'!V:V,MATCH('Full Customer List'!$B182,'Revenue by Customer'!$A:$A,0))</f>
        <v>400</v>
      </c>
      <c r="W182" s="192">
        <f>INDEX('Revenue by Customer'!W:W,MATCH('Full Customer List'!$B182,'Revenue by Customer'!$A:$A,0))</f>
        <v>400</v>
      </c>
      <c r="X182" s="192">
        <f>INDEX('Revenue by Customer'!X:X,MATCH('Full Customer List'!$B182,'Revenue by Customer'!$A:$A,0))</f>
        <v>400</v>
      </c>
      <c r="Y182" s="192">
        <f>INDEX('Revenue by Customer'!Y:Y,MATCH('Full Customer List'!$B182,'Revenue by Customer'!$A:$A,0))</f>
        <v>400</v>
      </c>
      <c r="Z182" s="192">
        <f>INDEX('Revenue by Customer'!Z:Z,MATCH('Full Customer List'!$B182,'Revenue by Customer'!$A:$A,0))</f>
        <v>400</v>
      </c>
      <c r="AA182" s="192">
        <f>INDEX('Revenue by Customer'!AA:AA,MATCH('Full Customer List'!$B182,'Revenue by Customer'!$A:$A,0))</f>
        <v>400</v>
      </c>
      <c r="AB182" s="192">
        <f>INDEX('Revenue by Customer'!AB:AB,MATCH('Full Customer List'!$B182,'Revenue by Customer'!$A:$A,0))</f>
        <v>400</v>
      </c>
      <c r="AC182" s="192" t="str">
        <f>INDEX('Revenue by Customer'!AC:AC,MATCH('Full Customer List'!$B182,'Revenue by Customer'!$A:$A,0))</f>
        <v/>
      </c>
    </row>
    <row r="183" spans="2:29" ht="12" customHeight="1">
      <c r="B183" s="173" t="s">
        <v>823</v>
      </c>
      <c r="C183" s="173" t="str">
        <f>INDEX('Customer List'!$B:$B,MATCH('Full Customer List'!$B183,'Customer List'!$A:$A,0))</f>
        <v>Former client</v>
      </c>
      <c r="D183" s="173" t="str">
        <f>INDEX('Customer List'!$C:$C,MATCH('Full Customer List'!$B183,'Customer List'!$A:$A,0))</f>
        <v>Property manager</v>
      </c>
      <c r="E183" s="173" t="str">
        <f>INDEX('Customer List Mapping'!$C:$C,MATCH('Full Customer List'!D183,'Customer List Mapping'!$B:$B,0))</f>
        <v>Property Manager</v>
      </c>
      <c r="F183" s="192">
        <f>INDEX('Customer List'!$K:$K,MATCH('Full Customer List'!$B183,'Customer List'!$A:$A,0))</f>
        <v>4</v>
      </c>
      <c r="G183" s="192">
        <f>INDEX('Revenue by Customer'!$I:$I,MATCH('Full Customer List'!$B183,'Revenue by Customer'!$A:$A,0))</f>
        <v>400</v>
      </c>
      <c r="H183" s="257" t="str">
        <f>IFERROR(IF(C183="Active","",INDEX('Client Departures'!$G:$G,MATCH('Full Customer List'!$B183,'Client Departures'!$A:$A,0))),"Unclassified")</f>
        <v>Yes</v>
      </c>
      <c r="I183" s="196">
        <v>45839</v>
      </c>
      <c r="J183" s="196">
        <v>46203</v>
      </c>
      <c r="K183" s="192" t="str">
        <f>INDEX('Revenue by Customer'!K:K,MATCH('Full Customer List'!$B183,'Revenue by Customer'!$A:$A,0))</f>
        <v/>
      </c>
      <c r="L183" s="192" t="str">
        <f>INDEX('Revenue by Customer'!L:L,MATCH('Full Customer List'!$B183,'Revenue by Customer'!$A:$A,0))</f>
        <v/>
      </c>
      <c r="M183" s="192" t="str">
        <f>INDEX('Revenue by Customer'!M:M,MATCH('Full Customer List'!$B183,'Revenue by Customer'!$A:$A,0))</f>
        <v/>
      </c>
      <c r="N183" s="192" t="str">
        <f>INDEX('Revenue by Customer'!N:N,MATCH('Full Customer List'!$B183,'Revenue by Customer'!$A:$A,0))</f>
        <v/>
      </c>
      <c r="O183" s="192" t="str">
        <f>INDEX('Revenue by Customer'!O:O,MATCH('Full Customer List'!$B183,'Revenue by Customer'!$A:$A,0))</f>
        <v/>
      </c>
      <c r="P183" s="192" t="str">
        <f>INDEX('Revenue by Customer'!P:P,MATCH('Full Customer List'!$B183,'Revenue by Customer'!$A:$A,0))</f>
        <v/>
      </c>
      <c r="Q183" s="192" t="str">
        <f>INDEX('Revenue by Customer'!Q:Q,MATCH('Full Customer List'!$B183,'Revenue by Customer'!$A:$A,0))</f>
        <v/>
      </c>
      <c r="R183" s="192">
        <f>INDEX('Revenue by Customer'!R:R,MATCH('Full Customer List'!$B183,'Revenue by Customer'!$A:$A,0))</f>
        <v>490</v>
      </c>
      <c r="S183" s="192">
        <f>INDEX('Revenue by Customer'!S:S,MATCH('Full Customer List'!$B183,'Revenue by Customer'!$A:$A,0))</f>
        <v>340</v>
      </c>
      <c r="T183" s="192">
        <f>INDEX('Revenue by Customer'!T:T,MATCH('Full Customer List'!$B183,'Revenue by Customer'!$A:$A,0))</f>
        <v>340</v>
      </c>
      <c r="U183" s="192">
        <f>INDEX('Revenue by Customer'!U:U,MATCH('Full Customer List'!$B183,'Revenue by Customer'!$A:$A,0))</f>
        <v>400</v>
      </c>
      <c r="V183" s="192">
        <f>INDEX('Revenue by Customer'!V:V,MATCH('Full Customer List'!$B183,'Revenue by Customer'!$A:$A,0))</f>
        <v>400</v>
      </c>
      <c r="W183" s="192">
        <f>INDEX('Revenue by Customer'!W:W,MATCH('Full Customer List'!$B183,'Revenue by Customer'!$A:$A,0))</f>
        <v>400</v>
      </c>
      <c r="X183" s="192">
        <f>INDEX('Revenue by Customer'!X:X,MATCH('Full Customer List'!$B183,'Revenue by Customer'!$A:$A,0))</f>
        <v>400</v>
      </c>
      <c r="Y183" s="192">
        <f>INDEX('Revenue by Customer'!Y:Y,MATCH('Full Customer List'!$B183,'Revenue by Customer'!$A:$A,0))</f>
        <v>400</v>
      </c>
      <c r="Z183" s="192">
        <f>INDEX('Revenue by Customer'!Z:Z,MATCH('Full Customer List'!$B183,'Revenue by Customer'!$A:$A,0))</f>
        <v>400</v>
      </c>
      <c r="AA183" s="192">
        <f>INDEX('Revenue by Customer'!AA:AA,MATCH('Full Customer List'!$B183,'Revenue by Customer'!$A:$A,0))</f>
        <v>400</v>
      </c>
      <c r="AB183" s="192">
        <f>INDEX('Revenue by Customer'!AB:AB,MATCH('Full Customer List'!$B183,'Revenue by Customer'!$A:$A,0))</f>
        <v>400</v>
      </c>
      <c r="AC183" s="192" t="str">
        <f>INDEX('Revenue by Customer'!AC:AC,MATCH('Full Customer List'!$B183,'Revenue by Customer'!$A:$A,0))</f>
        <v/>
      </c>
    </row>
    <row r="184" spans="2:29" ht="12" customHeight="1">
      <c r="B184" s="173" t="s">
        <v>824</v>
      </c>
      <c r="C184" s="173" t="str">
        <f>INDEX('Customer List'!$B:$B,MATCH('Full Customer List'!$B184,'Customer List'!$A:$A,0))</f>
        <v>Former client</v>
      </c>
      <c r="D184" s="173" t="str">
        <f>INDEX('Customer List'!$C:$C,MATCH('Full Customer List'!$B184,'Customer List'!$A:$A,0))</f>
        <v>Small business</v>
      </c>
      <c r="E184" s="173" t="str">
        <f>INDEX('Customer List Mapping'!$C:$C,MATCH('Full Customer List'!D184,'Customer List Mapping'!$B:$B,0))</f>
        <v>Small Business</v>
      </c>
      <c r="F184" s="192" t="str">
        <f>INDEX('Customer List'!$K:$K,MATCH('Full Customer List'!$B184,'Customer List'!$A:$A,0))</f>
        <v/>
      </c>
      <c r="G184" s="192">
        <f>INDEX('Revenue by Customer'!$I:$I,MATCH('Full Customer List'!$B184,'Revenue by Customer'!$A:$A,0))</f>
        <v>340</v>
      </c>
      <c r="H184" s="257" t="str">
        <f>IFERROR(IF(C184="Active","",INDEX('Client Departures'!$G:$G,MATCH('Full Customer List'!$B184,'Client Departures'!$A:$A,0))),"Unclassified")</f>
        <v>Yes</v>
      </c>
      <c r="I184" s="196">
        <v>45809</v>
      </c>
      <c r="J184" s="196">
        <v>46173</v>
      </c>
      <c r="K184" s="192" t="str">
        <f>INDEX('Revenue by Customer'!K:K,MATCH('Full Customer List'!$B184,'Revenue by Customer'!$A:$A,0))</f>
        <v/>
      </c>
      <c r="L184" s="192" t="str">
        <f>INDEX('Revenue by Customer'!L:L,MATCH('Full Customer List'!$B184,'Revenue by Customer'!$A:$A,0))</f>
        <v/>
      </c>
      <c r="M184" s="192" t="str">
        <f>INDEX('Revenue by Customer'!M:M,MATCH('Full Customer List'!$B184,'Revenue by Customer'!$A:$A,0))</f>
        <v/>
      </c>
      <c r="N184" s="192" t="str">
        <f>INDEX('Revenue by Customer'!N:N,MATCH('Full Customer List'!$B184,'Revenue by Customer'!$A:$A,0))</f>
        <v/>
      </c>
      <c r="O184" s="192" t="str">
        <f>INDEX('Revenue by Customer'!O:O,MATCH('Full Customer List'!$B184,'Revenue by Customer'!$A:$A,0))</f>
        <v/>
      </c>
      <c r="P184" s="192">
        <f>INDEX('Revenue by Customer'!P:P,MATCH('Full Customer List'!$B184,'Revenue by Customer'!$A:$A,0))</f>
        <v>340</v>
      </c>
      <c r="Q184" s="192">
        <f>INDEX('Revenue by Customer'!Q:Q,MATCH('Full Customer List'!$B184,'Revenue by Customer'!$A:$A,0))</f>
        <v>340</v>
      </c>
      <c r="R184" s="192">
        <f>INDEX('Revenue by Customer'!R:R,MATCH('Full Customer List'!$B184,'Revenue by Customer'!$A:$A,0))</f>
        <v>340</v>
      </c>
      <c r="S184" s="192">
        <f>INDEX('Revenue by Customer'!S:S,MATCH('Full Customer List'!$B184,'Revenue by Customer'!$A:$A,0))</f>
        <v>1285</v>
      </c>
      <c r="T184" s="192">
        <f>INDEX('Revenue by Customer'!T:T,MATCH('Full Customer List'!$B184,'Revenue by Customer'!$A:$A,0))</f>
        <v>340</v>
      </c>
      <c r="U184" s="192">
        <f>INDEX('Revenue by Customer'!U:U,MATCH('Full Customer List'!$B184,'Revenue by Customer'!$A:$A,0))</f>
        <v>340</v>
      </c>
      <c r="V184" s="192">
        <f>INDEX('Revenue by Customer'!V:V,MATCH('Full Customer List'!$B184,'Revenue by Customer'!$A:$A,0))</f>
        <v>340</v>
      </c>
      <c r="W184" s="192">
        <f>INDEX('Revenue by Customer'!W:W,MATCH('Full Customer List'!$B184,'Revenue by Customer'!$A:$A,0))</f>
        <v>340</v>
      </c>
      <c r="X184" s="192">
        <f>INDEX('Revenue by Customer'!X:X,MATCH('Full Customer List'!$B184,'Revenue by Customer'!$A:$A,0))</f>
        <v>340</v>
      </c>
      <c r="Y184" s="192">
        <f>INDEX('Revenue by Customer'!Y:Y,MATCH('Full Customer List'!$B184,'Revenue by Customer'!$A:$A,0))</f>
        <v>340</v>
      </c>
      <c r="Z184" s="192">
        <f>INDEX('Revenue by Customer'!Z:Z,MATCH('Full Customer List'!$B184,'Revenue by Customer'!$A:$A,0))</f>
        <v>340</v>
      </c>
      <c r="AA184" s="192">
        <f>INDEX('Revenue by Customer'!AA:AA,MATCH('Full Customer List'!$B184,'Revenue by Customer'!$A:$A,0))</f>
        <v>340</v>
      </c>
      <c r="AB184" s="192" t="str">
        <f>INDEX('Revenue by Customer'!AB:AB,MATCH('Full Customer List'!$B184,'Revenue by Customer'!$A:$A,0))</f>
        <v/>
      </c>
      <c r="AC184" s="192" t="str">
        <f>INDEX('Revenue by Customer'!AC:AC,MATCH('Full Customer List'!$B184,'Revenue by Customer'!$A:$A,0))</f>
        <v/>
      </c>
    </row>
    <row r="185" spans="2:29" ht="12" customHeight="1">
      <c r="B185" s="173" t="s">
        <v>825</v>
      </c>
      <c r="C185" s="173" t="str">
        <f>INDEX('Customer List'!$B:$B,MATCH('Full Customer List'!$B185,'Customer List'!$A:$A,0))</f>
        <v>Former client</v>
      </c>
      <c r="D185" s="173" t="str">
        <f>INDEX('Customer List'!$C:$C,MATCH('Full Customer List'!$B185,'Customer List'!$A:$A,0))</f>
        <v>Short-term rental (departed)</v>
      </c>
      <c r="E185" s="173" t="str">
        <f>INDEX('Customer List Mapping'!$C:$C,MATCH('Full Customer List'!D185,'Customer List Mapping'!$B:$B,0))</f>
        <v>Short-Term Rental</v>
      </c>
      <c r="F185" s="192" t="str">
        <f>INDEX('Customer List'!$K:$K,MATCH('Full Customer List'!$B185,'Customer List'!$A:$A,0))</f>
        <v/>
      </c>
      <c r="G185" s="192">
        <f>INDEX('Revenue by Customer'!$I:$I,MATCH('Full Customer List'!$B185,'Revenue by Customer'!$A:$A,0))</f>
        <v>851.66666666666663</v>
      </c>
      <c r="H185" s="257" t="str">
        <f>IFERROR(IF(C185="Active","",INDEX('Client Departures'!$G:$G,MATCH('Full Customer List'!$B185,'Client Departures'!$A:$A,0))),"Unclassified")</f>
        <v>Yes</v>
      </c>
      <c r="I185" s="196">
        <v>45505</v>
      </c>
      <c r="J185" s="196">
        <v>46022</v>
      </c>
      <c r="K185" s="192">
        <f>INDEX('Revenue by Customer'!K:K,MATCH('Full Customer List'!$B185,'Revenue by Customer'!$A:$A,0))</f>
        <v>515</v>
      </c>
      <c r="L185" s="192">
        <f>INDEX('Revenue by Customer'!L:L,MATCH('Full Customer List'!$B185,'Revenue by Customer'!$A:$A,0))</f>
        <v>395</v>
      </c>
      <c r="M185" s="192">
        <f>INDEX('Revenue by Customer'!M:M,MATCH('Full Customer List'!$B185,'Revenue by Customer'!$A:$A,0))</f>
        <v>395</v>
      </c>
      <c r="N185" s="192">
        <f>INDEX('Revenue by Customer'!N:N,MATCH('Full Customer List'!$B185,'Revenue by Customer'!$A:$A,0))</f>
        <v>395</v>
      </c>
      <c r="O185" s="192">
        <f>INDEX('Revenue by Customer'!O:O,MATCH('Full Customer List'!$B185,'Revenue by Customer'!$A:$A,0))</f>
        <v>395</v>
      </c>
      <c r="P185" s="192">
        <f>INDEX('Revenue by Customer'!P:P,MATCH('Full Customer List'!$B185,'Revenue by Customer'!$A:$A,0))</f>
        <v>395</v>
      </c>
      <c r="Q185" s="192">
        <f>INDEX('Revenue by Customer'!Q:Q,MATCH('Full Customer List'!$B185,'Revenue by Customer'!$A:$A,0))</f>
        <v>395</v>
      </c>
      <c r="R185" s="192">
        <f>INDEX('Revenue by Customer'!R:R,MATCH('Full Customer List'!$B185,'Revenue by Customer'!$A:$A,0))</f>
        <v>440</v>
      </c>
      <c r="S185" s="192">
        <f>INDEX('Revenue by Customer'!S:S,MATCH('Full Customer List'!$B185,'Revenue by Customer'!$A:$A,0))</f>
        <v>440</v>
      </c>
      <c r="T185" s="192">
        <f>INDEX('Revenue by Customer'!T:T,MATCH('Full Customer List'!$B185,'Revenue by Customer'!$A:$A,0))</f>
        <v>440</v>
      </c>
      <c r="U185" s="192">
        <f>INDEX('Revenue by Customer'!U:U,MATCH('Full Customer List'!$B185,'Revenue by Customer'!$A:$A,0))</f>
        <v>440</v>
      </c>
      <c r="V185" s="192">
        <f>INDEX('Revenue by Customer'!V:V,MATCH('Full Customer List'!$B185,'Revenue by Customer'!$A:$A,0))</f>
        <v>440</v>
      </c>
      <c r="W185" s="192">
        <f>INDEX('Revenue by Customer'!W:W,MATCH('Full Customer List'!$B185,'Revenue by Customer'!$A:$A,0))</f>
        <v>2025</v>
      </c>
      <c r="X185" s="192">
        <f>INDEX('Revenue by Customer'!X:X,MATCH('Full Customer List'!$B185,'Revenue by Customer'!$A:$A,0))</f>
        <v>90</v>
      </c>
      <c r="Y185" s="192" t="str">
        <f>INDEX('Revenue by Customer'!Y:Y,MATCH('Full Customer List'!$B185,'Revenue by Customer'!$A:$A,0))</f>
        <v/>
      </c>
      <c r="Z185" s="192" t="str">
        <f>INDEX('Revenue by Customer'!Z:Z,MATCH('Full Customer List'!$B185,'Revenue by Customer'!$A:$A,0))</f>
        <v/>
      </c>
      <c r="AA185" s="192" t="str">
        <f>INDEX('Revenue by Customer'!AA:AA,MATCH('Full Customer List'!$B185,'Revenue by Customer'!$A:$A,0))</f>
        <v/>
      </c>
      <c r="AB185" s="192" t="str">
        <f>INDEX('Revenue by Customer'!AB:AB,MATCH('Full Customer List'!$B185,'Revenue by Customer'!$A:$A,0))</f>
        <v/>
      </c>
      <c r="AC185" s="192" t="str">
        <f>INDEX('Revenue by Customer'!AC:AC,MATCH('Full Customer List'!$B185,'Revenue by Customer'!$A:$A,0))</f>
        <v/>
      </c>
    </row>
    <row r="186" spans="2:29" ht="12" customHeight="1">
      <c r="B186" s="173" t="s">
        <v>826</v>
      </c>
      <c r="C186" s="173" t="str">
        <f>INDEX('Customer List'!$B:$B,MATCH('Full Customer List'!$B186,'Customer List'!$A:$A,0))</f>
        <v>Active</v>
      </c>
      <c r="D186" s="173" t="str">
        <f>INDEX('Customer List'!$C:$C,MATCH('Full Customer List'!$B186,'Customer List'!$A:$A,0))</f>
        <v>Property manager</v>
      </c>
      <c r="E186" s="173" t="str">
        <f>INDEX('Customer List Mapping'!$C:$C,MATCH('Full Customer List'!D186,'Customer List Mapping'!$B:$B,0))</f>
        <v>Property Manager</v>
      </c>
      <c r="F186" s="192">
        <f>INDEX('Customer List'!$K:$K,MATCH('Full Customer List'!$B186,'Customer List'!$A:$A,0))</f>
        <v>8</v>
      </c>
      <c r="G186" s="192">
        <f>INDEX('Revenue by Customer'!$I:$I,MATCH('Full Customer List'!$B186,'Revenue by Customer'!$A:$A,0))</f>
        <v>719</v>
      </c>
      <c r="H186" s="257" t="str">
        <f>IFERROR(IF(C186="Active","",INDEX('Client Departures'!$G:$G,MATCH('Full Customer List'!$B186,'Client Departures'!$A:$A,0))),"Unclassified")</f>
        <v/>
      </c>
      <c r="I186" s="196">
        <v>46023</v>
      </c>
      <c r="J186" s="196"/>
      <c r="K186" s="192" t="str">
        <f>INDEX('Revenue by Customer'!K:K,MATCH('Full Customer List'!$B186,'Revenue by Customer'!$A:$A,0))</f>
        <v/>
      </c>
      <c r="L186" s="192" t="str">
        <f>INDEX('Revenue by Customer'!L:L,MATCH('Full Customer List'!$B186,'Revenue by Customer'!$A:$A,0))</f>
        <v/>
      </c>
      <c r="M186" s="192" t="str">
        <f>INDEX('Revenue by Customer'!M:M,MATCH('Full Customer List'!$B186,'Revenue by Customer'!$A:$A,0))</f>
        <v/>
      </c>
      <c r="N186" s="192" t="str">
        <f>INDEX('Revenue by Customer'!N:N,MATCH('Full Customer List'!$B186,'Revenue by Customer'!$A:$A,0))</f>
        <v/>
      </c>
      <c r="O186" s="192" t="str">
        <f>INDEX('Revenue by Customer'!O:O,MATCH('Full Customer List'!$B186,'Revenue by Customer'!$A:$A,0))</f>
        <v/>
      </c>
      <c r="P186" s="192" t="str">
        <f>INDEX('Revenue by Customer'!P:P,MATCH('Full Customer List'!$B186,'Revenue by Customer'!$A:$A,0))</f>
        <v/>
      </c>
      <c r="Q186" s="192" t="str">
        <f>INDEX('Revenue by Customer'!Q:Q,MATCH('Full Customer List'!$B186,'Revenue by Customer'!$A:$A,0))</f>
        <v/>
      </c>
      <c r="R186" s="192" t="str">
        <f>INDEX('Revenue by Customer'!R:R,MATCH('Full Customer List'!$B186,'Revenue by Customer'!$A:$A,0))</f>
        <v/>
      </c>
      <c r="S186" s="192" t="str">
        <f>INDEX('Revenue by Customer'!S:S,MATCH('Full Customer List'!$B186,'Revenue by Customer'!$A:$A,0))</f>
        <v/>
      </c>
      <c r="T186" s="192" t="str">
        <f>INDEX('Revenue by Customer'!T:T,MATCH('Full Customer List'!$B186,'Revenue by Customer'!$A:$A,0))</f>
        <v/>
      </c>
      <c r="U186" s="192" t="str">
        <f>INDEX('Revenue by Customer'!U:U,MATCH('Full Customer List'!$B186,'Revenue by Customer'!$A:$A,0))</f>
        <v/>
      </c>
      <c r="V186" s="192" t="str">
        <f>INDEX('Revenue by Customer'!V:V,MATCH('Full Customer List'!$B186,'Revenue by Customer'!$A:$A,0))</f>
        <v/>
      </c>
      <c r="W186" s="192">
        <f>INDEX('Revenue by Customer'!W:W,MATCH('Full Customer List'!$B186,'Revenue by Customer'!$A:$A,0))</f>
        <v>701</v>
      </c>
      <c r="X186" s="192">
        <f>INDEX('Revenue by Customer'!X:X,MATCH('Full Customer List'!$B186,'Revenue by Customer'!$A:$A,0))</f>
        <v>393</v>
      </c>
      <c r="Y186" s="192">
        <f>INDEX('Revenue by Customer'!Y:Y,MATCH('Full Customer List'!$B186,'Revenue by Customer'!$A:$A,0))</f>
        <v>393</v>
      </c>
      <c r="Z186" s="192">
        <f>INDEX('Revenue by Customer'!Z:Z,MATCH('Full Customer List'!$B186,'Revenue by Customer'!$A:$A,0))</f>
        <v>632</v>
      </c>
      <c r="AA186" s="192">
        <f>INDEX('Revenue by Customer'!AA:AA,MATCH('Full Customer List'!$B186,'Revenue by Customer'!$A:$A,0))</f>
        <v>719</v>
      </c>
      <c r="AB186" s="192">
        <f>INDEX('Revenue by Customer'!AB:AB,MATCH('Full Customer List'!$B186,'Revenue by Customer'!$A:$A,0))</f>
        <v>719</v>
      </c>
      <c r="AC186" s="192">
        <f>INDEX('Revenue by Customer'!AC:AC,MATCH('Full Customer List'!$B186,'Revenue by Customer'!$A:$A,0))</f>
        <v>719</v>
      </c>
    </row>
    <row r="187" spans="2:29" ht="12" customHeight="1">
      <c r="B187" s="173" t="s">
        <v>827</v>
      </c>
      <c r="C187" s="173" t="str">
        <f>INDEX('Customer List'!$B:$B,MATCH('Full Customer List'!$B187,'Customer List'!$A:$A,0))</f>
        <v>Active</v>
      </c>
      <c r="D187" s="173" t="str">
        <f>INDEX('Customer List'!$C:$C,MATCH('Full Customer List'!$B187,'Customer List'!$A:$A,0))</f>
        <v>Small business</v>
      </c>
      <c r="E187" s="173" t="str">
        <f>INDEX('Customer List Mapping'!$C:$C,MATCH('Full Customer List'!D187,'Customer List Mapping'!$B:$B,0))</f>
        <v>Small Business</v>
      </c>
      <c r="F187" s="192" t="str">
        <f>INDEX('Customer List'!$K:$K,MATCH('Full Customer List'!$B187,'Customer List'!$A:$A,0))</f>
        <v/>
      </c>
      <c r="G187" s="192">
        <f>INDEX('Revenue by Customer'!$I:$I,MATCH('Full Customer List'!$B187,'Revenue by Customer'!$A:$A,0))</f>
        <v>355</v>
      </c>
      <c r="H187" s="257" t="str">
        <f>IFERROR(IF(C187="Active","",INDEX('Client Departures'!$G:$G,MATCH('Full Customer List'!$B187,'Client Departures'!$A:$A,0))),"Unclassified")</f>
        <v/>
      </c>
      <c r="I187" s="196">
        <v>44317</v>
      </c>
      <c r="J187" s="196"/>
      <c r="K187" s="192">
        <f>INDEX('Revenue by Customer'!K:K,MATCH('Full Customer List'!$B187,'Revenue by Customer'!$A:$A,0))</f>
        <v>400</v>
      </c>
      <c r="L187" s="192">
        <f>INDEX('Revenue by Customer'!L:L,MATCH('Full Customer List'!$B187,'Revenue by Customer'!$A:$A,0))</f>
        <v>355</v>
      </c>
      <c r="M187" s="192">
        <f>INDEX('Revenue by Customer'!M:M,MATCH('Full Customer List'!$B187,'Revenue by Customer'!$A:$A,0))</f>
        <v>355</v>
      </c>
      <c r="N187" s="192">
        <f>INDEX('Revenue by Customer'!N:N,MATCH('Full Customer List'!$B187,'Revenue by Customer'!$A:$A,0))</f>
        <v>355</v>
      </c>
      <c r="O187" s="192">
        <f>INDEX('Revenue by Customer'!O:O,MATCH('Full Customer List'!$B187,'Revenue by Customer'!$A:$A,0))</f>
        <v>355</v>
      </c>
      <c r="P187" s="192">
        <f>INDEX('Revenue by Customer'!P:P,MATCH('Full Customer List'!$B187,'Revenue by Customer'!$A:$A,0))</f>
        <v>355</v>
      </c>
      <c r="Q187" s="192">
        <f>INDEX('Revenue by Customer'!Q:Q,MATCH('Full Customer List'!$B187,'Revenue by Customer'!$A:$A,0))</f>
        <v>355</v>
      </c>
      <c r="R187" s="192">
        <f>INDEX('Revenue by Customer'!R:R,MATCH('Full Customer List'!$B187,'Revenue by Customer'!$A:$A,0))</f>
        <v>355</v>
      </c>
      <c r="S187" s="192">
        <f>INDEX('Revenue by Customer'!S:S,MATCH('Full Customer List'!$B187,'Revenue by Customer'!$A:$A,0))</f>
        <v>370</v>
      </c>
      <c r="T187" s="192">
        <f>INDEX('Revenue by Customer'!T:T,MATCH('Full Customer List'!$B187,'Revenue by Customer'!$A:$A,0))</f>
        <v>370</v>
      </c>
      <c r="U187" s="192">
        <f>INDEX('Revenue by Customer'!U:U,MATCH('Full Customer List'!$B187,'Revenue by Customer'!$A:$A,0))</f>
        <v>325</v>
      </c>
      <c r="V187" s="192">
        <f>INDEX('Revenue by Customer'!V:V,MATCH('Full Customer List'!$B187,'Revenue by Customer'!$A:$A,0))</f>
        <v>355</v>
      </c>
      <c r="W187" s="192">
        <f>INDEX('Revenue by Customer'!W:W,MATCH('Full Customer List'!$B187,'Revenue by Customer'!$A:$A,0))</f>
        <v>355</v>
      </c>
      <c r="X187" s="192">
        <f>INDEX('Revenue by Customer'!X:X,MATCH('Full Customer List'!$B187,'Revenue by Customer'!$A:$A,0))</f>
        <v>370</v>
      </c>
      <c r="Y187" s="192">
        <f>INDEX('Revenue by Customer'!Y:Y,MATCH('Full Customer List'!$B187,'Revenue by Customer'!$A:$A,0))</f>
        <v>355</v>
      </c>
      <c r="Z187" s="192">
        <f>INDEX('Revenue by Customer'!Z:Z,MATCH('Full Customer List'!$B187,'Revenue by Customer'!$A:$A,0))</f>
        <v>355</v>
      </c>
      <c r="AA187" s="192">
        <f>INDEX('Revenue by Customer'!AA:AA,MATCH('Full Customer List'!$B187,'Revenue by Customer'!$A:$A,0))</f>
        <v>355</v>
      </c>
      <c r="AB187" s="192">
        <f>INDEX('Revenue by Customer'!AB:AB,MATCH('Full Customer List'!$B187,'Revenue by Customer'!$A:$A,0))</f>
        <v>355</v>
      </c>
      <c r="AC187" s="192">
        <f>INDEX('Revenue by Customer'!AC:AC,MATCH('Full Customer List'!$B187,'Revenue by Customer'!$A:$A,0))</f>
        <v>355</v>
      </c>
    </row>
    <row r="188" spans="2:29" ht="12" customHeight="1">
      <c r="B188" s="173" t="s">
        <v>829</v>
      </c>
      <c r="C188" s="173" t="str">
        <f>INDEX('Customer List'!$B:$B,MATCH('Full Customer List'!$B188,'Customer List'!$A:$A,0))</f>
        <v>Active</v>
      </c>
      <c r="D188" s="173" t="str">
        <f>INDEX('Customer List'!$C:$C,MATCH('Full Customer List'!$B188,'Customer List'!$A:$A,0))</f>
        <v>Property manager</v>
      </c>
      <c r="E188" s="173" t="str">
        <f>INDEX('Customer List Mapping'!$C:$C,MATCH('Full Customer List'!D188,'Customer List Mapping'!$B:$B,0))</f>
        <v>Property Manager</v>
      </c>
      <c r="F188" s="192">
        <f>INDEX('Customer List'!$K:$K,MATCH('Full Customer List'!$B188,'Customer List'!$A:$A,0))</f>
        <v>5</v>
      </c>
      <c r="G188" s="192">
        <f>INDEX('Revenue by Customer'!$I:$I,MATCH('Full Customer List'!$B188,'Revenue by Customer'!$A:$A,0))</f>
        <v>360</v>
      </c>
      <c r="H188" s="257" t="str">
        <f>IFERROR(IF(C188="Active","",INDEX('Client Departures'!$G:$G,MATCH('Full Customer List'!$B188,'Client Departures'!$A:$A,0))),"Unclassified")</f>
        <v/>
      </c>
      <c r="I188" s="196">
        <v>45809</v>
      </c>
      <c r="J188" s="196"/>
      <c r="K188" s="192" t="str">
        <f>INDEX('Revenue by Customer'!K:K,MATCH('Full Customer List'!$B188,'Revenue by Customer'!$A:$A,0))</f>
        <v/>
      </c>
      <c r="L188" s="192" t="str">
        <f>INDEX('Revenue by Customer'!L:L,MATCH('Full Customer List'!$B188,'Revenue by Customer'!$A:$A,0))</f>
        <v/>
      </c>
      <c r="M188" s="192" t="str">
        <f>INDEX('Revenue by Customer'!M:M,MATCH('Full Customer List'!$B188,'Revenue by Customer'!$A:$A,0))</f>
        <v/>
      </c>
      <c r="N188" s="192" t="str">
        <f>INDEX('Revenue by Customer'!N:N,MATCH('Full Customer List'!$B188,'Revenue by Customer'!$A:$A,0))</f>
        <v/>
      </c>
      <c r="O188" s="192" t="str">
        <f>INDEX('Revenue by Customer'!O:O,MATCH('Full Customer List'!$B188,'Revenue by Customer'!$A:$A,0))</f>
        <v/>
      </c>
      <c r="P188" s="192">
        <f>INDEX('Revenue by Customer'!P:P,MATCH('Full Customer List'!$B188,'Revenue by Customer'!$A:$A,0))</f>
        <v>350</v>
      </c>
      <c r="Q188" s="192">
        <f>INDEX('Revenue by Customer'!Q:Q,MATCH('Full Customer List'!$B188,'Revenue by Customer'!$A:$A,0))</f>
        <v>375</v>
      </c>
      <c r="R188" s="192">
        <f>INDEX('Revenue by Customer'!R:R,MATCH('Full Customer List'!$B188,'Revenue by Customer'!$A:$A,0))</f>
        <v>415</v>
      </c>
      <c r="S188" s="192">
        <f>INDEX('Revenue by Customer'!S:S,MATCH('Full Customer List'!$B188,'Revenue by Customer'!$A:$A,0))</f>
        <v>565</v>
      </c>
      <c r="T188" s="192">
        <f>INDEX('Revenue by Customer'!T:T,MATCH('Full Customer List'!$B188,'Revenue by Customer'!$A:$A,0))</f>
        <v>565</v>
      </c>
      <c r="U188" s="192">
        <f>INDEX('Revenue by Customer'!U:U,MATCH('Full Customer List'!$B188,'Revenue by Customer'!$A:$A,0))</f>
        <v>240</v>
      </c>
      <c r="V188" s="192">
        <f>INDEX('Revenue by Customer'!V:V,MATCH('Full Customer List'!$B188,'Revenue by Customer'!$A:$A,0))</f>
        <v>300</v>
      </c>
      <c r="W188" s="192">
        <f>INDEX('Revenue by Customer'!W:W,MATCH('Full Customer List'!$B188,'Revenue by Customer'!$A:$A,0))</f>
        <v>300</v>
      </c>
      <c r="X188" s="192">
        <f>INDEX('Revenue by Customer'!X:X,MATCH('Full Customer List'!$B188,'Revenue by Customer'!$A:$A,0))</f>
        <v>60</v>
      </c>
      <c r="Y188" s="192">
        <f>INDEX('Revenue by Customer'!Y:Y,MATCH('Full Customer List'!$B188,'Revenue by Customer'!$A:$A,0))</f>
        <v>360</v>
      </c>
      <c r="Z188" s="192">
        <f>INDEX('Revenue by Customer'!Z:Z,MATCH('Full Customer List'!$B188,'Revenue by Customer'!$A:$A,0))</f>
        <v>360</v>
      </c>
      <c r="AA188" s="192">
        <f>INDEX('Revenue by Customer'!AA:AA,MATCH('Full Customer List'!$B188,'Revenue by Customer'!$A:$A,0))</f>
        <v>360</v>
      </c>
      <c r="AB188" s="192">
        <f>INDEX('Revenue by Customer'!AB:AB,MATCH('Full Customer List'!$B188,'Revenue by Customer'!$A:$A,0))</f>
        <v>360</v>
      </c>
      <c r="AC188" s="192">
        <f>INDEX('Revenue by Customer'!AC:AC,MATCH('Full Customer List'!$B188,'Revenue by Customer'!$A:$A,0))</f>
        <v>360</v>
      </c>
    </row>
    <row r="189" spans="2:29" ht="12" customHeight="1">
      <c r="B189" s="173" t="s">
        <v>830</v>
      </c>
      <c r="C189" s="173" t="str">
        <f>INDEX('Customer List'!$B:$B,MATCH('Full Customer List'!$B189,'Customer List'!$A:$A,0))</f>
        <v>Active</v>
      </c>
      <c r="D189" s="173" t="str">
        <f>INDEX('Customer List'!$C:$C,MATCH('Full Customer List'!$B189,'Customer List'!$A:$A,0))</f>
        <v>Property manager</v>
      </c>
      <c r="E189" s="173" t="str">
        <f>INDEX('Customer List Mapping'!$C:$C,MATCH('Full Customer List'!D189,'Customer List Mapping'!$B:$B,0))</f>
        <v>Property Manager</v>
      </c>
      <c r="F189" s="192">
        <f>INDEX('Customer List'!$K:$K,MATCH('Full Customer List'!$B189,'Customer List'!$A:$A,0))</f>
        <v>8</v>
      </c>
      <c r="G189" s="192">
        <f>INDEX('Revenue by Customer'!$I:$I,MATCH('Full Customer List'!$B189,'Revenue by Customer'!$A:$A,0))</f>
        <v>899.33333333333337</v>
      </c>
      <c r="H189" s="257" t="str">
        <f>IFERROR(IF(C189="Active","",INDEX('Client Departures'!$G:$G,MATCH('Full Customer List'!$B189,'Client Departures'!$A:$A,0))),"Unclassified")</f>
        <v/>
      </c>
      <c r="I189" s="196">
        <v>46082</v>
      </c>
      <c r="J189" s="196"/>
      <c r="K189" s="192" t="str">
        <f>INDEX('Revenue by Customer'!K:K,MATCH('Full Customer List'!$B189,'Revenue by Customer'!$A:$A,0))</f>
        <v/>
      </c>
      <c r="L189" s="192" t="str">
        <f>INDEX('Revenue by Customer'!L:L,MATCH('Full Customer List'!$B189,'Revenue by Customer'!$A:$A,0))</f>
        <v/>
      </c>
      <c r="M189" s="192" t="str">
        <f>INDEX('Revenue by Customer'!M:M,MATCH('Full Customer List'!$B189,'Revenue by Customer'!$A:$A,0))</f>
        <v/>
      </c>
      <c r="N189" s="192" t="str">
        <f>INDEX('Revenue by Customer'!N:N,MATCH('Full Customer List'!$B189,'Revenue by Customer'!$A:$A,0))</f>
        <v/>
      </c>
      <c r="O189" s="192" t="str">
        <f>INDEX('Revenue by Customer'!O:O,MATCH('Full Customer List'!$B189,'Revenue by Customer'!$A:$A,0))</f>
        <v/>
      </c>
      <c r="P189" s="192" t="str">
        <f>INDEX('Revenue by Customer'!P:P,MATCH('Full Customer List'!$B189,'Revenue by Customer'!$A:$A,0))</f>
        <v/>
      </c>
      <c r="Q189" s="192" t="str">
        <f>INDEX('Revenue by Customer'!Q:Q,MATCH('Full Customer List'!$B189,'Revenue by Customer'!$A:$A,0))</f>
        <v/>
      </c>
      <c r="R189" s="192" t="str">
        <f>INDEX('Revenue by Customer'!R:R,MATCH('Full Customer List'!$B189,'Revenue by Customer'!$A:$A,0))</f>
        <v/>
      </c>
      <c r="S189" s="192" t="str">
        <f>INDEX('Revenue by Customer'!S:S,MATCH('Full Customer List'!$B189,'Revenue by Customer'!$A:$A,0))</f>
        <v/>
      </c>
      <c r="T189" s="192" t="str">
        <f>INDEX('Revenue by Customer'!T:T,MATCH('Full Customer List'!$B189,'Revenue by Customer'!$A:$A,0))</f>
        <v/>
      </c>
      <c r="U189" s="192" t="str">
        <f>INDEX('Revenue by Customer'!U:U,MATCH('Full Customer List'!$B189,'Revenue by Customer'!$A:$A,0))</f>
        <v/>
      </c>
      <c r="V189" s="192" t="str">
        <f>INDEX('Revenue by Customer'!V:V,MATCH('Full Customer List'!$B189,'Revenue by Customer'!$A:$A,0))</f>
        <v/>
      </c>
      <c r="W189" s="192" t="str">
        <f>INDEX('Revenue by Customer'!W:W,MATCH('Full Customer List'!$B189,'Revenue by Customer'!$A:$A,0))</f>
        <v/>
      </c>
      <c r="X189" s="192" t="str">
        <f>INDEX('Revenue by Customer'!X:X,MATCH('Full Customer List'!$B189,'Revenue by Customer'!$A:$A,0))</f>
        <v/>
      </c>
      <c r="Y189" s="192">
        <f>INDEX('Revenue by Customer'!Y:Y,MATCH('Full Customer List'!$B189,'Revenue by Customer'!$A:$A,0))</f>
        <v>854</v>
      </c>
      <c r="Z189" s="192">
        <f>INDEX('Revenue by Customer'!Z:Z,MATCH('Full Customer List'!$B189,'Revenue by Customer'!$A:$A,0))</f>
        <v>652</v>
      </c>
      <c r="AA189" s="192">
        <f>INDEX('Revenue by Customer'!AA:AA,MATCH('Full Customer List'!$B189,'Revenue by Customer'!$A:$A,0))</f>
        <v>886</v>
      </c>
      <c r="AB189" s="192">
        <f>INDEX('Revenue by Customer'!AB:AB,MATCH('Full Customer List'!$B189,'Revenue by Customer'!$A:$A,0))</f>
        <v>926</v>
      </c>
      <c r="AC189" s="192">
        <f>INDEX('Revenue by Customer'!AC:AC,MATCH('Full Customer List'!$B189,'Revenue by Customer'!$A:$A,0))</f>
        <v>886</v>
      </c>
    </row>
    <row r="190" spans="2:29" ht="12" customHeight="1">
      <c r="B190" s="173" t="s">
        <v>831</v>
      </c>
      <c r="C190" s="173" t="str">
        <f>INDEX('Customer List'!$B:$B,MATCH('Full Customer List'!$B190,'Customer List'!$A:$A,0))</f>
        <v>Onboarding</v>
      </c>
      <c r="D190" s="173" t="str">
        <f>INDEX('Customer List'!$C:$C,MATCH('Full Customer List'!$B190,'Customer List'!$A:$A,0))</f>
        <v>Property manager</v>
      </c>
      <c r="E190" s="173" t="str">
        <f>INDEX('Customer List Mapping'!$C:$C,MATCH('Full Customer List'!D190,'Customer List Mapping'!$B:$B,0))</f>
        <v>Property Manager</v>
      </c>
      <c r="F190" s="192">
        <f>INDEX('Customer List'!$K:$K,MATCH('Full Customer List'!$B190,'Customer List'!$A:$A,0))</f>
        <v>21</v>
      </c>
      <c r="G190" s="192">
        <f>INDEX('Revenue by Customer'!$I:$I,MATCH('Full Customer List'!$B190,'Revenue by Customer'!$A:$A,0))</f>
        <v>1986</v>
      </c>
      <c r="H190" s="257" t="str">
        <f>IFERROR(IF(C190="Active","",INDEX('Client Departures'!$G:$G,MATCH('Full Customer List'!$B190,'Client Departures'!$A:$A,0))),"Unclassified")</f>
        <v>Unclassified</v>
      </c>
      <c r="I190" s="196">
        <v>46174</v>
      </c>
      <c r="J190" s="196"/>
      <c r="K190" s="192" t="str">
        <f>INDEX('Revenue by Customer'!K:K,MATCH('Full Customer List'!$B190,'Revenue by Customer'!$A:$A,0))</f>
        <v/>
      </c>
      <c r="L190" s="192" t="str">
        <f>INDEX('Revenue by Customer'!L:L,MATCH('Full Customer List'!$B190,'Revenue by Customer'!$A:$A,0))</f>
        <v/>
      </c>
      <c r="M190" s="192" t="str">
        <f>INDEX('Revenue by Customer'!M:M,MATCH('Full Customer List'!$B190,'Revenue by Customer'!$A:$A,0))</f>
        <v/>
      </c>
      <c r="N190" s="192" t="str">
        <f>INDEX('Revenue by Customer'!N:N,MATCH('Full Customer List'!$B190,'Revenue by Customer'!$A:$A,0))</f>
        <v/>
      </c>
      <c r="O190" s="192" t="str">
        <f>INDEX('Revenue by Customer'!O:O,MATCH('Full Customer List'!$B190,'Revenue by Customer'!$A:$A,0))</f>
        <v/>
      </c>
      <c r="P190" s="192" t="str">
        <f>INDEX('Revenue by Customer'!P:P,MATCH('Full Customer List'!$B190,'Revenue by Customer'!$A:$A,0))</f>
        <v/>
      </c>
      <c r="Q190" s="192" t="str">
        <f>INDEX('Revenue by Customer'!Q:Q,MATCH('Full Customer List'!$B190,'Revenue by Customer'!$A:$A,0))</f>
        <v/>
      </c>
      <c r="R190" s="192" t="str">
        <f>INDEX('Revenue by Customer'!R:R,MATCH('Full Customer List'!$B190,'Revenue by Customer'!$A:$A,0))</f>
        <v/>
      </c>
      <c r="S190" s="192" t="str">
        <f>INDEX('Revenue by Customer'!S:S,MATCH('Full Customer List'!$B190,'Revenue by Customer'!$A:$A,0))</f>
        <v/>
      </c>
      <c r="T190" s="192" t="str">
        <f>INDEX('Revenue by Customer'!T:T,MATCH('Full Customer List'!$B190,'Revenue by Customer'!$A:$A,0))</f>
        <v/>
      </c>
      <c r="U190" s="192" t="str">
        <f>INDEX('Revenue by Customer'!U:U,MATCH('Full Customer List'!$B190,'Revenue by Customer'!$A:$A,0))</f>
        <v/>
      </c>
      <c r="V190" s="192" t="str">
        <f>INDEX('Revenue by Customer'!V:V,MATCH('Full Customer List'!$B190,'Revenue by Customer'!$A:$A,0))</f>
        <v/>
      </c>
      <c r="W190" s="192" t="str">
        <f>INDEX('Revenue by Customer'!W:W,MATCH('Full Customer List'!$B190,'Revenue by Customer'!$A:$A,0))</f>
        <v/>
      </c>
      <c r="X190" s="192" t="str">
        <f>INDEX('Revenue by Customer'!X:X,MATCH('Full Customer List'!$B190,'Revenue by Customer'!$A:$A,0))</f>
        <v/>
      </c>
      <c r="Y190" s="192" t="str">
        <f>INDEX('Revenue by Customer'!Y:Y,MATCH('Full Customer List'!$B190,'Revenue by Customer'!$A:$A,0))</f>
        <v/>
      </c>
      <c r="Z190" s="192" t="str">
        <f>INDEX('Revenue by Customer'!Z:Z,MATCH('Full Customer List'!$B190,'Revenue by Customer'!$A:$A,0))</f>
        <v/>
      </c>
      <c r="AA190" s="192" t="str">
        <f>INDEX('Revenue by Customer'!AA:AA,MATCH('Full Customer List'!$B190,'Revenue by Customer'!$A:$A,0))</f>
        <v/>
      </c>
      <c r="AB190" s="192">
        <f>INDEX('Revenue by Customer'!AB:AB,MATCH('Full Customer List'!$B190,'Revenue by Customer'!$A:$A,0))</f>
        <v>2656</v>
      </c>
      <c r="AC190" s="192">
        <f>INDEX('Revenue by Customer'!AC:AC,MATCH('Full Customer List'!$B190,'Revenue by Customer'!$A:$A,0))</f>
        <v>1316</v>
      </c>
    </row>
    <row r="191" spans="2:29" ht="12" customHeight="1">
      <c r="B191" s="173" t="s">
        <v>832</v>
      </c>
      <c r="C191" s="173" t="str">
        <f>INDEX('Customer List'!$B:$B,MATCH('Full Customer List'!$B191,'Customer List'!$A:$A,0))</f>
        <v>Former client</v>
      </c>
      <c r="D191" s="173" t="str">
        <f>INDEX('Customer List'!$C:$C,MATCH('Full Customer List'!$B191,'Customer List'!$A:$A,0))</f>
        <v>STR owner</v>
      </c>
      <c r="E191" s="173" t="str">
        <f>INDEX('Customer List Mapping'!$C:$C,MATCH('Full Customer List'!D191,'Customer List Mapping'!$B:$B,0))</f>
        <v>STR Owner</v>
      </c>
      <c r="F191" s="192" t="str">
        <f>INDEX('Customer List'!$K:$K,MATCH('Full Customer List'!$B191,'Customer List'!$A:$A,0))</f>
        <v/>
      </c>
      <c r="G191" s="192">
        <f>INDEX('Revenue by Customer'!$I:$I,MATCH('Full Customer List'!$B191,'Revenue by Customer'!$A:$A,0))</f>
        <v>400</v>
      </c>
      <c r="H191" s="257" t="str">
        <f>IFERROR(IF(C191="Active","",INDEX('Client Departures'!$G:$G,MATCH('Full Customer List'!$B191,'Client Departures'!$A:$A,0))),"Unclassified")</f>
        <v>Yes</v>
      </c>
      <c r="I191" s="196">
        <v>45870</v>
      </c>
      <c r="J191" s="196">
        <v>46142</v>
      </c>
      <c r="K191" s="192" t="str">
        <f>INDEX('Revenue by Customer'!K:K,MATCH('Full Customer List'!$B191,'Revenue by Customer'!$A:$A,0))</f>
        <v/>
      </c>
      <c r="L191" s="192" t="str">
        <f>INDEX('Revenue by Customer'!L:L,MATCH('Full Customer List'!$B191,'Revenue by Customer'!$A:$A,0))</f>
        <v/>
      </c>
      <c r="M191" s="192" t="str">
        <f>INDEX('Revenue by Customer'!M:M,MATCH('Full Customer List'!$B191,'Revenue by Customer'!$A:$A,0))</f>
        <v/>
      </c>
      <c r="N191" s="192" t="str">
        <f>INDEX('Revenue by Customer'!N:N,MATCH('Full Customer List'!$B191,'Revenue by Customer'!$A:$A,0))</f>
        <v/>
      </c>
      <c r="O191" s="192" t="str">
        <f>INDEX('Revenue by Customer'!O:O,MATCH('Full Customer List'!$B191,'Revenue by Customer'!$A:$A,0))</f>
        <v/>
      </c>
      <c r="P191" s="192" t="str">
        <f>INDEX('Revenue by Customer'!P:P,MATCH('Full Customer List'!$B191,'Revenue by Customer'!$A:$A,0))</f>
        <v/>
      </c>
      <c r="Q191" s="192" t="str">
        <f>INDEX('Revenue by Customer'!Q:Q,MATCH('Full Customer List'!$B191,'Revenue by Customer'!$A:$A,0))</f>
        <v/>
      </c>
      <c r="R191" s="192">
        <f>INDEX('Revenue by Customer'!R:R,MATCH('Full Customer List'!$B191,'Revenue by Customer'!$A:$A,0))</f>
        <v>350</v>
      </c>
      <c r="S191" s="192">
        <f>INDEX('Revenue by Customer'!S:S,MATCH('Full Customer List'!$B191,'Revenue by Customer'!$A:$A,0))</f>
        <v>690</v>
      </c>
      <c r="T191" s="192">
        <f>INDEX('Revenue by Customer'!T:T,MATCH('Full Customer List'!$B191,'Revenue by Customer'!$A:$A,0))</f>
        <v>350</v>
      </c>
      <c r="U191" s="192">
        <f>INDEX('Revenue by Customer'!U:U,MATCH('Full Customer List'!$B191,'Revenue by Customer'!$A:$A,0))</f>
        <v>400</v>
      </c>
      <c r="V191" s="192">
        <f>INDEX('Revenue by Customer'!V:V,MATCH('Full Customer List'!$B191,'Revenue by Customer'!$A:$A,0))</f>
        <v>400</v>
      </c>
      <c r="W191" s="192">
        <f>INDEX('Revenue by Customer'!W:W,MATCH('Full Customer List'!$B191,'Revenue by Customer'!$A:$A,0))</f>
        <v>550</v>
      </c>
      <c r="X191" s="192">
        <f>INDEX('Revenue by Customer'!X:X,MATCH('Full Customer List'!$B191,'Revenue by Customer'!$A:$A,0))</f>
        <v>400</v>
      </c>
      <c r="Y191" s="192">
        <f>INDEX('Revenue by Customer'!Y:Y,MATCH('Full Customer List'!$B191,'Revenue by Customer'!$A:$A,0))</f>
        <v>400</v>
      </c>
      <c r="Z191" s="192">
        <f>INDEX('Revenue by Customer'!Z:Z,MATCH('Full Customer List'!$B191,'Revenue by Customer'!$A:$A,0))</f>
        <v>400</v>
      </c>
      <c r="AA191" s="192">
        <f>INDEX('Revenue by Customer'!AA:AA,MATCH('Full Customer List'!$B191,'Revenue by Customer'!$A:$A,0))</f>
        <v>0</v>
      </c>
      <c r="AB191" s="192" t="str">
        <f>INDEX('Revenue by Customer'!AB:AB,MATCH('Full Customer List'!$B191,'Revenue by Customer'!$A:$A,0))</f>
        <v/>
      </c>
      <c r="AC191" s="192" t="str">
        <f>INDEX('Revenue by Customer'!AC:AC,MATCH('Full Customer List'!$B191,'Revenue by Customer'!$A:$A,0))</f>
        <v/>
      </c>
    </row>
    <row r="192" spans="2:29" ht="12" customHeight="1">
      <c r="B192" s="173" t="s">
        <v>833</v>
      </c>
      <c r="C192" s="173" t="str">
        <f>INDEX('Customer List'!$B:$B,MATCH('Full Customer List'!$B192,'Customer List'!$A:$A,0))</f>
        <v>Former client</v>
      </c>
      <c r="D192" s="173" t="str">
        <f>INDEX('Customer List'!$C:$C,MATCH('Full Customer List'!$B192,'Customer List'!$A:$A,0))</f>
        <v>Property manager</v>
      </c>
      <c r="E192" s="173" t="str">
        <f>INDEX('Customer List Mapping'!$C:$C,MATCH('Full Customer List'!D192,'Customer List Mapping'!$B:$B,0))</f>
        <v>Property Manager</v>
      </c>
      <c r="F192" s="192">
        <f>INDEX('Customer List'!$K:$K,MATCH('Full Customer List'!$B192,'Customer List'!$A:$A,0))</f>
        <v>4</v>
      </c>
      <c r="G192" s="192">
        <f>INDEX('Revenue by Customer'!$I:$I,MATCH('Full Customer List'!$B192,'Revenue by Customer'!$A:$A,0))</f>
        <v>523.33333333333337</v>
      </c>
      <c r="H192" s="257" t="str">
        <f>IFERROR(IF(C192="Active","",INDEX('Client Departures'!$G:$G,MATCH('Full Customer List'!$B192,'Client Departures'!$A:$A,0))),"Unclassified")</f>
        <v>Yes</v>
      </c>
      <c r="I192" s="196">
        <v>45748</v>
      </c>
      <c r="J192" s="196">
        <v>46112</v>
      </c>
      <c r="K192" s="192" t="str">
        <f>INDEX('Revenue by Customer'!K:K,MATCH('Full Customer List'!$B192,'Revenue by Customer'!$A:$A,0))</f>
        <v/>
      </c>
      <c r="L192" s="192" t="str">
        <f>INDEX('Revenue by Customer'!L:L,MATCH('Full Customer List'!$B192,'Revenue by Customer'!$A:$A,0))</f>
        <v/>
      </c>
      <c r="M192" s="192" t="str">
        <f>INDEX('Revenue by Customer'!M:M,MATCH('Full Customer List'!$B192,'Revenue by Customer'!$A:$A,0))</f>
        <v/>
      </c>
      <c r="N192" s="192">
        <f>INDEX('Revenue by Customer'!N:N,MATCH('Full Customer List'!$B192,'Revenue by Customer'!$A:$A,0))</f>
        <v>350</v>
      </c>
      <c r="O192" s="192" t="str">
        <f>INDEX('Revenue by Customer'!O:O,MATCH('Full Customer List'!$B192,'Revenue by Customer'!$A:$A,0))</f>
        <v/>
      </c>
      <c r="P192" s="192" t="str">
        <f>INDEX('Revenue by Customer'!P:P,MATCH('Full Customer List'!$B192,'Revenue by Customer'!$A:$A,0))</f>
        <v/>
      </c>
      <c r="Q192" s="192">
        <f>INDEX('Revenue by Customer'!Q:Q,MATCH('Full Customer List'!$B192,'Revenue by Customer'!$A:$A,0))</f>
        <v>360</v>
      </c>
      <c r="R192" s="192">
        <f>INDEX('Revenue by Customer'!R:R,MATCH('Full Customer List'!$B192,'Revenue by Customer'!$A:$A,0))</f>
        <v>420</v>
      </c>
      <c r="S192" s="192">
        <f>INDEX('Revenue by Customer'!S:S,MATCH('Full Customer List'!$B192,'Revenue by Customer'!$A:$A,0))</f>
        <v>420</v>
      </c>
      <c r="T192" s="192">
        <f>INDEX('Revenue by Customer'!T:T,MATCH('Full Customer List'!$B192,'Revenue by Customer'!$A:$A,0))</f>
        <v>420</v>
      </c>
      <c r="U192" s="192">
        <f>INDEX('Revenue by Customer'!U:U,MATCH('Full Customer List'!$B192,'Revenue by Customer'!$A:$A,0))</f>
        <v>380</v>
      </c>
      <c r="V192" s="192">
        <f>INDEX('Revenue by Customer'!V:V,MATCH('Full Customer List'!$B192,'Revenue by Customer'!$A:$A,0))</f>
        <v>590</v>
      </c>
      <c r="W192" s="192">
        <f>INDEX('Revenue by Customer'!W:W,MATCH('Full Customer List'!$B192,'Revenue by Customer'!$A:$A,0))</f>
        <v>610</v>
      </c>
      <c r="X192" s="192">
        <f>INDEX('Revenue by Customer'!X:X,MATCH('Full Customer List'!$B192,'Revenue by Customer'!$A:$A,0))</f>
        <v>560</v>
      </c>
      <c r="Y192" s="192">
        <f>INDEX('Revenue by Customer'!Y:Y,MATCH('Full Customer List'!$B192,'Revenue by Customer'!$A:$A,0))</f>
        <v>400</v>
      </c>
      <c r="Z192" s="192" t="str">
        <f>INDEX('Revenue by Customer'!Z:Z,MATCH('Full Customer List'!$B192,'Revenue by Customer'!$A:$A,0))</f>
        <v/>
      </c>
      <c r="AA192" s="192" t="str">
        <f>INDEX('Revenue by Customer'!AA:AA,MATCH('Full Customer List'!$B192,'Revenue by Customer'!$A:$A,0))</f>
        <v/>
      </c>
      <c r="AB192" s="192" t="str">
        <f>INDEX('Revenue by Customer'!AB:AB,MATCH('Full Customer List'!$B192,'Revenue by Customer'!$A:$A,0))</f>
        <v/>
      </c>
      <c r="AC192" s="192" t="str">
        <f>INDEX('Revenue by Customer'!AC:AC,MATCH('Full Customer List'!$B192,'Revenue by Customer'!$A:$A,0))</f>
        <v/>
      </c>
    </row>
    <row r="193" spans="2:29" ht="12" customHeight="1">
      <c r="B193" s="173" t="s">
        <v>834</v>
      </c>
      <c r="C193" s="173" t="str">
        <f>INDEX('Customer List'!$B:$B,MATCH('Full Customer List'!$B193,'Customer List'!$A:$A,0))</f>
        <v>Former client</v>
      </c>
      <c r="D193" s="173" t="str">
        <f>INDEX('Customer List'!$C:$C,MATCH('Full Customer List'!$B193,'Customer List'!$A:$A,0))</f>
        <v>Property manager</v>
      </c>
      <c r="E193" s="173" t="str">
        <f>INDEX('Customer List Mapping'!$C:$C,MATCH('Full Customer List'!D193,'Customer List Mapping'!$B:$B,0))</f>
        <v>Property Manager</v>
      </c>
      <c r="F193" s="192">
        <f>INDEX('Customer List'!$K:$K,MATCH('Full Customer List'!$B193,'Customer List'!$A:$A,0))</f>
        <v>2</v>
      </c>
      <c r="G193" s="192">
        <f>INDEX('Revenue by Customer'!$I:$I,MATCH('Full Customer List'!$B193,'Revenue by Customer'!$A:$A,0))</f>
        <v>584.66666666666663</v>
      </c>
      <c r="H193" s="257" t="str">
        <f>IFERROR(IF(C193="Active","",INDEX('Client Departures'!$G:$G,MATCH('Full Customer List'!$B193,'Client Departures'!$A:$A,0))),"Unclassified")</f>
        <v>Yes</v>
      </c>
      <c r="I193" s="196">
        <v>45323</v>
      </c>
      <c r="J193" s="196">
        <v>45869</v>
      </c>
      <c r="K193" s="192">
        <f>INDEX('Revenue by Customer'!K:K,MATCH('Full Customer List'!$B193,'Revenue by Customer'!$A:$A,0))</f>
        <v>570</v>
      </c>
      <c r="L193" s="192">
        <f>INDEX('Revenue by Customer'!L:L,MATCH('Full Customer List'!$B193,'Revenue by Customer'!$A:$A,0))</f>
        <v>420</v>
      </c>
      <c r="M193" s="192">
        <f>INDEX('Revenue by Customer'!M:M,MATCH('Full Customer List'!$B193,'Revenue by Customer'!$A:$A,0))</f>
        <v>420</v>
      </c>
      <c r="N193" s="192">
        <f>INDEX('Revenue by Customer'!N:N,MATCH('Full Customer List'!$B193,'Revenue by Customer'!$A:$A,0))</f>
        <v>420</v>
      </c>
      <c r="O193" s="192">
        <f>INDEX('Revenue by Customer'!O:O,MATCH('Full Customer List'!$B193,'Revenue by Customer'!$A:$A,0))</f>
        <v>420</v>
      </c>
      <c r="P193" s="192">
        <f>INDEX('Revenue by Customer'!P:P,MATCH('Full Customer List'!$B193,'Revenue by Customer'!$A:$A,0))</f>
        <v>420</v>
      </c>
      <c r="Q193" s="192">
        <f>INDEX('Revenue by Customer'!Q:Q,MATCH('Full Customer List'!$B193,'Revenue by Customer'!$A:$A,0))</f>
        <v>420</v>
      </c>
      <c r="R193" s="192" t="str">
        <f>INDEX('Revenue by Customer'!R:R,MATCH('Full Customer List'!$B193,'Revenue by Customer'!$A:$A,0))</f>
        <v/>
      </c>
      <c r="S193" s="192" t="str">
        <f>INDEX('Revenue by Customer'!S:S,MATCH('Full Customer List'!$B193,'Revenue by Customer'!$A:$A,0))</f>
        <v/>
      </c>
      <c r="T193" s="192" t="str">
        <f>INDEX('Revenue by Customer'!T:T,MATCH('Full Customer List'!$B193,'Revenue by Customer'!$A:$A,0))</f>
        <v/>
      </c>
      <c r="U193" s="192" t="str">
        <f>INDEX('Revenue by Customer'!U:U,MATCH('Full Customer List'!$B193,'Revenue by Customer'!$A:$A,0))</f>
        <v/>
      </c>
      <c r="V193" s="192" t="str">
        <f>INDEX('Revenue by Customer'!V:V,MATCH('Full Customer List'!$B193,'Revenue by Customer'!$A:$A,0))</f>
        <v/>
      </c>
      <c r="W193" s="192">
        <f>INDEX('Revenue by Customer'!W:W,MATCH('Full Customer List'!$B193,'Revenue by Customer'!$A:$A,0))</f>
        <v>726</v>
      </c>
      <c r="X193" s="192">
        <f>INDEX('Revenue by Customer'!X:X,MATCH('Full Customer List'!$B193,'Revenue by Customer'!$A:$A,0))</f>
        <v>438</v>
      </c>
      <c r="Y193" s="192">
        <f>INDEX('Revenue by Customer'!Y:Y,MATCH('Full Customer List'!$B193,'Revenue by Customer'!$A:$A,0))</f>
        <v>438</v>
      </c>
      <c r="Z193" s="192">
        <f>INDEX('Revenue by Customer'!Z:Z,MATCH('Full Customer List'!$B193,'Revenue by Customer'!$A:$A,0))</f>
        <v>418</v>
      </c>
      <c r="AA193" s="192">
        <f>INDEX('Revenue by Customer'!AA:AA,MATCH('Full Customer List'!$B193,'Revenue by Customer'!$A:$A,0))</f>
        <v>918</v>
      </c>
      <c r="AB193" s="192">
        <f>INDEX('Revenue by Customer'!AB:AB,MATCH('Full Customer List'!$B193,'Revenue by Customer'!$A:$A,0))</f>
        <v>418</v>
      </c>
      <c r="AC193" s="192">
        <f>INDEX('Revenue by Customer'!AC:AC,MATCH('Full Customer List'!$B193,'Revenue by Customer'!$A:$A,0))</f>
        <v>418</v>
      </c>
    </row>
    <row r="194" spans="2:29" ht="12" customHeight="1">
      <c r="B194" s="173" t="s">
        <v>835</v>
      </c>
      <c r="C194" s="173" t="str">
        <f>INDEX('Customer List'!$B:$B,MATCH('Full Customer List'!$B194,'Customer List'!$A:$A,0))</f>
        <v>Active</v>
      </c>
      <c r="D194" s="173" t="str">
        <f>INDEX('Customer List'!$C:$C,MATCH('Full Customer List'!$B194,'Customer List'!$A:$A,0))</f>
        <v>Property manager</v>
      </c>
      <c r="E194" s="173" t="str">
        <f>INDEX('Customer List Mapping'!$C:$C,MATCH('Full Customer List'!D194,'Customer List Mapping'!$B:$B,0))</f>
        <v>Property Manager</v>
      </c>
      <c r="F194" s="192">
        <f>INDEX('Customer List'!$K:$K,MATCH('Full Customer List'!$B194,'Customer List'!$A:$A,0))</f>
        <v>22</v>
      </c>
      <c r="G194" s="192">
        <f>INDEX('Revenue by Customer'!$I:$I,MATCH('Full Customer List'!$B194,'Revenue by Customer'!$A:$A,0))</f>
        <v>1256.3333333333333</v>
      </c>
      <c r="H194" s="257" t="str">
        <f>IFERROR(IF(C194="Active","",INDEX('Client Departures'!$G:$G,MATCH('Full Customer List'!$B194,'Client Departures'!$A:$A,0))),"Unclassified")</f>
        <v/>
      </c>
      <c r="I194" s="196">
        <v>46143</v>
      </c>
      <c r="J194" s="196"/>
      <c r="K194" s="192" t="str">
        <f>INDEX('Revenue by Customer'!K:K,MATCH('Full Customer List'!$B194,'Revenue by Customer'!$A:$A,0))</f>
        <v/>
      </c>
      <c r="L194" s="192" t="str">
        <f>INDEX('Revenue by Customer'!L:L,MATCH('Full Customer List'!$B194,'Revenue by Customer'!$A:$A,0))</f>
        <v/>
      </c>
      <c r="M194" s="192" t="str">
        <f>INDEX('Revenue by Customer'!M:M,MATCH('Full Customer List'!$B194,'Revenue by Customer'!$A:$A,0))</f>
        <v/>
      </c>
      <c r="N194" s="192" t="str">
        <f>INDEX('Revenue by Customer'!N:N,MATCH('Full Customer List'!$B194,'Revenue by Customer'!$A:$A,0))</f>
        <v/>
      </c>
      <c r="O194" s="192" t="str">
        <f>INDEX('Revenue by Customer'!O:O,MATCH('Full Customer List'!$B194,'Revenue by Customer'!$A:$A,0))</f>
        <v/>
      </c>
      <c r="P194" s="192" t="str">
        <f>INDEX('Revenue by Customer'!P:P,MATCH('Full Customer List'!$B194,'Revenue by Customer'!$A:$A,0))</f>
        <v/>
      </c>
      <c r="Q194" s="192" t="str">
        <f>INDEX('Revenue by Customer'!Q:Q,MATCH('Full Customer List'!$B194,'Revenue by Customer'!$A:$A,0))</f>
        <v/>
      </c>
      <c r="R194" s="192" t="str">
        <f>INDEX('Revenue by Customer'!R:R,MATCH('Full Customer List'!$B194,'Revenue by Customer'!$A:$A,0))</f>
        <v/>
      </c>
      <c r="S194" s="192" t="str">
        <f>INDEX('Revenue by Customer'!S:S,MATCH('Full Customer List'!$B194,'Revenue by Customer'!$A:$A,0))</f>
        <v/>
      </c>
      <c r="T194" s="192" t="str">
        <f>INDEX('Revenue by Customer'!T:T,MATCH('Full Customer List'!$B194,'Revenue by Customer'!$A:$A,0))</f>
        <v/>
      </c>
      <c r="U194" s="192" t="str">
        <f>INDEX('Revenue by Customer'!U:U,MATCH('Full Customer List'!$B194,'Revenue by Customer'!$A:$A,0))</f>
        <v/>
      </c>
      <c r="V194" s="192" t="str">
        <f>INDEX('Revenue by Customer'!V:V,MATCH('Full Customer List'!$B194,'Revenue by Customer'!$A:$A,0))</f>
        <v/>
      </c>
      <c r="W194" s="192" t="str">
        <f>INDEX('Revenue by Customer'!W:W,MATCH('Full Customer List'!$B194,'Revenue by Customer'!$A:$A,0))</f>
        <v/>
      </c>
      <c r="X194" s="192" t="str">
        <f>INDEX('Revenue by Customer'!X:X,MATCH('Full Customer List'!$B194,'Revenue by Customer'!$A:$A,0))</f>
        <v/>
      </c>
      <c r="Y194" s="192" t="str">
        <f>INDEX('Revenue by Customer'!Y:Y,MATCH('Full Customer List'!$B194,'Revenue by Customer'!$A:$A,0))</f>
        <v/>
      </c>
      <c r="Z194" s="192" t="str">
        <f>INDEX('Revenue by Customer'!Z:Z,MATCH('Full Customer List'!$B194,'Revenue by Customer'!$A:$A,0))</f>
        <v/>
      </c>
      <c r="AA194" s="192">
        <f>INDEX('Revenue by Customer'!AA:AA,MATCH('Full Customer List'!$B194,'Revenue by Customer'!$A:$A,0))</f>
        <v>2087</v>
      </c>
      <c r="AB194" s="192">
        <f>INDEX('Revenue by Customer'!AB:AB,MATCH('Full Customer List'!$B194,'Revenue by Customer'!$A:$A,0))</f>
        <v>797</v>
      </c>
      <c r="AC194" s="192">
        <f>INDEX('Revenue by Customer'!AC:AC,MATCH('Full Customer List'!$B194,'Revenue by Customer'!$A:$A,0))</f>
        <v>885</v>
      </c>
    </row>
    <row r="195" spans="2:29" ht="12" customHeight="1">
      <c r="B195" s="173" t="s">
        <v>836</v>
      </c>
      <c r="C195" s="173" t="str">
        <f>INDEX('Customer List'!$B:$B,MATCH('Full Customer List'!$B195,'Customer List'!$A:$A,0))</f>
        <v>Active</v>
      </c>
      <c r="D195" s="173" t="str">
        <f>INDEX('Customer List'!$C:$C,MATCH('Full Customer List'!$B195,'Customer List'!$A:$A,0))</f>
        <v>Property manager</v>
      </c>
      <c r="E195" s="173" t="str">
        <f>INDEX('Customer List Mapping'!$C:$C,MATCH('Full Customer List'!D195,'Customer List Mapping'!$B:$B,0))</f>
        <v>Property Manager</v>
      </c>
      <c r="F195" s="192">
        <f>INDEX('Customer List'!$K:$K,MATCH('Full Customer List'!$B195,'Customer List'!$A:$A,0))</f>
        <v>6</v>
      </c>
      <c r="G195" s="192">
        <f>INDEX('Revenue by Customer'!$I:$I,MATCH('Full Customer List'!$B195,'Revenue by Customer'!$A:$A,0))</f>
        <v>425</v>
      </c>
      <c r="H195" s="257" t="str">
        <f>IFERROR(IF(C195="Active","",INDEX('Client Departures'!$G:$G,MATCH('Full Customer List'!$B195,'Client Departures'!$A:$A,0))),"Unclassified")</f>
        <v/>
      </c>
      <c r="I195" s="196">
        <v>45992</v>
      </c>
      <c r="J195" s="196"/>
      <c r="K195" s="192" t="str">
        <f>INDEX('Revenue by Customer'!K:K,MATCH('Full Customer List'!$B195,'Revenue by Customer'!$A:$A,0))</f>
        <v/>
      </c>
      <c r="L195" s="192" t="str">
        <f>INDEX('Revenue by Customer'!L:L,MATCH('Full Customer List'!$B195,'Revenue by Customer'!$A:$A,0))</f>
        <v/>
      </c>
      <c r="M195" s="192" t="str">
        <f>INDEX('Revenue by Customer'!M:M,MATCH('Full Customer List'!$B195,'Revenue by Customer'!$A:$A,0))</f>
        <v/>
      </c>
      <c r="N195" s="192" t="str">
        <f>INDEX('Revenue by Customer'!N:N,MATCH('Full Customer List'!$B195,'Revenue by Customer'!$A:$A,0))</f>
        <v/>
      </c>
      <c r="O195" s="192" t="str">
        <f>INDEX('Revenue by Customer'!O:O,MATCH('Full Customer List'!$B195,'Revenue by Customer'!$A:$A,0))</f>
        <v/>
      </c>
      <c r="P195" s="192" t="str">
        <f>INDEX('Revenue by Customer'!P:P,MATCH('Full Customer List'!$B195,'Revenue by Customer'!$A:$A,0))</f>
        <v/>
      </c>
      <c r="Q195" s="192" t="str">
        <f>INDEX('Revenue by Customer'!Q:Q,MATCH('Full Customer List'!$B195,'Revenue by Customer'!$A:$A,0))</f>
        <v/>
      </c>
      <c r="R195" s="192" t="str">
        <f>INDEX('Revenue by Customer'!R:R,MATCH('Full Customer List'!$B195,'Revenue by Customer'!$A:$A,0))</f>
        <v/>
      </c>
      <c r="S195" s="192" t="str">
        <f>INDEX('Revenue by Customer'!S:S,MATCH('Full Customer List'!$B195,'Revenue by Customer'!$A:$A,0))</f>
        <v/>
      </c>
      <c r="T195" s="192" t="str">
        <f>INDEX('Revenue by Customer'!T:T,MATCH('Full Customer List'!$B195,'Revenue by Customer'!$A:$A,0))</f>
        <v/>
      </c>
      <c r="U195" s="192" t="str">
        <f>INDEX('Revenue by Customer'!U:U,MATCH('Full Customer List'!$B195,'Revenue by Customer'!$A:$A,0))</f>
        <v/>
      </c>
      <c r="V195" s="192">
        <f>INDEX('Revenue by Customer'!V:V,MATCH('Full Customer List'!$B195,'Revenue by Customer'!$A:$A,0))</f>
        <v>700</v>
      </c>
      <c r="W195" s="192">
        <f>INDEX('Revenue by Customer'!W:W,MATCH('Full Customer List'!$B195,'Revenue by Customer'!$A:$A,0))</f>
        <v>570</v>
      </c>
      <c r="X195" s="192">
        <f>INDEX('Revenue by Customer'!X:X,MATCH('Full Customer List'!$B195,'Revenue by Customer'!$A:$A,0))</f>
        <v>415</v>
      </c>
      <c r="Y195" s="192">
        <f>INDEX('Revenue by Customer'!Y:Y,MATCH('Full Customer List'!$B195,'Revenue by Customer'!$A:$A,0))</f>
        <v>400</v>
      </c>
      <c r="Z195" s="192">
        <f>INDEX('Revenue by Customer'!Z:Z,MATCH('Full Customer List'!$B195,'Revenue by Customer'!$A:$A,0))</f>
        <v>400</v>
      </c>
      <c r="AA195" s="192">
        <f>INDEX('Revenue by Customer'!AA:AA,MATCH('Full Customer List'!$B195,'Revenue by Customer'!$A:$A,0))</f>
        <v>400</v>
      </c>
      <c r="AB195" s="192">
        <f>INDEX('Revenue by Customer'!AB:AB,MATCH('Full Customer List'!$B195,'Revenue by Customer'!$A:$A,0))</f>
        <v>400</v>
      </c>
      <c r="AC195" s="192">
        <f>INDEX('Revenue by Customer'!AC:AC,MATCH('Full Customer List'!$B195,'Revenue by Customer'!$A:$A,0))</f>
        <v>475</v>
      </c>
    </row>
    <row r="196" spans="2:29" ht="12" customHeight="1">
      <c r="B196" s="173" t="s">
        <v>837</v>
      </c>
      <c r="C196" s="173" t="str">
        <f>INDEX('Customer List'!$B:$B,MATCH('Full Customer List'!$B196,'Customer List'!$A:$A,0))</f>
        <v>Former client</v>
      </c>
      <c r="D196" s="173" t="str">
        <f>INDEX('Customer List'!$C:$C,MATCH('Full Customer List'!$B196,'Customer List'!$A:$A,0))</f>
        <v>Property manager</v>
      </c>
      <c r="E196" s="173" t="str">
        <f>INDEX('Customer List Mapping'!$C:$C,MATCH('Full Customer List'!D196,'Customer List Mapping'!$B:$B,0))</f>
        <v>Property Manager</v>
      </c>
      <c r="F196" s="192">
        <f>INDEX('Customer List'!$K:$K,MATCH('Full Customer List'!$B196,'Customer List'!$A:$A,0))</f>
        <v>14</v>
      </c>
      <c r="G196" s="192">
        <f>INDEX('Revenue by Customer'!$I:$I,MATCH('Full Customer List'!$B196,'Revenue by Customer'!$A:$A,0))</f>
        <v>632.33333333333337</v>
      </c>
      <c r="H196" s="257" t="str">
        <f>IFERROR(IF(C196="Active","",INDEX('Client Departures'!$G:$G,MATCH('Full Customer List'!$B196,'Client Departures'!$A:$A,0))),"Unclassified")</f>
        <v>Yes</v>
      </c>
      <c r="I196" s="196">
        <v>46054</v>
      </c>
      <c r="J196" s="196">
        <v>46203</v>
      </c>
      <c r="K196" s="192" t="str">
        <f>INDEX('Revenue by Customer'!K:K,MATCH('Full Customer List'!$B196,'Revenue by Customer'!$A:$A,0))</f>
        <v/>
      </c>
      <c r="L196" s="192" t="str">
        <f>INDEX('Revenue by Customer'!L:L,MATCH('Full Customer List'!$B196,'Revenue by Customer'!$A:$A,0))</f>
        <v/>
      </c>
      <c r="M196" s="192" t="str">
        <f>INDEX('Revenue by Customer'!M:M,MATCH('Full Customer List'!$B196,'Revenue by Customer'!$A:$A,0))</f>
        <v/>
      </c>
      <c r="N196" s="192" t="str">
        <f>INDEX('Revenue by Customer'!N:N,MATCH('Full Customer List'!$B196,'Revenue by Customer'!$A:$A,0))</f>
        <v/>
      </c>
      <c r="O196" s="192" t="str">
        <f>INDEX('Revenue by Customer'!O:O,MATCH('Full Customer List'!$B196,'Revenue by Customer'!$A:$A,0))</f>
        <v/>
      </c>
      <c r="P196" s="192" t="str">
        <f>INDEX('Revenue by Customer'!P:P,MATCH('Full Customer List'!$B196,'Revenue by Customer'!$A:$A,0))</f>
        <v/>
      </c>
      <c r="Q196" s="192" t="str">
        <f>INDEX('Revenue by Customer'!Q:Q,MATCH('Full Customer List'!$B196,'Revenue by Customer'!$A:$A,0))</f>
        <v/>
      </c>
      <c r="R196" s="192" t="str">
        <f>INDEX('Revenue by Customer'!R:R,MATCH('Full Customer List'!$B196,'Revenue by Customer'!$A:$A,0))</f>
        <v/>
      </c>
      <c r="S196" s="192" t="str">
        <f>INDEX('Revenue by Customer'!S:S,MATCH('Full Customer List'!$B196,'Revenue by Customer'!$A:$A,0))</f>
        <v/>
      </c>
      <c r="T196" s="192" t="str">
        <f>INDEX('Revenue by Customer'!T:T,MATCH('Full Customer List'!$B196,'Revenue by Customer'!$A:$A,0))</f>
        <v/>
      </c>
      <c r="U196" s="192" t="str">
        <f>INDEX('Revenue by Customer'!U:U,MATCH('Full Customer List'!$B196,'Revenue by Customer'!$A:$A,0))</f>
        <v/>
      </c>
      <c r="V196" s="192" t="str">
        <f>INDEX('Revenue by Customer'!V:V,MATCH('Full Customer List'!$B196,'Revenue by Customer'!$A:$A,0))</f>
        <v/>
      </c>
      <c r="W196" s="192" t="str">
        <f>INDEX('Revenue by Customer'!W:W,MATCH('Full Customer List'!$B196,'Revenue by Customer'!$A:$A,0))</f>
        <v/>
      </c>
      <c r="X196" s="192">
        <f>INDEX('Revenue by Customer'!X:X,MATCH('Full Customer List'!$B196,'Revenue by Customer'!$A:$A,0))</f>
        <v>1053</v>
      </c>
      <c r="Y196" s="192">
        <f>INDEX('Revenue by Customer'!Y:Y,MATCH('Full Customer List'!$B196,'Revenue by Customer'!$A:$A,0))</f>
        <v>798</v>
      </c>
      <c r="Z196" s="192">
        <f>INDEX('Revenue by Customer'!Z:Z,MATCH('Full Customer List'!$B196,'Revenue by Customer'!$A:$A,0))</f>
        <v>623</v>
      </c>
      <c r="AA196" s="192">
        <f>INDEX('Revenue by Customer'!AA:AA,MATCH('Full Customer List'!$B196,'Revenue by Customer'!$A:$A,0))</f>
        <v>668</v>
      </c>
      <c r="AB196" s="192">
        <f>INDEX('Revenue by Customer'!AB:AB,MATCH('Full Customer List'!$B196,'Revenue by Customer'!$A:$A,0))</f>
        <v>606</v>
      </c>
      <c r="AC196" s="192" t="str">
        <f>INDEX('Revenue by Customer'!AC:AC,MATCH('Full Customer List'!$B196,'Revenue by Customer'!$A:$A,0))</f>
        <v/>
      </c>
    </row>
    <row r="197" spans="2:29" ht="12" customHeight="1">
      <c r="B197" s="173" t="s">
        <v>839</v>
      </c>
      <c r="C197" s="173" t="str">
        <f>INDEX('Customer List'!$B:$B,MATCH('Full Customer List'!$B197,'Customer List'!$A:$A,0))</f>
        <v>Active</v>
      </c>
      <c r="D197" s="173" t="str">
        <f>INDEX('Customer List'!$C:$C,MATCH('Full Customer List'!$B197,'Customer List'!$A:$A,0))</f>
        <v>Property manager</v>
      </c>
      <c r="E197" s="173" t="str">
        <f>INDEX('Customer List Mapping'!$C:$C,MATCH('Full Customer List'!D197,'Customer List Mapping'!$B:$B,0))</f>
        <v>Property Manager</v>
      </c>
      <c r="F197" s="192">
        <f>INDEX('Customer List'!$K:$K,MATCH('Full Customer List'!$B197,'Customer List'!$A:$A,0))</f>
        <v>25</v>
      </c>
      <c r="G197" s="192">
        <f>INDEX('Revenue by Customer'!$I:$I,MATCH('Full Customer List'!$B197,'Revenue by Customer'!$A:$A,0))</f>
        <v>760</v>
      </c>
      <c r="H197" s="257" t="str">
        <f>IFERROR(IF(C197="Active","",INDEX('Client Departures'!$G:$G,MATCH('Full Customer List'!$B197,'Client Departures'!$A:$A,0))),"Unclassified")</f>
        <v/>
      </c>
      <c r="I197" s="196">
        <v>46113</v>
      </c>
      <c r="J197" s="196"/>
      <c r="K197" s="192" t="str">
        <f>INDEX('Revenue by Customer'!K:K,MATCH('Full Customer List'!$B197,'Revenue by Customer'!$A:$A,0))</f>
        <v/>
      </c>
      <c r="L197" s="192" t="str">
        <f>INDEX('Revenue by Customer'!L:L,MATCH('Full Customer List'!$B197,'Revenue by Customer'!$A:$A,0))</f>
        <v/>
      </c>
      <c r="M197" s="192" t="str">
        <f>INDEX('Revenue by Customer'!M:M,MATCH('Full Customer List'!$B197,'Revenue by Customer'!$A:$A,0))</f>
        <v/>
      </c>
      <c r="N197" s="192" t="str">
        <f>INDEX('Revenue by Customer'!N:N,MATCH('Full Customer List'!$B197,'Revenue by Customer'!$A:$A,0))</f>
        <v/>
      </c>
      <c r="O197" s="192" t="str">
        <f>INDEX('Revenue by Customer'!O:O,MATCH('Full Customer List'!$B197,'Revenue by Customer'!$A:$A,0))</f>
        <v/>
      </c>
      <c r="P197" s="192" t="str">
        <f>INDEX('Revenue by Customer'!P:P,MATCH('Full Customer List'!$B197,'Revenue by Customer'!$A:$A,0))</f>
        <v/>
      </c>
      <c r="Q197" s="192" t="str">
        <f>INDEX('Revenue by Customer'!Q:Q,MATCH('Full Customer List'!$B197,'Revenue by Customer'!$A:$A,0))</f>
        <v/>
      </c>
      <c r="R197" s="192" t="str">
        <f>INDEX('Revenue by Customer'!R:R,MATCH('Full Customer List'!$B197,'Revenue by Customer'!$A:$A,0))</f>
        <v/>
      </c>
      <c r="S197" s="192" t="str">
        <f>INDEX('Revenue by Customer'!S:S,MATCH('Full Customer List'!$B197,'Revenue by Customer'!$A:$A,0))</f>
        <v/>
      </c>
      <c r="T197" s="192" t="str">
        <f>INDEX('Revenue by Customer'!T:T,MATCH('Full Customer List'!$B197,'Revenue by Customer'!$A:$A,0))</f>
        <v/>
      </c>
      <c r="U197" s="192" t="str">
        <f>INDEX('Revenue by Customer'!U:U,MATCH('Full Customer List'!$B197,'Revenue by Customer'!$A:$A,0))</f>
        <v/>
      </c>
      <c r="V197" s="192" t="str">
        <f>INDEX('Revenue by Customer'!V:V,MATCH('Full Customer List'!$B197,'Revenue by Customer'!$A:$A,0))</f>
        <v/>
      </c>
      <c r="W197" s="192" t="str">
        <f>INDEX('Revenue by Customer'!W:W,MATCH('Full Customer List'!$B197,'Revenue by Customer'!$A:$A,0))</f>
        <v/>
      </c>
      <c r="X197" s="192" t="str">
        <f>INDEX('Revenue by Customer'!X:X,MATCH('Full Customer List'!$B197,'Revenue by Customer'!$A:$A,0))</f>
        <v/>
      </c>
      <c r="Y197" s="192" t="str">
        <f>INDEX('Revenue by Customer'!Y:Y,MATCH('Full Customer List'!$B197,'Revenue by Customer'!$A:$A,0))</f>
        <v/>
      </c>
      <c r="Z197" s="192">
        <f>INDEX('Revenue by Customer'!Z:Z,MATCH('Full Customer List'!$B197,'Revenue by Customer'!$A:$A,0))</f>
        <v>1380</v>
      </c>
      <c r="AA197" s="192">
        <f>INDEX('Revenue by Customer'!AA:AA,MATCH('Full Customer List'!$B197,'Revenue by Customer'!$A:$A,0))</f>
        <v>780</v>
      </c>
      <c r="AB197" s="192">
        <f>INDEX('Revenue by Customer'!AB:AB,MATCH('Full Customer List'!$B197,'Revenue by Customer'!$A:$A,0))</f>
        <v>750</v>
      </c>
      <c r="AC197" s="192">
        <f>INDEX('Revenue by Customer'!AC:AC,MATCH('Full Customer List'!$B197,'Revenue by Customer'!$A:$A,0))</f>
        <v>750</v>
      </c>
    </row>
    <row r="198" spans="2:29" ht="12" customHeight="1">
      <c r="B198" s="173" t="s">
        <v>840</v>
      </c>
      <c r="C198" s="173" t="str">
        <f>INDEX('Customer List'!$B:$B,MATCH('Full Customer List'!$B198,'Customer List'!$A:$A,0))</f>
        <v>Active</v>
      </c>
      <c r="D198" s="173" t="str">
        <f>INDEX('Customer List'!$C:$C,MATCH('Full Customer List'!$B198,'Customer List'!$A:$A,0))</f>
        <v>STR owner</v>
      </c>
      <c r="E198" s="173" t="str">
        <f>INDEX('Customer List Mapping'!$C:$C,MATCH('Full Customer List'!D198,'Customer List Mapping'!$B:$B,0))</f>
        <v>STR Owner</v>
      </c>
      <c r="F198" s="192" t="str">
        <f>INDEX('Customer List'!$K:$K,MATCH('Full Customer List'!$B198,'Customer List'!$A:$A,0))</f>
        <v/>
      </c>
      <c r="G198" s="192">
        <f>INDEX('Revenue by Customer'!$I:$I,MATCH('Full Customer List'!$B198,'Revenue by Customer'!$A:$A,0))</f>
        <v>306.66666666666669</v>
      </c>
      <c r="H198" s="257" t="str">
        <f>IFERROR(IF(C198="Active","",INDEX('Client Departures'!$G:$G,MATCH('Full Customer List'!$B198,'Client Departures'!$A:$A,0))),"Unclassified")</f>
        <v/>
      </c>
      <c r="I198" s="196">
        <v>45383</v>
      </c>
      <c r="J198" s="196"/>
      <c r="K198" s="192">
        <f>INDEX('Revenue by Customer'!K:K,MATCH('Full Customer List'!$B198,'Revenue by Customer'!$A:$A,0))</f>
        <v>320</v>
      </c>
      <c r="L198" s="192">
        <f>INDEX('Revenue by Customer'!L:L,MATCH('Full Customer List'!$B198,'Revenue by Customer'!$A:$A,0))</f>
        <v>320</v>
      </c>
      <c r="M198" s="192">
        <f>INDEX('Revenue by Customer'!M:M,MATCH('Full Customer List'!$B198,'Revenue by Customer'!$A:$A,0))</f>
        <v>320</v>
      </c>
      <c r="N198" s="192">
        <f>INDEX('Revenue by Customer'!N:N,MATCH('Full Customer List'!$B198,'Revenue by Customer'!$A:$A,0))</f>
        <v>320</v>
      </c>
      <c r="O198" s="192">
        <f>INDEX('Revenue by Customer'!O:O,MATCH('Full Customer List'!$B198,'Revenue by Customer'!$A:$A,0))</f>
        <v>320</v>
      </c>
      <c r="P198" s="192">
        <f>INDEX('Revenue by Customer'!P:P,MATCH('Full Customer List'!$B198,'Revenue by Customer'!$A:$A,0))</f>
        <v>300</v>
      </c>
      <c r="Q198" s="192">
        <f>INDEX('Revenue by Customer'!Q:Q,MATCH('Full Customer List'!$B198,'Revenue by Customer'!$A:$A,0))</f>
        <v>300</v>
      </c>
      <c r="R198" s="192">
        <f>INDEX('Revenue by Customer'!R:R,MATCH('Full Customer List'!$B198,'Revenue by Customer'!$A:$A,0))</f>
        <v>300</v>
      </c>
      <c r="S198" s="192">
        <f>INDEX('Revenue by Customer'!S:S,MATCH('Full Customer List'!$B198,'Revenue by Customer'!$A:$A,0))</f>
        <v>300</v>
      </c>
      <c r="T198" s="192">
        <f>INDEX('Revenue by Customer'!T:T,MATCH('Full Customer List'!$B198,'Revenue by Customer'!$A:$A,0))</f>
        <v>300</v>
      </c>
      <c r="U198" s="192">
        <f>INDEX('Revenue by Customer'!U:U,MATCH('Full Customer List'!$B198,'Revenue by Customer'!$A:$A,0))</f>
        <v>300</v>
      </c>
      <c r="V198" s="192">
        <f>INDEX('Revenue by Customer'!V:V,MATCH('Full Customer List'!$B198,'Revenue by Customer'!$A:$A,0))</f>
        <v>300</v>
      </c>
      <c r="W198" s="192">
        <f>INDEX('Revenue by Customer'!W:W,MATCH('Full Customer List'!$B198,'Revenue by Customer'!$A:$A,0))</f>
        <v>300</v>
      </c>
      <c r="X198" s="192">
        <f>INDEX('Revenue by Customer'!X:X,MATCH('Full Customer List'!$B198,'Revenue by Customer'!$A:$A,0))</f>
        <v>300</v>
      </c>
      <c r="Y198" s="192">
        <f>INDEX('Revenue by Customer'!Y:Y,MATCH('Full Customer List'!$B198,'Revenue by Customer'!$A:$A,0))</f>
        <v>300</v>
      </c>
      <c r="Z198" s="192">
        <f>INDEX('Revenue by Customer'!Z:Z,MATCH('Full Customer List'!$B198,'Revenue by Customer'!$A:$A,0))</f>
        <v>300</v>
      </c>
      <c r="AA198" s="192">
        <f>INDEX('Revenue by Customer'!AA:AA,MATCH('Full Customer List'!$B198,'Revenue by Customer'!$A:$A,0))</f>
        <v>300</v>
      </c>
      <c r="AB198" s="192">
        <f>INDEX('Revenue by Customer'!AB:AB,MATCH('Full Customer List'!$B198,'Revenue by Customer'!$A:$A,0))</f>
        <v>310</v>
      </c>
      <c r="AC198" s="192">
        <f>INDEX('Revenue by Customer'!AC:AC,MATCH('Full Customer List'!$B198,'Revenue by Customer'!$A:$A,0))</f>
        <v>310</v>
      </c>
    </row>
    <row r="199" spans="2:29" ht="12" customHeight="1">
      <c r="B199" s="173" t="s">
        <v>841</v>
      </c>
      <c r="C199" s="173" t="str">
        <f>INDEX('Customer List'!$B:$B,MATCH('Full Customer List'!$B199,'Customer List'!$A:$A,0))</f>
        <v>Active</v>
      </c>
      <c r="D199" s="173" t="str">
        <f>INDEX('Customer List'!$C:$C,MATCH('Full Customer List'!$B199,'Customer List'!$A:$A,0))</f>
        <v>Property manager</v>
      </c>
      <c r="E199" s="173" t="str">
        <f>INDEX('Customer List Mapping'!$C:$C,MATCH('Full Customer List'!D199,'Customer List Mapping'!$B:$B,0))</f>
        <v>Property Manager</v>
      </c>
      <c r="F199" s="192">
        <f>INDEX('Customer List'!$K:$K,MATCH('Full Customer List'!$B199,'Customer List'!$A:$A,0))</f>
        <v>2</v>
      </c>
      <c r="G199" s="192">
        <f>INDEX('Revenue by Customer'!$I:$I,MATCH('Full Customer List'!$B199,'Revenue by Customer'!$A:$A,0))</f>
        <v>407.12333333333328</v>
      </c>
      <c r="H199" s="257" t="str">
        <f>IFERROR(IF(C199="Active","",INDEX('Client Departures'!$G:$G,MATCH('Full Customer List'!$B199,'Client Departures'!$A:$A,0))),"Unclassified")</f>
        <v/>
      </c>
      <c r="I199" s="196">
        <v>45901</v>
      </c>
      <c r="J199" s="196"/>
      <c r="K199" s="192" t="str">
        <f>INDEX('Revenue by Customer'!K:K,MATCH('Full Customer List'!$B199,'Revenue by Customer'!$A:$A,0))</f>
        <v/>
      </c>
      <c r="L199" s="192" t="str">
        <f>INDEX('Revenue by Customer'!L:L,MATCH('Full Customer List'!$B199,'Revenue by Customer'!$A:$A,0))</f>
        <v/>
      </c>
      <c r="M199" s="192" t="str">
        <f>INDEX('Revenue by Customer'!M:M,MATCH('Full Customer List'!$B199,'Revenue by Customer'!$A:$A,0))</f>
        <v/>
      </c>
      <c r="N199" s="192" t="str">
        <f>INDEX('Revenue by Customer'!N:N,MATCH('Full Customer List'!$B199,'Revenue by Customer'!$A:$A,0))</f>
        <v/>
      </c>
      <c r="O199" s="192" t="str">
        <f>INDEX('Revenue by Customer'!O:O,MATCH('Full Customer List'!$B199,'Revenue by Customer'!$A:$A,0))</f>
        <v/>
      </c>
      <c r="P199" s="192" t="str">
        <f>INDEX('Revenue by Customer'!P:P,MATCH('Full Customer List'!$B199,'Revenue by Customer'!$A:$A,0))</f>
        <v/>
      </c>
      <c r="Q199" s="192" t="str">
        <f>INDEX('Revenue by Customer'!Q:Q,MATCH('Full Customer List'!$B199,'Revenue by Customer'!$A:$A,0))</f>
        <v/>
      </c>
      <c r="R199" s="192" t="str">
        <f>INDEX('Revenue by Customer'!R:R,MATCH('Full Customer List'!$B199,'Revenue by Customer'!$A:$A,0))</f>
        <v/>
      </c>
      <c r="S199" s="192" t="str">
        <f>INDEX('Revenue by Customer'!S:S,MATCH('Full Customer List'!$B199,'Revenue by Customer'!$A:$A,0))</f>
        <v/>
      </c>
      <c r="T199" s="192">
        <f>INDEX('Revenue by Customer'!T:T,MATCH('Full Customer List'!$B199,'Revenue by Customer'!$A:$A,0))</f>
        <v>440</v>
      </c>
      <c r="U199" s="192">
        <f>INDEX('Revenue by Customer'!U:U,MATCH('Full Customer List'!$B199,'Revenue by Customer'!$A:$A,0))</f>
        <v>290</v>
      </c>
      <c r="V199" s="192">
        <f>INDEX('Revenue by Customer'!V:V,MATCH('Full Customer List'!$B199,'Revenue by Customer'!$A:$A,0))</f>
        <v>290</v>
      </c>
      <c r="W199" s="192">
        <f>INDEX('Revenue by Customer'!W:W,MATCH('Full Customer List'!$B199,'Revenue by Customer'!$A:$A,0))</f>
        <v>290</v>
      </c>
      <c r="X199" s="192">
        <f>INDEX('Revenue by Customer'!X:X,MATCH('Full Customer List'!$B199,'Revenue by Customer'!$A:$A,0))</f>
        <v>305</v>
      </c>
      <c r="Y199" s="192">
        <f>INDEX('Revenue by Customer'!Y:Y,MATCH('Full Customer List'!$B199,'Revenue by Customer'!$A:$A,0))</f>
        <v>290</v>
      </c>
      <c r="Z199" s="192">
        <f>INDEX('Revenue by Customer'!Z:Z,MATCH('Full Customer List'!$B199,'Revenue by Customer'!$A:$A,0))</f>
        <v>440</v>
      </c>
      <c r="AA199" s="192">
        <f>INDEX('Revenue by Customer'!AA:AA,MATCH('Full Customer List'!$B199,'Revenue by Customer'!$A:$A,0))</f>
        <v>440</v>
      </c>
      <c r="AB199" s="192">
        <f>INDEX('Revenue by Customer'!AB:AB,MATCH('Full Customer List'!$B199,'Revenue by Customer'!$A:$A,0))</f>
        <v>341.37</v>
      </c>
      <c r="AC199" s="192">
        <f>INDEX('Revenue by Customer'!AC:AC,MATCH('Full Customer List'!$B199,'Revenue by Customer'!$A:$A,0))</f>
        <v>440</v>
      </c>
    </row>
    <row r="200" spans="2:29" ht="12" customHeight="1">
      <c r="B200" s="173" t="s">
        <v>842</v>
      </c>
      <c r="C200" s="173" t="str">
        <f>INDEX('Customer List'!$B:$B,MATCH('Full Customer List'!$B200,'Customer List'!$A:$A,0))</f>
        <v>Active</v>
      </c>
      <c r="D200" s="173" t="str">
        <f>INDEX('Customer List'!$C:$C,MATCH('Full Customer List'!$B200,'Customer List'!$A:$A,0))</f>
        <v>STR owner</v>
      </c>
      <c r="E200" s="173" t="str">
        <f>INDEX('Customer List Mapping'!$C:$C,MATCH('Full Customer List'!D200,'Customer List Mapping'!$B:$B,0))</f>
        <v>STR Owner</v>
      </c>
      <c r="F200" s="192" t="str">
        <f>INDEX('Customer List'!$K:$K,MATCH('Full Customer List'!$B200,'Customer List'!$A:$A,0))</f>
        <v/>
      </c>
      <c r="G200" s="192">
        <f>INDEX('Revenue by Customer'!$I:$I,MATCH('Full Customer List'!$B200,'Revenue by Customer'!$A:$A,0))</f>
        <v>400</v>
      </c>
      <c r="H200" s="257" t="str">
        <f>IFERROR(IF(C200="Active","",INDEX('Client Departures'!$G:$G,MATCH('Full Customer List'!$B200,'Client Departures'!$A:$A,0))),"Unclassified")</f>
        <v/>
      </c>
      <c r="I200" s="196">
        <v>45962</v>
      </c>
      <c r="J200" s="196"/>
      <c r="K200" s="192" t="str">
        <f>INDEX('Revenue by Customer'!K:K,MATCH('Full Customer List'!$B200,'Revenue by Customer'!$A:$A,0))</f>
        <v/>
      </c>
      <c r="L200" s="192" t="str">
        <f>INDEX('Revenue by Customer'!L:L,MATCH('Full Customer List'!$B200,'Revenue by Customer'!$A:$A,0))</f>
        <v/>
      </c>
      <c r="M200" s="192" t="str">
        <f>INDEX('Revenue by Customer'!M:M,MATCH('Full Customer List'!$B200,'Revenue by Customer'!$A:$A,0))</f>
        <v/>
      </c>
      <c r="N200" s="192" t="str">
        <f>INDEX('Revenue by Customer'!N:N,MATCH('Full Customer List'!$B200,'Revenue by Customer'!$A:$A,0))</f>
        <v/>
      </c>
      <c r="O200" s="192" t="str">
        <f>INDEX('Revenue by Customer'!O:O,MATCH('Full Customer List'!$B200,'Revenue by Customer'!$A:$A,0))</f>
        <v/>
      </c>
      <c r="P200" s="192" t="str">
        <f>INDEX('Revenue by Customer'!P:P,MATCH('Full Customer List'!$B200,'Revenue by Customer'!$A:$A,0))</f>
        <v/>
      </c>
      <c r="Q200" s="192" t="str">
        <f>INDEX('Revenue by Customer'!Q:Q,MATCH('Full Customer List'!$B200,'Revenue by Customer'!$A:$A,0))</f>
        <v/>
      </c>
      <c r="R200" s="192" t="str">
        <f>INDEX('Revenue by Customer'!R:R,MATCH('Full Customer List'!$B200,'Revenue by Customer'!$A:$A,0))</f>
        <v/>
      </c>
      <c r="S200" s="192" t="str">
        <f>INDEX('Revenue by Customer'!S:S,MATCH('Full Customer List'!$B200,'Revenue by Customer'!$A:$A,0))</f>
        <v/>
      </c>
      <c r="T200" s="192" t="str">
        <f>INDEX('Revenue by Customer'!T:T,MATCH('Full Customer List'!$B200,'Revenue by Customer'!$A:$A,0))</f>
        <v/>
      </c>
      <c r="U200" s="192">
        <f>INDEX('Revenue by Customer'!U:U,MATCH('Full Customer List'!$B200,'Revenue by Customer'!$A:$A,0))</f>
        <v>350</v>
      </c>
      <c r="V200" s="192">
        <f>INDEX('Revenue by Customer'!V:V,MATCH('Full Customer List'!$B200,'Revenue by Customer'!$A:$A,0))</f>
        <v>350</v>
      </c>
      <c r="W200" s="192">
        <f>INDEX('Revenue by Customer'!W:W,MATCH('Full Customer List'!$B200,'Revenue by Customer'!$A:$A,0))</f>
        <v>400</v>
      </c>
      <c r="X200" s="192">
        <f>INDEX('Revenue by Customer'!X:X,MATCH('Full Customer List'!$B200,'Revenue by Customer'!$A:$A,0))</f>
        <v>400</v>
      </c>
      <c r="Y200" s="192">
        <f>INDEX('Revenue by Customer'!Y:Y,MATCH('Full Customer List'!$B200,'Revenue by Customer'!$A:$A,0))</f>
        <v>400</v>
      </c>
      <c r="Z200" s="192">
        <f>INDEX('Revenue by Customer'!Z:Z,MATCH('Full Customer List'!$B200,'Revenue by Customer'!$A:$A,0))</f>
        <v>400</v>
      </c>
      <c r="AA200" s="192">
        <f>INDEX('Revenue by Customer'!AA:AA,MATCH('Full Customer List'!$B200,'Revenue by Customer'!$A:$A,0))</f>
        <v>400</v>
      </c>
      <c r="AB200" s="192">
        <f>INDEX('Revenue by Customer'!AB:AB,MATCH('Full Customer List'!$B200,'Revenue by Customer'!$A:$A,0))</f>
        <v>400</v>
      </c>
      <c r="AC200" s="192">
        <f>INDEX('Revenue by Customer'!AC:AC,MATCH('Full Customer List'!$B200,'Revenue by Customer'!$A:$A,0))</f>
        <v>400</v>
      </c>
    </row>
    <row r="201" spans="2:29" ht="12" customHeight="1">
      <c r="B201" s="173" t="s">
        <v>843</v>
      </c>
      <c r="C201" s="173" t="str">
        <f>INDEX('Customer List'!$B:$B,MATCH('Full Customer List'!$B201,'Customer List'!$A:$A,0))</f>
        <v>Former client</v>
      </c>
      <c r="D201" s="173" t="str">
        <f>INDEX('Customer List'!$C:$C,MATCH('Full Customer List'!$B201,'Customer List'!$A:$A,0))</f>
        <v>Property manager</v>
      </c>
      <c r="E201" s="173" t="str">
        <f>INDEX('Customer List Mapping'!$C:$C,MATCH('Full Customer List'!D201,'Customer List Mapping'!$B:$B,0))</f>
        <v>Property Manager</v>
      </c>
      <c r="F201" s="192">
        <f>INDEX('Customer List'!$K:$K,MATCH('Full Customer List'!$B201,'Customer List'!$A:$A,0))</f>
        <v>4</v>
      </c>
      <c r="G201" s="192">
        <f>INDEX('Revenue by Customer'!$I:$I,MATCH('Full Customer List'!$B201,'Revenue by Customer'!$A:$A,0))</f>
        <v>400</v>
      </c>
      <c r="H201" s="257" t="str">
        <f>IFERROR(IF(C201="Active","",INDEX('Client Departures'!$G:$G,MATCH('Full Customer List'!$B201,'Client Departures'!$A:$A,0))),"Unclassified")</f>
        <v>Yes</v>
      </c>
      <c r="I201" s="196">
        <v>45474</v>
      </c>
      <c r="J201" s="196">
        <v>46112</v>
      </c>
      <c r="K201" s="192">
        <f>INDEX('Revenue by Customer'!K:K,MATCH('Full Customer List'!$B201,'Revenue by Customer'!$A:$A,0))</f>
        <v>395</v>
      </c>
      <c r="L201" s="192">
        <f>INDEX('Revenue by Customer'!L:L,MATCH('Full Customer List'!$B201,'Revenue by Customer'!$A:$A,0))</f>
        <v>395</v>
      </c>
      <c r="M201" s="192">
        <f>INDEX('Revenue by Customer'!M:M,MATCH('Full Customer List'!$B201,'Revenue by Customer'!$A:$A,0))</f>
        <v>395</v>
      </c>
      <c r="N201" s="192">
        <f>INDEX('Revenue by Customer'!N:N,MATCH('Full Customer List'!$B201,'Revenue by Customer'!$A:$A,0))</f>
        <v>395</v>
      </c>
      <c r="O201" s="192">
        <f>INDEX('Revenue by Customer'!O:O,MATCH('Full Customer List'!$B201,'Revenue by Customer'!$A:$A,0))</f>
        <v>395</v>
      </c>
      <c r="P201" s="192">
        <f>INDEX('Revenue by Customer'!P:P,MATCH('Full Customer List'!$B201,'Revenue by Customer'!$A:$A,0))</f>
        <v>395</v>
      </c>
      <c r="Q201" s="192">
        <f>INDEX('Revenue by Customer'!Q:Q,MATCH('Full Customer List'!$B201,'Revenue by Customer'!$A:$A,0))</f>
        <v>400</v>
      </c>
      <c r="R201" s="192">
        <f>INDEX('Revenue by Customer'!R:R,MATCH('Full Customer List'!$B201,'Revenue by Customer'!$A:$A,0))</f>
        <v>400</v>
      </c>
      <c r="S201" s="192">
        <f>INDEX('Revenue by Customer'!S:S,MATCH('Full Customer List'!$B201,'Revenue by Customer'!$A:$A,0))</f>
        <v>400</v>
      </c>
      <c r="T201" s="192">
        <f>INDEX('Revenue by Customer'!T:T,MATCH('Full Customer List'!$B201,'Revenue by Customer'!$A:$A,0))</f>
        <v>655</v>
      </c>
      <c r="U201" s="192">
        <f>INDEX('Revenue by Customer'!U:U,MATCH('Full Customer List'!$B201,'Revenue by Customer'!$A:$A,0))</f>
        <v>400</v>
      </c>
      <c r="V201" s="192">
        <f>INDEX('Revenue by Customer'!V:V,MATCH('Full Customer List'!$B201,'Revenue by Customer'!$A:$A,0))</f>
        <v>400</v>
      </c>
      <c r="W201" s="192">
        <f>INDEX('Revenue by Customer'!W:W,MATCH('Full Customer List'!$B201,'Revenue by Customer'!$A:$A,0))</f>
        <v>400</v>
      </c>
      <c r="X201" s="192">
        <f>INDEX('Revenue by Customer'!X:X,MATCH('Full Customer List'!$B201,'Revenue by Customer'!$A:$A,0))</f>
        <v>400</v>
      </c>
      <c r="Y201" s="192">
        <f>INDEX('Revenue by Customer'!Y:Y,MATCH('Full Customer List'!$B201,'Revenue by Customer'!$A:$A,0))</f>
        <v>400</v>
      </c>
      <c r="Z201" s="192" t="str">
        <f>INDEX('Revenue by Customer'!Z:Z,MATCH('Full Customer List'!$B201,'Revenue by Customer'!$A:$A,0))</f>
        <v/>
      </c>
      <c r="AA201" s="192" t="str">
        <f>INDEX('Revenue by Customer'!AA:AA,MATCH('Full Customer List'!$B201,'Revenue by Customer'!$A:$A,0))</f>
        <v/>
      </c>
      <c r="AB201" s="192" t="str">
        <f>INDEX('Revenue by Customer'!AB:AB,MATCH('Full Customer List'!$B201,'Revenue by Customer'!$A:$A,0))</f>
        <v/>
      </c>
      <c r="AC201" s="192" t="str">
        <f>INDEX('Revenue by Customer'!AC:AC,MATCH('Full Customer List'!$B201,'Revenue by Customer'!$A:$A,0))</f>
        <v/>
      </c>
    </row>
    <row r="202" spans="2:29" ht="12" customHeight="1">
      <c r="B202" s="173" t="s">
        <v>844</v>
      </c>
      <c r="C202" s="173" t="str">
        <f>INDEX('Customer List'!$B:$B,MATCH('Full Customer List'!$B202,'Customer List'!$A:$A,0))</f>
        <v>Former client</v>
      </c>
      <c r="D202" s="173" t="str">
        <f>INDEX('Customer List'!$C:$C,MATCH('Full Customer List'!$B202,'Customer List'!$A:$A,0))</f>
        <v>Small business</v>
      </c>
      <c r="E202" s="173" t="str">
        <f>INDEX('Customer List Mapping'!$C:$C,MATCH('Full Customer List'!D202,'Customer List Mapping'!$B:$B,0))</f>
        <v>Small Business</v>
      </c>
      <c r="F202" s="192" t="str">
        <f>INDEX('Customer List'!$K:$K,MATCH('Full Customer List'!$B202,'Customer List'!$A:$A,0))</f>
        <v/>
      </c>
      <c r="G202" s="192">
        <f>INDEX('Revenue by Customer'!$I:$I,MATCH('Full Customer List'!$B202,'Revenue by Customer'!$A:$A,0))</f>
        <v>285</v>
      </c>
      <c r="H202" s="257" t="str">
        <f>IFERROR(IF(C202="Active","",INDEX('Client Departures'!$G:$G,MATCH('Full Customer List'!$B202,'Client Departures'!$A:$A,0))),"Unclassified")</f>
        <v>No</v>
      </c>
      <c r="I202" s="196">
        <v>44805</v>
      </c>
      <c r="J202" s="196">
        <v>46234</v>
      </c>
      <c r="K202" s="192">
        <f>INDEX('Revenue by Customer'!K:K,MATCH('Full Customer List'!$B202,'Revenue by Customer'!$A:$A,0))</f>
        <v>335</v>
      </c>
      <c r="L202" s="192">
        <f>INDEX('Revenue by Customer'!L:L,MATCH('Full Customer List'!$B202,'Revenue by Customer'!$A:$A,0))</f>
        <v>275</v>
      </c>
      <c r="M202" s="192">
        <f>INDEX('Revenue by Customer'!M:M,MATCH('Full Customer List'!$B202,'Revenue by Customer'!$A:$A,0))</f>
        <v>275</v>
      </c>
      <c r="N202" s="192">
        <f>INDEX('Revenue by Customer'!N:N,MATCH('Full Customer List'!$B202,'Revenue by Customer'!$A:$A,0))</f>
        <v>275</v>
      </c>
      <c r="O202" s="192">
        <f>INDEX('Revenue by Customer'!O:O,MATCH('Full Customer List'!$B202,'Revenue by Customer'!$A:$A,0))</f>
        <v>275</v>
      </c>
      <c r="P202" s="192">
        <f>INDEX('Revenue by Customer'!P:P,MATCH('Full Customer List'!$B202,'Revenue by Customer'!$A:$A,0))</f>
        <v>275</v>
      </c>
      <c r="Q202" s="192">
        <f>INDEX('Revenue by Customer'!Q:Q,MATCH('Full Customer List'!$B202,'Revenue by Customer'!$A:$A,0))</f>
        <v>275</v>
      </c>
      <c r="R202" s="192">
        <f>INDEX('Revenue by Customer'!R:R,MATCH('Full Customer List'!$B202,'Revenue by Customer'!$A:$A,0))</f>
        <v>275</v>
      </c>
      <c r="S202" s="192">
        <f>INDEX('Revenue by Customer'!S:S,MATCH('Full Customer List'!$B202,'Revenue by Customer'!$A:$A,0))</f>
        <v>285</v>
      </c>
      <c r="T202" s="192">
        <f>INDEX('Revenue by Customer'!T:T,MATCH('Full Customer List'!$B202,'Revenue by Customer'!$A:$A,0))</f>
        <v>285</v>
      </c>
      <c r="U202" s="192">
        <f>INDEX('Revenue by Customer'!U:U,MATCH('Full Customer List'!$B202,'Revenue by Customer'!$A:$A,0))</f>
        <v>285</v>
      </c>
      <c r="V202" s="192">
        <f>INDEX('Revenue by Customer'!V:V,MATCH('Full Customer List'!$B202,'Revenue by Customer'!$A:$A,0))</f>
        <v>285</v>
      </c>
      <c r="W202" s="192">
        <f>INDEX('Revenue by Customer'!W:W,MATCH('Full Customer List'!$B202,'Revenue by Customer'!$A:$A,0))</f>
        <v>285</v>
      </c>
      <c r="X202" s="192">
        <f>INDEX('Revenue by Customer'!X:X,MATCH('Full Customer List'!$B202,'Revenue by Customer'!$A:$A,0))</f>
        <v>315</v>
      </c>
      <c r="Y202" s="192">
        <f>INDEX('Revenue by Customer'!Y:Y,MATCH('Full Customer List'!$B202,'Revenue by Customer'!$A:$A,0))</f>
        <v>285</v>
      </c>
      <c r="Z202" s="192">
        <f>INDEX('Revenue by Customer'!Z:Z,MATCH('Full Customer List'!$B202,'Revenue by Customer'!$A:$A,0))</f>
        <v>285</v>
      </c>
      <c r="AA202" s="192">
        <f>INDEX('Revenue by Customer'!AA:AA,MATCH('Full Customer List'!$B202,'Revenue by Customer'!$A:$A,0))</f>
        <v>285</v>
      </c>
      <c r="AB202" s="192">
        <f>INDEX('Revenue by Customer'!AB:AB,MATCH('Full Customer List'!$B202,'Revenue by Customer'!$A:$A,0))</f>
        <v>285</v>
      </c>
      <c r="AC202" s="192">
        <f>INDEX('Revenue by Customer'!AC:AC,MATCH('Full Customer List'!$B202,'Revenue by Customer'!$A:$A,0))</f>
        <v>285</v>
      </c>
    </row>
    <row r="203" spans="2:29" ht="12" customHeight="1">
      <c r="B203" s="173" t="s">
        <v>845</v>
      </c>
      <c r="C203" s="173" t="str">
        <f>INDEX('Customer List'!$B:$B,MATCH('Full Customer List'!$B203,'Customer List'!$A:$A,0))</f>
        <v>Former client</v>
      </c>
      <c r="D203" s="173" t="str">
        <f>INDEX('Customer List'!$C:$C,MATCH('Full Customer List'!$B203,'Customer List'!$A:$A,0))</f>
        <v>STR owner</v>
      </c>
      <c r="E203" s="173" t="str">
        <f>INDEX('Customer List Mapping'!$C:$C,MATCH('Full Customer List'!D203,'Customer List Mapping'!$B:$B,0))</f>
        <v>STR Owner</v>
      </c>
      <c r="F203" s="192" t="str">
        <f>INDEX('Customer List'!$K:$K,MATCH('Full Customer List'!$B203,'Customer List'!$A:$A,0))</f>
        <v/>
      </c>
      <c r="G203" s="192">
        <f>INDEX('Revenue by Customer'!$I:$I,MATCH('Full Customer List'!$B203,'Revenue by Customer'!$A:$A,0))</f>
        <v>560</v>
      </c>
      <c r="H203" s="257" t="str">
        <f>IFERROR(IF(C203="Active","",INDEX('Client Departures'!$G:$G,MATCH('Full Customer List'!$B203,'Client Departures'!$A:$A,0))),"Unclassified")</f>
        <v>Yes</v>
      </c>
      <c r="I203" s="196">
        <v>45992</v>
      </c>
      <c r="J203" s="196">
        <v>46173</v>
      </c>
      <c r="K203" s="192" t="str">
        <f>INDEX('Revenue by Customer'!K:K,MATCH('Full Customer List'!$B203,'Revenue by Customer'!$A:$A,0))</f>
        <v/>
      </c>
      <c r="L203" s="192" t="str">
        <f>INDEX('Revenue by Customer'!L:L,MATCH('Full Customer List'!$B203,'Revenue by Customer'!$A:$A,0))</f>
        <v/>
      </c>
      <c r="M203" s="192" t="str">
        <f>INDEX('Revenue by Customer'!M:M,MATCH('Full Customer List'!$B203,'Revenue by Customer'!$A:$A,0))</f>
        <v/>
      </c>
      <c r="N203" s="192" t="str">
        <f>INDEX('Revenue by Customer'!N:N,MATCH('Full Customer List'!$B203,'Revenue by Customer'!$A:$A,0))</f>
        <v/>
      </c>
      <c r="O203" s="192" t="str">
        <f>INDEX('Revenue by Customer'!O:O,MATCH('Full Customer List'!$B203,'Revenue by Customer'!$A:$A,0))</f>
        <v/>
      </c>
      <c r="P203" s="192" t="str">
        <f>INDEX('Revenue by Customer'!P:P,MATCH('Full Customer List'!$B203,'Revenue by Customer'!$A:$A,0))</f>
        <v/>
      </c>
      <c r="Q203" s="192" t="str">
        <f>INDEX('Revenue by Customer'!Q:Q,MATCH('Full Customer List'!$B203,'Revenue by Customer'!$A:$A,0))</f>
        <v/>
      </c>
      <c r="R203" s="192" t="str">
        <f>INDEX('Revenue by Customer'!R:R,MATCH('Full Customer List'!$B203,'Revenue by Customer'!$A:$A,0))</f>
        <v/>
      </c>
      <c r="S203" s="192" t="str">
        <f>INDEX('Revenue by Customer'!S:S,MATCH('Full Customer List'!$B203,'Revenue by Customer'!$A:$A,0))</f>
        <v/>
      </c>
      <c r="T203" s="192" t="str">
        <f>INDEX('Revenue by Customer'!T:T,MATCH('Full Customer List'!$B203,'Revenue by Customer'!$A:$A,0))</f>
        <v/>
      </c>
      <c r="U203" s="192" t="str">
        <f>INDEX('Revenue by Customer'!U:U,MATCH('Full Customer List'!$B203,'Revenue by Customer'!$A:$A,0))</f>
        <v/>
      </c>
      <c r="V203" s="192">
        <f>INDEX('Revenue by Customer'!V:V,MATCH('Full Customer List'!$B203,'Revenue by Customer'!$A:$A,0))</f>
        <v>640</v>
      </c>
      <c r="W203" s="192">
        <f>INDEX('Revenue by Customer'!W:W,MATCH('Full Customer List'!$B203,'Revenue by Customer'!$A:$A,0))</f>
        <v>425</v>
      </c>
      <c r="X203" s="192">
        <f>INDEX('Revenue by Customer'!X:X,MATCH('Full Customer List'!$B203,'Revenue by Customer'!$A:$A,0))</f>
        <v>595</v>
      </c>
      <c r="Y203" s="192">
        <f>INDEX('Revenue by Customer'!Y:Y,MATCH('Full Customer List'!$B203,'Revenue by Customer'!$A:$A,0))</f>
        <v>700</v>
      </c>
      <c r="Z203" s="192">
        <f>INDEX('Revenue by Customer'!Z:Z,MATCH('Full Customer List'!$B203,'Revenue by Customer'!$A:$A,0))</f>
        <v>420</v>
      </c>
      <c r="AA203" s="192">
        <f>INDEX('Revenue by Customer'!AA:AA,MATCH('Full Customer List'!$B203,'Revenue by Customer'!$A:$A,0))</f>
        <v>560</v>
      </c>
      <c r="AB203" s="192" t="str">
        <f>INDEX('Revenue by Customer'!AB:AB,MATCH('Full Customer List'!$B203,'Revenue by Customer'!$A:$A,0))</f>
        <v/>
      </c>
      <c r="AC203" s="192" t="str">
        <f>INDEX('Revenue by Customer'!AC:AC,MATCH('Full Customer List'!$B203,'Revenue by Customer'!$A:$A,0))</f>
        <v/>
      </c>
    </row>
    <row r="204" spans="2:29" ht="12" customHeight="1">
      <c r="B204" s="173" t="s">
        <v>846</v>
      </c>
      <c r="C204" s="173" t="str">
        <f>INDEX('Customer List'!$B:$B,MATCH('Full Customer List'!$B204,'Customer List'!$A:$A,0))</f>
        <v>Onboarding</v>
      </c>
      <c r="D204" s="173" t="str">
        <f>INDEX('Customer List'!$C:$C,MATCH('Full Customer List'!$B204,'Customer List'!$A:$A,0))</f>
        <v>Property manager</v>
      </c>
      <c r="E204" s="173" t="str">
        <f>INDEX('Customer List Mapping'!$C:$C,MATCH('Full Customer List'!D204,'Customer List Mapping'!$B:$B,0))</f>
        <v>Property Manager</v>
      </c>
      <c r="F204" s="192">
        <f>INDEX('Customer List'!$K:$K,MATCH('Full Customer List'!$B204,'Customer List'!$A:$A,0))</f>
        <v>15</v>
      </c>
      <c r="G204" s="192">
        <f>INDEX('Revenue by Customer'!$I:$I,MATCH('Full Customer List'!$B204,'Revenue by Customer'!$A:$A,0))</f>
        <v>1662.5</v>
      </c>
      <c r="H204" s="257" t="str">
        <f>IFERROR(IF(C204="Active","",INDEX('Client Departures'!$G:$G,MATCH('Full Customer List'!$B204,'Client Departures'!$A:$A,0))),"Unclassified")</f>
        <v>Unclassified</v>
      </c>
      <c r="I204" s="196">
        <v>46174</v>
      </c>
      <c r="J204" s="196"/>
      <c r="K204" s="192" t="str">
        <f>INDEX('Revenue by Customer'!K:K,MATCH('Full Customer List'!$B204,'Revenue by Customer'!$A:$A,0))</f>
        <v/>
      </c>
      <c r="L204" s="192" t="str">
        <f>INDEX('Revenue by Customer'!L:L,MATCH('Full Customer List'!$B204,'Revenue by Customer'!$A:$A,0))</f>
        <v/>
      </c>
      <c r="M204" s="192" t="str">
        <f>INDEX('Revenue by Customer'!M:M,MATCH('Full Customer List'!$B204,'Revenue by Customer'!$A:$A,0))</f>
        <v/>
      </c>
      <c r="N204" s="192" t="str">
        <f>INDEX('Revenue by Customer'!N:N,MATCH('Full Customer List'!$B204,'Revenue by Customer'!$A:$A,0))</f>
        <v/>
      </c>
      <c r="O204" s="192" t="str">
        <f>INDEX('Revenue by Customer'!O:O,MATCH('Full Customer List'!$B204,'Revenue by Customer'!$A:$A,0))</f>
        <v/>
      </c>
      <c r="P204" s="192" t="str">
        <f>INDEX('Revenue by Customer'!P:P,MATCH('Full Customer List'!$B204,'Revenue by Customer'!$A:$A,0))</f>
        <v/>
      </c>
      <c r="Q204" s="192" t="str">
        <f>INDEX('Revenue by Customer'!Q:Q,MATCH('Full Customer List'!$B204,'Revenue by Customer'!$A:$A,0))</f>
        <v/>
      </c>
      <c r="R204" s="192" t="str">
        <f>INDEX('Revenue by Customer'!R:R,MATCH('Full Customer List'!$B204,'Revenue by Customer'!$A:$A,0))</f>
        <v/>
      </c>
      <c r="S204" s="192" t="str">
        <f>INDEX('Revenue by Customer'!S:S,MATCH('Full Customer List'!$B204,'Revenue by Customer'!$A:$A,0))</f>
        <v/>
      </c>
      <c r="T204" s="192" t="str">
        <f>INDEX('Revenue by Customer'!T:T,MATCH('Full Customer List'!$B204,'Revenue by Customer'!$A:$A,0))</f>
        <v/>
      </c>
      <c r="U204" s="192" t="str">
        <f>INDEX('Revenue by Customer'!U:U,MATCH('Full Customer List'!$B204,'Revenue by Customer'!$A:$A,0))</f>
        <v/>
      </c>
      <c r="V204" s="192" t="str">
        <f>INDEX('Revenue by Customer'!V:V,MATCH('Full Customer List'!$B204,'Revenue by Customer'!$A:$A,0))</f>
        <v/>
      </c>
      <c r="W204" s="192" t="str">
        <f>INDEX('Revenue by Customer'!W:W,MATCH('Full Customer List'!$B204,'Revenue by Customer'!$A:$A,0))</f>
        <v/>
      </c>
      <c r="X204" s="192" t="str">
        <f>INDEX('Revenue by Customer'!X:X,MATCH('Full Customer List'!$B204,'Revenue by Customer'!$A:$A,0))</f>
        <v/>
      </c>
      <c r="Y204" s="192" t="str">
        <f>INDEX('Revenue by Customer'!Y:Y,MATCH('Full Customer List'!$B204,'Revenue by Customer'!$A:$A,0))</f>
        <v/>
      </c>
      <c r="Z204" s="192" t="str">
        <f>INDEX('Revenue by Customer'!Z:Z,MATCH('Full Customer List'!$B204,'Revenue by Customer'!$A:$A,0))</f>
        <v/>
      </c>
      <c r="AA204" s="192" t="str">
        <f>INDEX('Revenue by Customer'!AA:AA,MATCH('Full Customer List'!$B204,'Revenue by Customer'!$A:$A,0))</f>
        <v/>
      </c>
      <c r="AB204" s="192">
        <f>INDEX('Revenue by Customer'!AB:AB,MATCH('Full Customer List'!$B204,'Revenue by Customer'!$A:$A,0))</f>
        <v>2360</v>
      </c>
      <c r="AC204" s="192">
        <f>INDEX('Revenue by Customer'!AC:AC,MATCH('Full Customer List'!$B204,'Revenue by Customer'!$A:$A,0))</f>
        <v>965</v>
      </c>
    </row>
    <row r="205" spans="2:29" ht="12" customHeight="1">
      <c r="B205" s="173" t="s">
        <v>848</v>
      </c>
      <c r="C205" s="173" t="str">
        <f>INDEX('Customer List'!$B:$B,MATCH('Full Customer List'!$B205,'Customer List'!$A:$A,0))</f>
        <v>Active</v>
      </c>
      <c r="D205" s="173" t="str">
        <f>INDEX('Customer List'!$C:$C,MATCH('Full Customer List'!$B205,'Customer List'!$A:$A,0))</f>
        <v>Property manager</v>
      </c>
      <c r="E205" s="173" t="str">
        <f>INDEX('Customer List Mapping'!$C:$C,MATCH('Full Customer List'!D205,'Customer List Mapping'!$B:$B,0))</f>
        <v>Property Manager</v>
      </c>
      <c r="F205" s="192">
        <f>INDEX('Customer List'!$K:$K,MATCH('Full Customer List'!$B205,'Customer List'!$A:$A,0))</f>
        <v>10</v>
      </c>
      <c r="G205" s="192">
        <f>INDEX('Revenue by Customer'!$I:$I,MATCH('Full Customer List'!$B205,'Revenue by Customer'!$A:$A,0))</f>
        <v>585.33333333333337</v>
      </c>
      <c r="H205" s="257" t="str">
        <f>IFERROR(IF(C205="Active","",INDEX('Client Departures'!$G:$G,MATCH('Full Customer List'!$B205,'Client Departures'!$A:$A,0))),"Unclassified")</f>
        <v/>
      </c>
      <c r="I205" s="196">
        <v>46054</v>
      </c>
      <c r="J205" s="196"/>
      <c r="K205" s="192" t="str">
        <f>INDEX('Revenue by Customer'!K:K,MATCH('Full Customer List'!$B205,'Revenue by Customer'!$A:$A,0))</f>
        <v/>
      </c>
      <c r="L205" s="192" t="str">
        <f>INDEX('Revenue by Customer'!L:L,MATCH('Full Customer List'!$B205,'Revenue by Customer'!$A:$A,0))</f>
        <v/>
      </c>
      <c r="M205" s="192" t="str">
        <f>INDEX('Revenue by Customer'!M:M,MATCH('Full Customer List'!$B205,'Revenue by Customer'!$A:$A,0))</f>
        <v/>
      </c>
      <c r="N205" s="192" t="str">
        <f>INDEX('Revenue by Customer'!N:N,MATCH('Full Customer List'!$B205,'Revenue by Customer'!$A:$A,0))</f>
        <v/>
      </c>
      <c r="O205" s="192" t="str">
        <f>INDEX('Revenue by Customer'!O:O,MATCH('Full Customer List'!$B205,'Revenue by Customer'!$A:$A,0))</f>
        <v/>
      </c>
      <c r="P205" s="192" t="str">
        <f>INDEX('Revenue by Customer'!P:P,MATCH('Full Customer List'!$B205,'Revenue by Customer'!$A:$A,0))</f>
        <v/>
      </c>
      <c r="Q205" s="192" t="str">
        <f>INDEX('Revenue by Customer'!Q:Q,MATCH('Full Customer List'!$B205,'Revenue by Customer'!$A:$A,0))</f>
        <v/>
      </c>
      <c r="R205" s="192" t="str">
        <f>INDEX('Revenue by Customer'!R:R,MATCH('Full Customer List'!$B205,'Revenue by Customer'!$A:$A,0))</f>
        <v/>
      </c>
      <c r="S205" s="192" t="str">
        <f>INDEX('Revenue by Customer'!S:S,MATCH('Full Customer List'!$B205,'Revenue by Customer'!$A:$A,0))</f>
        <v/>
      </c>
      <c r="T205" s="192" t="str">
        <f>INDEX('Revenue by Customer'!T:T,MATCH('Full Customer List'!$B205,'Revenue by Customer'!$A:$A,0))</f>
        <v/>
      </c>
      <c r="U205" s="192" t="str">
        <f>INDEX('Revenue by Customer'!U:U,MATCH('Full Customer List'!$B205,'Revenue by Customer'!$A:$A,0))</f>
        <v/>
      </c>
      <c r="V205" s="192" t="str">
        <f>INDEX('Revenue by Customer'!V:V,MATCH('Full Customer List'!$B205,'Revenue by Customer'!$A:$A,0))</f>
        <v/>
      </c>
      <c r="W205" s="192" t="str">
        <f>INDEX('Revenue by Customer'!W:W,MATCH('Full Customer List'!$B205,'Revenue by Customer'!$A:$A,0))</f>
        <v/>
      </c>
      <c r="X205" s="192">
        <f>INDEX('Revenue by Customer'!X:X,MATCH('Full Customer List'!$B205,'Revenue by Customer'!$A:$A,0))</f>
        <v>668</v>
      </c>
      <c r="Y205" s="192">
        <f>INDEX('Revenue by Customer'!Y:Y,MATCH('Full Customer List'!$B205,'Revenue by Customer'!$A:$A,0))</f>
        <v>390</v>
      </c>
      <c r="Z205" s="192">
        <f>INDEX('Revenue by Customer'!Z:Z,MATCH('Full Customer List'!$B205,'Revenue by Customer'!$A:$A,0))</f>
        <v>464</v>
      </c>
      <c r="AA205" s="192">
        <f>INDEX('Revenue by Customer'!AA:AA,MATCH('Full Customer List'!$B205,'Revenue by Customer'!$A:$A,0))</f>
        <v>544</v>
      </c>
      <c r="AB205" s="192">
        <f>INDEX('Revenue by Customer'!AB:AB,MATCH('Full Customer List'!$B205,'Revenue by Customer'!$A:$A,0))</f>
        <v>606</v>
      </c>
      <c r="AC205" s="192">
        <f>INDEX('Revenue by Customer'!AC:AC,MATCH('Full Customer List'!$B205,'Revenue by Customer'!$A:$A,0))</f>
        <v>606</v>
      </c>
    </row>
    <row r="206" spans="2:29" ht="12" customHeight="1">
      <c r="B206" s="173" t="s">
        <v>849</v>
      </c>
      <c r="C206" s="173" t="str">
        <f>INDEX('Customer List'!$B:$B,MATCH('Full Customer List'!$B206,'Customer List'!$A:$A,0))</f>
        <v>Former client</v>
      </c>
      <c r="D206" s="173" t="str">
        <f>INDEX('Customer List'!$C:$C,MATCH('Full Customer List'!$B206,'Customer List'!$A:$A,0))</f>
        <v>Small business</v>
      </c>
      <c r="E206" s="173" t="str">
        <f>INDEX('Customer List Mapping'!$C:$C,MATCH('Full Customer List'!D206,'Customer List Mapping'!$B:$B,0))</f>
        <v>Small Business</v>
      </c>
      <c r="F206" s="192" t="str">
        <f>INDEX('Customer List'!$K:$K,MATCH('Full Customer List'!$B206,'Customer List'!$A:$A,0))</f>
        <v/>
      </c>
      <c r="G206" s="192">
        <f>INDEX('Revenue by Customer'!$I:$I,MATCH('Full Customer List'!$B206,'Revenue by Customer'!$A:$A,0))</f>
        <v>285</v>
      </c>
      <c r="H206" s="257" t="str">
        <f>IFERROR(IF(C206="Active","",INDEX('Client Departures'!$G:$G,MATCH('Full Customer List'!$B206,'Client Departures'!$A:$A,0))),"Unclassified")</f>
        <v>No</v>
      </c>
      <c r="I206" s="196">
        <v>44317</v>
      </c>
      <c r="J206" s="196">
        <v>46234</v>
      </c>
      <c r="K206" s="192">
        <f>INDEX('Revenue by Customer'!K:K,MATCH('Full Customer List'!$B206,'Revenue by Customer'!$A:$A,0))</f>
        <v>295</v>
      </c>
      <c r="L206" s="192">
        <f>INDEX('Revenue by Customer'!L:L,MATCH('Full Customer List'!$B206,'Revenue by Customer'!$A:$A,0))</f>
        <v>250</v>
      </c>
      <c r="M206" s="192">
        <f>INDEX('Revenue by Customer'!M:M,MATCH('Full Customer List'!$B206,'Revenue by Customer'!$A:$A,0))</f>
        <v>250</v>
      </c>
      <c r="N206" s="192">
        <f>INDEX('Revenue by Customer'!N:N,MATCH('Full Customer List'!$B206,'Revenue by Customer'!$A:$A,0))</f>
        <v>250</v>
      </c>
      <c r="O206" s="192">
        <f>INDEX('Revenue by Customer'!O:O,MATCH('Full Customer List'!$B206,'Revenue by Customer'!$A:$A,0))</f>
        <v>250</v>
      </c>
      <c r="P206" s="192">
        <f>INDEX('Revenue by Customer'!P:P,MATCH('Full Customer List'!$B206,'Revenue by Customer'!$A:$A,0))</f>
        <v>250</v>
      </c>
      <c r="Q206" s="192">
        <f>INDEX('Revenue by Customer'!Q:Q,MATCH('Full Customer List'!$B206,'Revenue by Customer'!$A:$A,0))</f>
        <v>250</v>
      </c>
      <c r="R206" s="192">
        <f>INDEX('Revenue by Customer'!R:R,MATCH('Full Customer List'!$B206,'Revenue by Customer'!$A:$A,0))</f>
        <v>250</v>
      </c>
      <c r="S206" s="192">
        <f>INDEX('Revenue by Customer'!S:S,MATCH('Full Customer List'!$B206,'Revenue by Customer'!$A:$A,0))</f>
        <v>250</v>
      </c>
      <c r="T206" s="192">
        <f>INDEX('Revenue by Customer'!T:T,MATCH('Full Customer List'!$B206,'Revenue by Customer'!$A:$A,0))</f>
        <v>250</v>
      </c>
      <c r="U206" s="192">
        <f>INDEX('Revenue by Customer'!U:U,MATCH('Full Customer List'!$B206,'Revenue by Customer'!$A:$A,0))</f>
        <v>250</v>
      </c>
      <c r="V206" s="192">
        <f>INDEX('Revenue by Customer'!V:V,MATCH('Full Customer List'!$B206,'Revenue by Customer'!$A:$A,0))</f>
        <v>250</v>
      </c>
      <c r="W206" s="192">
        <f>INDEX('Revenue by Customer'!W:W,MATCH('Full Customer List'!$B206,'Revenue by Customer'!$A:$A,0))</f>
        <v>285</v>
      </c>
      <c r="X206" s="192">
        <f>INDEX('Revenue by Customer'!X:X,MATCH('Full Customer List'!$B206,'Revenue by Customer'!$A:$A,0))</f>
        <v>300</v>
      </c>
      <c r="Y206" s="192">
        <f>INDEX('Revenue by Customer'!Y:Y,MATCH('Full Customer List'!$B206,'Revenue by Customer'!$A:$A,0))</f>
        <v>285</v>
      </c>
      <c r="Z206" s="192">
        <f>INDEX('Revenue by Customer'!Z:Z,MATCH('Full Customer List'!$B206,'Revenue by Customer'!$A:$A,0))</f>
        <v>285</v>
      </c>
      <c r="AA206" s="192">
        <f>INDEX('Revenue by Customer'!AA:AA,MATCH('Full Customer List'!$B206,'Revenue by Customer'!$A:$A,0))</f>
        <v>285</v>
      </c>
      <c r="AB206" s="192">
        <f>INDEX('Revenue by Customer'!AB:AB,MATCH('Full Customer List'!$B206,'Revenue by Customer'!$A:$A,0))</f>
        <v>285</v>
      </c>
      <c r="AC206" s="192">
        <f>INDEX('Revenue by Customer'!AC:AC,MATCH('Full Customer List'!$B206,'Revenue by Customer'!$A:$A,0))</f>
        <v>285</v>
      </c>
    </row>
    <row r="207" spans="2:29" ht="12" customHeight="1">
      <c r="B207" s="173" t="s">
        <v>851</v>
      </c>
      <c r="C207" s="173" t="str">
        <f>INDEX('Customer List'!$B:$B,MATCH('Full Customer List'!$B207,'Customer List'!$A:$A,0))</f>
        <v>Active</v>
      </c>
      <c r="D207" s="173" t="str">
        <f>INDEX('Customer List'!$C:$C,MATCH('Full Customer List'!$B207,'Customer List'!$A:$A,0))</f>
        <v>Property manager</v>
      </c>
      <c r="E207" s="173" t="str">
        <f>INDEX('Customer List Mapping'!$C:$C,MATCH('Full Customer List'!D207,'Customer List Mapping'!$B:$B,0))</f>
        <v>Property Manager</v>
      </c>
      <c r="F207" s="192">
        <f>INDEX('Customer List'!$K:$K,MATCH('Full Customer List'!$B207,'Customer List'!$A:$A,0))</f>
        <v>4</v>
      </c>
      <c r="G207" s="192">
        <f>INDEX('Revenue by Customer'!$I:$I,MATCH('Full Customer List'!$B207,'Revenue by Customer'!$A:$A,0))</f>
        <v>400</v>
      </c>
      <c r="H207" s="257" t="str">
        <f>IFERROR(IF(C207="Active","",INDEX('Client Departures'!$G:$G,MATCH('Full Customer List'!$B207,'Client Departures'!$A:$A,0))),"Unclassified")</f>
        <v/>
      </c>
      <c r="I207" s="196">
        <v>45962</v>
      </c>
      <c r="J207" s="196"/>
      <c r="K207" s="192" t="str">
        <f>INDEX('Revenue by Customer'!K:K,MATCH('Full Customer List'!$B207,'Revenue by Customer'!$A:$A,0))</f>
        <v/>
      </c>
      <c r="L207" s="192" t="str">
        <f>INDEX('Revenue by Customer'!L:L,MATCH('Full Customer List'!$B207,'Revenue by Customer'!$A:$A,0))</f>
        <v/>
      </c>
      <c r="M207" s="192" t="str">
        <f>INDEX('Revenue by Customer'!M:M,MATCH('Full Customer List'!$B207,'Revenue by Customer'!$A:$A,0))</f>
        <v/>
      </c>
      <c r="N207" s="192" t="str">
        <f>INDEX('Revenue by Customer'!N:N,MATCH('Full Customer List'!$B207,'Revenue by Customer'!$A:$A,0))</f>
        <v/>
      </c>
      <c r="O207" s="192" t="str">
        <f>INDEX('Revenue by Customer'!O:O,MATCH('Full Customer List'!$B207,'Revenue by Customer'!$A:$A,0))</f>
        <v/>
      </c>
      <c r="P207" s="192" t="str">
        <f>INDEX('Revenue by Customer'!P:P,MATCH('Full Customer List'!$B207,'Revenue by Customer'!$A:$A,0))</f>
        <v/>
      </c>
      <c r="Q207" s="192" t="str">
        <f>INDEX('Revenue by Customer'!Q:Q,MATCH('Full Customer List'!$B207,'Revenue by Customer'!$A:$A,0))</f>
        <v/>
      </c>
      <c r="R207" s="192" t="str">
        <f>INDEX('Revenue by Customer'!R:R,MATCH('Full Customer List'!$B207,'Revenue by Customer'!$A:$A,0))</f>
        <v/>
      </c>
      <c r="S207" s="192" t="str">
        <f>INDEX('Revenue by Customer'!S:S,MATCH('Full Customer List'!$B207,'Revenue by Customer'!$A:$A,0))</f>
        <v/>
      </c>
      <c r="T207" s="192" t="str">
        <f>INDEX('Revenue by Customer'!T:T,MATCH('Full Customer List'!$B207,'Revenue by Customer'!$A:$A,0))</f>
        <v/>
      </c>
      <c r="U207" s="192">
        <f>INDEX('Revenue by Customer'!U:U,MATCH('Full Customer List'!$B207,'Revenue by Customer'!$A:$A,0))</f>
        <v>400</v>
      </c>
      <c r="V207" s="192">
        <f>INDEX('Revenue by Customer'!V:V,MATCH('Full Customer List'!$B207,'Revenue by Customer'!$A:$A,0))</f>
        <v>325</v>
      </c>
      <c r="W207" s="192">
        <f>INDEX('Revenue by Customer'!W:W,MATCH('Full Customer List'!$B207,'Revenue by Customer'!$A:$A,0))</f>
        <v>325</v>
      </c>
      <c r="X207" s="192">
        <f>INDEX('Revenue by Customer'!X:X,MATCH('Full Customer List'!$B207,'Revenue by Customer'!$A:$A,0))</f>
        <v>415</v>
      </c>
      <c r="Y207" s="192">
        <f>INDEX('Revenue by Customer'!Y:Y,MATCH('Full Customer List'!$B207,'Revenue by Customer'!$A:$A,0))</f>
        <v>250</v>
      </c>
      <c r="Z207" s="192">
        <f>INDEX('Revenue by Customer'!Z:Z,MATCH('Full Customer List'!$B207,'Revenue by Customer'!$A:$A,0))</f>
        <v>325</v>
      </c>
      <c r="AA207" s="192">
        <f>INDEX('Revenue by Customer'!AA:AA,MATCH('Full Customer List'!$B207,'Revenue by Customer'!$A:$A,0))</f>
        <v>400</v>
      </c>
      <c r="AB207" s="192">
        <f>INDEX('Revenue by Customer'!AB:AB,MATCH('Full Customer List'!$B207,'Revenue by Customer'!$A:$A,0))</f>
        <v>400</v>
      </c>
      <c r="AC207" s="192">
        <f>INDEX('Revenue by Customer'!AC:AC,MATCH('Full Customer List'!$B207,'Revenue by Customer'!$A:$A,0))</f>
        <v>400</v>
      </c>
    </row>
    <row r="208" spans="2:29" ht="12" customHeight="1">
      <c r="B208" s="173" t="s">
        <v>852</v>
      </c>
      <c r="C208" s="173" t="str">
        <f>INDEX('Customer List'!$B:$B,MATCH('Full Customer List'!$B208,'Customer List'!$A:$A,0))</f>
        <v>Active</v>
      </c>
      <c r="D208" s="173" t="str">
        <f>INDEX('Customer List'!$C:$C,MATCH('Full Customer List'!$B208,'Customer List'!$A:$A,0))</f>
        <v>Property manager</v>
      </c>
      <c r="E208" s="173" t="str">
        <f>INDEX('Customer List Mapping'!$C:$C,MATCH('Full Customer List'!D208,'Customer List Mapping'!$B:$B,0))</f>
        <v>Property Manager</v>
      </c>
      <c r="F208" s="192">
        <f>INDEX('Customer List'!$K:$K,MATCH('Full Customer List'!$B208,'Customer List'!$A:$A,0))</f>
        <v>10</v>
      </c>
      <c r="G208" s="192">
        <f>INDEX('Revenue by Customer'!$I:$I,MATCH('Full Customer List'!$B208,'Revenue by Customer'!$A:$A,0))</f>
        <v>350</v>
      </c>
      <c r="H208" s="257" t="str">
        <f>IFERROR(IF(C208="Active","",INDEX('Client Departures'!$G:$G,MATCH('Full Customer List'!$B208,'Client Departures'!$A:$A,0))),"Unclassified")</f>
        <v/>
      </c>
      <c r="I208" s="196">
        <v>45931</v>
      </c>
      <c r="J208" s="196"/>
      <c r="K208" s="192" t="str">
        <f>INDEX('Revenue by Customer'!K:K,MATCH('Full Customer List'!$B208,'Revenue by Customer'!$A:$A,0))</f>
        <v/>
      </c>
      <c r="L208" s="192" t="str">
        <f>INDEX('Revenue by Customer'!L:L,MATCH('Full Customer List'!$B208,'Revenue by Customer'!$A:$A,0))</f>
        <v/>
      </c>
      <c r="M208" s="192" t="str">
        <f>INDEX('Revenue by Customer'!M:M,MATCH('Full Customer List'!$B208,'Revenue by Customer'!$A:$A,0))</f>
        <v/>
      </c>
      <c r="N208" s="192" t="str">
        <f>INDEX('Revenue by Customer'!N:N,MATCH('Full Customer List'!$B208,'Revenue by Customer'!$A:$A,0))</f>
        <v/>
      </c>
      <c r="O208" s="192" t="str">
        <f>INDEX('Revenue by Customer'!O:O,MATCH('Full Customer List'!$B208,'Revenue by Customer'!$A:$A,0))</f>
        <v/>
      </c>
      <c r="P208" s="192" t="str">
        <f>INDEX('Revenue by Customer'!P:P,MATCH('Full Customer List'!$B208,'Revenue by Customer'!$A:$A,0))</f>
        <v/>
      </c>
      <c r="Q208" s="192" t="str">
        <f>INDEX('Revenue by Customer'!Q:Q,MATCH('Full Customer List'!$B208,'Revenue by Customer'!$A:$A,0))</f>
        <v/>
      </c>
      <c r="R208" s="192" t="str">
        <f>INDEX('Revenue by Customer'!R:R,MATCH('Full Customer List'!$B208,'Revenue by Customer'!$A:$A,0))</f>
        <v/>
      </c>
      <c r="S208" s="192" t="str">
        <f>INDEX('Revenue by Customer'!S:S,MATCH('Full Customer List'!$B208,'Revenue by Customer'!$A:$A,0))</f>
        <v/>
      </c>
      <c r="T208" s="192">
        <f>INDEX('Revenue by Customer'!T:T,MATCH('Full Customer List'!$B208,'Revenue by Customer'!$A:$A,0))</f>
        <v>595</v>
      </c>
      <c r="U208" s="192" t="str">
        <f>INDEX('Revenue by Customer'!U:U,MATCH('Full Customer List'!$B208,'Revenue by Customer'!$A:$A,0))</f>
        <v/>
      </c>
      <c r="V208" s="192" t="str">
        <f>INDEX('Revenue by Customer'!V:V,MATCH('Full Customer List'!$B208,'Revenue by Customer'!$A:$A,0))</f>
        <v/>
      </c>
      <c r="W208" s="192">
        <f>INDEX('Revenue by Customer'!W:W,MATCH('Full Customer List'!$B208,'Revenue by Customer'!$A:$A,0))</f>
        <v>565</v>
      </c>
      <c r="X208" s="192">
        <f>INDEX('Revenue by Customer'!X:X,MATCH('Full Customer List'!$B208,'Revenue by Customer'!$A:$A,0))</f>
        <v>315</v>
      </c>
      <c r="Y208" s="192">
        <f>INDEX('Revenue by Customer'!Y:Y,MATCH('Full Customer List'!$B208,'Revenue by Customer'!$A:$A,0))</f>
        <v>350</v>
      </c>
      <c r="Z208" s="192">
        <f>INDEX('Revenue by Customer'!Z:Z,MATCH('Full Customer List'!$B208,'Revenue by Customer'!$A:$A,0))</f>
        <v>350</v>
      </c>
      <c r="AA208" s="192">
        <f>INDEX('Revenue by Customer'!AA:AA,MATCH('Full Customer List'!$B208,'Revenue by Customer'!$A:$A,0))</f>
        <v>350</v>
      </c>
      <c r="AB208" s="192">
        <f>INDEX('Revenue by Customer'!AB:AB,MATCH('Full Customer List'!$B208,'Revenue by Customer'!$A:$A,0))</f>
        <v>350</v>
      </c>
      <c r="AC208" s="192">
        <f>INDEX('Revenue by Customer'!AC:AC,MATCH('Full Customer List'!$B208,'Revenue by Customer'!$A:$A,0))</f>
        <v>350</v>
      </c>
    </row>
    <row r="209" spans="2:29" ht="12" customHeight="1">
      <c r="B209" s="173" t="s">
        <v>853</v>
      </c>
      <c r="C209" s="173" t="str">
        <f>INDEX('Customer List'!$B:$B,MATCH('Full Customer List'!$B209,'Customer List'!$A:$A,0))</f>
        <v>Active</v>
      </c>
      <c r="D209" s="173" t="str">
        <f>INDEX('Customer List'!$C:$C,MATCH('Full Customer List'!$B209,'Customer List'!$A:$A,0))</f>
        <v>Property manager</v>
      </c>
      <c r="E209" s="173" t="str">
        <f>INDEX('Customer List Mapping'!$C:$C,MATCH('Full Customer List'!D209,'Customer List Mapping'!$B:$B,0))</f>
        <v>Property Manager</v>
      </c>
      <c r="F209" s="192">
        <f>INDEX('Customer List'!$K:$K,MATCH('Full Customer List'!$B209,'Customer List'!$A:$A,0))</f>
        <v>12</v>
      </c>
      <c r="G209" s="192">
        <f>INDEX('Revenue by Customer'!$I:$I,MATCH('Full Customer List'!$B209,'Revenue by Customer'!$A:$A,0))</f>
        <v>420</v>
      </c>
      <c r="H209" s="257" t="str">
        <f>IFERROR(IF(C209="Active","",INDEX('Client Departures'!$G:$G,MATCH('Full Customer List'!$B209,'Client Departures'!$A:$A,0))),"Unclassified")</f>
        <v/>
      </c>
      <c r="I209" s="196">
        <v>46023</v>
      </c>
      <c r="J209" s="196"/>
      <c r="K209" s="192" t="str">
        <f>INDEX('Revenue by Customer'!K:K,MATCH('Full Customer List'!$B209,'Revenue by Customer'!$A:$A,0))</f>
        <v/>
      </c>
      <c r="L209" s="192" t="str">
        <f>INDEX('Revenue by Customer'!L:L,MATCH('Full Customer List'!$B209,'Revenue by Customer'!$A:$A,0))</f>
        <v/>
      </c>
      <c r="M209" s="192" t="str">
        <f>INDEX('Revenue by Customer'!M:M,MATCH('Full Customer List'!$B209,'Revenue by Customer'!$A:$A,0))</f>
        <v/>
      </c>
      <c r="N209" s="192" t="str">
        <f>INDEX('Revenue by Customer'!N:N,MATCH('Full Customer List'!$B209,'Revenue by Customer'!$A:$A,0))</f>
        <v/>
      </c>
      <c r="O209" s="192" t="str">
        <f>INDEX('Revenue by Customer'!O:O,MATCH('Full Customer List'!$B209,'Revenue by Customer'!$A:$A,0))</f>
        <v/>
      </c>
      <c r="P209" s="192" t="str">
        <f>INDEX('Revenue by Customer'!P:P,MATCH('Full Customer List'!$B209,'Revenue by Customer'!$A:$A,0))</f>
        <v/>
      </c>
      <c r="Q209" s="192" t="str">
        <f>INDEX('Revenue by Customer'!Q:Q,MATCH('Full Customer List'!$B209,'Revenue by Customer'!$A:$A,0))</f>
        <v/>
      </c>
      <c r="R209" s="192" t="str">
        <f>INDEX('Revenue by Customer'!R:R,MATCH('Full Customer List'!$B209,'Revenue by Customer'!$A:$A,0))</f>
        <v/>
      </c>
      <c r="S209" s="192" t="str">
        <f>INDEX('Revenue by Customer'!S:S,MATCH('Full Customer List'!$B209,'Revenue by Customer'!$A:$A,0))</f>
        <v/>
      </c>
      <c r="T209" s="192" t="str">
        <f>INDEX('Revenue by Customer'!T:T,MATCH('Full Customer List'!$B209,'Revenue by Customer'!$A:$A,0))</f>
        <v/>
      </c>
      <c r="U209" s="192" t="str">
        <f>INDEX('Revenue by Customer'!U:U,MATCH('Full Customer List'!$B209,'Revenue by Customer'!$A:$A,0))</f>
        <v/>
      </c>
      <c r="V209" s="192" t="str">
        <f>INDEX('Revenue by Customer'!V:V,MATCH('Full Customer List'!$B209,'Revenue by Customer'!$A:$A,0))</f>
        <v/>
      </c>
      <c r="W209" s="192">
        <f>INDEX('Revenue by Customer'!W:W,MATCH('Full Customer List'!$B209,'Revenue by Customer'!$A:$A,0))</f>
        <v>630</v>
      </c>
      <c r="X209" s="192">
        <f>INDEX('Revenue by Customer'!X:X,MATCH('Full Customer List'!$B209,'Revenue by Customer'!$A:$A,0))</f>
        <v>420</v>
      </c>
      <c r="Y209" s="192">
        <f>INDEX('Revenue by Customer'!Y:Y,MATCH('Full Customer List'!$B209,'Revenue by Customer'!$A:$A,0))</f>
        <v>455</v>
      </c>
      <c r="Z209" s="192">
        <f>INDEX('Revenue by Customer'!Z:Z,MATCH('Full Customer List'!$B209,'Revenue by Customer'!$A:$A,0))</f>
        <v>455</v>
      </c>
      <c r="AA209" s="192">
        <f>INDEX('Revenue by Customer'!AA:AA,MATCH('Full Customer List'!$B209,'Revenue by Customer'!$A:$A,0))</f>
        <v>420</v>
      </c>
      <c r="AB209" s="192">
        <f>INDEX('Revenue by Customer'!AB:AB,MATCH('Full Customer List'!$B209,'Revenue by Customer'!$A:$A,0))</f>
        <v>420</v>
      </c>
      <c r="AC209" s="192">
        <f>INDEX('Revenue by Customer'!AC:AC,MATCH('Full Customer List'!$B209,'Revenue by Customer'!$A:$A,0))</f>
        <v>420</v>
      </c>
    </row>
    <row r="210" spans="2:29" ht="12" customHeight="1">
      <c r="B210" s="173" t="s">
        <v>854</v>
      </c>
      <c r="C210" s="173" t="str">
        <f>INDEX('Customer List'!$B:$B,MATCH('Full Customer List'!$B210,'Customer List'!$A:$A,0))</f>
        <v>Former client</v>
      </c>
      <c r="D210" s="173" t="str">
        <f>INDEX('Customer List'!$C:$C,MATCH('Full Customer List'!$B210,'Customer List'!$A:$A,0))</f>
        <v>Property manager</v>
      </c>
      <c r="E210" s="173" t="str">
        <f>INDEX('Customer List Mapping'!$C:$C,MATCH('Full Customer List'!D210,'Customer List Mapping'!$B:$B,0))</f>
        <v>Property Manager</v>
      </c>
      <c r="F210" s="192">
        <f>INDEX('Customer List'!$K:$K,MATCH('Full Customer List'!$B210,'Customer List'!$A:$A,0))</f>
        <v>9</v>
      </c>
      <c r="G210" s="192">
        <f>INDEX('Revenue by Customer'!$I:$I,MATCH('Full Customer List'!$B210,'Revenue by Customer'!$A:$A,0))</f>
        <v>626.66666666666663</v>
      </c>
      <c r="H210" s="257" t="str">
        <f>IFERROR(IF(C210="Active","",INDEX('Client Departures'!$G:$G,MATCH('Full Customer List'!$B210,'Client Departures'!$A:$A,0))),"Unclassified")</f>
        <v>Yes</v>
      </c>
      <c r="I210" s="196">
        <v>45992</v>
      </c>
      <c r="J210" s="196">
        <v>46173</v>
      </c>
      <c r="K210" s="192" t="str">
        <f>INDEX('Revenue by Customer'!K:K,MATCH('Full Customer List'!$B210,'Revenue by Customer'!$A:$A,0))</f>
        <v/>
      </c>
      <c r="L210" s="192" t="str">
        <f>INDEX('Revenue by Customer'!L:L,MATCH('Full Customer List'!$B210,'Revenue by Customer'!$A:$A,0))</f>
        <v/>
      </c>
      <c r="M210" s="192" t="str">
        <f>INDEX('Revenue by Customer'!M:M,MATCH('Full Customer List'!$B210,'Revenue by Customer'!$A:$A,0))</f>
        <v/>
      </c>
      <c r="N210" s="192" t="str">
        <f>INDEX('Revenue by Customer'!N:N,MATCH('Full Customer List'!$B210,'Revenue by Customer'!$A:$A,0))</f>
        <v/>
      </c>
      <c r="O210" s="192" t="str">
        <f>INDEX('Revenue by Customer'!O:O,MATCH('Full Customer List'!$B210,'Revenue by Customer'!$A:$A,0))</f>
        <v/>
      </c>
      <c r="P210" s="192" t="str">
        <f>INDEX('Revenue by Customer'!P:P,MATCH('Full Customer List'!$B210,'Revenue by Customer'!$A:$A,0))</f>
        <v/>
      </c>
      <c r="Q210" s="192" t="str">
        <f>INDEX('Revenue by Customer'!Q:Q,MATCH('Full Customer List'!$B210,'Revenue by Customer'!$A:$A,0))</f>
        <v/>
      </c>
      <c r="R210" s="192" t="str">
        <f>INDEX('Revenue by Customer'!R:R,MATCH('Full Customer List'!$B210,'Revenue by Customer'!$A:$A,0))</f>
        <v/>
      </c>
      <c r="S210" s="192" t="str">
        <f>INDEX('Revenue by Customer'!S:S,MATCH('Full Customer List'!$B210,'Revenue by Customer'!$A:$A,0))</f>
        <v/>
      </c>
      <c r="T210" s="192" t="str">
        <f>INDEX('Revenue by Customer'!T:T,MATCH('Full Customer List'!$B210,'Revenue by Customer'!$A:$A,0))</f>
        <v/>
      </c>
      <c r="U210" s="192" t="str">
        <f>INDEX('Revenue by Customer'!U:U,MATCH('Full Customer List'!$B210,'Revenue by Customer'!$A:$A,0))</f>
        <v/>
      </c>
      <c r="V210" s="192">
        <f>INDEX('Revenue by Customer'!V:V,MATCH('Full Customer List'!$B210,'Revenue by Customer'!$A:$A,0))</f>
        <v>973</v>
      </c>
      <c r="W210" s="192">
        <f>INDEX('Revenue by Customer'!W:W,MATCH('Full Customer List'!$B210,'Revenue by Customer'!$A:$A,0))</f>
        <v>-183</v>
      </c>
      <c r="X210" s="192">
        <f>INDEX('Revenue by Customer'!X:X,MATCH('Full Customer List'!$B210,'Revenue by Customer'!$A:$A,0))</f>
        <v>453</v>
      </c>
      <c r="Y210" s="192">
        <f>INDEX('Revenue by Customer'!Y:Y,MATCH('Full Customer List'!$B210,'Revenue by Customer'!$A:$A,0))</f>
        <v>690</v>
      </c>
      <c r="Z210" s="192">
        <f>INDEX('Revenue by Customer'!Z:Z,MATCH('Full Customer List'!$B210,'Revenue by Customer'!$A:$A,0))</f>
        <v>595</v>
      </c>
      <c r="AA210" s="192">
        <f>INDEX('Revenue by Customer'!AA:AA,MATCH('Full Customer List'!$B210,'Revenue by Customer'!$A:$A,0))</f>
        <v>595</v>
      </c>
      <c r="AB210" s="192" t="str">
        <f>INDEX('Revenue by Customer'!AB:AB,MATCH('Full Customer List'!$B210,'Revenue by Customer'!$A:$A,0))</f>
        <v/>
      </c>
      <c r="AC210" s="192" t="str">
        <f>INDEX('Revenue by Customer'!AC:AC,MATCH('Full Customer List'!$B210,'Revenue by Customer'!$A:$A,0))</f>
        <v/>
      </c>
    </row>
    <row r="211" spans="2:29" ht="12" customHeight="1">
      <c r="B211" s="173" t="s">
        <v>855</v>
      </c>
      <c r="C211" s="173" t="str">
        <f>INDEX('Customer List'!$B:$B,MATCH('Full Customer List'!$B211,'Customer List'!$A:$A,0))</f>
        <v>Former client</v>
      </c>
      <c r="D211" s="173" t="str">
        <f>INDEX('Customer List'!$C:$C,MATCH('Full Customer List'!$B211,'Customer List'!$A:$A,0))</f>
        <v>Property manager</v>
      </c>
      <c r="E211" s="173" t="str">
        <f>INDEX('Customer List Mapping'!$C:$C,MATCH('Full Customer List'!D211,'Customer List Mapping'!$B:$B,0))</f>
        <v>Property Manager</v>
      </c>
      <c r="F211" s="192">
        <f>INDEX('Customer List'!$K:$K,MATCH('Full Customer List'!$B211,'Customer List'!$A:$A,0))</f>
        <v>8</v>
      </c>
      <c r="G211" s="192">
        <f>INDEX('Revenue by Customer'!$I:$I,MATCH('Full Customer List'!$B211,'Revenue by Customer'!$A:$A,0))</f>
        <v>563.33333333333337</v>
      </c>
      <c r="H211" s="257" t="str">
        <f>IFERROR(IF(C211="Active","",INDEX('Client Departures'!$G:$G,MATCH('Full Customer List'!$B211,'Client Departures'!$A:$A,0))),"Unclassified")</f>
        <v>Yes</v>
      </c>
      <c r="I211" s="196">
        <v>46023</v>
      </c>
      <c r="J211" s="196">
        <v>46142</v>
      </c>
      <c r="K211" s="192" t="str">
        <f>INDEX('Revenue by Customer'!K:K,MATCH('Full Customer List'!$B211,'Revenue by Customer'!$A:$A,0))</f>
        <v/>
      </c>
      <c r="L211" s="192" t="str">
        <f>INDEX('Revenue by Customer'!L:L,MATCH('Full Customer List'!$B211,'Revenue by Customer'!$A:$A,0))</f>
        <v/>
      </c>
      <c r="M211" s="192" t="str">
        <f>INDEX('Revenue by Customer'!M:M,MATCH('Full Customer List'!$B211,'Revenue by Customer'!$A:$A,0))</f>
        <v/>
      </c>
      <c r="N211" s="192" t="str">
        <f>INDEX('Revenue by Customer'!N:N,MATCH('Full Customer List'!$B211,'Revenue by Customer'!$A:$A,0))</f>
        <v/>
      </c>
      <c r="O211" s="192" t="str">
        <f>INDEX('Revenue by Customer'!O:O,MATCH('Full Customer List'!$B211,'Revenue by Customer'!$A:$A,0))</f>
        <v/>
      </c>
      <c r="P211" s="192" t="str">
        <f>INDEX('Revenue by Customer'!P:P,MATCH('Full Customer List'!$B211,'Revenue by Customer'!$A:$A,0))</f>
        <v/>
      </c>
      <c r="Q211" s="192" t="str">
        <f>INDEX('Revenue by Customer'!Q:Q,MATCH('Full Customer List'!$B211,'Revenue by Customer'!$A:$A,0))</f>
        <v/>
      </c>
      <c r="R211" s="192" t="str">
        <f>INDEX('Revenue by Customer'!R:R,MATCH('Full Customer List'!$B211,'Revenue by Customer'!$A:$A,0))</f>
        <v/>
      </c>
      <c r="S211" s="192" t="str">
        <f>INDEX('Revenue by Customer'!S:S,MATCH('Full Customer List'!$B211,'Revenue by Customer'!$A:$A,0))</f>
        <v/>
      </c>
      <c r="T211" s="192" t="str">
        <f>INDEX('Revenue by Customer'!T:T,MATCH('Full Customer List'!$B211,'Revenue by Customer'!$A:$A,0))</f>
        <v/>
      </c>
      <c r="U211" s="192" t="str">
        <f>INDEX('Revenue by Customer'!U:U,MATCH('Full Customer List'!$B211,'Revenue by Customer'!$A:$A,0))</f>
        <v/>
      </c>
      <c r="V211" s="192" t="str">
        <f>INDEX('Revenue by Customer'!V:V,MATCH('Full Customer List'!$B211,'Revenue by Customer'!$A:$A,0))</f>
        <v/>
      </c>
      <c r="W211" s="192">
        <f>INDEX('Revenue by Customer'!W:W,MATCH('Full Customer List'!$B211,'Revenue by Customer'!$A:$A,0))</f>
        <v>1345</v>
      </c>
      <c r="X211" s="192">
        <f>INDEX('Revenue by Customer'!X:X,MATCH('Full Customer List'!$B211,'Revenue by Customer'!$A:$A,0))</f>
        <v>745</v>
      </c>
      <c r="Y211" s="192">
        <f>INDEX('Revenue by Customer'!Y:Y,MATCH('Full Customer List'!$B211,'Revenue by Customer'!$A:$A,0))</f>
        <v>295</v>
      </c>
      <c r="Z211" s="192">
        <f>INDEX('Revenue by Customer'!Z:Z,MATCH('Full Customer List'!$B211,'Revenue by Customer'!$A:$A,0))</f>
        <v>650</v>
      </c>
      <c r="AA211" s="192" t="str">
        <f>INDEX('Revenue by Customer'!AA:AA,MATCH('Full Customer List'!$B211,'Revenue by Customer'!$A:$A,0))</f>
        <v/>
      </c>
      <c r="AB211" s="192" t="str">
        <f>INDEX('Revenue by Customer'!AB:AB,MATCH('Full Customer List'!$B211,'Revenue by Customer'!$A:$A,0))</f>
        <v/>
      </c>
      <c r="AC211" s="192" t="str">
        <f>INDEX('Revenue by Customer'!AC:AC,MATCH('Full Customer List'!$B211,'Revenue by Customer'!$A:$A,0))</f>
        <v/>
      </c>
    </row>
    <row r="212" spans="2:29" ht="12" customHeight="1">
      <c r="B212" s="173" t="s">
        <v>858</v>
      </c>
      <c r="C212" s="173" t="str">
        <f>INDEX('Customer List'!$B:$B,MATCH('Full Customer List'!$B212,'Customer List'!$A:$A,0))</f>
        <v>Former client</v>
      </c>
      <c r="D212" s="173" t="str">
        <f>INDEX('Customer List'!$C:$C,MATCH('Full Customer List'!$B212,'Customer List'!$A:$A,0))</f>
        <v>Short-term rental (departed)</v>
      </c>
      <c r="E212" s="173" t="str">
        <f>INDEX('Customer List Mapping'!$C:$C,MATCH('Full Customer List'!D212,'Customer List Mapping'!$B:$B,0))</f>
        <v>Short-Term Rental</v>
      </c>
      <c r="F212" s="192" t="str">
        <f>INDEX('Customer List'!$K:$K,MATCH('Full Customer List'!$B212,'Customer List'!$A:$A,0))</f>
        <v/>
      </c>
      <c r="G212" s="192">
        <f>INDEX('Revenue by Customer'!$I:$I,MATCH('Full Customer List'!$B212,'Revenue by Customer'!$A:$A,0))</f>
        <v>471.66666666666669</v>
      </c>
      <c r="H212" s="257" t="str">
        <f>IFERROR(IF(C212="Active","",INDEX('Client Departures'!$G:$G,MATCH('Full Customer List'!$B212,'Client Departures'!$A:$A,0))),"Unclassified")</f>
        <v>Yes</v>
      </c>
      <c r="I212" s="196">
        <v>45717</v>
      </c>
      <c r="J212" s="196">
        <v>46022</v>
      </c>
      <c r="K212" s="192" t="str">
        <f>INDEX('Revenue by Customer'!K:K,MATCH('Full Customer List'!$B212,'Revenue by Customer'!$A:$A,0))</f>
        <v/>
      </c>
      <c r="L212" s="192" t="str">
        <f>INDEX('Revenue by Customer'!L:L,MATCH('Full Customer List'!$B212,'Revenue by Customer'!$A:$A,0))</f>
        <v/>
      </c>
      <c r="M212" s="192">
        <f>INDEX('Revenue by Customer'!M:M,MATCH('Full Customer List'!$B212,'Revenue by Customer'!$A:$A,0))</f>
        <v>460</v>
      </c>
      <c r="N212" s="192" t="str">
        <f>INDEX('Revenue by Customer'!N:N,MATCH('Full Customer List'!$B212,'Revenue by Customer'!$A:$A,0))</f>
        <v/>
      </c>
      <c r="O212" s="192" t="str">
        <f>INDEX('Revenue by Customer'!O:O,MATCH('Full Customer List'!$B212,'Revenue by Customer'!$A:$A,0))</f>
        <v/>
      </c>
      <c r="P212" s="192">
        <f>INDEX('Revenue by Customer'!P:P,MATCH('Full Customer List'!$B212,'Revenue by Customer'!$A:$A,0))</f>
        <v>917.5</v>
      </c>
      <c r="Q212" s="192">
        <f>INDEX('Revenue by Customer'!Q:Q,MATCH('Full Customer List'!$B212,'Revenue by Customer'!$A:$A,0))</f>
        <v>467.5</v>
      </c>
      <c r="R212" s="192">
        <f>INDEX('Revenue by Customer'!R:R,MATCH('Full Customer List'!$B212,'Revenue by Customer'!$A:$A,0))</f>
        <v>467.5</v>
      </c>
      <c r="S212" s="192">
        <f>INDEX('Revenue by Customer'!S:S,MATCH('Full Customer List'!$B212,'Revenue by Customer'!$A:$A,0))</f>
        <v>550</v>
      </c>
      <c r="T212" s="192">
        <f>INDEX('Revenue by Customer'!T:T,MATCH('Full Customer List'!$B212,'Revenue by Customer'!$A:$A,0))</f>
        <v>550</v>
      </c>
      <c r="U212" s="192">
        <f>INDEX('Revenue by Customer'!U:U,MATCH('Full Customer List'!$B212,'Revenue by Customer'!$A:$A,0))</f>
        <v>550</v>
      </c>
      <c r="V212" s="192">
        <f>INDEX('Revenue by Customer'!V:V,MATCH('Full Customer List'!$B212,'Revenue by Customer'!$A:$A,0))</f>
        <v>775</v>
      </c>
      <c r="W212" s="192" t="str">
        <f>INDEX('Revenue by Customer'!W:W,MATCH('Full Customer List'!$B212,'Revenue by Customer'!$A:$A,0))</f>
        <v/>
      </c>
      <c r="X212" s="192" t="str">
        <f>INDEX('Revenue by Customer'!X:X,MATCH('Full Customer List'!$B212,'Revenue by Customer'!$A:$A,0))</f>
        <v/>
      </c>
      <c r="Y212" s="192">
        <f>INDEX('Revenue by Customer'!Y:Y,MATCH('Full Customer List'!$B212,'Revenue by Customer'!$A:$A,0))</f>
        <v>90</v>
      </c>
      <c r="Z212" s="192" t="str">
        <f>INDEX('Revenue by Customer'!Z:Z,MATCH('Full Customer List'!$B212,'Revenue by Customer'!$A:$A,0))</f>
        <v/>
      </c>
      <c r="AA212" s="192" t="str">
        <f>INDEX('Revenue by Customer'!AA:AA,MATCH('Full Customer List'!$B212,'Revenue by Customer'!$A:$A,0))</f>
        <v/>
      </c>
      <c r="AB212" s="192" t="str">
        <f>INDEX('Revenue by Customer'!AB:AB,MATCH('Full Customer List'!$B212,'Revenue by Customer'!$A:$A,0))</f>
        <v/>
      </c>
      <c r="AC212" s="192" t="str">
        <f>INDEX('Revenue by Customer'!AC:AC,MATCH('Full Customer List'!$B212,'Revenue by Customer'!$A:$A,0))</f>
        <v/>
      </c>
    </row>
    <row r="213" spans="2:29" ht="12" customHeight="1">
      <c r="B213" s="173" t="s">
        <v>859</v>
      </c>
      <c r="C213" s="173" t="str">
        <f>INDEX('Customer List'!$B:$B,MATCH('Full Customer List'!$B213,'Customer List'!$A:$A,0))</f>
        <v>Former client</v>
      </c>
      <c r="D213" s="173" t="str">
        <f>INDEX('Customer List'!$C:$C,MATCH('Full Customer List'!$B213,'Customer List'!$A:$A,0))</f>
        <v>Property manager</v>
      </c>
      <c r="E213" s="173" t="str">
        <f>INDEX('Customer List Mapping'!$C:$C,MATCH('Full Customer List'!D213,'Customer List Mapping'!$B:$B,0))</f>
        <v>Property Manager</v>
      </c>
      <c r="F213" s="192">
        <f>INDEX('Customer List'!$K:$K,MATCH('Full Customer List'!$B213,'Customer List'!$A:$A,0))</f>
        <v>5</v>
      </c>
      <c r="G213" s="192">
        <f>INDEX('Revenue by Customer'!$I:$I,MATCH('Full Customer List'!$B213,'Revenue by Customer'!$A:$A,0))</f>
        <v>446</v>
      </c>
      <c r="H213" s="257" t="str">
        <f>IFERROR(IF(C213="Active","",INDEX('Client Departures'!$G:$G,MATCH('Full Customer List'!$B213,'Client Departures'!$A:$A,0))),"Unclassified")</f>
        <v>Yes</v>
      </c>
      <c r="I213" s="196">
        <v>45658</v>
      </c>
      <c r="J213" s="196">
        <v>46173</v>
      </c>
      <c r="K213" s="192" t="str">
        <f>INDEX('Revenue by Customer'!K:K,MATCH('Full Customer List'!$B213,'Revenue by Customer'!$A:$A,0))</f>
        <v/>
      </c>
      <c r="L213" s="192" t="str">
        <f>INDEX('Revenue by Customer'!L:L,MATCH('Full Customer List'!$B213,'Revenue by Customer'!$A:$A,0))</f>
        <v/>
      </c>
      <c r="M213" s="192" t="str">
        <f>INDEX('Revenue by Customer'!M:M,MATCH('Full Customer List'!$B213,'Revenue by Customer'!$A:$A,0))</f>
        <v/>
      </c>
      <c r="N213" s="192" t="str">
        <f>INDEX('Revenue by Customer'!N:N,MATCH('Full Customer List'!$B213,'Revenue by Customer'!$A:$A,0))</f>
        <v/>
      </c>
      <c r="O213" s="192" t="str">
        <f>INDEX('Revenue by Customer'!O:O,MATCH('Full Customer List'!$B213,'Revenue by Customer'!$A:$A,0))</f>
        <v/>
      </c>
      <c r="P213" s="192" t="str">
        <f>INDEX('Revenue by Customer'!P:P,MATCH('Full Customer List'!$B213,'Revenue by Customer'!$A:$A,0))</f>
        <v/>
      </c>
      <c r="Q213" s="192" t="str">
        <f>INDEX('Revenue by Customer'!Q:Q,MATCH('Full Customer List'!$B213,'Revenue by Customer'!$A:$A,0))</f>
        <v/>
      </c>
      <c r="R213" s="192" t="str">
        <f>INDEX('Revenue by Customer'!R:R,MATCH('Full Customer List'!$B213,'Revenue by Customer'!$A:$A,0))</f>
        <v/>
      </c>
      <c r="S213" s="192" t="str">
        <f>INDEX('Revenue by Customer'!S:S,MATCH('Full Customer List'!$B213,'Revenue by Customer'!$A:$A,0))</f>
        <v/>
      </c>
      <c r="T213" s="192" t="str">
        <f>INDEX('Revenue by Customer'!T:T,MATCH('Full Customer List'!$B213,'Revenue by Customer'!$A:$A,0))</f>
        <v/>
      </c>
      <c r="U213" s="192" t="str">
        <f>INDEX('Revenue by Customer'!U:U,MATCH('Full Customer List'!$B213,'Revenue by Customer'!$A:$A,0))</f>
        <v/>
      </c>
      <c r="V213" s="192" t="str">
        <f>INDEX('Revenue by Customer'!V:V,MATCH('Full Customer List'!$B213,'Revenue by Customer'!$A:$A,0))</f>
        <v/>
      </c>
      <c r="W213" s="192">
        <f>INDEX('Revenue by Customer'!W:W,MATCH('Full Customer List'!$B213,'Revenue by Customer'!$A:$A,0))</f>
        <v>1118</v>
      </c>
      <c r="X213" s="192">
        <f>INDEX('Revenue by Customer'!X:X,MATCH('Full Customer List'!$B213,'Revenue by Customer'!$A:$A,0))</f>
        <v>470</v>
      </c>
      <c r="Y213" s="192">
        <f>INDEX('Revenue by Customer'!Y:Y,MATCH('Full Customer List'!$B213,'Revenue by Customer'!$A:$A,0))</f>
        <v>398</v>
      </c>
      <c r="Z213" s="192">
        <f>INDEX('Revenue by Customer'!Z:Z,MATCH('Full Customer List'!$B213,'Revenue by Customer'!$A:$A,0))</f>
        <v>470</v>
      </c>
      <c r="AA213" s="192">
        <f>INDEX('Revenue by Customer'!AA:AA,MATCH('Full Customer List'!$B213,'Revenue by Customer'!$A:$A,0))</f>
        <v>470</v>
      </c>
      <c r="AB213" s="192" t="str">
        <f>INDEX('Revenue by Customer'!AB:AB,MATCH('Full Customer List'!$B213,'Revenue by Customer'!$A:$A,0))</f>
        <v/>
      </c>
      <c r="AC213" s="192" t="str">
        <f>INDEX('Revenue by Customer'!AC:AC,MATCH('Full Customer List'!$B213,'Revenue by Customer'!$A:$A,0))</f>
        <v/>
      </c>
    </row>
    <row r="214" spans="2:29" ht="12" customHeight="1">
      <c r="B214" s="173" t="s">
        <v>860</v>
      </c>
      <c r="C214" s="173" t="str">
        <f>INDEX('Customer List'!$B:$B,MATCH('Full Customer List'!$B214,'Customer List'!$A:$A,0))</f>
        <v>Former client</v>
      </c>
      <c r="D214" s="173" t="str">
        <f>INDEX('Customer List'!$C:$C,MATCH('Full Customer List'!$B214,'Customer List'!$A:$A,0))</f>
        <v>Property manager</v>
      </c>
      <c r="E214" s="173" t="str">
        <f>INDEX('Customer List Mapping'!$C:$C,MATCH('Full Customer List'!D214,'Customer List Mapping'!$B:$B,0))</f>
        <v>Property Manager</v>
      </c>
      <c r="F214" s="192">
        <f>INDEX('Customer List'!$K:$K,MATCH('Full Customer List'!$B214,'Customer List'!$A:$A,0))</f>
        <v>4</v>
      </c>
      <c r="G214" s="192">
        <f>INDEX('Revenue by Customer'!$I:$I,MATCH('Full Customer List'!$B214,'Revenue by Customer'!$A:$A,0))</f>
        <v>425</v>
      </c>
      <c r="H214" s="257" t="str">
        <f>IFERROR(IF(C214="Active","",INDEX('Client Departures'!$G:$G,MATCH('Full Customer List'!$B214,'Client Departures'!$A:$A,0))),"Unclassified")</f>
        <v>Yes</v>
      </c>
      <c r="I214" s="196">
        <v>45413</v>
      </c>
      <c r="J214" s="196">
        <v>46081</v>
      </c>
      <c r="K214" s="192">
        <f>INDEX('Revenue by Customer'!K:K,MATCH('Full Customer List'!$B214,'Revenue by Customer'!$A:$A,0))</f>
        <v>474</v>
      </c>
      <c r="L214" s="192">
        <f>INDEX('Revenue by Customer'!L:L,MATCH('Full Customer List'!$B214,'Revenue by Customer'!$A:$A,0))</f>
        <v>474</v>
      </c>
      <c r="M214" s="192">
        <f>INDEX('Revenue by Customer'!M:M,MATCH('Full Customer List'!$B214,'Revenue by Customer'!$A:$A,0))</f>
        <v>474</v>
      </c>
      <c r="N214" s="192">
        <f>INDEX('Revenue by Customer'!N:N,MATCH('Full Customer List'!$B214,'Revenue by Customer'!$A:$A,0))</f>
        <v>474</v>
      </c>
      <c r="O214" s="192">
        <f>INDEX('Revenue by Customer'!O:O,MATCH('Full Customer List'!$B214,'Revenue by Customer'!$A:$A,0))</f>
        <v>475</v>
      </c>
      <c r="P214" s="192">
        <f>INDEX('Revenue by Customer'!P:P,MATCH('Full Customer List'!$B214,'Revenue by Customer'!$A:$A,0))</f>
        <v>400</v>
      </c>
      <c r="Q214" s="192">
        <f>INDEX('Revenue by Customer'!Q:Q,MATCH('Full Customer List'!$B214,'Revenue by Customer'!$A:$A,0))</f>
        <v>400</v>
      </c>
      <c r="R214" s="192">
        <f>INDEX('Revenue by Customer'!R:R,MATCH('Full Customer List'!$B214,'Revenue by Customer'!$A:$A,0))</f>
        <v>400</v>
      </c>
      <c r="S214" s="192">
        <f>INDEX('Revenue by Customer'!S:S,MATCH('Full Customer List'!$B214,'Revenue by Customer'!$A:$A,0))</f>
        <v>400</v>
      </c>
      <c r="T214" s="192">
        <f>INDEX('Revenue by Customer'!T:T,MATCH('Full Customer List'!$B214,'Revenue by Customer'!$A:$A,0))</f>
        <v>400</v>
      </c>
      <c r="U214" s="192">
        <f>INDEX('Revenue by Customer'!U:U,MATCH('Full Customer List'!$B214,'Revenue by Customer'!$A:$A,0))</f>
        <v>400</v>
      </c>
      <c r="V214" s="192">
        <f>INDEX('Revenue by Customer'!V:V,MATCH('Full Customer List'!$B214,'Revenue by Customer'!$A:$A,0))</f>
        <v>400</v>
      </c>
      <c r="W214" s="192">
        <f>INDEX('Revenue by Customer'!W:W,MATCH('Full Customer List'!$B214,'Revenue by Customer'!$A:$A,0))</f>
        <v>400</v>
      </c>
      <c r="X214" s="192">
        <f>INDEX('Revenue by Customer'!X:X,MATCH('Full Customer List'!$B214,'Revenue by Customer'!$A:$A,0))</f>
        <v>475</v>
      </c>
      <c r="Y214" s="192" t="str">
        <f>INDEX('Revenue by Customer'!Y:Y,MATCH('Full Customer List'!$B214,'Revenue by Customer'!$A:$A,0))</f>
        <v/>
      </c>
      <c r="Z214" s="192" t="str">
        <f>INDEX('Revenue by Customer'!Z:Z,MATCH('Full Customer List'!$B214,'Revenue by Customer'!$A:$A,0))</f>
        <v/>
      </c>
      <c r="AA214" s="192" t="str">
        <f>INDEX('Revenue by Customer'!AA:AA,MATCH('Full Customer List'!$B214,'Revenue by Customer'!$A:$A,0))</f>
        <v/>
      </c>
      <c r="AB214" s="192" t="str">
        <f>INDEX('Revenue by Customer'!AB:AB,MATCH('Full Customer List'!$B214,'Revenue by Customer'!$A:$A,0))</f>
        <v/>
      </c>
      <c r="AC214" s="192" t="str">
        <f>INDEX('Revenue by Customer'!AC:AC,MATCH('Full Customer List'!$B214,'Revenue by Customer'!$A:$A,0))</f>
        <v/>
      </c>
    </row>
    <row r="215" spans="2:29" ht="12" customHeight="1">
      <c r="B215" s="173" t="s">
        <v>861</v>
      </c>
      <c r="C215" s="173" t="str">
        <f>INDEX('Customer List'!$B:$B,MATCH('Full Customer List'!$B215,'Customer List'!$A:$A,0))</f>
        <v>Active</v>
      </c>
      <c r="D215" s="173" t="str">
        <f>INDEX('Customer List'!$C:$C,MATCH('Full Customer List'!$B215,'Customer List'!$A:$A,0))</f>
        <v>Property manager</v>
      </c>
      <c r="E215" s="173" t="str">
        <f>INDEX('Customer List Mapping'!$C:$C,MATCH('Full Customer List'!D215,'Customer List Mapping'!$B:$B,0))</f>
        <v>Property Manager</v>
      </c>
      <c r="F215" s="192">
        <f>INDEX('Customer List'!$K:$K,MATCH('Full Customer List'!$B215,'Customer List'!$A:$A,0))</f>
        <v>6</v>
      </c>
      <c r="G215" s="192">
        <f>INDEX('Revenue by Customer'!$I:$I,MATCH('Full Customer List'!$B215,'Revenue by Customer'!$A:$A,0))</f>
        <v>420</v>
      </c>
      <c r="H215" s="257" t="str">
        <f>IFERROR(IF(C215="Active","",INDEX('Client Departures'!$G:$G,MATCH('Full Customer List'!$B215,'Client Departures'!$A:$A,0))),"Unclassified")</f>
        <v/>
      </c>
      <c r="I215" s="196">
        <v>46054</v>
      </c>
      <c r="J215" s="196"/>
      <c r="K215" s="192" t="str">
        <f>INDEX('Revenue by Customer'!K:K,MATCH('Full Customer List'!$B215,'Revenue by Customer'!$A:$A,0))</f>
        <v/>
      </c>
      <c r="L215" s="192" t="str">
        <f>INDEX('Revenue by Customer'!L:L,MATCH('Full Customer List'!$B215,'Revenue by Customer'!$A:$A,0))</f>
        <v/>
      </c>
      <c r="M215" s="192" t="str">
        <f>INDEX('Revenue by Customer'!M:M,MATCH('Full Customer List'!$B215,'Revenue by Customer'!$A:$A,0))</f>
        <v/>
      </c>
      <c r="N215" s="192" t="str">
        <f>INDEX('Revenue by Customer'!N:N,MATCH('Full Customer List'!$B215,'Revenue by Customer'!$A:$A,0))</f>
        <v/>
      </c>
      <c r="O215" s="192" t="str">
        <f>INDEX('Revenue by Customer'!O:O,MATCH('Full Customer List'!$B215,'Revenue by Customer'!$A:$A,0))</f>
        <v/>
      </c>
      <c r="P215" s="192" t="str">
        <f>INDEX('Revenue by Customer'!P:P,MATCH('Full Customer List'!$B215,'Revenue by Customer'!$A:$A,0))</f>
        <v/>
      </c>
      <c r="Q215" s="192" t="str">
        <f>INDEX('Revenue by Customer'!Q:Q,MATCH('Full Customer List'!$B215,'Revenue by Customer'!$A:$A,0))</f>
        <v/>
      </c>
      <c r="R215" s="192" t="str">
        <f>INDEX('Revenue by Customer'!R:R,MATCH('Full Customer List'!$B215,'Revenue by Customer'!$A:$A,0))</f>
        <v/>
      </c>
      <c r="S215" s="192" t="str">
        <f>INDEX('Revenue by Customer'!S:S,MATCH('Full Customer List'!$B215,'Revenue by Customer'!$A:$A,0))</f>
        <v/>
      </c>
      <c r="T215" s="192" t="str">
        <f>INDEX('Revenue by Customer'!T:T,MATCH('Full Customer List'!$B215,'Revenue by Customer'!$A:$A,0))</f>
        <v/>
      </c>
      <c r="U215" s="192" t="str">
        <f>INDEX('Revenue by Customer'!U:U,MATCH('Full Customer List'!$B215,'Revenue by Customer'!$A:$A,0))</f>
        <v/>
      </c>
      <c r="V215" s="192" t="str">
        <f>INDEX('Revenue by Customer'!V:V,MATCH('Full Customer List'!$B215,'Revenue by Customer'!$A:$A,0))</f>
        <v/>
      </c>
      <c r="W215" s="192" t="str">
        <f>INDEX('Revenue by Customer'!W:W,MATCH('Full Customer List'!$B215,'Revenue by Customer'!$A:$A,0))</f>
        <v/>
      </c>
      <c r="X215" s="192">
        <f>INDEX('Revenue by Customer'!X:X,MATCH('Full Customer List'!$B215,'Revenue by Customer'!$A:$A,0))</f>
        <v>718</v>
      </c>
      <c r="Y215" s="192">
        <f>INDEX('Revenue by Customer'!Y:Y,MATCH('Full Customer List'!$B215,'Revenue by Customer'!$A:$A,0))</f>
        <v>408</v>
      </c>
      <c r="Z215" s="192">
        <f>INDEX('Revenue by Customer'!Z:Z,MATCH('Full Customer List'!$B215,'Revenue by Customer'!$A:$A,0))</f>
        <v>408</v>
      </c>
      <c r="AA215" s="192">
        <f>INDEX('Revenue by Customer'!AA:AA,MATCH('Full Customer List'!$B215,'Revenue by Customer'!$A:$A,0))</f>
        <v>420</v>
      </c>
      <c r="AB215" s="192">
        <f>INDEX('Revenue by Customer'!AB:AB,MATCH('Full Customer List'!$B215,'Revenue by Customer'!$A:$A,0))</f>
        <v>420</v>
      </c>
      <c r="AC215" s="192">
        <f>INDEX('Revenue by Customer'!AC:AC,MATCH('Full Customer List'!$B215,'Revenue by Customer'!$A:$A,0))</f>
        <v>420</v>
      </c>
    </row>
    <row r="216" spans="2:29" ht="12" customHeight="1">
      <c r="B216" s="173" t="s">
        <v>862</v>
      </c>
      <c r="C216" s="173" t="str">
        <f>INDEX('Customer List'!$B:$B,MATCH('Full Customer List'!$B216,'Customer List'!$A:$A,0))</f>
        <v>Former client</v>
      </c>
      <c r="D216" s="173" t="str">
        <f>INDEX('Customer List'!$C:$C,MATCH('Full Customer List'!$B216,'Customer List'!$A:$A,0))</f>
        <v>Short-term rental (departed)</v>
      </c>
      <c r="E216" s="173" t="str">
        <f>INDEX('Customer List Mapping'!$C:$C,MATCH('Full Customer List'!D216,'Customer List Mapping'!$B:$B,0))</f>
        <v>Short-Term Rental</v>
      </c>
      <c r="F216" s="192" t="str">
        <f>INDEX('Customer List'!$K:$K,MATCH('Full Customer List'!$B216,'Customer List'!$A:$A,0))</f>
        <v/>
      </c>
      <c r="G216" s="192">
        <f>INDEX('Revenue by Customer'!$I:$I,MATCH('Full Customer List'!$B216,'Revenue by Customer'!$A:$A,0))</f>
        <v>558.33333333333337</v>
      </c>
      <c r="H216" s="257" t="str">
        <f>IFERROR(IF(C216="Active","",INDEX('Client Departures'!$G:$G,MATCH('Full Customer List'!$B216,'Client Departures'!$A:$A,0))),"Unclassified")</f>
        <v>No</v>
      </c>
      <c r="I216" s="196">
        <v>45323</v>
      </c>
      <c r="J216" s="196">
        <v>46022</v>
      </c>
      <c r="K216" s="192">
        <f>INDEX('Revenue by Customer'!K:K,MATCH('Full Customer List'!$B216,'Revenue by Customer'!$A:$A,0))</f>
        <v>930</v>
      </c>
      <c r="L216" s="192">
        <f>INDEX('Revenue by Customer'!L:L,MATCH('Full Customer List'!$B216,'Revenue by Customer'!$A:$A,0))</f>
        <v>300</v>
      </c>
      <c r="M216" s="192">
        <f>INDEX('Revenue by Customer'!M:M,MATCH('Full Customer List'!$B216,'Revenue by Customer'!$A:$A,0))</f>
        <v>640</v>
      </c>
      <c r="N216" s="192">
        <f>INDEX('Revenue by Customer'!N:N,MATCH('Full Customer List'!$B216,'Revenue by Customer'!$A:$A,0))</f>
        <v>640</v>
      </c>
      <c r="O216" s="192">
        <f>INDEX('Revenue by Customer'!O:O,MATCH('Full Customer List'!$B216,'Revenue by Customer'!$A:$A,0))</f>
        <v>640</v>
      </c>
      <c r="P216" s="192">
        <f>INDEX('Revenue by Customer'!P:P,MATCH('Full Customer List'!$B216,'Revenue by Customer'!$A:$A,0))</f>
        <v>640</v>
      </c>
      <c r="Q216" s="192">
        <f>INDEX('Revenue by Customer'!Q:Q,MATCH('Full Customer List'!$B216,'Revenue by Customer'!$A:$A,0))</f>
        <v>890</v>
      </c>
      <c r="R216" s="192">
        <f>INDEX('Revenue by Customer'!R:R,MATCH('Full Customer List'!$B216,'Revenue by Customer'!$A:$A,0))</f>
        <v>550</v>
      </c>
      <c r="S216" s="192">
        <f>INDEX('Revenue by Customer'!S:S,MATCH('Full Customer List'!$B216,'Revenue by Customer'!$A:$A,0))</f>
        <v>550</v>
      </c>
      <c r="T216" s="192">
        <f>INDEX('Revenue by Customer'!T:T,MATCH('Full Customer List'!$B216,'Revenue by Customer'!$A:$A,0))</f>
        <v>550</v>
      </c>
      <c r="U216" s="192">
        <f>INDEX('Revenue by Customer'!U:U,MATCH('Full Customer List'!$B216,'Revenue by Customer'!$A:$A,0))</f>
        <v>550</v>
      </c>
      <c r="V216" s="192">
        <f>INDEX('Revenue by Customer'!V:V,MATCH('Full Customer List'!$B216,'Revenue by Customer'!$A:$A,0))</f>
        <v>575</v>
      </c>
      <c r="W216" s="192" t="str">
        <f>INDEX('Revenue by Customer'!W:W,MATCH('Full Customer List'!$B216,'Revenue by Customer'!$A:$A,0))</f>
        <v/>
      </c>
      <c r="X216" s="192" t="str">
        <f>INDEX('Revenue by Customer'!X:X,MATCH('Full Customer List'!$B216,'Revenue by Customer'!$A:$A,0))</f>
        <v/>
      </c>
      <c r="Y216" s="192" t="str">
        <f>INDEX('Revenue by Customer'!Y:Y,MATCH('Full Customer List'!$B216,'Revenue by Customer'!$A:$A,0))</f>
        <v/>
      </c>
      <c r="Z216" s="192" t="str">
        <f>INDEX('Revenue by Customer'!Z:Z,MATCH('Full Customer List'!$B216,'Revenue by Customer'!$A:$A,0))</f>
        <v/>
      </c>
      <c r="AA216" s="192" t="str">
        <f>INDEX('Revenue by Customer'!AA:AA,MATCH('Full Customer List'!$B216,'Revenue by Customer'!$A:$A,0))</f>
        <v/>
      </c>
      <c r="AB216" s="192" t="str">
        <f>INDEX('Revenue by Customer'!AB:AB,MATCH('Full Customer List'!$B216,'Revenue by Customer'!$A:$A,0))</f>
        <v/>
      </c>
      <c r="AC216" s="192" t="str">
        <f>INDEX('Revenue by Customer'!AC:AC,MATCH('Full Customer List'!$B216,'Revenue by Customer'!$A:$A,0))</f>
        <v/>
      </c>
    </row>
    <row r="217" spans="2:29" ht="12" customHeight="1">
      <c r="B217" s="173" t="s">
        <v>863</v>
      </c>
      <c r="C217" s="173" t="str">
        <f>INDEX('Customer List'!$B:$B,MATCH('Full Customer List'!$B217,'Customer List'!$A:$A,0))</f>
        <v>Active</v>
      </c>
      <c r="D217" s="173" t="str">
        <f>INDEX('Customer List'!$C:$C,MATCH('Full Customer List'!$B217,'Customer List'!$A:$A,0))</f>
        <v>STR owner</v>
      </c>
      <c r="E217" s="173" t="str">
        <f>INDEX('Customer List Mapping'!$C:$C,MATCH('Full Customer List'!D217,'Customer List Mapping'!$B:$B,0))</f>
        <v>STR Owner</v>
      </c>
      <c r="F217" s="192">
        <f>INDEX('Customer List'!$K:$K,MATCH('Full Customer List'!$B217,'Customer List'!$A:$A,0))</f>
        <v>5</v>
      </c>
      <c r="G217" s="192">
        <f>INDEX('Revenue by Customer'!$I:$I,MATCH('Full Customer List'!$B217,'Revenue by Customer'!$A:$A,0))</f>
        <v>418</v>
      </c>
      <c r="H217" s="257" t="str">
        <f>IFERROR(IF(C217="Active","",INDEX('Client Departures'!$G:$G,MATCH('Full Customer List'!$B217,'Client Departures'!$A:$A,0))),"Unclassified")</f>
        <v/>
      </c>
      <c r="I217" s="196">
        <v>46054</v>
      </c>
      <c r="J217" s="196"/>
      <c r="K217" s="192" t="str">
        <f>INDEX('Revenue by Customer'!K:K,MATCH('Full Customer List'!$B217,'Revenue by Customer'!$A:$A,0))</f>
        <v/>
      </c>
      <c r="L217" s="192" t="str">
        <f>INDEX('Revenue by Customer'!L:L,MATCH('Full Customer List'!$B217,'Revenue by Customer'!$A:$A,0))</f>
        <v/>
      </c>
      <c r="M217" s="192" t="str">
        <f>INDEX('Revenue by Customer'!M:M,MATCH('Full Customer List'!$B217,'Revenue by Customer'!$A:$A,0))</f>
        <v/>
      </c>
      <c r="N217" s="192" t="str">
        <f>INDEX('Revenue by Customer'!N:N,MATCH('Full Customer List'!$B217,'Revenue by Customer'!$A:$A,0))</f>
        <v/>
      </c>
      <c r="O217" s="192" t="str">
        <f>INDEX('Revenue by Customer'!O:O,MATCH('Full Customer List'!$B217,'Revenue by Customer'!$A:$A,0))</f>
        <v/>
      </c>
      <c r="P217" s="192" t="str">
        <f>INDEX('Revenue by Customer'!P:P,MATCH('Full Customer List'!$B217,'Revenue by Customer'!$A:$A,0))</f>
        <v/>
      </c>
      <c r="Q217" s="192" t="str">
        <f>INDEX('Revenue by Customer'!Q:Q,MATCH('Full Customer List'!$B217,'Revenue by Customer'!$A:$A,0))</f>
        <v/>
      </c>
      <c r="R217" s="192" t="str">
        <f>INDEX('Revenue by Customer'!R:R,MATCH('Full Customer List'!$B217,'Revenue by Customer'!$A:$A,0))</f>
        <v/>
      </c>
      <c r="S217" s="192" t="str">
        <f>INDEX('Revenue by Customer'!S:S,MATCH('Full Customer List'!$B217,'Revenue by Customer'!$A:$A,0))</f>
        <v/>
      </c>
      <c r="T217" s="192" t="str">
        <f>INDEX('Revenue by Customer'!T:T,MATCH('Full Customer List'!$B217,'Revenue by Customer'!$A:$A,0))</f>
        <v/>
      </c>
      <c r="U217" s="192" t="str">
        <f>INDEX('Revenue by Customer'!U:U,MATCH('Full Customer List'!$B217,'Revenue by Customer'!$A:$A,0))</f>
        <v/>
      </c>
      <c r="V217" s="192" t="str">
        <f>INDEX('Revenue by Customer'!V:V,MATCH('Full Customer List'!$B217,'Revenue by Customer'!$A:$A,0))</f>
        <v/>
      </c>
      <c r="W217" s="192" t="str">
        <f>INDEX('Revenue by Customer'!W:W,MATCH('Full Customer List'!$B217,'Revenue by Customer'!$A:$A,0))</f>
        <v/>
      </c>
      <c r="X217" s="192">
        <f>INDEX('Revenue by Customer'!X:X,MATCH('Full Customer List'!$B217,'Revenue by Customer'!$A:$A,0))</f>
        <v>661</v>
      </c>
      <c r="Y217" s="192">
        <f>INDEX('Revenue by Customer'!Y:Y,MATCH('Full Customer List'!$B217,'Revenue by Customer'!$A:$A,0))</f>
        <v>353</v>
      </c>
      <c r="Z217" s="192">
        <f>INDEX('Revenue by Customer'!Z:Z,MATCH('Full Customer List'!$B217,'Revenue by Customer'!$A:$A,0))</f>
        <v>353</v>
      </c>
      <c r="AA217" s="192">
        <f>INDEX('Revenue by Customer'!AA:AA,MATCH('Full Customer List'!$B217,'Revenue by Customer'!$A:$A,0))</f>
        <v>418</v>
      </c>
      <c r="AB217" s="192">
        <f>INDEX('Revenue by Customer'!AB:AB,MATCH('Full Customer List'!$B217,'Revenue by Customer'!$A:$A,0))</f>
        <v>418</v>
      </c>
      <c r="AC217" s="192">
        <f>INDEX('Revenue by Customer'!AC:AC,MATCH('Full Customer List'!$B217,'Revenue by Customer'!$A:$A,0))</f>
        <v>418</v>
      </c>
    </row>
    <row r="218" spans="2:29" ht="12" customHeight="1">
      <c r="B218" s="173" t="s">
        <v>864</v>
      </c>
      <c r="C218" s="173" t="str">
        <f>INDEX('Customer List'!$B:$B,MATCH('Full Customer List'!$B218,'Customer List'!$A:$A,0))</f>
        <v>Former client</v>
      </c>
      <c r="D218" s="173" t="str">
        <f>INDEX('Customer List'!$C:$C,MATCH('Full Customer List'!$B218,'Customer List'!$A:$A,0))</f>
        <v>Short-term rental (departed)</v>
      </c>
      <c r="E218" s="173" t="str">
        <f>INDEX('Customer List Mapping'!$C:$C,MATCH('Full Customer List'!D218,'Customer List Mapping'!$B:$B,0))</f>
        <v>Short-Term Rental</v>
      </c>
      <c r="F218" s="192" t="str">
        <f>INDEX('Customer List'!$K:$K,MATCH('Full Customer List'!$B218,'Customer List'!$A:$A,0))</f>
        <v/>
      </c>
      <c r="G218" s="192">
        <f>INDEX('Revenue by Customer'!$I:$I,MATCH('Full Customer List'!$B218,'Revenue by Customer'!$A:$A,0))</f>
        <v>543.33333333333337</v>
      </c>
      <c r="H218" s="257" t="str">
        <f>IFERROR(IF(C218="Active","",INDEX('Client Departures'!$G:$G,MATCH('Full Customer List'!$B218,'Client Departures'!$A:$A,0))),"Unclassified")</f>
        <v>Yes</v>
      </c>
      <c r="I218" s="196">
        <v>45717</v>
      </c>
      <c r="J218" s="196">
        <v>46022</v>
      </c>
      <c r="K218" s="192" t="str">
        <f>INDEX('Revenue by Customer'!K:K,MATCH('Full Customer List'!$B218,'Revenue by Customer'!$A:$A,0))</f>
        <v/>
      </c>
      <c r="L218" s="192" t="str">
        <f>INDEX('Revenue by Customer'!L:L,MATCH('Full Customer List'!$B218,'Revenue by Customer'!$A:$A,0))</f>
        <v/>
      </c>
      <c r="M218" s="192">
        <f>INDEX('Revenue by Customer'!M:M,MATCH('Full Customer List'!$B218,'Revenue by Customer'!$A:$A,0))</f>
        <v>778.75</v>
      </c>
      <c r="N218" s="192">
        <f>INDEX('Revenue by Customer'!N:N,MATCH('Full Customer List'!$B218,'Revenue by Customer'!$A:$A,0))</f>
        <v>488.75</v>
      </c>
      <c r="O218" s="192">
        <f>INDEX('Revenue by Customer'!O:O,MATCH('Full Customer List'!$B218,'Revenue by Customer'!$A:$A,0))</f>
        <v>403.75</v>
      </c>
      <c r="P218" s="192">
        <f>INDEX('Revenue by Customer'!P:P,MATCH('Full Customer List'!$B218,'Revenue by Customer'!$A:$A,0))</f>
        <v>575</v>
      </c>
      <c r="Q218" s="192">
        <f>INDEX('Revenue by Customer'!Q:Q,MATCH('Full Customer List'!$B218,'Revenue by Customer'!$A:$A,0))</f>
        <v>575</v>
      </c>
      <c r="R218" s="192">
        <f>INDEX('Revenue by Customer'!R:R,MATCH('Full Customer List'!$B218,'Revenue by Customer'!$A:$A,0))</f>
        <v>480</v>
      </c>
      <c r="S218" s="192">
        <f>INDEX('Revenue by Customer'!S:S,MATCH('Full Customer List'!$B218,'Revenue by Customer'!$A:$A,0))</f>
        <v>480</v>
      </c>
      <c r="T218" s="192">
        <f>INDEX('Revenue by Customer'!T:T,MATCH('Full Customer List'!$B218,'Revenue by Customer'!$A:$A,0))</f>
        <v>480</v>
      </c>
      <c r="U218" s="192">
        <f>INDEX('Revenue by Customer'!U:U,MATCH('Full Customer List'!$B218,'Revenue by Customer'!$A:$A,0))</f>
        <v>480</v>
      </c>
      <c r="V218" s="192">
        <f>INDEX('Revenue by Customer'!V:V,MATCH('Full Customer List'!$B218,'Revenue by Customer'!$A:$A,0))</f>
        <v>670</v>
      </c>
      <c r="W218" s="192" t="str">
        <f>INDEX('Revenue by Customer'!W:W,MATCH('Full Customer List'!$B218,'Revenue by Customer'!$A:$A,0))</f>
        <v/>
      </c>
      <c r="X218" s="192" t="str">
        <f>INDEX('Revenue by Customer'!X:X,MATCH('Full Customer List'!$B218,'Revenue by Customer'!$A:$A,0))</f>
        <v/>
      </c>
      <c r="Y218" s="192" t="str">
        <f>INDEX('Revenue by Customer'!Y:Y,MATCH('Full Customer List'!$B218,'Revenue by Customer'!$A:$A,0))</f>
        <v/>
      </c>
      <c r="Z218" s="192" t="str">
        <f>INDEX('Revenue by Customer'!Z:Z,MATCH('Full Customer List'!$B218,'Revenue by Customer'!$A:$A,0))</f>
        <v/>
      </c>
      <c r="AA218" s="192" t="str">
        <f>INDEX('Revenue by Customer'!AA:AA,MATCH('Full Customer List'!$B218,'Revenue by Customer'!$A:$A,0))</f>
        <v/>
      </c>
      <c r="AB218" s="192" t="str">
        <f>INDEX('Revenue by Customer'!AB:AB,MATCH('Full Customer List'!$B218,'Revenue by Customer'!$A:$A,0))</f>
        <v/>
      </c>
      <c r="AC218" s="192" t="str">
        <f>INDEX('Revenue by Customer'!AC:AC,MATCH('Full Customer List'!$B218,'Revenue by Customer'!$A:$A,0))</f>
        <v/>
      </c>
    </row>
    <row r="219" spans="2:29" ht="12" customHeight="1">
      <c r="B219" s="173" t="s">
        <v>865</v>
      </c>
      <c r="C219" s="173" t="str">
        <f>INDEX('Customer List'!$B:$B,MATCH('Full Customer List'!$B219,'Customer List'!$A:$A,0))</f>
        <v>Active</v>
      </c>
      <c r="D219" s="173" t="str">
        <f>INDEX('Customer List'!$C:$C,MATCH('Full Customer List'!$B219,'Customer List'!$A:$A,0))</f>
        <v>Property manager</v>
      </c>
      <c r="E219" s="173" t="str">
        <f>INDEX('Customer List Mapping'!$C:$C,MATCH('Full Customer List'!D219,'Customer List Mapping'!$B:$B,0))</f>
        <v>Property Manager</v>
      </c>
      <c r="F219" s="192">
        <f>INDEX('Customer List'!$K:$K,MATCH('Full Customer List'!$B219,'Customer List'!$A:$A,0))</f>
        <v>8</v>
      </c>
      <c r="G219" s="192">
        <f>INDEX('Revenue by Customer'!$I:$I,MATCH('Full Customer List'!$B219,'Revenue by Customer'!$A:$A,0))</f>
        <v>547.66666666666663</v>
      </c>
      <c r="H219" s="257" t="str">
        <f>IFERROR(IF(C219="Active","",INDEX('Client Departures'!$G:$G,MATCH('Full Customer List'!$B219,'Client Departures'!$A:$A,0))),"Unclassified")</f>
        <v/>
      </c>
      <c r="I219" s="196">
        <v>46113</v>
      </c>
      <c r="J219" s="196"/>
      <c r="K219" s="192" t="str">
        <f>INDEX('Revenue by Customer'!K:K,MATCH('Full Customer List'!$B219,'Revenue by Customer'!$A:$A,0))</f>
        <v/>
      </c>
      <c r="L219" s="192" t="str">
        <f>INDEX('Revenue by Customer'!L:L,MATCH('Full Customer List'!$B219,'Revenue by Customer'!$A:$A,0))</f>
        <v/>
      </c>
      <c r="M219" s="192" t="str">
        <f>INDEX('Revenue by Customer'!M:M,MATCH('Full Customer List'!$B219,'Revenue by Customer'!$A:$A,0))</f>
        <v/>
      </c>
      <c r="N219" s="192" t="str">
        <f>INDEX('Revenue by Customer'!N:N,MATCH('Full Customer List'!$B219,'Revenue by Customer'!$A:$A,0))</f>
        <v/>
      </c>
      <c r="O219" s="192" t="str">
        <f>INDEX('Revenue by Customer'!O:O,MATCH('Full Customer List'!$B219,'Revenue by Customer'!$A:$A,0))</f>
        <v/>
      </c>
      <c r="P219" s="192" t="str">
        <f>INDEX('Revenue by Customer'!P:P,MATCH('Full Customer List'!$B219,'Revenue by Customer'!$A:$A,0))</f>
        <v/>
      </c>
      <c r="Q219" s="192" t="str">
        <f>INDEX('Revenue by Customer'!Q:Q,MATCH('Full Customer List'!$B219,'Revenue by Customer'!$A:$A,0))</f>
        <v/>
      </c>
      <c r="R219" s="192" t="str">
        <f>INDEX('Revenue by Customer'!R:R,MATCH('Full Customer List'!$B219,'Revenue by Customer'!$A:$A,0))</f>
        <v/>
      </c>
      <c r="S219" s="192" t="str">
        <f>INDEX('Revenue by Customer'!S:S,MATCH('Full Customer List'!$B219,'Revenue by Customer'!$A:$A,0))</f>
        <v/>
      </c>
      <c r="T219" s="192" t="str">
        <f>INDEX('Revenue by Customer'!T:T,MATCH('Full Customer List'!$B219,'Revenue by Customer'!$A:$A,0))</f>
        <v/>
      </c>
      <c r="U219" s="192" t="str">
        <f>INDEX('Revenue by Customer'!U:U,MATCH('Full Customer List'!$B219,'Revenue by Customer'!$A:$A,0))</f>
        <v/>
      </c>
      <c r="V219" s="192" t="str">
        <f>INDEX('Revenue by Customer'!V:V,MATCH('Full Customer List'!$B219,'Revenue by Customer'!$A:$A,0))</f>
        <v/>
      </c>
      <c r="W219" s="192" t="str">
        <f>INDEX('Revenue by Customer'!W:W,MATCH('Full Customer List'!$B219,'Revenue by Customer'!$A:$A,0))</f>
        <v/>
      </c>
      <c r="X219" s="192" t="str">
        <f>INDEX('Revenue by Customer'!X:X,MATCH('Full Customer List'!$B219,'Revenue by Customer'!$A:$A,0))</f>
        <v/>
      </c>
      <c r="Y219" s="192" t="str">
        <f>INDEX('Revenue by Customer'!Y:Y,MATCH('Full Customer List'!$B219,'Revenue by Customer'!$A:$A,0))</f>
        <v/>
      </c>
      <c r="Z219" s="192">
        <f>INDEX('Revenue by Customer'!Z:Z,MATCH('Full Customer List'!$B219,'Revenue by Customer'!$A:$A,0))</f>
        <v>938</v>
      </c>
      <c r="AA219" s="192">
        <f>INDEX('Revenue by Customer'!AA:AA,MATCH('Full Customer List'!$B219,'Revenue by Customer'!$A:$A,0))</f>
        <v>468</v>
      </c>
      <c r="AB219" s="192">
        <f>INDEX('Revenue by Customer'!AB:AB,MATCH('Full Customer List'!$B219,'Revenue by Customer'!$A:$A,0))</f>
        <v>543</v>
      </c>
      <c r="AC219" s="192">
        <f>INDEX('Revenue by Customer'!AC:AC,MATCH('Full Customer List'!$B219,'Revenue by Customer'!$A:$A,0))</f>
        <v>632</v>
      </c>
    </row>
    <row r="220" spans="2:29" ht="12" customHeight="1">
      <c r="B220" s="173" t="s">
        <v>866</v>
      </c>
      <c r="C220" s="173" t="str">
        <f>INDEX('Customer List'!$B:$B,MATCH('Full Customer List'!$B220,'Customer List'!$A:$A,0))</f>
        <v>Onboarding</v>
      </c>
      <c r="D220" s="173" t="str">
        <f>INDEX('Customer List'!$C:$C,MATCH('Full Customer List'!$B220,'Customer List'!$A:$A,0))</f>
        <v>Property manager</v>
      </c>
      <c r="E220" s="173" t="str">
        <f>INDEX('Customer List Mapping'!$C:$C,MATCH('Full Customer List'!D220,'Customer List Mapping'!$B:$B,0))</f>
        <v>Property Manager</v>
      </c>
      <c r="F220" s="192">
        <f>INDEX('Customer List'!$K:$K,MATCH('Full Customer List'!$B220,'Customer List'!$A:$A,0))</f>
        <v>41</v>
      </c>
      <c r="G220" s="192">
        <f>INDEX('Revenue by Customer'!$I:$I,MATCH('Full Customer List'!$B220,'Revenue by Customer'!$A:$A,0))</f>
        <v>2460</v>
      </c>
      <c r="H220" s="257" t="str">
        <f>IFERROR(IF(C220="Active","",INDEX('Client Departures'!$G:$G,MATCH('Full Customer List'!$B220,'Client Departures'!$A:$A,0))),"Unclassified")</f>
        <v>Unclassified</v>
      </c>
      <c r="I220" s="196">
        <v>46204</v>
      </c>
      <c r="J220" s="196"/>
      <c r="K220" s="192" t="str">
        <f>INDEX('Revenue by Customer'!K:K,MATCH('Full Customer List'!$B220,'Revenue by Customer'!$A:$A,0))</f>
        <v/>
      </c>
      <c r="L220" s="192" t="str">
        <f>INDEX('Revenue by Customer'!L:L,MATCH('Full Customer List'!$B220,'Revenue by Customer'!$A:$A,0))</f>
        <v/>
      </c>
      <c r="M220" s="192" t="str">
        <f>INDEX('Revenue by Customer'!M:M,MATCH('Full Customer List'!$B220,'Revenue by Customer'!$A:$A,0))</f>
        <v/>
      </c>
      <c r="N220" s="192" t="str">
        <f>INDEX('Revenue by Customer'!N:N,MATCH('Full Customer List'!$B220,'Revenue by Customer'!$A:$A,0))</f>
        <v/>
      </c>
      <c r="O220" s="192" t="str">
        <f>INDEX('Revenue by Customer'!O:O,MATCH('Full Customer List'!$B220,'Revenue by Customer'!$A:$A,0))</f>
        <v/>
      </c>
      <c r="P220" s="192" t="str">
        <f>INDEX('Revenue by Customer'!P:P,MATCH('Full Customer List'!$B220,'Revenue by Customer'!$A:$A,0))</f>
        <v/>
      </c>
      <c r="Q220" s="192" t="str">
        <f>INDEX('Revenue by Customer'!Q:Q,MATCH('Full Customer List'!$B220,'Revenue by Customer'!$A:$A,0))</f>
        <v/>
      </c>
      <c r="R220" s="192" t="str">
        <f>INDEX('Revenue by Customer'!R:R,MATCH('Full Customer List'!$B220,'Revenue by Customer'!$A:$A,0))</f>
        <v/>
      </c>
      <c r="S220" s="192" t="str">
        <f>INDEX('Revenue by Customer'!S:S,MATCH('Full Customer List'!$B220,'Revenue by Customer'!$A:$A,0))</f>
        <v/>
      </c>
      <c r="T220" s="192" t="str">
        <f>INDEX('Revenue by Customer'!T:T,MATCH('Full Customer List'!$B220,'Revenue by Customer'!$A:$A,0))</f>
        <v/>
      </c>
      <c r="U220" s="192" t="str">
        <f>INDEX('Revenue by Customer'!U:U,MATCH('Full Customer List'!$B220,'Revenue by Customer'!$A:$A,0))</f>
        <v/>
      </c>
      <c r="V220" s="192" t="str">
        <f>INDEX('Revenue by Customer'!V:V,MATCH('Full Customer List'!$B220,'Revenue by Customer'!$A:$A,0))</f>
        <v/>
      </c>
      <c r="W220" s="192" t="str">
        <f>INDEX('Revenue by Customer'!W:W,MATCH('Full Customer List'!$B220,'Revenue by Customer'!$A:$A,0))</f>
        <v/>
      </c>
      <c r="X220" s="192" t="str">
        <f>INDEX('Revenue by Customer'!X:X,MATCH('Full Customer List'!$B220,'Revenue by Customer'!$A:$A,0))</f>
        <v/>
      </c>
      <c r="Y220" s="192" t="str">
        <f>INDEX('Revenue by Customer'!Y:Y,MATCH('Full Customer List'!$B220,'Revenue by Customer'!$A:$A,0))</f>
        <v/>
      </c>
      <c r="Z220" s="192" t="str">
        <f>INDEX('Revenue by Customer'!Z:Z,MATCH('Full Customer List'!$B220,'Revenue by Customer'!$A:$A,0))</f>
        <v/>
      </c>
      <c r="AA220" s="192" t="str">
        <f>INDEX('Revenue by Customer'!AA:AA,MATCH('Full Customer List'!$B220,'Revenue by Customer'!$A:$A,0))</f>
        <v/>
      </c>
      <c r="AB220" s="192" t="str">
        <f>INDEX('Revenue by Customer'!AB:AB,MATCH('Full Customer List'!$B220,'Revenue by Customer'!$A:$A,0))</f>
        <v/>
      </c>
      <c r="AC220" s="192">
        <f>INDEX('Revenue by Customer'!AC:AC,MATCH('Full Customer List'!$B220,'Revenue by Customer'!$A:$A,0))</f>
        <v>2460</v>
      </c>
    </row>
    <row r="221" spans="2:29" ht="12" customHeight="1">
      <c r="B221" s="173" t="s">
        <v>868</v>
      </c>
      <c r="C221" s="173" t="str">
        <f>INDEX('Customer List'!$B:$B,MATCH('Full Customer List'!$B221,'Customer List'!$A:$A,0))</f>
        <v>Former client</v>
      </c>
      <c r="D221" s="173" t="str">
        <f>INDEX('Customer List'!$C:$C,MATCH('Full Customer List'!$B221,'Customer List'!$A:$A,0))</f>
        <v>Property manager</v>
      </c>
      <c r="E221" s="173" t="str">
        <f>INDEX('Customer List Mapping'!$C:$C,MATCH('Full Customer List'!D221,'Customer List Mapping'!$B:$B,0))</f>
        <v>Property Manager</v>
      </c>
      <c r="F221" s="192">
        <f>INDEX('Customer List'!$K:$K,MATCH('Full Customer List'!$B221,'Customer List'!$A:$A,0))</f>
        <v>8</v>
      </c>
      <c r="G221" s="192">
        <f>INDEX('Revenue by Customer'!$I:$I,MATCH('Full Customer List'!$B221,'Revenue by Customer'!$A:$A,0))</f>
        <v>786.66666666666663</v>
      </c>
      <c r="H221" s="257" t="str">
        <f>IFERROR(IF(C221="Active","",INDEX('Client Departures'!$G:$G,MATCH('Full Customer List'!$B221,'Client Departures'!$A:$A,0))),"Unclassified")</f>
        <v>No</v>
      </c>
      <c r="I221" s="196">
        <v>46082</v>
      </c>
      <c r="J221" s="196">
        <v>46173</v>
      </c>
      <c r="K221" s="192" t="str">
        <f>INDEX('Revenue by Customer'!K:K,MATCH('Full Customer List'!$B221,'Revenue by Customer'!$A:$A,0))</f>
        <v/>
      </c>
      <c r="L221" s="192" t="str">
        <f>INDEX('Revenue by Customer'!L:L,MATCH('Full Customer List'!$B221,'Revenue by Customer'!$A:$A,0))</f>
        <v/>
      </c>
      <c r="M221" s="192" t="str">
        <f>INDEX('Revenue by Customer'!M:M,MATCH('Full Customer List'!$B221,'Revenue by Customer'!$A:$A,0))</f>
        <v/>
      </c>
      <c r="N221" s="192" t="str">
        <f>INDEX('Revenue by Customer'!N:N,MATCH('Full Customer List'!$B221,'Revenue by Customer'!$A:$A,0))</f>
        <v/>
      </c>
      <c r="O221" s="192" t="str">
        <f>INDEX('Revenue by Customer'!O:O,MATCH('Full Customer List'!$B221,'Revenue by Customer'!$A:$A,0))</f>
        <v/>
      </c>
      <c r="P221" s="192" t="str">
        <f>INDEX('Revenue by Customer'!P:P,MATCH('Full Customer List'!$B221,'Revenue by Customer'!$A:$A,0))</f>
        <v/>
      </c>
      <c r="Q221" s="192" t="str">
        <f>INDEX('Revenue by Customer'!Q:Q,MATCH('Full Customer List'!$B221,'Revenue by Customer'!$A:$A,0))</f>
        <v/>
      </c>
      <c r="R221" s="192" t="str">
        <f>INDEX('Revenue by Customer'!R:R,MATCH('Full Customer List'!$B221,'Revenue by Customer'!$A:$A,0))</f>
        <v/>
      </c>
      <c r="S221" s="192" t="str">
        <f>INDEX('Revenue by Customer'!S:S,MATCH('Full Customer List'!$B221,'Revenue by Customer'!$A:$A,0))</f>
        <v/>
      </c>
      <c r="T221" s="192" t="str">
        <f>INDEX('Revenue by Customer'!T:T,MATCH('Full Customer List'!$B221,'Revenue by Customer'!$A:$A,0))</f>
        <v/>
      </c>
      <c r="U221" s="192" t="str">
        <f>INDEX('Revenue by Customer'!U:U,MATCH('Full Customer List'!$B221,'Revenue by Customer'!$A:$A,0))</f>
        <v/>
      </c>
      <c r="V221" s="192" t="str">
        <f>INDEX('Revenue by Customer'!V:V,MATCH('Full Customer List'!$B221,'Revenue by Customer'!$A:$A,0))</f>
        <v/>
      </c>
      <c r="W221" s="192" t="str">
        <f>INDEX('Revenue by Customer'!W:W,MATCH('Full Customer List'!$B221,'Revenue by Customer'!$A:$A,0))</f>
        <v/>
      </c>
      <c r="X221" s="192" t="str">
        <f>INDEX('Revenue by Customer'!X:X,MATCH('Full Customer List'!$B221,'Revenue by Customer'!$A:$A,0))</f>
        <v/>
      </c>
      <c r="Y221" s="192">
        <f>INDEX('Revenue by Customer'!Y:Y,MATCH('Full Customer List'!$B221,'Revenue by Customer'!$A:$A,0))</f>
        <v>1020</v>
      </c>
      <c r="Z221" s="192">
        <f>INDEX('Revenue by Customer'!Z:Z,MATCH('Full Customer List'!$B221,'Revenue by Customer'!$A:$A,0))</f>
        <v>670</v>
      </c>
      <c r="AA221" s="192">
        <f>INDEX('Revenue by Customer'!AA:AA,MATCH('Full Customer List'!$B221,'Revenue by Customer'!$A:$A,0))</f>
        <v>670</v>
      </c>
      <c r="AB221" s="192" t="str">
        <f>INDEX('Revenue by Customer'!AB:AB,MATCH('Full Customer List'!$B221,'Revenue by Customer'!$A:$A,0))</f>
        <v/>
      </c>
      <c r="AC221" s="192" t="str">
        <f>INDEX('Revenue by Customer'!AC:AC,MATCH('Full Customer List'!$B221,'Revenue by Customer'!$A:$A,0))</f>
        <v/>
      </c>
    </row>
    <row r="222" spans="2:29" ht="12" customHeight="1">
      <c r="B222" s="173" t="s">
        <v>869</v>
      </c>
      <c r="C222" s="173" t="str">
        <f>INDEX('Customer List'!$B:$B,MATCH('Full Customer List'!$B222,'Customer List'!$A:$A,0))</f>
        <v>Former client</v>
      </c>
      <c r="D222" s="173" t="str">
        <f>INDEX('Customer List'!$C:$C,MATCH('Full Customer List'!$B222,'Customer List'!$A:$A,0))</f>
        <v>Short-term rental (departed)</v>
      </c>
      <c r="E222" s="173" t="str">
        <f>INDEX('Customer List Mapping'!$C:$C,MATCH('Full Customer List'!D222,'Customer List Mapping'!$B:$B,0))</f>
        <v>Short-Term Rental</v>
      </c>
      <c r="F222" s="192" t="str">
        <f>INDEX('Customer List'!$K:$K,MATCH('Full Customer List'!$B222,'Customer List'!$A:$A,0))</f>
        <v/>
      </c>
      <c r="G222" s="192">
        <f>INDEX('Revenue by Customer'!$I:$I,MATCH('Full Customer List'!$B222,'Revenue by Customer'!$A:$A,0))</f>
        <v>1200</v>
      </c>
      <c r="H222" s="257" t="str">
        <f>IFERROR(IF(C222="Active","",INDEX('Client Departures'!$G:$G,MATCH('Full Customer List'!$B222,'Client Departures'!$A:$A,0))),"Unclassified")</f>
        <v>Yes</v>
      </c>
      <c r="I222" s="196">
        <v>45231</v>
      </c>
      <c r="J222" s="196">
        <v>45930</v>
      </c>
      <c r="K222" s="192">
        <f>INDEX('Revenue by Customer'!K:K,MATCH('Full Customer List'!$B222,'Revenue by Customer'!$A:$A,0))</f>
        <v>1175</v>
      </c>
      <c r="L222" s="192">
        <f>INDEX('Revenue by Customer'!L:L,MATCH('Full Customer List'!$B222,'Revenue by Customer'!$A:$A,0))</f>
        <v>1175</v>
      </c>
      <c r="M222" s="192">
        <f>INDEX('Revenue by Customer'!M:M,MATCH('Full Customer List'!$B222,'Revenue by Customer'!$A:$A,0))</f>
        <v>1085</v>
      </c>
      <c r="N222" s="192">
        <f>INDEX('Revenue by Customer'!N:N,MATCH('Full Customer List'!$B222,'Revenue by Customer'!$A:$A,0))</f>
        <v>1155</v>
      </c>
      <c r="O222" s="192">
        <f>INDEX('Revenue by Customer'!O:O,MATCH('Full Customer List'!$B222,'Revenue by Customer'!$A:$A,0))</f>
        <v>1270</v>
      </c>
      <c r="P222" s="192">
        <f>INDEX('Revenue by Customer'!P:P,MATCH('Full Customer List'!$B222,'Revenue by Customer'!$A:$A,0))</f>
        <v>1155</v>
      </c>
      <c r="Q222" s="192">
        <f>INDEX('Revenue by Customer'!Q:Q,MATCH('Full Customer List'!$B222,'Revenue by Customer'!$A:$A,0))</f>
        <v>1270</v>
      </c>
      <c r="R222" s="192">
        <f>INDEX('Revenue by Customer'!R:R,MATCH('Full Customer List'!$B222,'Revenue by Customer'!$A:$A,0))</f>
        <v>1200</v>
      </c>
      <c r="S222" s="192">
        <f>INDEX('Revenue by Customer'!S:S,MATCH('Full Customer List'!$B222,'Revenue by Customer'!$A:$A,0))</f>
        <v>1130</v>
      </c>
      <c r="T222" s="192" t="str">
        <f>INDEX('Revenue by Customer'!T:T,MATCH('Full Customer List'!$B222,'Revenue by Customer'!$A:$A,0))</f>
        <v/>
      </c>
      <c r="U222" s="192" t="str">
        <f>INDEX('Revenue by Customer'!U:U,MATCH('Full Customer List'!$B222,'Revenue by Customer'!$A:$A,0))</f>
        <v/>
      </c>
      <c r="V222" s="192" t="str">
        <f>INDEX('Revenue by Customer'!V:V,MATCH('Full Customer List'!$B222,'Revenue by Customer'!$A:$A,0))</f>
        <v/>
      </c>
      <c r="W222" s="192" t="str">
        <f>INDEX('Revenue by Customer'!W:W,MATCH('Full Customer List'!$B222,'Revenue by Customer'!$A:$A,0))</f>
        <v/>
      </c>
      <c r="X222" s="192" t="str">
        <f>INDEX('Revenue by Customer'!X:X,MATCH('Full Customer List'!$B222,'Revenue by Customer'!$A:$A,0))</f>
        <v/>
      </c>
      <c r="Y222" s="192" t="str">
        <f>INDEX('Revenue by Customer'!Y:Y,MATCH('Full Customer List'!$B222,'Revenue by Customer'!$A:$A,0))</f>
        <v/>
      </c>
      <c r="Z222" s="192" t="str">
        <f>INDEX('Revenue by Customer'!Z:Z,MATCH('Full Customer List'!$B222,'Revenue by Customer'!$A:$A,0))</f>
        <v/>
      </c>
      <c r="AA222" s="192" t="str">
        <f>INDEX('Revenue by Customer'!AA:AA,MATCH('Full Customer List'!$B222,'Revenue by Customer'!$A:$A,0))</f>
        <v/>
      </c>
      <c r="AB222" s="192" t="str">
        <f>INDEX('Revenue by Customer'!AB:AB,MATCH('Full Customer List'!$B222,'Revenue by Customer'!$A:$A,0))</f>
        <v/>
      </c>
      <c r="AC222" s="192" t="str">
        <f>INDEX('Revenue by Customer'!AC:AC,MATCH('Full Customer List'!$B222,'Revenue by Customer'!$A:$A,0))</f>
        <v/>
      </c>
    </row>
    <row r="223" spans="2:29" ht="12" customHeight="1">
      <c r="B223" s="173" t="s">
        <v>870</v>
      </c>
      <c r="C223" s="173" t="str">
        <f>INDEX('Customer List'!$B:$B,MATCH('Full Customer List'!$B223,'Customer List'!$A:$A,0))</f>
        <v>Former client</v>
      </c>
      <c r="D223" s="173" t="str">
        <f>INDEX('Customer List'!$C:$C,MATCH('Full Customer List'!$B223,'Customer List'!$A:$A,0))</f>
        <v>Small business</v>
      </c>
      <c r="E223" s="173" t="str">
        <f>INDEX('Customer List Mapping'!$C:$C,MATCH('Full Customer List'!D223,'Customer List Mapping'!$B:$B,0))</f>
        <v>Small Business</v>
      </c>
      <c r="F223" s="192" t="str">
        <f>INDEX('Customer List'!$K:$K,MATCH('Full Customer List'!$B223,'Customer List'!$A:$A,0))</f>
        <v/>
      </c>
      <c r="G223" s="192">
        <f>INDEX('Revenue by Customer'!$I:$I,MATCH('Full Customer List'!$B223,'Revenue by Customer'!$A:$A,0))</f>
        <v>300</v>
      </c>
      <c r="H223" s="257" t="str">
        <f>IFERROR(IF(C223="Active","",INDEX('Client Departures'!$G:$G,MATCH('Full Customer List'!$B223,'Client Departures'!$A:$A,0))),"Unclassified")</f>
        <v>Yes</v>
      </c>
      <c r="I223" s="196">
        <v>44317</v>
      </c>
      <c r="J223" s="196">
        <v>46112</v>
      </c>
      <c r="K223" s="192">
        <f>INDEX('Revenue by Customer'!K:K,MATCH('Full Customer List'!$B223,'Revenue by Customer'!$A:$A,0))</f>
        <v>295</v>
      </c>
      <c r="L223" s="192">
        <f>INDEX('Revenue by Customer'!L:L,MATCH('Full Customer List'!$B223,'Revenue by Customer'!$A:$A,0))</f>
        <v>265</v>
      </c>
      <c r="M223" s="192">
        <f>INDEX('Revenue by Customer'!M:M,MATCH('Full Customer List'!$B223,'Revenue by Customer'!$A:$A,0))</f>
        <v>265</v>
      </c>
      <c r="N223" s="192">
        <f>INDEX('Revenue by Customer'!N:N,MATCH('Full Customer List'!$B223,'Revenue by Customer'!$A:$A,0))</f>
        <v>265</v>
      </c>
      <c r="O223" s="192">
        <f>INDEX('Revenue by Customer'!O:O,MATCH('Full Customer List'!$B223,'Revenue by Customer'!$A:$A,0))</f>
        <v>265</v>
      </c>
      <c r="P223" s="192">
        <f>INDEX('Revenue by Customer'!P:P,MATCH('Full Customer List'!$B223,'Revenue by Customer'!$A:$A,0))</f>
        <v>265</v>
      </c>
      <c r="Q223" s="192">
        <f>INDEX('Revenue by Customer'!Q:Q,MATCH('Full Customer List'!$B223,'Revenue by Customer'!$A:$A,0))</f>
        <v>265</v>
      </c>
      <c r="R223" s="192">
        <f>INDEX('Revenue by Customer'!R:R,MATCH('Full Customer List'!$B223,'Revenue by Customer'!$A:$A,0))</f>
        <v>265</v>
      </c>
      <c r="S223" s="192">
        <f>INDEX('Revenue by Customer'!S:S,MATCH('Full Customer List'!$B223,'Revenue by Customer'!$A:$A,0))</f>
        <v>265</v>
      </c>
      <c r="T223" s="192">
        <f>INDEX('Revenue by Customer'!T:T,MATCH('Full Customer List'!$B223,'Revenue by Customer'!$A:$A,0))</f>
        <v>265</v>
      </c>
      <c r="U223" s="192">
        <f>INDEX('Revenue by Customer'!U:U,MATCH('Full Customer List'!$B223,'Revenue by Customer'!$A:$A,0))</f>
        <v>265</v>
      </c>
      <c r="V223" s="192">
        <f>INDEX('Revenue by Customer'!V:V,MATCH('Full Customer List'!$B223,'Revenue by Customer'!$A:$A,0))</f>
        <v>265</v>
      </c>
      <c r="W223" s="192">
        <f>INDEX('Revenue by Customer'!W:W,MATCH('Full Customer List'!$B223,'Revenue by Customer'!$A:$A,0))</f>
        <v>295</v>
      </c>
      <c r="X223" s="192">
        <f>INDEX('Revenue by Customer'!X:X,MATCH('Full Customer List'!$B223,'Revenue by Customer'!$A:$A,0))</f>
        <v>310</v>
      </c>
      <c r="Y223" s="192">
        <f>INDEX('Revenue by Customer'!Y:Y,MATCH('Full Customer List'!$B223,'Revenue by Customer'!$A:$A,0))</f>
        <v>295</v>
      </c>
      <c r="Z223" s="192" t="str">
        <f>INDEX('Revenue by Customer'!Z:Z,MATCH('Full Customer List'!$B223,'Revenue by Customer'!$A:$A,0))</f>
        <v/>
      </c>
      <c r="AA223" s="192" t="str">
        <f>INDEX('Revenue by Customer'!AA:AA,MATCH('Full Customer List'!$B223,'Revenue by Customer'!$A:$A,0))</f>
        <v/>
      </c>
      <c r="AB223" s="192" t="str">
        <f>INDEX('Revenue by Customer'!AB:AB,MATCH('Full Customer List'!$B223,'Revenue by Customer'!$A:$A,0))</f>
        <v/>
      </c>
      <c r="AC223" s="192" t="str">
        <f>INDEX('Revenue by Customer'!AC:AC,MATCH('Full Customer List'!$B223,'Revenue by Customer'!$A:$A,0))</f>
        <v/>
      </c>
    </row>
    <row r="224" spans="2:29" ht="12" customHeight="1">
      <c r="B224" s="173" t="s">
        <v>871</v>
      </c>
      <c r="C224" s="173" t="str">
        <f>INDEX('Customer List'!$B:$B,MATCH('Full Customer List'!$B224,'Customer List'!$A:$A,0))</f>
        <v>Former client</v>
      </c>
      <c r="D224" s="173" t="str">
        <f>INDEX('Customer List'!$C:$C,MATCH('Full Customer List'!$B224,'Customer List'!$A:$A,0))</f>
        <v>Short-term rental (departed)</v>
      </c>
      <c r="E224" s="173" t="str">
        <f>INDEX('Customer List Mapping'!$C:$C,MATCH('Full Customer List'!D224,'Customer List Mapping'!$B:$B,0))</f>
        <v>Short-Term Rental</v>
      </c>
      <c r="F224" s="192" t="str">
        <f>INDEX('Customer List'!$K:$K,MATCH('Full Customer List'!$B224,'Customer List'!$A:$A,0))</f>
        <v/>
      </c>
      <c r="G224" s="192">
        <f>INDEX('Revenue by Customer'!$I:$I,MATCH('Full Customer List'!$B224,'Revenue by Customer'!$A:$A,0))</f>
        <v>375</v>
      </c>
      <c r="H224" s="257" t="str">
        <f>IFERROR(IF(C224="Active","",INDEX('Client Departures'!$G:$G,MATCH('Full Customer List'!$B224,'Client Departures'!$A:$A,0))),"Unclassified")</f>
        <v>No</v>
      </c>
      <c r="I224" s="196">
        <v>45689</v>
      </c>
      <c r="J224" s="196">
        <v>46053</v>
      </c>
      <c r="K224" s="192" t="str">
        <f>INDEX('Revenue by Customer'!K:K,MATCH('Full Customer List'!$B224,'Revenue by Customer'!$A:$A,0))</f>
        <v/>
      </c>
      <c r="L224" s="192">
        <f>INDEX('Revenue by Customer'!L:L,MATCH('Full Customer List'!$B224,'Revenue by Customer'!$A:$A,0))</f>
        <v>350</v>
      </c>
      <c r="M224" s="192" t="str">
        <f>INDEX('Revenue by Customer'!M:M,MATCH('Full Customer List'!$B224,'Revenue by Customer'!$A:$A,0))</f>
        <v/>
      </c>
      <c r="N224" s="192" t="str">
        <f>INDEX('Revenue by Customer'!N:N,MATCH('Full Customer List'!$B224,'Revenue by Customer'!$A:$A,0))</f>
        <v/>
      </c>
      <c r="O224" s="192">
        <f>INDEX('Revenue by Customer'!O:O,MATCH('Full Customer List'!$B224,'Revenue by Customer'!$A:$A,0))</f>
        <v>360</v>
      </c>
      <c r="P224" s="192">
        <f>INDEX('Revenue by Customer'!P:P,MATCH('Full Customer List'!$B224,'Revenue by Customer'!$A:$A,0))</f>
        <v>360</v>
      </c>
      <c r="Q224" s="192">
        <f>INDEX('Revenue by Customer'!Q:Q,MATCH('Full Customer List'!$B224,'Revenue by Customer'!$A:$A,0))</f>
        <v>360</v>
      </c>
      <c r="R224" s="192">
        <f>INDEX('Revenue by Customer'!R:R,MATCH('Full Customer List'!$B224,'Revenue by Customer'!$A:$A,0))</f>
        <v>360</v>
      </c>
      <c r="S224" s="192">
        <f>INDEX('Revenue by Customer'!S:S,MATCH('Full Customer List'!$B224,'Revenue by Customer'!$A:$A,0))</f>
        <v>360</v>
      </c>
      <c r="T224" s="192">
        <f>INDEX('Revenue by Customer'!T:T,MATCH('Full Customer List'!$B224,'Revenue by Customer'!$A:$A,0))</f>
        <v>360</v>
      </c>
      <c r="U224" s="192">
        <f>INDEX('Revenue by Customer'!U:U,MATCH('Full Customer List'!$B224,'Revenue by Customer'!$A:$A,0))</f>
        <v>375</v>
      </c>
      <c r="V224" s="192">
        <f>INDEX('Revenue by Customer'!V:V,MATCH('Full Customer List'!$B224,'Revenue by Customer'!$A:$A,0))</f>
        <v>375</v>
      </c>
      <c r="W224" s="192">
        <f>INDEX('Revenue by Customer'!W:W,MATCH('Full Customer List'!$B224,'Revenue by Customer'!$A:$A,0))</f>
        <v>375</v>
      </c>
      <c r="X224" s="192" t="str">
        <f>INDEX('Revenue by Customer'!X:X,MATCH('Full Customer List'!$B224,'Revenue by Customer'!$A:$A,0))</f>
        <v/>
      </c>
      <c r="Y224" s="192" t="str">
        <f>INDEX('Revenue by Customer'!Y:Y,MATCH('Full Customer List'!$B224,'Revenue by Customer'!$A:$A,0))</f>
        <v/>
      </c>
      <c r="Z224" s="192" t="str">
        <f>INDEX('Revenue by Customer'!Z:Z,MATCH('Full Customer List'!$B224,'Revenue by Customer'!$A:$A,0))</f>
        <v/>
      </c>
      <c r="AA224" s="192" t="str">
        <f>INDEX('Revenue by Customer'!AA:AA,MATCH('Full Customer List'!$B224,'Revenue by Customer'!$A:$A,0))</f>
        <v/>
      </c>
      <c r="AB224" s="192" t="str">
        <f>INDEX('Revenue by Customer'!AB:AB,MATCH('Full Customer List'!$B224,'Revenue by Customer'!$A:$A,0))</f>
        <v/>
      </c>
      <c r="AC224" s="192" t="str">
        <f>INDEX('Revenue by Customer'!AC:AC,MATCH('Full Customer List'!$B224,'Revenue by Customer'!$A:$A,0))</f>
        <v/>
      </c>
    </row>
    <row r="225" spans="2:29" ht="12" customHeight="1">
      <c r="B225" s="173" t="s">
        <v>872</v>
      </c>
      <c r="C225" s="173" t="str">
        <f>INDEX('Customer List'!$B:$B,MATCH('Full Customer List'!$B225,'Customer List'!$A:$A,0))</f>
        <v>Onboarding</v>
      </c>
      <c r="D225" s="173" t="str">
        <f>INDEX('Customer List'!$C:$C,MATCH('Full Customer List'!$B225,'Customer List'!$A:$A,0))</f>
        <v>Property manager</v>
      </c>
      <c r="E225" s="173" t="str">
        <f>INDEX('Customer List Mapping'!$C:$C,MATCH('Full Customer List'!D225,'Customer List Mapping'!$B:$B,0))</f>
        <v>Property Manager</v>
      </c>
      <c r="F225" s="192">
        <f>INDEX('Customer List'!$K:$K,MATCH('Full Customer List'!$B225,'Customer List'!$A:$A,0))</f>
        <v>29</v>
      </c>
      <c r="G225" s="192">
        <f>INDEX('Revenue by Customer'!$I:$I,MATCH('Full Customer List'!$B225,'Revenue by Customer'!$A:$A,0))</f>
        <v>2198</v>
      </c>
      <c r="H225" s="257" t="str">
        <f>IFERROR(IF(C225="Active","",INDEX('Client Departures'!$G:$G,MATCH('Full Customer List'!$B225,'Client Departures'!$A:$A,0))),"Unclassified")</f>
        <v>Unclassified</v>
      </c>
      <c r="I225" s="196">
        <v>46204</v>
      </c>
      <c r="J225" s="196"/>
      <c r="K225" s="192" t="str">
        <f>INDEX('Revenue by Customer'!K:K,MATCH('Full Customer List'!$B225,'Revenue by Customer'!$A:$A,0))</f>
        <v/>
      </c>
      <c r="L225" s="192" t="str">
        <f>INDEX('Revenue by Customer'!L:L,MATCH('Full Customer List'!$B225,'Revenue by Customer'!$A:$A,0))</f>
        <v/>
      </c>
      <c r="M225" s="192" t="str">
        <f>INDEX('Revenue by Customer'!M:M,MATCH('Full Customer List'!$B225,'Revenue by Customer'!$A:$A,0))</f>
        <v/>
      </c>
      <c r="N225" s="192" t="str">
        <f>INDEX('Revenue by Customer'!N:N,MATCH('Full Customer List'!$B225,'Revenue by Customer'!$A:$A,0))</f>
        <v/>
      </c>
      <c r="O225" s="192" t="str">
        <f>INDEX('Revenue by Customer'!O:O,MATCH('Full Customer List'!$B225,'Revenue by Customer'!$A:$A,0))</f>
        <v/>
      </c>
      <c r="P225" s="192" t="str">
        <f>INDEX('Revenue by Customer'!P:P,MATCH('Full Customer List'!$B225,'Revenue by Customer'!$A:$A,0))</f>
        <v/>
      </c>
      <c r="Q225" s="192" t="str">
        <f>INDEX('Revenue by Customer'!Q:Q,MATCH('Full Customer List'!$B225,'Revenue by Customer'!$A:$A,0))</f>
        <v/>
      </c>
      <c r="R225" s="192" t="str">
        <f>INDEX('Revenue by Customer'!R:R,MATCH('Full Customer List'!$B225,'Revenue by Customer'!$A:$A,0))</f>
        <v/>
      </c>
      <c r="S225" s="192" t="str">
        <f>INDEX('Revenue by Customer'!S:S,MATCH('Full Customer List'!$B225,'Revenue by Customer'!$A:$A,0))</f>
        <v/>
      </c>
      <c r="T225" s="192" t="str">
        <f>INDEX('Revenue by Customer'!T:T,MATCH('Full Customer List'!$B225,'Revenue by Customer'!$A:$A,0))</f>
        <v/>
      </c>
      <c r="U225" s="192" t="str">
        <f>INDEX('Revenue by Customer'!U:U,MATCH('Full Customer List'!$B225,'Revenue by Customer'!$A:$A,0))</f>
        <v/>
      </c>
      <c r="V225" s="192" t="str">
        <f>INDEX('Revenue by Customer'!V:V,MATCH('Full Customer List'!$B225,'Revenue by Customer'!$A:$A,0))</f>
        <v/>
      </c>
      <c r="W225" s="192" t="str">
        <f>INDEX('Revenue by Customer'!W:W,MATCH('Full Customer List'!$B225,'Revenue by Customer'!$A:$A,0))</f>
        <v/>
      </c>
      <c r="X225" s="192" t="str">
        <f>INDEX('Revenue by Customer'!X:X,MATCH('Full Customer List'!$B225,'Revenue by Customer'!$A:$A,0))</f>
        <v/>
      </c>
      <c r="Y225" s="192" t="str">
        <f>INDEX('Revenue by Customer'!Y:Y,MATCH('Full Customer List'!$B225,'Revenue by Customer'!$A:$A,0))</f>
        <v/>
      </c>
      <c r="Z225" s="192" t="str">
        <f>INDEX('Revenue by Customer'!Z:Z,MATCH('Full Customer List'!$B225,'Revenue by Customer'!$A:$A,0))</f>
        <v/>
      </c>
      <c r="AA225" s="192" t="str">
        <f>INDEX('Revenue by Customer'!AA:AA,MATCH('Full Customer List'!$B225,'Revenue by Customer'!$A:$A,0))</f>
        <v/>
      </c>
      <c r="AB225" s="192" t="str">
        <f>INDEX('Revenue by Customer'!AB:AB,MATCH('Full Customer List'!$B225,'Revenue by Customer'!$A:$A,0))</f>
        <v/>
      </c>
      <c r="AC225" s="192">
        <f>INDEX('Revenue by Customer'!AC:AC,MATCH('Full Customer List'!$B225,'Revenue by Customer'!$A:$A,0))</f>
        <v>2198</v>
      </c>
    </row>
    <row r="226" spans="2:29" ht="12" customHeight="1">
      <c r="B226" s="173" t="s">
        <v>873</v>
      </c>
      <c r="C226" s="173" t="str">
        <f>INDEX('Customer List'!$B:$B,MATCH('Full Customer List'!$B226,'Customer List'!$A:$A,0))</f>
        <v>Former client</v>
      </c>
      <c r="D226" s="173" t="str">
        <f>INDEX('Customer List'!$C:$C,MATCH('Full Customer List'!$B226,'Customer List'!$A:$A,0))</f>
        <v>Property manager</v>
      </c>
      <c r="E226" s="173" t="str">
        <f>INDEX('Customer List Mapping'!$C:$C,MATCH('Full Customer List'!D226,'Customer List Mapping'!$B:$B,0))</f>
        <v>Property Manager</v>
      </c>
      <c r="F226" s="192">
        <f>INDEX('Customer List'!$K:$K,MATCH('Full Customer List'!$B226,'Customer List'!$A:$A,0))</f>
        <v>20</v>
      </c>
      <c r="G226" s="192">
        <f>INDEX('Revenue by Customer'!$I:$I,MATCH('Full Customer List'!$B226,'Revenue by Customer'!$A:$A,0))</f>
        <v>1097</v>
      </c>
      <c r="H226" s="257" t="str">
        <f>IFERROR(IF(C226="Active","",INDEX('Client Departures'!$G:$G,MATCH('Full Customer List'!$B226,'Client Departures'!$A:$A,0))),"Unclassified")</f>
        <v>Unclassified</v>
      </c>
      <c r="I226" s="196">
        <v>46143</v>
      </c>
      <c r="J226" s="196">
        <v>46234</v>
      </c>
      <c r="K226" s="192" t="str">
        <f>INDEX('Revenue by Customer'!K:K,MATCH('Full Customer List'!$B226,'Revenue by Customer'!$A:$A,0))</f>
        <v/>
      </c>
      <c r="L226" s="192" t="str">
        <f>INDEX('Revenue by Customer'!L:L,MATCH('Full Customer List'!$B226,'Revenue by Customer'!$A:$A,0))</f>
        <v/>
      </c>
      <c r="M226" s="192" t="str">
        <f>INDEX('Revenue by Customer'!M:M,MATCH('Full Customer List'!$B226,'Revenue by Customer'!$A:$A,0))</f>
        <v/>
      </c>
      <c r="N226" s="192" t="str">
        <f>INDEX('Revenue by Customer'!N:N,MATCH('Full Customer List'!$B226,'Revenue by Customer'!$A:$A,0))</f>
        <v/>
      </c>
      <c r="O226" s="192" t="str">
        <f>INDEX('Revenue by Customer'!O:O,MATCH('Full Customer List'!$B226,'Revenue by Customer'!$A:$A,0))</f>
        <v/>
      </c>
      <c r="P226" s="192" t="str">
        <f>INDEX('Revenue by Customer'!P:P,MATCH('Full Customer List'!$B226,'Revenue by Customer'!$A:$A,0))</f>
        <v/>
      </c>
      <c r="Q226" s="192" t="str">
        <f>INDEX('Revenue by Customer'!Q:Q,MATCH('Full Customer List'!$B226,'Revenue by Customer'!$A:$A,0))</f>
        <v/>
      </c>
      <c r="R226" s="192" t="str">
        <f>INDEX('Revenue by Customer'!R:R,MATCH('Full Customer List'!$B226,'Revenue by Customer'!$A:$A,0))</f>
        <v/>
      </c>
      <c r="S226" s="192" t="str">
        <f>INDEX('Revenue by Customer'!S:S,MATCH('Full Customer List'!$B226,'Revenue by Customer'!$A:$A,0))</f>
        <v/>
      </c>
      <c r="T226" s="192" t="str">
        <f>INDEX('Revenue by Customer'!T:T,MATCH('Full Customer List'!$B226,'Revenue by Customer'!$A:$A,0))</f>
        <v/>
      </c>
      <c r="U226" s="192" t="str">
        <f>INDEX('Revenue by Customer'!U:U,MATCH('Full Customer List'!$B226,'Revenue by Customer'!$A:$A,0))</f>
        <v/>
      </c>
      <c r="V226" s="192" t="str">
        <f>INDEX('Revenue by Customer'!V:V,MATCH('Full Customer List'!$B226,'Revenue by Customer'!$A:$A,0))</f>
        <v/>
      </c>
      <c r="W226" s="192" t="str">
        <f>INDEX('Revenue by Customer'!W:W,MATCH('Full Customer List'!$B226,'Revenue by Customer'!$A:$A,0))</f>
        <v/>
      </c>
      <c r="X226" s="192" t="str">
        <f>INDEX('Revenue by Customer'!X:X,MATCH('Full Customer List'!$B226,'Revenue by Customer'!$A:$A,0))</f>
        <v/>
      </c>
      <c r="Y226" s="192" t="str">
        <f>INDEX('Revenue by Customer'!Y:Y,MATCH('Full Customer List'!$B226,'Revenue by Customer'!$A:$A,0))</f>
        <v/>
      </c>
      <c r="Z226" s="192" t="str">
        <f>INDEX('Revenue by Customer'!Z:Z,MATCH('Full Customer List'!$B226,'Revenue by Customer'!$A:$A,0))</f>
        <v/>
      </c>
      <c r="AA226" s="192">
        <f>INDEX('Revenue by Customer'!AA:AA,MATCH('Full Customer List'!$B226,'Revenue by Customer'!$A:$A,0))</f>
        <v>0</v>
      </c>
      <c r="AB226" s="192">
        <f>INDEX('Revenue by Customer'!AB:AB,MATCH('Full Customer List'!$B226,'Revenue by Customer'!$A:$A,0))</f>
        <v>1097</v>
      </c>
      <c r="AC226" s="192">
        <f>INDEX('Revenue by Customer'!AC:AC,MATCH('Full Customer List'!$B226,'Revenue by Customer'!$A:$A,0))</f>
        <v>1097</v>
      </c>
    </row>
    <row r="227" spans="2:29" ht="12" customHeight="1">
      <c r="B227" s="173" t="s">
        <v>874</v>
      </c>
      <c r="C227" s="173" t="str">
        <f>INDEX('Customer List'!$B:$B,MATCH('Full Customer List'!$B227,'Customer List'!$A:$A,0))</f>
        <v>Former client</v>
      </c>
      <c r="D227" s="173" t="str">
        <f>INDEX('Customer List'!$C:$C,MATCH('Full Customer List'!$B227,'Customer List'!$A:$A,0))</f>
        <v>Short-term rental (departed)</v>
      </c>
      <c r="E227" s="173" t="str">
        <f>INDEX('Customer List Mapping'!$C:$C,MATCH('Full Customer List'!D227,'Customer List Mapping'!$B:$B,0))</f>
        <v>Short-Term Rental</v>
      </c>
      <c r="F227" s="192" t="str">
        <f>INDEX('Customer List'!$K:$K,MATCH('Full Customer List'!$B227,'Customer List'!$A:$A,0))</f>
        <v/>
      </c>
      <c r="G227" s="192">
        <f>INDEX('Revenue by Customer'!$I:$I,MATCH('Full Customer List'!$B227,'Revenue by Customer'!$A:$A,0))</f>
        <v>386.66666666666669</v>
      </c>
      <c r="H227" s="257" t="str">
        <f>IFERROR(IF(C227="Active","",INDEX('Client Departures'!$G:$G,MATCH('Full Customer List'!$B227,'Client Departures'!$A:$A,0))),"Unclassified")</f>
        <v>Yes</v>
      </c>
      <c r="I227" s="196">
        <v>45778</v>
      </c>
      <c r="J227" s="196">
        <v>45991</v>
      </c>
      <c r="K227" s="192" t="str">
        <f>INDEX('Revenue by Customer'!K:K,MATCH('Full Customer List'!$B227,'Revenue by Customer'!$A:$A,0))</f>
        <v/>
      </c>
      <c r="L227" s="192" t="str">
        <f>INDEX('Revenue by Customer'!L:L,MATCH('Full Customer List'!$B227,'Revenue by Customer'!$A:$A,0))</f>
        <v/>
      </c>
      <c r="M227" s="192" t="str">
        <f>INDEX('Revenue by Customer'!M:M,MATCH('Full Customer List'!$B227,'Revenue by Customer'!$A:$A,0))</f>
        <v/>
      </c>
      <c r="N227" s="192" t="str">
        <f>INDEX('Revenue by Customer'!N:N,MATCH('Full Customer List'!$B227,'Revenue by Customer'!$A:$A,0))</f>
        <v/>
      </c>
      <c r="O227" s="192">
        <f>INDEX('Revenue by Customer'!O:O,MATCH('Full Customer List'!$B227,'Revenue by Customer'!$A:$A,0))</f>
        <v>640</v>
      </c>
      <c r="P227" s="192">
        <f>INDEX('Revenue by Customer'!P:P,MATCH('Full Customer List'!$B227,'Revenue by Customer'!$A:$A,0))</f>
        <v>340</v>
      </c>
      <c r="Q227" s="192">
        <f>INDEX('Revenue by Customer'!Q:Q,MATCH('Full Customer List'!$B227,'Revenue by Customer'!$A:$A,0))</f>
        <v>403.75</v>
      </c>
      <c r="R227" s="192">
        <f>INDEX('Revenue by Customer'!R:R,MATCH('Full Customer List'!$B227,'Revenue by Customer'!$A:$A,0))</f>
        <v>475</v>
      </c>
      <c r="S227" s="192">
        <f>INDEX('Revenue by Customer'!S:S,MATCH('Full Customer List'!$B227,'Revenue by Customer'!$A:$A,0))</f>
        <v>550</v>
      </c>
      <c r="T227" s="192">
        <f>INDEX('Revenue by Customer'!T:T,MATCH('Full Customer List'!$B227,'Revenue by Customer'!$A:$A,0))</f>
        <v>550</v>
      </c>
      <c r="U227" s="192">
        <f>INDEX('Revenue by Customer'!U:U,MATCH('Full Customer List'!$B227,'Revenue by Customer'!$A:$A,0))</f>
        <v>550</v>
      </c>
      <c r="V227" s="192" t="str">
        <f>INDEX('Revenue by Customer'!V:V,MATCH('Full Customer List'!$B227,'Revenue by Customer'!$A:$A,0))</f>
        <v/>
      </c>
      <c r="W227" s="192" t="str">
        <f>INDEX('Revenue by Customer'!W:W,MATCH('Full Customer List'!$B227,'Revenue by Customer'!$A:$A,0))</f>
        <v/>
      </c>
      <c r="X227" s="192">
        <f>INDEX('Revenue by Customer'!X:X,MATCH('Full Customer List'!$B227,'Revenue by Customer'!$A:$A,0))</f>
        <v>60</v>
      </c>
      <c r="Y227" s="192" t="str">
        <f>INDEX('Revenue by Customer'!Y:Y,MATCH('Full Customer List'!$B227,'Revenue by Customer'!$A:$A,0))</f>
        <v/>
      </c>
      <c r="Z227" s="192" t="str">
        <f>INDEX('Revenue by Customer'!Z:Z,MATCH('Full Customer List'!$B227,'Revenue by Customer'!$A:$A,0))</f>
        <v/>
      </c>
      <c r="AA227" s="192" t="str">
        <f>INDEX('Revenue by Customer'!AA:AA,MATCH('Full Customer List'!$B227,'Revenue by Customer'!$A:$A,0))</f>
        <v/>
      </c>
      <c r="AB227" s="192" t="str">
        <f>INDEX('Revenue by Customer'!AB:AB,MATCH('Full Customer List'!$B227,'Revenue by Customer'!$A:$A,0))</f>
        <v/>
      </c>
      <c r="AC227" s="192" t="str">
        <f>INDEX('Revenue by Customer'!AC:AC,MATCH('Full Customer List'!$B227,'Revenue by Customer'!$A:$A,0))</f>
        <v/>
      </c>
    </row>
    <row r="228" spans="2:29" ht="12" customHeight="1">
      <c r="B228" s="173" t="s">
        <v>875</v>
      </c>
      <c r="C228" s="173" t="str">
        <f>INDEX('Customer List'!$B:$B,MATCH('Full Customer List'!$B228,'Customer List'!$A:$A,0))</f>
        <v>Active</v>
      </c>
      <c r="D228" s="173" t="str">
        <f>INDEX('Customer List'!$C:$C,MATCH('Full Customer List'!$B228,'Customer List'!$A:$A,0))</f>
        <v>STR owner</v>
      </c>
      <c r="E228" s="173" t="str">
        <f>INDEX('Customer List Mapping'!$C:$C,MATCH('Full Customer List'!D228,'Customer List Mapping'!$B:$B,0))</f>
        <v>STR Owner</v>
      </c>
      <c r="F228" s="192">
        <f>INDEX('Customer List'!$K:$K,MATCH('Full Customer List'!$B228,'Customer List'!$A:$A,0))</f>
        <v>5</v>
      </c>
      <c r="G228" s="192">
        <f>INDEX('Revenue by Customer'!$I:$I,MATCH('Full Customer List'!$B228,'Revenue by Customer'!$A:$A,0))</f>
        <v>300</v>
      </c>
      <c r="H228" s="257" t="str">
        <f>IFERROR(IF(C228="Active","",INDEX('Client Departures'!$G:$G,MATCH('Full Customer List'!$B228,'Client Departures'!$A:$A,0))),"Unclassified")</f>
        <v/>
      </c>
      <c r="I228" s="196">
        <v>46023</v>
      </c>
      <c r="J228" s="196"/>
      <c r="K228" s="192" t="str">
        <f>INDEX('Revenue by Customer'!K:K,MATCH('Full Customer List'!$B228,'Revenue by Customer'!$A:$A,0))</f>
        <v/>
      </c>
      <c r="L228" s="192" t="str">
        <f>INDEX('Revenue by Customer'!L:L,MATCH('Full Customer List'!$B228,'Revenue by Customer'!$A:$A,0))</f>
        <v/>
      </c>
      <c r="M228" s="192" t="str">
        <f>INDEX('Revenue by Customer'!M:M,MATCH('Full Customer List'!$B228,'Revenue by Customer'!$A:$A,0))</f>
        <v/>
      </c>
      <c r="N228" s="192" t="str">
        <f>INDEX('Revenue by Customer'!N:N,MATCH('Full Customer List'!$B228,'Revenue by Customer'!$A:$A,0))</f>
        <v/>
      </c>
      <c r="O228" s="192" t="str">
        <f>INDEX('Revenue by Customer'!O:O,MATCH('Full Customer List'!$B228,'Revenue by Customer'!$A:$A,0))</f>
        <v/>
      </c>
      <c r="P228" s="192" t="str">
        <f>INDEX('Revenue by Customer'!P:P,MATCH('Full Customer List'!$B228,'Revenue by Customer'!$A:$A,0))</f>
        <v/>
      </c>
      <c r="Q228" s="192" t="str">
        <f>INDEX('Revenue by Customer'!Q:Q,MATCH('Full Customer List'!$B228,'Revenue by Customer'!$A:$A,0))</f>
        <v/>
      </c>
      <c r="R228" s="192" t="str">
        <f>INDEX('Revenue by Customer'!R:R,MATCH('Full Customer List'!$B228,'Revenue by Customer'!$A:$A,0))</f>
        <v/>
      </c>
      <c r="S228" s="192" t="str">
        <f>INDEX('Revenue by Customer'!S:S,MATCH('Full Customer List'!$B228,'Revenue by Customer'!$A:$A,0))</f>
        <v/>
      </c>
      <c r="T228" s="192" t="str">
        <f>INDEX('Revenue by Customer'!T:T,MATCH('Full Customer List'!$B228,'Revenue by Customer'!$A:$A,0))</f>
        <v/>
      </c>
      <c r="U228" s="192" t="str">
        <f>INDEX('Revenue by Customer'!U:U,MATCH('Full Customer List'!$B228,'Revenue by Customer'!$A:$A,0))</f>
        <v/>
      </c>
      <c r="V228" s="192" t="str">
        <f>INDEX('Revenue by Customer'!V:V,MATCH('Full Customer List'!$B228,'Revenue by Customer'!$A:$A,0))</f>
        <v/>
      </c>
      <c r="W228" s="192">
        <f>INDEX('Revenue by Customer'!W:W,MATCH('Full Customer List'!$B228,'Revenue by Customer'!$A:$A,0))</f>
        <v>640</v>
      </c>
      <c r="X228" s="192">
        <f>INDEX('Revenue by Customer'!X:X,MATCH('Full Customer List'!$B228,'Revenue by Customer'!$A:$A,0))</f>
        <v>340</v>
      </c>
      <c r="Y228" s="192">
        <f>INDEX('Revenue by Customer'!Y:Y,MATCH('Full Customer List'!$B228,'Revenue by Customer'!$A:$A,0))</f>
        <v>85</v>
      </c>
      <c r="Z228" s="192">
        <f>INDEX('Revenue by Customer'!Z:Z,MATCH('Full Customer List'!$B228,'Revenue by Customer'!$A:$A,0))</f>
        <v>200</v>
      </c>
      <c r="AA228" s="192">
        <f>INDEX('Revenue by Customer'!AA:AA,MATCH('Full Customer List'!$B228,'Revenue by Customer'!$A:$A,0))</f>
        <v>300</v>
      </c>
      <c r="AB228" s="192">
        <f>INDEX('Revenue by Customer'!AB:AB,MATCH('Full Customer List'!$B228,'Revenue by Customer'!$A:$A,0))</f>
        <v>300</v>
      </c>
      <c r="AC228" s="192">
        <f>INDEX('Revenue by Customer'!AC:AC,MATCH('Full Customer List'!$B228,'Revenue by Customer'!$A:$A,0))</f>
        <v>300</v>
      </c>
    </row>
    <row r="229" spans="2:29" ht="12" customHeight="1">
      <c r="B229" s="173" t="s">
        <v>876</v>
      </c>
      <c r="C229" s="173" t="str">
        <f>INDEX('Customer List'!$B:$B,MATCH('Full Customer List'!$B229,'Customer List'!$A:$A,0))</f>
        <v>Former client</v>
      </c>
      <c r="D229" s="173" t="str">
        <f>INDEX('Customer List'!$C:$C,MATCH('Full Customer List'!$B229,'Customer List'!$A:$A,0))</f>
        <v>Small business (departed)</v>
      </c>
      <c r="E229" s="173" t="str">
        <f>INDEX('Customer List Mapping'!$C:$C,MATCH('Full Customer List'!D229,'Customer List Mapping'!$B:$B,0))</f>
        <v>Small Business</v>
      </c>
      <c r="F229" s="192" t="str">
        <f>INDEX('Customer List'!$K:$K,MATCH('Full Customer List'!$B229,'Customer List'!$A:$A,0))</f>
        <v/>
      </c>
      <c r="G229" s="192">
        <f>INDEX('Revenue by Customer'!$I:$I,MATCH('Full Customer List'!$B229,'Revenue by Customer'!$A:$A,0))</f>
        <v>305</v>
      </c>
      <c r="H229" s="257" t="str">
        <f>IFERROR(IF(C229="Active","",INDEX('Client Departures'!$G:$G,MATCH('Full Customer List'!$B229,'Client Departures'!$A:$A,0))),"Unclassified")</f>
        <v>Yes</v>
      </c>
      <c r="I229" s="196">
        <v>44440</v>
      </c>
      <c r="J229" s="196">
        <v>46081</v>
      </c>
      <c r="K229" s="192">
        <f>INDEX('Revenue by Customer'!K:K,MATCH('Full Customer List'!$B229,'Revenue by Customer'!$A:$A,0))</f>
        <v>310</v>
      </c>
      <c r="L229" s="192">
        <f>INDEX('Revenue by Customer'!L:L,MATCH('Full Customer List'!$B229,'Revenue by Customer'!$A:$A,0))</f>
        <v>295</v>
      </c>
      <c r="M229" s="192">
        <f>INDEX('Revenue by Customer'!M:M,MATCH('Full Customer List'!$B229,'Revenue by Customer'!$A:$A,0))</f>
        <v>295</v>
      </c>
      <c r="N229" s="192">
        <f>INDEX('Revenue by Customer'!N:N,MATCH('Full Customer List'!$B229,'Revenue by Customer'!$A:$A,0))</f>
        <v>295</v>
      </c>
      <c r="O229" s="192">
        <f>INDEX('Revenue by Customer'!O:O,MATCH('Full Customer List'!$B229,'Revenue by Customer'!$A:$A,0))</f>
        <v>295</v>
      </c>
      <c r="P229" s="192">
        <f>INDEX('Revenue by Customer'!P:P,MATCH('Full Customer List'!$B229,'Revenue by Customer'!$A:$A,0))</f>
        <v>295</v>
      </c>
      <c r="Q229" s="192">
        <f>INDEX('Revenue by Customer'!Q:Q,MATCH('Full Customer List'!$B229,'Revenue by Customer'!$A:$A,0))</f>
        <v>295</v>
      </c>
      <c r="R229" s="192">
        <f>INDEX('Revenue by Customer'!R:R,MATCH('Full Customer List'!$B229,'Revenue by Customer'!$A:$A,0))</f>
        <v>295</v>
      </c>
      <c r="S229" s="192">
        <f>INDEX('Revenue by Customer'!S:S,MATCH('Full Customer List'!$B229,'Revenue by Customer'!$A:$A,0))</f>
        <v>305</v>
      </c>
      <c r="T229" s="192">
        <f>INDEX('Revenue by Customer'!T:T,MATCH('Full Customer List'!$B229,'Revenue by Customer'!$A:$A,0))</f>
        <v>305</v>
      </c>
      <c r="U229" s="192">
        <f>INDEX('Revenue by Customer'!U:U,MATCH('Full Customer List'!$B229,'Revenue by Customer'!$A:$A,0))</f>
        <v>305</v>
      </c>
      <c r="V229" s="192">
        <f>INDEX('Revenue by Customer'!V:V,MATCH('Full Customer List'!$B229,'Revenue by Customer'!$A:$A,0))</f>
        <v>305</v>
      </c>
      <c r="W229" s="192">
        <f>INDEX('Revenue by Customer'!W:W,MATCH('Full Customer List'!$B229,'Revenue by Customer'!$A:$A,0))</f>
        <v>305</v>
      </c>
      <c r="X229" s="192">
        <f>INDEX('Revenue by Customer'!X:X,MATCH('Full Customer List'!$B229,'Revenue by Customer'!$A:$A,0))</f>
        <v>305</v>
      </c>
      <c r="Y229" s="192">
        <f>INDEX('Revenue by Customer'!Y:Y,MATCH('Full Customer List'!$B229,'Revenue by Customer'!$A:$A,0))</f>
        <v>0</v>
      </c>
      <c r="Z229" s="192" t="str">
        <f>INDEX('Revenue by Customer'!Z:Z,MATCH('Full Customer List'!$B229,'Revenue by Customer'!$A:$A,0))</f>
        <v/>
      </c>
      <c r="AA229" s="192" t="str">
        <f>INDEX('Revenue by Customer'!AA:AA,MATCH('Full Customer List'!$B229,'Revenue by Customer'!$A:$A,0))</f>
        <v/>
      </c>
      <c r="AB229" s="192" t="str">
        <f>INDEX('Revenue by Customer'!AB:AB,MATCH('Full Customer List'!$B229,'Revenue by Customer'!$A:$A,0))</f>
        <v/>
      </c>
      <c r="AC229" s="192" t="str">
        <f>INDEX('Revenue by Customer'!AC:AC,MATCH('Full Customer List'!$B229,'Revenue by Customer'!$A:$A,0))</f>
        <v/>
      </c>
    </row>
    <row r="230" spans="2:29" ht="12" customHeight="1">
      <c r="B230" s="173" t="s">
        <v>879</v>
      </c>
      <c r="C230" s="173" t="str">
        <f>INDEX('Customer List'!$B:$B,MATCH('Full Customer List'!$B230,'Customer List'!$A:$A,0))</f>
        <v>Former client</v>
      </c>
      <c r="D230" s="173" t="str">
        <f>INDEX('Customer List'!$C:$C,MATCH('Full Customer List'!$B230,'Customer List'!$A:$A,0))</f>
        <v>Small business (departed)</v>
      </c>
      <c r="E230" s="173" t="str">
        <f>INDEX('Customer List Mapping'!$C:$C,MATCH('Full Customer List'!D230,'Customer List Mapping'!$B:$B,0))</f>
        <v>Small Business</v>
      </c>
      <c r="F230" s="192" t="str">
        <f>INDEX('Customer List'!$K:$K,MATCH('Full Customer List'!$B230,'Customer List'!$A:$A,0))</f>
        <v/>
      </c>
      <c r="G230" s="192">
        <f>INDEX('Revenue by Customer'!$I:$I,MATCH('Full Customer List'!$B230,'Revenue by Customer'!$A:$A,0))</f>
        <v>350</v>
      </c>
      <c r="H230" s="257" t="str">
        <f>IFERROR(IF(C230="Active","",INDEX('Client Departures'!$G:$G,MATCH('Full Customer List'!$B230,'Client Departures'!$A:$A,0))),"Unclassified")</f>
        <v>Yes</v>
      </c>
      <c r="I230" s="196">
        <v>44652</v>
      </c>
      <c r="J230" s="196">
        <v>46053</v>
      </c>
      <c r="K230" s="192">
        <f>INDEX('Revenue by Customer'!K:K,MATCH('Full Customer List'!$B230,'Revenue by Customer'!$A:$A,0))</f>
        <v>345</v>
      </c>
      <c r="L230" s="192">
        <f>INDEX('Revenue by Customer'!L:L,MATCH('Full Customer List'!$B230,'Revenue by Customer'!$A:$A,0))</f>
        <v>330</v>
      </c>
      <c r="M230" s="192">
        <f>INDEX('Revenue by Customer'!M:M,MATCH('Full Customer List'!$B230,'Revenue by Customer'!$A:$A,0))</f>
        <v>330</v>
      </c>
      <c r="N230" s="192">
        <f>INDEX('Revenue by Customer'!N:N,MATCH('Full Customer List'!$B230,'Revenue by Customer'!$A:$A,0))</f>
        <v>350</v>
      </c>
      <c r="O230" s="192">
        <f>INDEX('Revenue by Customer'!O:O,MATCH('Full Customer List'!$B230,'Revenue by Customer'!$A:$A,0))</f>
        <v>350</v>
      </c>
      <c r="P230" s="192">
        <f>INDEX('Revenue by Customer'!P:P,MATCH('Full Customer List'!$B230,'Revenue by Customer'!$A:$A,0))</f>
        <v>350</v>
      </c>
      <c r="Q230" s="192">
        <f>INDEX('Revenue by Customer'!Q:Q,MATCH('Full Customer List'!$B230,'Revenue by Customer'!$A:$A,0))</f>
        <v>350</v>
      </c>
      <c r="R230" s="192">
        <f>INDEX('Revenue by Customer'!R:R,MATCH('Full Customer List'!$B230,'Revenue by Customer'!$A:$A,0))</f>
        <v>350</v>
      </c>
      <c r="S230" s="192">
        <f>INDEX('Revenue by Customer'!S:S,MATCH('Full Customer List'!$B230,'Revenue by Customer'!$A:$A,0))</f>
        <v>350</v>
      </c>
      <c r="T230" s="192">
        <f>INDEX('Revenue by Customer'!T:T,MATCH('Full Customer List'!$B230,'Revenue by Customer'!$A:$A,0))</f>
        <v>350</v>
      </c>
      <c r="U230" s="192">
        <f>INDEX('Revenue by Customer'!U:U,MATCH('Full Customer List'!$B230,'Revenue by Customer'!$A:$A,0))</f>
        <v>350</v>
      </c>
      <c r="V230" s="192">
        <f>INDEX('Revenue by Customer'!V:V,MATCH('Full Customer List'!$B230,'Revenue by Customer'!$A:$A,0))</f>
        <v>350</v>
      </c>
      <c r="W230" s="192">
        <f>INDEX('Revenue by Customer'!W:W,MATCH('Full Customer List'!$B230,'Revenue by Customer'!$A:$A,0))</f>
        <v>350</v>
      </c>
      <c r="X230" s="192" t="str">
        <f>INDEX('Revenue by Customer'!X:X,MATCH('Full Customer List'!$B230,'Revenue by Customer'!$A:$A,0))</f>
        <v/>
      </c>
      <c r="Y230" s="192" t="str">
        <f>INDEX('Revenue by Customer'!Y:Y,MATCH('Full Customer List'!$B230,'Revenue by Customer'!$A:$A,0))</f>
        <v/>
      </c>
      <c r="Z230" s="192" t="str">
        <f>INDEX('Revenue by Customer'!Z:Z,MATCH('Full Customer List'!$B230,'Revenue by Customer'!$A:$A,0))</f>
        <v/>
      </c>
      <c r="AA230" s="192" t="str">
        <f>INDEX('Revenue by Customer'!AA:AA,MATCH('Full Customer List'!$B230,'Revenue by Customer'!$A:$A,0))</f>
        <v/>
      </c>
      <c r="AB230" s="192" t="str">
        <f>INDEX('Revenue by Customer'!AB:AB,MATCH('Full Customer List'!$B230,'Revenue by Customer'!$A:$A,0))</f>
        <v/>
      </c>
      <c r="AC230" s="192" t="str">
        <f>INDEX('Revenue by Customer'!AC:AC,MATCH('Full Customer List'!$B230,'Revenue by Customer'!$A:$A,0))</f>
        <v/>
      </c>
    </row>
    <row r="231" spans="2:29" ht="12" customHeight="1">
      <c r="B231" s="173" t="s">
        <v>880</v>
      </c>
      <c r="C231" s="173" t="str">
        <f>INDEX('Customer List'!$B:$B,MATCH('Full Customer List'!$B231,'Customer List'!$A:$A,0))</f>
        <v>Former client</v>
      </c>
      <c r="D231" s="173" t="str">
        <f>INDEX('Customer List'!$C:$C,MATCH('Full Customer List'!$B231,'Customer List'!$A:$A,0))</f>
        <v>Property manager</v>
      </c>
      <c r="E231" s="173" t="str">
        <f>INDEX('Customer List Mapping'!$C:$C,MATCH('Full Customer List'!D231,'Customer List Mapping'!$B:$B,0))</f>
        <v>Property Manager</v>
      </c>
      <c r="F231" s="192">
        <f>INDEX('Customer List'!$K:$K,MATCH('Full Customer List'!$B231,'Customer List'!$A:$A,0))</f>
        <v>4</v>
      </c>
      <c r="G231" s="192">
        <f>INDEX('Revenue by Customer'!$I:$I,MATCH('Full Customer List'!$B231,'Revenue by Customer'!$A:$A,0))</f>
        <v>300</v>
      </c>
      <c r="H231" s="257" t="str">
        <f>IFERROR(IF(C231="Active","",INDEX('Client Departures'!$G:$G,MATCH('Full Customer List'!$B231,'Client Departures'!$A:$A,0))),"Unclassified")</f>
        <v>No</v>
      </c>
      <c r="I231" s="196">
        <v>45778</v>
      </c>
      <c r="J231" s="196">
        <v>46022</v>
      </c>
      <c r="K231" s="192" t="str">
        <f>INDEX('Revenue by Customer'!K:K,MATCH('Full Customer List'!$B231,'Revenue by Customer'!$A:$A,0))</f>
        <v/>
      </c>
      <c r="L231" s="192" t="str">
        <f>INDEX('Revenue by Customer'!L:L,MATCH('Full Customer List'!$B231,'Revenue by Customer'!$A:$A,0))</f>
        <v/>
      </c>
      <c r="M231" s="192" t="str">
        <f>INDEX('Revenue by Customer'!M:M,MATCH('Full Customer List'!$B231,'Revenue by Customer'!$A:$A,0))</f>
        <v/>
      </c>
      <c r="N231" s="192" t="str">
        <f>INDEX('Revenue by Customer'!N:N,MATCH('Full Customer List'!$B231,'Revenue by Customer'!$A:$A,0))</f>
        <v/>
      </c>
      <c r="O231" s="192">
        <f>INDEX('Revenue by Customer'!O:O,MATCH('Full Customer List'!$B231,'Revenue by Customer'!$A:$A,0))</f>
        <v>640</v>
      </c>
      <c r="P231" s="192">
        <f>INDEX('Revenue by Customer'!P:P,MATCH('Full Customer List'!$B231,'Revenue by Customer'!$A:$A,0))</f>
        <v>340</v>
      </c>
      <c r="Q231" s="192">
        <f>INDEX('Revenue by Customer'!Q:Q,MATCH('Full Customer List'!$B231,'Revenue by Customer'!$A:$A,0))</f>
        <v>340</v>
      </c>
      <c r="R231" s="192">
        <f>INDEX('Revenue by Customer'!R:R,MATCH('Full Customer List'!$B231,'Revenue by Customer'!$A:$A,0))</f>
        <v>400</v>
      </c>
      <c r="S231" s="192">
        <f>INDEX('Revenue by Customer'!S:S,MATCH('Full Customer List'!$B231,'Revenue by Customer'!$A:$A,0))</f>
        <v>400</v>
      </c>
      <c r="T231" s="192">
        <f>INDEX('Revenue by Customer'!T:T,MATCH('Full Customer List'!$B231,'Revenue by Customer'!$A:$A,0))</f>
        <v>400</v>
      </c>
      <c r="U231" s="192">
        <f>INDEX('Revenue by Customer'!U:U,MATCH('Full Customer List'!$B231,'Revenue by Customer'!$A:$A,0))</f>
        <v>400</v>
      </c>
      <c r="V231" s="192">
        <f>INDEX('Revenue by Customer'!V:V,MATCH('Full Customer List'!$B231,'Revenue by Customer'!$A:$A,0))</f>
        <v>700</v>
      </c>
      <c r="W231" s="192">
        <f>INDEX('Revenue by Customer'!W:W,MATCH('Full Customer List'!$B231,'Revenue by Customer'!$A:$A,0))</f>
        <v>-200</v>
      </c>
      <c r="X231" s="192">
        <f>INDEX('Revenue by Customer'!X:X,MATCH('Full Customer List'!$B231,'Revenue by Customer'!$A:$A,0))</f>
        <v>0</v>
      </c>
      <c r="Y231" s="192">
        <f>INDEX('Revenue by Customer'!Y:Y,MATCH('Full Customer List'!$B231,'Revenue by Customer'!$A:$A,0))</f>
        <v>0</v>
      </c>
      <c r="Z231" s="192">
        <f>INDEX('Revenue by Customer'!Z:Z,MATCH('Full Customer List'!$B231,'Revenue by Customer'!$A:$A,0))</f>
        <v>0</v>
      </c>
      <c r="AA231" s="192" t="str">
        <f>INDEX('Revenue by Customer'!AA:AA,MATCH('Full Customer List'!$B231,'Revenue by Customer'!$A:$A,0))</f>
        <v/>
      </c>
      <c r="AB231" s="192" t="str">
        <f>INDEX('Revenue by Customer'!AB:AB,MATCH('Full Customer List'!$B231,'Revenue by Customer'!$A:$A,0))</f>
        <v/>
      </c>
      <c r="AC231" s="192" t="str">
        <f>INDEX('Revenue by Customer'!AC:AC,MATCH('Full Customer List'!$B231,'Revenue by Customer'!$A:$A,0))</f>
        <v/>
      </c>
    </row>
    <row r="232" spans="2:29" ht="12" customHeight="1">
      <c r="B232" s="173" t="s">
        <v>883</v>
      </c>
      <c r="C232" s="173" t="str">
        <f>INDEX('Customer List'!$B:$B,MATCH('Full Customer List'!$B232,'Customer List'!$A:$A,0))</f>
        <v>Former client</v>
      </c>
      <c r="D232" s="173" t="str">
        <f>INDEX('Customer List'!$C:$C,MATCH('Full Customer List'!$B232,'Customer List'!$A:$A,0))</f>
        <v>Short-term rental (departed)</v>
      </c>
      <c r="E232" s="173" t="str">
        <f>INDEX('Customer List Mapping'!$C:$C,MATCH('Full Customer List'!D232,'Customer List Mapping'!$B:$B,0))</f>
        <v>Short-Term Rental</v>
      </c>
      <c r="F232" s="192" t="str">
        <f>INDEX('Customer List'!$K:$K,MATCH('Full Customer List'!$B232,'Customer List'!$A:$A,0))</f>
        <v/>
      </c>
      <c r="G232" s="192">
        <f>INDEX('Revenue by Customer'!$I:$I,MATCH('Full Customer List'!$B232,'Revenue by Customer'!$A:$A,0))</f>
        <v>580</v>
      </c>
      <c r="H232" s="257" t="str">
        <f>IFERROR(IF(C232="Active","",INDEX('Client Departures'!$G:$G,MATCH('Full Customer List'!$B232,'Client Departures'!$A:$A,0))),"Unclassified")</f>
        <v>No</v>
      </c>
      <c r="I232" s="196">
        <v>45778</v>
      </c>
      <c r="J232" s="196">
        <v>45991</v>
      </c>
      <c r="K232" s="192" t="str">
        <f>INDEX('Revenue by Customer'!K:K,MATCH('Full Customer List'!$B232,'Revenue by Customer'!$A:$A,0))</f>
        <v/>
      </c>
      <c r="L232" s="192" t="str">
        <f>INDEX('Revenue by Customer'!L:L,MATCH('Full Customer List'!$B232,'Revenue by Customer'!$A:$A,0))</f>
        <v/>
      </c>
      <c r="M232" s="192" t="str">
        <f>INDEX('Revenue by Customer'!M:M,MATCH('Full Customer List'!$B232,'Revenue by Customer'!$A:$A,0))</f>
        <v/>
      </c>
      <c r="N232" s="192" t="str">
        <f>INDEX('Revenue by Customer'!N:N,MATCH('Full Customer List'!$B232,'Revenue by Customer'!$A:$A,0))</f>
        <v/>
      </c>
      <c r="O232" s="192">
        <f>INDEX('Revenue by Customer'!O:O,MATCH('Full Customer List'!$B232,'Revenue by Customer'!$A:$A,0))</f>
        <v>3792.5</v>
      </c>
      <c r="P232" s="192">
        <f>INDEX('Revenue by Customer'!P:P,MATCH('Full Customer List'!$B232,'Revenue by Customer'!$A:$A,0))</f>
        <v>695</v>
      </c>
      <c r="Q232" s="192">
        <f>INDEX('Revenue by Customer'!Q:Q,MATCH('Full Customer List'!$B232,'Revenue by Customer'!$A:$A,0))</f>
        <v>718.75</v>
      </c>
      <c r="R232" s="192">
        <f>INDEX('Revenue by Customer'!R:R,MATCH('Full Customer List'!$B232,'Revenue by Customer'!$A:$A,0))</f>
        <v>325</v>
      </c>
      <c r="S232" s="192">
        <f>INDEX('Revenue by Customer'!S:S,MATCH('Full Customer List'!$B232,'Revenue by Customer'!$A:$A,0))</f>
        <v>640</v>
      </c>
      <c r="T232" s="192">
        <f>INDEX('Revenue by Customer'!T:T,MATCH('Full Customer List'!$B232,'Revenue by Customer'!$A:$A,0))</f>
        <v>550</v>
      </c>
      <c r="U232" s="192">
        <f>INDEX('Revenue by Customer'!U:U,MATCH('Full Customer List'!$B232,'Revenue by Customer'!$A:$A,0))</f>
        <v>550</v>
      </c>
      <c r="V232" s="192" t="str">
        <f>INDEX('Revenue by Customer'!V:V,MATCH('Full Customer List'!$B232,'Revenue by Customer'!$A:$A,0))</f>
        <v/>
      </c>
      <c r="W232" s="192" t="str">
        <f>INDEX('Revenue by Customer'!W:W,MATCH('Full Customer List'!$B232,'Revenue by Customer'!$A:$A,0))</f>
        <v/>
      </c>
      <c r="X232" s="192" t="str">
        <f>INDEX('Revenue by Customer'!X:X,MATCH('Full Customer List'!$B232,'Revenue by Customer'!$A:$A,0))</f>
        <v/>
      </c>
      <c r="Y232" s="192" t="str">
        <f>INDEX('Revenue by Customer'!Y:Y,MATCH('Full Customer List'!$B232,'Revenue by Customer'!$A:$A,0))</f>
        <v/>
      </c>
      <c r="Z232" s="192" t="str">
        <f>INDEX('Revenue by Customer'!Z:Z,MATCH('Full Customer List'!$B232,'Revenue by Customer'!$A:$A,0))</f>
        <v/>
      </c>
      <c r="AA232" s="192" t="str">
        <f>INDEX('Revenue by Customer'!AA:AA,MATCH('Full Customer List'!$B232,'Revenue by Customer'!$A:$A,0))</f>
        <v/>
      </c>
      <c r="AB232" s="192" t="str">
        <f>INDEX('Revenue by Customer'!AB:AB,MATCH('Full Customer List'!$B232,'Revenue by Customer'!$A:$A,0))</f>
        <v/>
      </c>
      <c r="AC232" s="192" t="str">
        <f>INDEX('Revenue by Customer'!AC:AC,MATCH('Full Customer List'!$B232,'Revenue by Customer'!$A:$A,0))</f>
        <v/>
      </c>
    </row>
    <row r="233" spans="2:29" ht="12" customHeight="1">
      <c r="B233" s="173" t="s">
        <v>884</v>
      </c>
      <c r="C233" s="173" t="str">
        <f>INDEX('Customer List'!$B:$B,MATCH('Full Customer List'!$B233,'Customer List'!$A:$A,0))</f>
        <v>Active</v>
      </c>
      <c r="D233" s="173" t="str">
        <f>INDEX('Customer List'!$C:$C,MATCH('Full Customer List'!$B233,'Customer List'!$A:$A,0))</f>
        <v>Property manager</v>
      </c>
      <c r="E233" s="173" t="str">
        <f>INDEX('Customer List Mapping'!$C:$C,MATCH('Full Customer List'!D233,'Customer List Mapping'!$B:$B,0))</f>
        <v>Property Manager</v>
      </c>
      <c r="F233" s="192">
        <f>INDEX('Customer List'!$K:$K,MATCH('Full Customer List'!$B233,'Customer List'!$A:$A,0))</f>
        <v>3</v>
      </c>
      <c r="G233" s="192">
        <f>INDEX('Revenue by Customer'!$I:$I,MATCH('Full Customer List'!$B233,'Revenue by Customer'!$A:$A,0))</f>
        <v>680.66666666666663</v>
      </c>
      <c r="H233" s="257" t="str">
        <f>IFERROR(IF(C233="Active","",INDEX('Client Departures'!$G:$G,MATCH('Full Customer List'!$B233,'Client Departures'!$A:$A,0))),"Unclassified")</f>
        <v/>
      </c>
      <c r="I233" s="196">
        <v>46143</v>
      </c>
      <c r="J233" s="196"/>
      <c r="K233" s="192" t="str">
        <f>INDEX('Revenue by Customer'!K:K,MATCH('Full Customer List'!$B233,'Revenue by Customer'!$A:$A,0))</f>
        <v/>
      </c>
      <c r="L233" s="192" t="str">
        <f>INDEX('Revenue by Customer'!L:L,MATCH('Full Customer List'!$B233,'Revenue by Customer'!$A:$A,0))</f>
        <v/>
      </c>
      <c r="M233" s="192" t="str">
        <f>INDEX('Revenue by Customer'!M:M,MATCH('Full Customer List'!$B233,'Revenue by Customer'!$A:$A,0))</f>
        <v/>
      </c>
      <c r="N233" s="192" t="str">
        <f>INDEX('Revenue by Customer'!N:N,MATCH('Full Customer List'!$B233,'Revenue by Customer'!$A:$A,0))</f>
        <v/>
      </c>
      <c r="O233" s="192" t="str">
        <f>INDEX('Revenue by Customer'!O:O,MATCH('Full Customer List'!$B233,'Revenue by Customer'!$A:$A,0))</f>
        <v/>
      </c>
      <c r="P233" s="192" t="str">
        <f>INDEX('Revenue by Customer'!P:P,MATCH('Full Customer List'!$B233,'Revenue by Customer'!$A:$A,0))</f>
        <v/>
      </c>
      <c r="Q233" s="192" t="str">
        <f>INDEX('Revenue by Customer'!Q:Q,MATCH('Full Customer List'!$B233,'Revenue by Customer'!$A:$A,0))</f>
        <v/>
      </c>
      <c r="R233" s="192" t="str">
        <f>INDEX('Revenue by Customer'!R:R,MATCH('Full Customer List'!$B233,'Revenue by Customer'!$A:$A,0))</f>
        <v/>
      </c>
      <c r="S233" s="192" t="str">
        <f>INDEX('Revenue by Customer'!S:S,MATCH('Full Customer List'!$B233,'Revenue by Customer'!$A:$A,0))</f>
        <v/>
      </c>
      <c r="T233" s="192" t="str">
        <f>INDEX('Revenue by Customer'!T:T,MATCH('Full Customer List'!$B233,'Revenue by Customer'!$A:$A,0))</f>
        <v/>
      </c>
      <c r="U233" s="192" t="str">
        <f>INDEX('Revenue by Customer'!U:U,MATCH('Full Customer List'!$B233,'Revenue by Customer'!$A:$A,0))</f>
        <v/>
      </c>
      <c r="V233" s="192" t="str">
        <f>INDEX('Revenue by Customer'!V:V,MATCH('Full Customer List'!$B233,'Revenue by Customer'!$A:$A,0))</f>
        <v/>
      </c>
      <c r="W233" s="192" t="str">
        <f>INDEX('Revenue by Customer'!W:W,MATCH('Full Customer List'!$B233,'Revenue by Customer'!$A:$A,0))</f>
        <v/>
      </c>
      <c r="X233" s="192" t="str">
        <f>INDEX('Revenue by Customer'!X:X,MATCH('Full Customer List'!$B233,'Revenue by Customer'!$A:$A,0))</f>
        <v/>
      </c>
      <c r="Y233" s="192" t="str">
        <f>INDEX('Revenue by Customer'!Y:Y,MATCH('Full Customer List'!$B233,'Revenue by Customer'!$A:$A,0))</f>
        <v/>
      </c>
      <c r="Z233" s="192" t="str">
        <f>INDEX('Revenue by Customer'!Z:Z,MATCH('Full Customer List'!$B233,'Revenue by Customer'!$A:$A,0))</f>
        <v/>
      </c>
      <c r="AA233" s="192">
        <f>INDEX('Revenue by Customer'!AA:AA,MATCH('Full Customer List'!$B233,'Revenue by Customer'!$A:$A,0))</f>
        <v>986</v>
      </c>
      <c r="AB233" s="192">
        <f>INDEX('Revenue by Customer'!AB:AB,MATCH('Full Customer List'!$B233,'Revenue by Customer'!$A:$A,0))</f>
        <v>678</v>
      </c>
      <c r="AC233" s="192">
        <f>INDEX('Revenue by Customer'!AC:AC,MATCH('Full Customer List'!$B233,'Revenue by Customer'!$A:$A,0))</f>
        <v>378</v>
      </c>
    </row>
    <row r="234" spans="2:29" ht="12" customHeight="1">
      <c r="B234" s="173" t="s">
        <v>885</v>
      </c>
      <c r="C234" s="173" t="str">
        <f>INDEX('Customer List'!$B:$B,MATCH('Full Customer List'!$B234,'Customer List'!$A:$A,0))</f>
        <v>Former client</v>
      </c>
      <c r="D234" s="173" t="str">
        <f>INDEX('Customer List'!$C:$C,MATCH('Full Customer List'!$B234,'Customer List'!$A:$A,0))</f>
        <v>STR owner</v>
      </c>
      <c r="E234" s="173" t="str">
        <f>INDEX('Customer List Mapping'!$C:$C,MATCH('Full Customer List'!D234,'Customer List Mapping'!$B:$B,0))</f>
        <v>STR Owner</v>
      </c>
      <c r="F234" s="192" t="str">
        <f>INDEX('Customer List'!$K:$K,MATCH('Full Customer List'!$B234,'Customer List'!$A:$A,0))</f>
        <v/>
      </c>
      <c r="G234" s="192">
        <f>INDEX('Revenue by Customer'!$I:$I,MATCH('Full Customer List'!$B234,'Revenue by Customer'!$A:$A,0))</f>
        <v>200</v>
      </c>
      <c r="H234" s="257" t="str">
        <f>IFERROR(IF(C234="Active","",INDEX('Client Departures'!$G:$G,MATCH('Full Customer List'!$B234,'Client Departures'!$A:$A,0))),"Unclassified")</f>
        <v>Yes</v>
      </c>
      <c r="I234" s="196">
        <v>45444</v>
      </c>
      <c r="J234" s="196">
        <v>46173</v>
      </c>
      <c r="K234" s="192">
        <f>INDEX('Revenue by Customer'!K:K,MATCH('Full Customer List'!$B234,'Revenue by Customer'!$A:$A,0))</f>
        <v>197.5</v>
      </c>
      <c r="L234" s="192">
        <f>INDEX('Revenue by Customer'!L:L,MATCH('Full Customer List'!$B234,'Revenue by Customer'!$A:$A,0))</f>
        <v>242.5</v>
      </c>
      <c r="M234" s="192">
        <f>INDEX('Revenue by Customer'!M:M,MATCH('Full Customer List'!$B234,'Revenue by Customer'!$A:$A,0))</f>
        <v>197.5</v>
      </c>
      <c r="N234" s="192">
        <f>INDEX('Revenue by Customer'!N:N,MATCH('Full Customer List'!$B234,'Revenue by Customer'!$A:$A,0))</f>
        <v>197.5</v>
      </c>
      <c r="O234" s="192">
        <f>INDEX('Revenue by Customer'!O:O,MATCH('Full Customer List'!$B234,'Revenue by Customer'!$A:$A,0))</f>
        <v>197.5</v>
      </c>
      <c r="P234" s="192">
        <f>INDEX('Revenue by Customer'!P:P,MATCH('Full Customer List'!$B234,'Revenue by Customer'!$A:$A,0))</f>
        <v>200</v>
      </c>
      <c r="Q234" s="192">
        <f>INDEX('Revenue by Customer'!Q:Q,MATCH('Full Customer List'!$B234,'Revenue by Customer'!$A:$A,0))</f>
        <v>200</v>
      </c>
      <c r="R234" s="192">
        <f>INDEX('Revenue by Customer'!R:R,MATCH('Full Customer List'!$B234,'Revenue by Customer'!$A:$A,0))</f>
        <v>200</v>
      </c>
      <c r="S234" s="192">
        <f>INDEX('Revenue by Customer'!S:S,MATCH('Full Customer List'!$B234,'Revenue by Customer'!$A:$A,0))</f>
        <v>200</v>
      </c>
      <c r="T234" s="192">
        <f>INDEX('Revenue by Customer'!T:T,MATCH('Full Customer List'!$B234,'Revenue by Customer'!$A:$A,0))</f>
        <v>200</v>
      </c>
      <c r="U234" s="192">
        <f>INDEX('Revenue by Customer'!U:U,MATCH('Full Customer List'!$B234,'Revenue by Customer'!$A:$A,0))</f>
        <v>200</v>
      </c>
      <c r="V234" s="192">
        <f>INDEX('Revenue by Customer'!V:V,MATCH('Full Customer List'!$B234,'Revenue by Customer'!$A:$A,0))</f>
        <v>200</v>
      </c>
      <c r="W234" s="192">
        <f>INDEX('Revenue by Customer'!W:W,MATCH('Full Customer List'!$B234,'Revenue by Customer'!$A:$A,0))</f>
        <v>200</v>
      </c>
      <c r="X234" s="192">
        <f>INDEX('Revenue by Customer'!X:X,MATCH('Full Customer List'!$B234,'Revenue by Customer'!$A:$A,0))</f>
        <v>200</v>
      </c>
      <c r="Y234" s="192">
        <f>INDEX('Revenue by Customer'!Y:Y,MATCH('Full Customer List'!$B234,'Revenue by Customer'!$A:$A,0))</f>
        <v>200</v>
      </c>
      <c r="Z234" s="192">
        <f>INDEX('Revenue by Customer'!Z:Z,MATCH('Full Customer List'!$B234,'Revenue by Customer'!$A:$A,0))</f>
        <v>200</v>
      </c>
      <c r="AA234" s="192">
        <f>INDEX('Revenue by Customer'!AA:AA,MATCH('Full Customer List'!$B234,'Revenue by Customer'!$A:$A,0))</f>
        <v>200</v>
      </c>
      <c r="AB234" s="192" t="str">
        <f>INDEX('Revenue by Customer'!AB:AB,MATCH('Full Customer List'!$B234,'Revenue by Customer'!$A:$A,0))</f>
        <v/>
      </c>
      <c r="AC234" s="192" t="str">
        <f>INDEX('Revenue by Customer'!AC:AC,MATCH('Full Customer List'!$B234,'Revenue by Customer'!$A:$A,0))</f>
        <v/>
      </c>
    </row>
    <row r="235" spans="2:29" ht="12" customHeight="1">
      <c r="B235" s="173" t="s">
        <v>886</v>
      </c>
      <c r="C235" s="173" t="str">
        <f>INDEX('Customer List'!$B:$B,MATCH('Full Customer List'!$B235,'Customer List'!$A:$A,0))</f>
        <v>Former client</v>
      </c>
      <c r="D235" s="173" t="str">
        <f>INDEX('Customer List'!$C:$C,MATCH('Full Customer List'!$B235,'Customer List'!$A:$A,0))</f>
        <v>Short-term rental (departed)</v>
      </c>
      <c r="E235" s="173" t="str">
        <f>INDEX('Customer List Mapping'!$C:$C,MATCH('Full Customer List'!D235,'Customer List Mapping'!$B:$B,0))</f>
        <v>Short-Term Rental</v>
      </c>
      <c r="F235" s="192" t="str">
        <f>INDEX('Customer List'!$K:$K,MATCH('Full Customer List'!$B235,'Customer List'!$A:$A,0))</f>
        <v/>
      </c>
      <c r="G235" s="192">
        <f>INDEX('Revenue by Customer'!$I:$I,MATCH('Full Customer List'!$B235,'Revenue by Customer'!$A:$A,0))</f>
        <v>200</v>
      </c>
      <c r="H235" s="257" t="str">
        <f>IFERROR(IF(C235="Active","",INDEX('Client Departures'!$G:$G,MATCH('Full Customer List'!$B235,'Client Departures'!$A:$A,0))),"Unclassified")</f>
        <v>Yes</v>
      </c>
      <c r="I235" s="196">
        <v>45444</v>
      </c>
      <c r="J235" s="196">
        <v>46173</v>
      </c>
      <c r="K235" s="192">
        <f>INDEX('Revenue by Customer'!K:K,MATCH('Full Customer List'!$B235,'Revenue by Customer'!$A:$A,0))</f>
        <v>197.5</v>
      </c>
      <c r="L235" s="192">
        <f>INDEX('Revenue by Customer'!L:L,MATCH('Full Customer List'!$B235,'Revenue by Customer'!$A:$A,0))</f>
        <v>197.5</v>
      </c>
      <c r="M235" s="192">
        <f>INDEX('Revenue by Customer'!M:M,MATCH('Full Customer List'!$B235,'Revenue by Customer'!$A:$A,0))</f>
        <v>197.5</v>
      </c>
      <c r="N235" s="192">
        <f>INDEX('Revenue by Customer'!N:N,MATCH('Full Customer List'!$B235,'Revenue by Customer'!$A:$A,0))</f>
        <v>197.5</v>
      </c>
      <c r="O235" s="192">
        <f>INDEX('Revenue by Customer'!O:O,MATCH('Full Customer List'!$B235,'Revenue by Customer'!$A:$A,0))</f>
        <v>197.5</v>
      </c>
      <c r="P235" s="192">
        <f>INDEX('Revenue by Customer'!P:P,MATCH('Full Customer List'!$B235,'Revenue by Customer'!$A:$A,0))</f>
        <v>200</v>
      </c>
      <c r="Q235" s="192">
        <f>INDEX('Revenue by Customer'!Q:Q,MATCH('Full Customer List'!$B235,'Revenue by Customer'!$A:$A,0))</f>
        <v>200</v>
      </c>
      <c r="R235" s="192">
        <f>INDEX('Revenue by Customer'!R:R,MATCH('Full Customer List'!$B235,'Revenue by Customer'!$A:$A,0))</f>
        <v>200</v>
      </c>
      <c r="S235" s="192">
        <f>INDEX('Revenue by Customer'!S:S,MATCH('Full Customer List'!$B235,'Revenue by Customer'!$A:$A,0))</f>
        <v>200</v>
      </c>
      <c r="T235" s="192">
        <f>INDEX('Revenue by Customer'!T:T,MATCH('Full Customer List'!$B235,'Revenue by Customer'!$A:$A,0))</f>
        <v>200</v>
      </c>
      <c r="U235" s="192">
        <f>INDEX('Revenue by Customer'!U:U,MATCH('Full Customer List'!$B235,'Revenue by Customer'!$A:$A,0))</f>
        <v>200</v>
      </c>
      <c r="V235" s="192">
        <f>INDEX('Revenue by Customer'!V:V,MATCH('Full Customer List'!$B235,'Revenue by Customer'!$A:$A,0))</f>
        <v>200</v>
      </c>
      <c r="W235" s="192">
        <f>INDEX('Revenue by Customer'!W:W,MATCH('Full Customer List'!$B235,'Revenue by Customer'!$A:$A,0))</f>
        <v>200</v>
      </c>
      <c r="X235" s="192">
        <f>INDEX('Revenue by Customer'!X:X,MATCH('Full Customer List'!$B235,'Revenue by Customer'!$A:$A,0))</f>
        <v>200</v>
      </c>
      <c r="Y235" s="192">
        <f>INDEX('Revenue by Customer'!Y:Y,MATCH('Full Customer List'!$B235,'Revenue by Customer'!$A:$A,0))</f>
        <v>200</v>
      </c>
      <c r="Z235" s="192">
        <f>INDEX('Revenue by Customer'!Z:Z,MATCH('Full Customer List'!$B235,'Revenue by Customer'!$A:$A,0))</f>
        <v>200</v>
      </c>
      <c r="AA235" s="192">
        <f>INDEX('Revenue by Customer'!AA:AA,MATCH('Full Customer List'!$B235,'Revenue by Customer'!$A:$A,0))</f>
        <v>200</v>
      </c>
      <c r="AB235" s="192" t="str">
        <f>INDEX('Revenue by Customer'!AB:AB,MATCH('Full Customer List'!$B235,'Revenue by Customer'!$A:$A,0))</f>
        <v/>
      </c>
      <c r="AC235" s="192" t="str">
        <f>INDEX('Revenue by Customer'!AC:AC,MATCH('Full Customer List'!$B235,'Revenue by Customer'!$A:$A,0))</f>
        <v/>
      </c>
    </row>
    <row r="236" spans="2:29" ht="12" customHeight="1">
      <c r="B236" s="173" t="s">
        <v>887</v>
      </c>
      <c r="C236" s="173" t="str">
        <f>INDEX('Customer List'!$B:$B,MATCH('Full Customer List'!$B236,'Customer List'!$A:$A,0))</f>
        <v>Former client</v>
      </c>
      <c r="D236" s="173" t="str">
        <f>INDEX('Customer List'!$C:$C,MATCH('Full Customer List'!$B236,'Customer List'!$A:$A,0))</f>
        <v>Short-term rental (departed)</v>
      </c>
      <c r="E236" s="173" t="str">
        <f>INDEX('Customer List Mapping'!$C:$C,MATCH('Full Customer List'!D236,'Customer List Mapping'!$B:$B,0))</f>
        <v>Short-Term Rental</v>
      </c>
      <c r="F236" s="192" t="str">
        <f>INDEX('Customer List'!$K:$K,MATCH('Full Customer List'!$B236,'Customer List'!$A:$A,0))</f>
        <v/>
      </c>
      <c r="G236" s="192">
        <f>INDEX('Revenue by Customer'!$I:$I,MATCH('Full Customer List'!$B236,'Revenue by Customer'!$A:$A,0))</f>
        <v>630</v>
      </c>
      <c r="H236" s="257" t="str">
        <f>IFERROR(IF(C236="Active","",INDEX('Client Departures'!$G:$G,MATCH('Full Customer List'!$B236,'Client Departures'!$A:$A,0))),"Unclassified")</f>
        <v>Yes</v>
      </c>
      <c r="I236" s="196">
        <v>45292</v>
      </c>
      <c r="J236" s="196">
        <v>45961</v>
      </c>
      <c r="K236" s="192">
        <f>INDEX('Revenue by Customer'!K:K,MATCH('Full Customer List'!$B236,'Revenue by Customer'!$A:$A,0))</f>
        <v>1185</v>
      </c>
      <c r="L236" s="192">
        <f>INDEX('Revenue by Customer'!L:L,MATCH('Full Customer List'!$B236,'Revenue by Customer'!$A:$A,0))</f>
        <v>960</v>
      </c>
      <c r="M236" s="192">
        <f>INDEX('Revenue by Customer'!M:M,MATCH('Full Customer List'!$B236,'Revenue by Customer'!$A:$A,0))</f>
        <v>870</v>
      </c>
      <c r="N236" s="192">
        <f>INDEX('Revenue by Customer'!N:N,MATCH('Full Customer List'!$B236,'Revenue by Customer'!$A:$A,0))</f>
        <v>1030</v>
      </c>
      <c r="O236" s="192">
        <f>INDEX('Revenue by Customer'!O:O,MATCH('Full Customer List'!$B236,'Revenue by Customer'!$A:$A,0))</f>
        <v>780</v>
      </c>
      <c r="P236" s="192">
        <f>INDEX('Revenue by Customer'!P:P,MATCH('Full Customer List'!$B236,'Revenue by Customer'!$A:$A,0))</f>
        <v>870</v>
      </c>
      <c r="Q236" s="192">
        <f>INDEX('Revenue by Customer'!Q:Q,MATCH('Full Customer List'!$B236,'Revenue by Customer'!$A:$A,0))</f>
        <v>690</v>
      </c>
      <c r="R236" s="192">
        <f>INDEX('Revenue by Customer'!R:R,MATCH('Full Customer List'!$B236,'Revenue by Customer'!$A:$A,0))</f>
        <v>690</v>
      </c>
      <c r="S236" s="192">
        <f>INDEX('Revenue by Customer'!S:S,MATCH('Full Customer List'!$B236,'Revenue by Customer'!$A:$A,0))</f>
        <v>690</v>
      </c>
      <c r="T236" s="192">
        <f>INDEX('Revenue by Customer'!T:T,MATCH('Full Customer List'!$B236,'Revenue by Customer'!$A:$A,0))</f>
        <v>510</v>
      </c>
      <c r="U236" s="192" t="str">
        <f>INDEX('Revenue by Customer'!U:U,MATCH('Full Customer List'!$B236,'Revenue by Customer'!$A:$A,0))</f>
        <v/>
      </c>
      <c r="V236" s="192" t="str">
        <f>INDEX('Revenue by Customer'!V:V,MATCH('Full Customer List'!$B236,'Revenue by Customer'!$A:$A,0))</f>
        <v/>
      </c>
      <c r="W236" s="192" t="str">
        <f>INDEX('Revenue by Customer'!W:W,MATCH('Full Customer List'!$B236,'Revenue by Customer'!$A:$A,0))</f>
        <v/>
      </c>
      <c r="X236" s="192">
        <f>INDEX('Revenue by Customer'!X:X,MATCH('Full Customer List'!$B236,'Revenue by Customer'!$A:$A,0))</f>
        <v>0</v>
      </c>
      <c r="Y236" s="192" t="str">
        <f>INDEX('Revenue by Customer'!Y:Y,MATCH('Full Customer List'!$B236,'Revenue by Customer'!$A:$A,0))</f>
        <v/>
      </c>
      <c r="Z236" s="192" t="str">
        <f>INDEX('Revenue by Customer'!Z:Z,MATCH('Full Customer List'!$B236,'Revenue by Customer'!$A:$A,0))</f>
        <v/>
      </c>
      <c r="AA236" s="192" t="str">
        <f>INDEX('Revenue by Customer'!AA:AA,MATCH('Full Customer List'!$B236,'Revenue by Customer'!$A:$A,0))</f>
        <v/>
      </c>
      <c r="AB236" s="192" t="str">
        <f>INDEX('Revenue by Customer'!AB:AB,MATCH('Full Customer List'!$B236,'Revenue by Customer'!$A:$A,0))</f>
        <v/>
      </c>
      <c r="AC236" s="192" t="str">
        <f>INDEX('Revenue by Customer'!AC:AC,MATCH('Full Customer List'!$B236,'Revenue by Customer'!$A:$A,0))</f>
        <v/>
      </c>
    </row>
    <row r="237" spans="2:29" ht="12" customHeight="1">
      <c r="B237" s="173" t="s">
        <v>888</v>
      </c>
      <c r="C237" s="173" t="str">
        <f>INDEX('Customer List'!$B:$B,MATCH('Full Customer List'!$B237,'Customer List'!$A:$A,0))</f>
        <v>Former client</v>
      </c>
      <c r="D237" s="173" t="str">
        <f>INDEX('Customer List'!$C:$C,MATCH('Full Customer List'!$B237,'Customer List'!$A:$A,0))</f>
        <v>Property manager</v>
      </c>
      <c r="E237" s="173" t="str">
        <f>INDEX('Customer List Mapping'!$C:$C,MATCH('Full Customer List'!D237,'Customer List Mapping'!$B:$B,0))</f>
        <v>Property Manager</v>
      </c>
      <c r="F237" s="192">
        <f>INDEX('Customer List'!$K:$K,MATCH('Full Customer List'!$B237,'Customer List'!$A:$A,0))</f>
        <v>9</v>
      </c>
      <c r="G237" s="192">
        <f>INDEX('Revenue by Customer'!$I:$I,MATCH('Full Customer List'!$B237,'Revenue by Customer'!$A:$A,0))</f>
        <v>897</v>
      </c>
      <c r="H237" s="257" t="str">
        <f>IFERROR(IF(C237="Active","",INDEX('Client Departures'!$G:$G,MATCH('Full Customer List'!$B237,'Client Departures'!$A:$A,0))),"Unclassified")</f>
        <v>No</v>
      </c>
      <c r="I237" s="196">
        <v>46113</v>
      </c>
      <c r="J237" s="196">
        <v>46173</v>
      </c>
      <c r="K237" s="192" t="str">
        <f>INDEX('Revenue by Customer'!K:K,MATCH('Full Customer List'!$B237,'Revenue by Customer'!$A:$A,0))</f>
        <v/>
      </c>
      <c r="L237" s="192" t="str">
        <f>INDEX('Revenue by Customer'!L:L,MATCH('Full Customer List'!$B237,'Revenue by Customer'!$A:$A,0))</f>
        <v/>
      </c>
      <c r="M237" s="192" t="str">
        <f>INDEX('Revenue by Customer'!M:M,MATCH('Full Customer List'!$B237,'Revenue by Customer'!$A:$A,0))</f>
        <v/>
      </c>
      <c r="N237" s="192" t="str">
        <f>INDEX('Revenue by Customer'!N:N,MATCH('Full Customer List'!$B237,'Revenue by Customer'!$A:$A,0))</f>
        <v/>
      </c>
      <c r="O237" s="192" t="str">
        <f>INDEX('Revenue by Customer'!O:O,MATCH('Full Customer List'!$B237,'Revenue by Customer'!$A:$A,0))</f>
        <v/>
      </c>
      <c r="P237" s="192" t="str">
        <f>INDEX('Revenue by Customer'!P:P,MATCH('Full Customer List'!$B237,'Revenue by Customer'!$A:$A,0))</f>
        <v/>
      </c>
      <c r="Q237" s="192" t="str">
        <f>INDEX('Revenue by Customer'!Q:Q,MATCH('Full Customer List'!$B237,'Revenue by Customer'!$A:$A,0))</f>
        <v/>
      </c>
      <c r="R237" s="192" t="str">
        <f>INDEX('Revenue by Customer'!R:R,MATCH('Full Customer List'!$B237,'Revenue by Customer'!$A:$A,0))</f>
        <v/>
      </c>
      <c r="S237" s="192" t="str">
        <f>INDEX('Revenue by Customer'!S:S,MATCH('Full Customer List'!$B237,'Revenue by Customer'!$A:$A,0))</f>
        <v/>
      </c>
      <c r="T237" s="192" t="str">
        <f>INDEX('Revenue by Customer'!T:T,MATCH('Full Customer List'!$B237,'Revenue by Customer'!$A:$A,0))</f>
        <v/>
      </c>
      <c r="U237" s="192" t="str">
        <f>INDEX('Revenue by Customer'!U:U,MATCH('Full Customer List'!$B237,'Revenue by Customer'!$A:$A,0))</f>
        <v/>
      </c>
      <c r="V237" s="192" t="str">
        <f>INDEX('Revenue by Customer'!V:V,MATCH('Full Customer List'!$B237,'Revenue by Customer'!$A:$A,0))</f>
        <v/>
      </c>
      <c r="W237" s="192" t="str">
        <f>INDEX('Revenue by Customer'!W:W,MATCH('Full Customer List'!$B237,'Revenue by Customer'!$A:$A,0))</f>
        <v/>
      </c>
      <c r="X237" s="192" t="str">
        <f>INDEX('Revenue by Customer'!X:X,MATCH('Full Customer List'!$B237,'Revenue by Customer'!$A:$A,0))</f>
        <v/>
      </c>
      <c r="Y237" s="192" t="str">
        <f>INDEX('Revenue by Customer'!Y:Y,MATCH('Full Customer List'!$B237,'Revenue by Customer'!$A:$A,0))</f>
        <v/>
      </c>
      <c r="Z237" s="192">
        <f>INDEX('Revenue by Customer'!Z:Z,MATCH('Full Customer List'!$B237,'Revenue by Customer'!$A:$A,0))</f>
        <v>1036</v>
      </c>
      <c r="AA237" s="192">
        <f>INDEX('Revenue by Customer'!AA:AA,MATCH('Full Customer List'!$B237,'Revenue by Customer'!$A:$A,0))</f>
        <v>758</v>
      </c>
      <c r="AB237" s="192" t="str">
        <f>INDEX('Revenue by Customer'!AB:AB,MATCH('Full Customer List'!$B237,'Revenue by Customer'!$A:$A,0))</f>
        <v/>
      </c>
      <c r="AC237" s="192" t="str">
        <f>INDEX('Revenue by Customer'!AC:AC,MATCH('Full Customer List'!$B237,'Revenue by Customer'!$A:$A,0))</f>
        <v/>
      </c>
    </row>
    <row r="238" spans="2:29" ht="12" customHeight="1">
      <c r="B238" s="173" t="s">
        <v>889</v>
      </c>
      <c r="C238" s="173" t="str">
        <f>INDEX('Customer List'!$B:$B,MATCH('Full Customer List'!$B238,'Customer List'!$A:$A,0))</f>
        <v>Former client</v>
      </c>
      <c r="D238" s="173" t="str">
        <f>INDEX('Customer List'!$C:$C,MATCH('Full Customer List'!$B238,'Customer List'!$A:$A,0))</f>
        <v>Tax client only</v>
      </c>
      <c r="E238" s="173" t="str">
        <f>INDEX('Customer List Mapping'!$C:$C,MATCH('Full Customer List'!D238,'Customer List Mapping'!$B:$B,0))</f>
        <v>Tax-Only Client</v>
      </c>
      <c r="F238" s="192" t="str">
        <f>INDEX('Customer List'!$K:$K,MATCH('Full Customer List'!$B238,'Customer List'!$A:$A,0))</f>
        <v/>
      </c>
      <c r="G238" s="192">
        <f>INDEX('Revenue by Customer'!$I:$I,MATCH('Full Customer List'!$B238,'Revenue by Customer'!$A:$A,0))</f>
        <v>400</v>
      </c>
      <c r="H238" s="257" t="str">
        <f>IFERROR(IF(C238="Active","",INDEX('Client Departures'!$G:$G,MATCH('Full Customer List'!$B238,'Client Departures'!$A:$A,0))),"Unclassified")</f>
        <v>Unclassified</v>
      </c>
      <c r="I238" s="196">
        <v>45627</v>
      </c>
      <c r="J238" s="196">
        <v>45991</v>
      </c>
      <c r="K238" s="192">
        <f>INDEX('Revenue by Customer'!K:K,MATCH('Full Customer List'!$B238,'Revenue by Customer'!$A:$A,0))</f>
        <v>340</v>
      </c>
      <c r="L238" s="192">
        <f>INDEX('Revenue by Customer'!L:L,MATCH('Full Customer List'!$B238,'Revenue by Customer'!$A:$A,0))</f>
        <v>340</v>
      </c>
      <c r="M238" s="192">
        <f>INDEX('Revenue by Customer'!M:M,MATCH('Full Customer List'!$B238,'Revenue by Customer'!$A:$A,0))</f>
        <v>480</v>
      </c>
      <c r="N238" s="192">
        <f>INDEX('Revenue by Customer'!N:N,MATCH('Full Customer List'!$B238,'Revenue by Customer'!$A:$A,0))</f>
        <v>480</v>
      </c>
      <c r="O238" s="192">
        <f>INDEX('Revenue by Customer'!O:O,MATCH('Full Customer List'!$B238,'Revenue by Customer'!$A:$A,0))</f>
        <v>480</v>
      </c>
      <c r="P238" s="192">
        <f>INDEX('Revenue by Customer'!P:P,MATCH('Full Customer List'!$B238,'Revenue by Customer'!$A:$A,0))</f>
        <v>480</v>
      </c>
      <c r="Q238" s="192">
        <f>INDEX('Revenue by Customer'!Q:Q,MATCH('Full Customer List'!$B238,'Revenue by Customer'!$A:$A,0))</f>
        <v>400</v>
      </c>
      <c r="R238" s="192">
        <f>INDEX('Revenue by Customer'!R:R,MATCH('Full Customer List'!$B238,'Revenue by Customer'!$A:$A,0))</f>
        <v>400</v>
      </c>
      <c r="S238" s="192">
        <f>INDEX('Revenue by Customer'!S:S,MATCH('Full Customer List'!$B238,'Revenue by Customer'!$A:$A,0))</f>
        <v>400</v>
      </c>
      <c r="T238" s="192">
        <f>INDEX('Revenue by Customer'!T:T,MATCH('Full Customer List'!$B238,'Revenue by Customer'!$A:$A,0))</f>
        <v>400</v>
      </c>
      <c r="U238" s="192">
        <f>INDEX('Revenue by Customer'!U:U,MATCH('Full Customer List'!$B238,'Revenue by Customer'!$A:$A,0))</f>
        <v>400</v>
      </c>
      <c r="V238" s="192" t="str">
        <f>INDEX('Revenue by Customer'!V:V,MATCH('Full Customer List'!$B238,'Revenue by Customer'!$A:$A,0))</f>
        <v/>
      </c>
      <c r="W238" s="192" t="str">
        <f>INDEX('Revenue by Customer'!W:W,MATCH('Full Customer List'!$B238,'Revenue by Customer'!$A:$A,0))</f>
        <v/>
      </c>
      <c r="X238" s="192" t="str">
        <f>INDEX('Revenue by Customer'!X:X,MATCH('Full Customer List'!$B238,'Revenue by Customer'!$A:$A,0))</f>
        <v/>
      </c>
      <c r="Y238" s="192" t="str">
        <f>INDEX('Revenue by Customer'!Y:Y,MATCH('Full Customer List'!$B238,'Revenue by Customer'!$A:$A,0))</f>
        <v/>
      </c>
      <c r="Z238" s="192" t="str">
        <f>INDEX('Revenue by Customer'!Z:Z,MATCH('Full Customer List'!$B238,'Revenue by Customer'!$A:$A,0))</f>
        <v/>
      </c>
      <c r="AA238" s="192" t="str">
        <f>INDEX('Revenue by Customer'!AA:AA,MATCH('Full Customer List'!$B238,'Revenue by Customer'!$A:$A,0))</f>
        <v/>
      </c>
      <c r="AB238" s="192" t="str">
        <f>INDEX('Revenue by Customer'!AB:AB,MATCH('Full Customer List'!$B238,'Revenue by Customer'!$A:$A,0))</f>
        <v/>
      </c>
      <c r="AC238" s="192" t="str">
        <f>INDEX('Revenue by Customer'!AC:AC,MATCH('Full Customer List'!$B238,'Revenue by Customer'!$A:$A,0))</f>
        <v/>
      </c>
    </row>
    <row r="239" spans="2:29" ht="12" customHeight="1">
      <c r="B239" s="173" t="s">
        <v>890</v>
      </c>
      <c r="C239" s="173" t="str">
        <f>INDEX('Customer List'!$B:$B,MATCH('Full Customer List'!$B239,'Customer List'!$A:$A,0))</f>
        <v>Active</v>
      </c>
      <c r="D239" s="173" t="str">
        <f>INDEX('Customer List'!$C:$C,MATCH('Full Customer List'!$B239,'Customer List'!$A:$A,0))</f>
        <v>Property manager</v>
      </c>
      <c r="E239" s="173" t="str">
        <f>INDEX('Customer List Mapping'!$C:$C,MATCH('Full Customer List'!D239,'Customer List Mapping'!$B:$B,0))</f>
        <v>Property Manager</v>
      </c>
      <c r="F239" s="192">
        <f>INDEX('Customer List'!$K:$K,MATCH('Full Customer List'!$B239,'Customer List'!$A:$A,0))</f>
        <v>9</v>
      </c>
      <c r="G239" s="192">
        <f>INDEX('Revenue by Customer'!$I:$I,MATCH('Full Customer List'!$B239,'Revenue by Customer'!$A:$A,0))</f>
        <v>333.33333333333331</v>
      </c>
      <c r="H239" s="257" t="str">
        <f>IFERROR(IF(C239="Active","",INDEX('Client Departures'!$G:$G,MATCH('Full Customer List'!$B239,'Client Departures'!$A:$A,0))),"Unclassified")</f>
        <v/>
      </c>
      <c r="I239" s="196">
        <v>45931</v>
      </c>
      <c r="J239" s="196"/>
      <c r="K239" s="192" t="str">
        <f>INDEX('Revenue by Customer'!K:K,MATCH('Full Customer List'!$B239,'Revenue by Customer'!$A:$A,0))</f>
        <v/>
      </c>
      <c r="L239" s="192" t="str">
        <f>INDEX('Revenue by Customer'!L:L,MATCH('Full Customer List'!$B239,'Revenue by Customer'!$A:$A,0))</f>
        <v/>
      </c>
      <c r="M239" s="192" t="str">
        <f>INDEX('Revenue by Customer'!M:M,MATCH('Full Customer List'!$B239,'Revenue by Customer'!$A:$A,0))</f>
        <v/>
      </c>
      <c r="N239" s="192" t="str">
        <f>INDEX('Revenue by Customer'!N:N,MATCH('Full Customer List'!$B239,'Revenue by Customer'!$A:$A,0))</f>
        <v/>
      </c>
      <c r="O239" s="192" t="str">
        <f>INDEX('Revenue by Customer'!O:O,MATCH('Full Customer List'!$B239,'Revenue by Customer'!$A:$A,0))</f>
        <v/>
      </c>
      <c r="P239" s="192" t="str">
        <f>INDEX('Revenue by Customer'!P:P,MATCH('Full Customer List'!$B239,'Revenue by Customer'!$A:$A,0))</f>
        <v/>
      </c>
      <c r="Q239" s="192" t="str">
        <f>INDEX('Revenue by Customer'!Q:Q,MATCH('Full Customer List'!$B239,'Revenue by Customer'!$A:$A,0))</f>
        <v/>
      </c>
      <c r="R239" s="192" t="str">
        <f>INDEX('Revenue by Customer'!R:R,MATCH('Full Customer List'!$B239,'Revenue by Customer'!$A:$A,0))</f>
        <v/>
      </c>
      <c r="S239" s="192" t="str">
        <f>INDEX('Revenue by Customer'!S:S,MATCH('Full Customer List'!$B239,'Revenue by Customer'!$A:$A,0))</f>
        <v/>
      </c>
      <c r="T239" s="192" t="str">
        <f>INDEX('Revenue by Customer'!T:T,MATCH('Full Customer List'!$B239,'Revenue by Customer'!$A:$A,0))</f>
        <v/>
      </c>
      <c r="U239" s="192" t="str">
        <f>INDEX('Revenue by Customer'!U:U,MATCH('Full Customer List'!$B239,'Revenue by Customer'!$A:$A,0))</f>
        <v/>
      </c>
      <c r="V239" s="192" t="str">
        <f>INDEX('Revenue by Customer'!V:V,MATCH('Full Customer List'!$B239,'Revenue by Customer'!$A:$A,0))</f>
        <v/>
      </c>
      <c r="W239" s="192">
        <f>INDEX('Revenue by Customer'!W:W,MATCH('Full Customer List'!$B239,'Revenue by Customer'!$A:$A,0))</f>
        <v>60</v>
      </c>
      <c r="X239" s="192">
        <f>INDEX('Revenue by Customer'!X:X,MATCH('Full Customer List'!$B239,'Revenue by Customer'!$A:$A,0))</f>
        <v>60</v>
      </c>
      <c r="Y239" s="192">
        <f>INDEX('Revenue by Customer'!Y:Y,MATCH('Full Customer List'!$B239,'Revenue by Customer'!$A:$A,0))</f>
        <v>180</v>
      </c>
      <c r="Z239" s="192">
        <f>INDEX('Revenue by Customer'!Z:Z,MATCH('Full Customer List'!$B239,'Revenue by Customer'!$A:$A,0))</f>
        <v>300</v>
      </c>
      <c r="AA239" s="192">
        <f>INDEX('Revenue by Customer'!AA:AA,MATCH('Full Customer List'!$B239,'Revenue by Customer'!$A:$A,0))</f>
        <v>300</v>
      </c>
      <c r="AB239" s="192">
        <f>INDEX('Revenue by Customer'!AB:AB,MATCH('Full Customer List'!$B239,'Revenue by Customer'!$A:$A,0))</f>
        <v>300</v>
      </c>
      <c r="AC239" s="192">
        <f>INDEX('Revenue by Customer'!AC:AC,MATCH('Full Customer List'!$B239,'Revenue by Customer'!$A:$A,0))</f>
        <v>400</v>
      </c>
    </row>
    <row r="240" spans="2:29" ht="12" customHeight="1">
      <c r="B240" s="173" t="s">
        <v>891</v>
      </c>
      <c r="C240" s="173" t="str">
        <f>INDEX('Customer List'!$B:$B,MATCH('Full Customer List'!$B240,'Customer List'!$A:$A,0))</f>
        <v>Former client</v>
      </c>
      <c r="D240" s="173" t="str">
        <f>INDEX('Customer List'!$C:$C,MATCH('Full Customer List'!$B240,'Customer List'!$A:$A,0))</f>
        <v>Short-term rental (departed)</v>
      </c>
      <c r="E240" s="173" t="str">
        <f>INDEX('Customer List Mapping'!$C:$C,MATCH('Full Customer List'!D240,'Customer List Mapping'!$B:$B,0))</f>
        <v>Short-Term Rental</v>
      </c>
      <c r="F240" s="192" t="str">
        <f>INDEX('Customer List'!$K:$K,MATCH('Full Customer List'!$B240,'Customer List'!$A:$A,0))</f>
        <v/>
      </c>
      <c r="G240" s="192">
        <f>INDEX('Revenue by Customer'!$I:$I,MATCH('Full Customer List'!$B240,'Revenue by Customer'!$A:$A,0))</f>
        <v>217.66666666666666</v>
      </c>
      <c r="H240" s="257" t="str">
        <f>IFERROR(IF(C240="Active","",INDEX('Client Departures'!$G:$G,MATCH('Full Customer List'!$B240,'Client Departures'!$A:$A,0))),"Unclassified")</f>
        <v>Yes</v>
      </c>
      <c r="I240" s="196">
        <v>45292</v>
      </c>
      <c r="J240" s="196">
        <v>45991</v>
      </c>
      <c r="K240" s="192">
        <f>INDEX('Revenue by Customer'!K:K,MATCH('Full Customer List'!$B240,'Revenue by Customer'!$A:$A,0))</f>
        <v>585</v>
      </c>
      <c r="L240" s="192">
        <f>INDEX('Revenue by Customer'!L:L,MATCH('Full Customer List'!$B240,'Revenue by Customer'!$A:$A,0))</f>
        <v>556</v>
      </c>
      <c r="M240" s="192">
        <f>INDEX('Revenue by Customer'!M:M,MATCH('Full Customer List'!$B240,'Revenue by Customer'!$A:$A,0))</f>
        <v>556</v>
      </c>
      <c r="N240" s="192">
        <f>INDEX('Revenue by Customer'!N:N,MATCH('Full Customer List'!$B240,'Revenue by Customer'!$A:$A,0))</f>
        <v>897</v>
      </c>
      <c r="O240" s="192">
        <f>INDEX('Revenue by Customer'!O:O,MATCH('Full Customer List'!$B240,'Revenue by Customer'!$A:$A,0))</f>
        <v>480</v>
      </c>
      <c r="P240" s="192">
        <f>INDEX('Revenue by Customer'!P:P,MATCH('Full Customer List'!$B240,'Revenue by Customer'!$A:$A,0))</f>
        <v>404</v>
      </c>
      <c r="Q240" s="192">
        <f>INDEX('Revenue by Customer'!Q:Q,MATCH('Full Customer List'!$B240,'Revenue by Customer'!$A:$A,0))</f>
        <v>404</v>
      </c>
      <c r="R240" s="192">
        <f>INDEX('Revenue by Customer'!R:R,MATCH('Full Customer List'!$B240,'Revenue by Customer'!$A:$A,0))</f>
        <v>480</v>
      </c>
      <c r="S240" s="192">
        <f>INDEX('Revenue by Customer'!S:S,MATCH('Full Customer List'!$B240,'Revenue by Customer'!$A:$A,0))</f>
        <v>404</v>
      </c>
      <c r="T240" s="192">
        <f>INDEX('Revenue by Customer'!T:T,MATCH('Full Customer List'!$B240,'Revenue by Customer'!$A:$A,0))</f>
        <v>328</v>
      </c>
      <c r="U240" s="192">
        <f>INDEX('Revenue by Customer'!U:U,MATCH('Full Customer List'!$B240,'Revenue by Customer'!$A:$A,0))</f>
        <v>100</v>
      </c>
      <c r="V240" s="192" t="str">
        <f>INDEX('Revenue by Customer'!V:V,MATCH('Full Customer List'!$B240,'Revenue by Customer'!$A:$A,0))</f>
        <v/>
      </c>
      <c r="W240" s="192" t="str">
        <f>INDEX('Revenue by Customer'!W:W,MATCH('Full Customer List'!$B240,'Revenue by Customer'!$A:$A,0))</f>
        <v/>
      </c>
      <c r="X240" s="192">
        <f>INDEX('Revenue by Customer'!X:X,MATCH('Full Customer List'!$B240,'Revenue by Customer'!$A:$A,0))</f>
        <v>225</v>
      </c>
      <c r="Y240" s="192" t="str">
        <f>INDEX('Revenue by Customer'!Y:Y,MATCH('Full Customer List'!$B240,'Revenue by Customer'!$A:$A,0))</f>
        <v/>
      </c>
      <c r="Z240" s="192" t="str">
        <f>INDEX('Revenue by Customer'!Z:Z,MATCH('Full Customer List'!$B240,'Revenue by Customer'!$A:$A,0))</f>
        <v/>
      </c>
      <c r="AA240" s="192" t="str">
        <f>INDEX('Revenue by Customer'!AA:AA,MATCH('Full Customer List'!$B240,'Revenue by Customer'!$A:$A,0))</f>
        <v/>
      </c>
      <c r="AB240" s="192" t="str">
        <f>INDEX('Revenue by Customer'!AB:AB,MATCH('Full Customer List'!$B240,'Revenue by Customer'!$A:$A,0))</f>
        <v/>
      </c>
      <c r="AC240" s="192" t="str">
        <f>INDEX('Revenue by Customer'!AC:AC,MATCH('Full Customer List'!$B240,'Revenue by Customer'!$A:$A,0))</f>
        <v/>
      </c>
    </row>
    <row r="241" spans="2:29" ht="12" customHeight="1">
      <c r="B241" s="173" t="s">
        <v>892</v>
      </c>
      <c r="C241" s="173" t="str">
        <f>INDEX('Customer List'!$B:$B,MATCH('Full Customer List'!$B241,'Customer List'!$A:$A,0))</f>
        <v>Former client</v>
      </c>
      <c r="D241" s="173" t="str">
        <f>INDEX('Customer List'!$C:$C,MATCH('Full Customer List'!$B241,'Customer List'!$A:$A,0))</f>
        <v>Tax client only</v>
      </c>
      <c r="E241" s="173" t="str">
        <f>INDEX('Customer List Mapping'!$C:$C,MATCH('Full Customer List'!D241,'Customer List Mapping'!$B:$B,0))</f>
        <v>Tax-Only Client</v>
      </c>
      <c r="F241" s="192" t="str">
        <f>INDEX('Customer List'!$K:$K,MATCH('Full Customer List'!$B241,'Customer List'!$A:$A,0))</f>
        <v/>
      </c>
      <c r="G241" s="192">
        <f>INDEX('Revenue by Customer'!$I:$I,MATCH('Full Customer List'!$B241,'Revenue by Customer'!$A:$A,0))</f>
        <v>765</v>
      </c>
      <c r="H241" s="257" t="str">
        <f>IFERROR(IF(C241="Active","",INDEX('Client Departures'!$G:$G,MATCH('Full Customer List'!$B241,'Client Departures'!$A:$A,0))),"Unclassified")</f>
        <v>Unclassified</v>
      </c>
      <c r="I241" s="196">
        <v>45931</v>
      </c>
      <c r="J241" s="196"/>
      <c r="K241" s="192" t="str">
        <f>INDEX('Revenue by Customer'!K:K,MATCH('Full Customer List'!$B241,'Revenue by Customer'!$A:$A,0))</f>
        <v/>
      </c>
      <c r="L241" s="192" t="str">
        <f>INDEX('Revenue by Customer'!L:L,MATCH('Full Customer List'!$B241,'Revenue by Customer'!$A:$A,0))</f>
        <v/>
      </c>
      <c r="M241" s="192" t="str">
        <f>INDEX('Revenue by Customer'!M:M,MATCH('Full Customer List'!$B241,'Revenue by Customer'!$A:$A,0))</f>
        <v/>
      </c>
      <c r="N241" s="192" t="str">
        <f>INDEX('Revenue by Customer'!N:N,MATCH('Full Customer List'!$B241,'Revenue by Customer'!$A:$A,0))</f>
        <v/>
      </c>
      <c r="O241" s="192" t="str">
        <f>INDEX('Revenue by Customer'!O:O,MATCH('Full Customer List'!$B241,'Revenue by Customer'!$A:$A,0))</f>
        <v/>
      </c>
      <c r="P241" s="192" t="str">
        <f>INDEX('Revenue by Customer'!P:P,MATCH('Full Customer List'!$B241,'Revenue by Customer'!$A:$A,0))</f>
        <v/>
      </c>
      <c r="Q241" s="192" t="str">
        <f>INDEX('Revenue by Customer'!Q:Q,MATCH('Full Customer List'!$B241,'Revenue by Customer'!$A:$A,0))</f>
        <v/>
      </c>
      <c r="R241" s="192" t="str">
        <f>INDEX('Revenue by Customer'!R:R,MATCH('Full Customer List'!$B241,'Revenue by Customer'!$A:$A,0))</f>
        <v/>
      </c>
      <c r="S241" s="192" t="str">
        <f>INDEX('Revenue by Customer'!S:S,MATCH('Full Customer List'!$B241,'Revenue by Customer'!$A:$A,0))</f>
        <v/>
      </c>
      <c r="T241" s="192">
        <f>INDEX('Revenue by Customer'!T:T,MATCH('Full Customer List'!$B241,'Revenue by Customer'!$A:$A,0))</f>
        <v>765</v>
      </c>
      <c r="U241" s="192" t="str">
        <f>INDEX('Revenue by Customer'!U:U,MATCH('Full Customer List'!$B241,'Revenue by Customer'!$A:$A,0))</f>
        <v/>
      </c>
      <c r="V241" s="192" t="str">
        <f>INDEX('Revenue by Customer'!V:V,MATCH('Full Customer List'!$B241,'Revenue by Customer'!$A:$A,0))</f>
        <v/>
      </c>
      <c r="W241" s="192" t="str">
        <f>INDEX('Revenue by Customer'!W:W,MATCH('Full Customer List'!$B241,'Revenue by Customer'!$A:$A,0))</f>
        <v/>
      </c>
      <c r="X241" s="192" t="str">
        <f>INDEX('Revenue by Customer'!X:X,MATCH('Full Customer List'!$B241,'Revenue by Customer'!$A:$A,0))</f>
        <v/>
      </c>
      <c r="Y241" s="192">
        <f>INDEX('Revenue by Customer'!Y:Y,MATCH('Full Customer List'!$B241,'Revenue by Customer'!$A:$A,0))</f>
        <v>765</v>
      </c>
      <c r="Z241" s="192" t="str">
        <f>INDEX('Revenue by Customer'!Z:Z,MATCH('Full Customer List'!$B241,'Revenue by Customer'!$A:$A,0))</f>
        <v/>
      </c>
      <c r="AA241" s="192" t="str">
        <f>INDEX('Revenue by Customer'!AA:AA,MATCH('Full Customer List'!$B241,'Revenue by Customer'!$A:$A,0))</f>
        <v/>
      </c>
      <c r="AB241" s="192" t="str">
        <f>INDEX('Revenue by Customer'!AB:AB,MATCH('Full Customer List'!$B241,'Revenue by Customer'!$A:$A,0))</f>
        <v/>
      </c>
      <c r="AC241" s="192" t="str">
        <f>INDEX('Revenue by Customer'!AC:AC,MATCH('Full Customer List'!$B241,'Revenue by Customer'!$A:$A,0))</f>
        <v/>
      </c>
    </row>
    <row r="242" spans="2:29" ht="12" customHeight="1">
      <c r="B242" s="173" t="s">
        <v>893</v>
      </c>
      <c r="C242" s="173" t="str">
        <f>INDEX('Customer List'!$B:$B,MATCH('Full Customer List'!$B242,'Customer List'!$A:$A,0))</f>
        <v>Former client</v>
      </c>
      <c r="D242" s="173" t="str">
        <f>INDEX('Customer List'!$C:$C,MATCH('Full Customer List'!$B242,'Customer List'!$A:$A,0))</f>
        <v>Tax client only</v>
      </c>
      <c r="E242" s="173" t="str">
        <f>INDEX('Customer List Mapping'!$C:$C,MATCH('Full Customer List'!D242,'Customer List Mapping'!$B:$B,0))</f>
        <v>Tax-Only Client</v>
      </c>
      <c r="F242" s="192" t="str">
        <f>INDEX('Customer List'!$K:$K,MATCH('Full Customer List'!$B242,'Customer List'!$A:$A,0))</f>
        <v/>
      </c>
      <c r="G242" s="192">
        <f>INDEX('Revenue by Customer'!$I:$I,MATCH('Full Customer List'!$B242,'Revenue by Customer'!$A:$A,0))</f>
        <v>765</v>
      </c>
      <c r="H242" s="257" t="str">
        <f>IFERROR(IF(C242="Active","",INDEX('Client Departures'!$G:$G,MATCH('Full Customer List'!$B242,'Client Departures'!$A:$A,0))),"Unclassified")</f>
        <v>Unclassified</v>
      </c>
      <c r="I242" s="196">
        <v>45931</v>
      </c>
      <c r="J242" s="196"/>
      <c r="K242" s="192" t="str">
        <f>INDEX('Revenue by Customer'!K:K,MATCH('Full Customer List'!$B242,'Revenue by Customer'!$A:$A,0))</f>
        <v/>
      </c>
      <c r="L242" s="192" t="str">
        <f>INDEX('Revenue by Customer'!L:L,MATCH('Full Customer List'!$B242,'Revenue by Customer'!$A:$A,0))</f>
        <v/>
      </c>
      <c r="M242" s="192" t="str">
        <f>INDEX('Revenue by Customer'!M:M,MATCH('Full Customer List'!$B242,'Revenue by Customer'!$A:$A,0))</f>
        <v/>
      </c>
      <c r="N242" s="192" t="str">
        <f>INDEX('Revenue by Customer'!N:N,MATCH('Full Customer List'!$B242,'Revenue by Customer'!$A:$A,0))</f>
        <v/>
      </c>
      <c r="O242" s="192" t="str">
        <f>INDEX('Revenue by Customer'!O:O,MATCH('Full Customer List'!$B242,'Revenue by Customer'!$A:$A,0))</f>
        <v/>
      </c>
      <c r="P242" s="192" t="str">
        <f>INDEX('Revenue by Customer'!P:P,MATCH('Full Customer List'!$B242,'Revenue by Customer'!$A:$A,0))</f>
        <v/>
      </c>
      <c r="Q242" s="192" t="str">
        <f>INDEX('Revenue by Customer'!Q:Q,MATCH('Full Customer List'!$B242,'Revenue by Customer'!$A:$A,0))</f>
        <v/>
      </c>
      <c r="R242" s="192" t="str">
        <f>INDEX('Revenue by Customer'!R:R,MATCH('Full Customer List'!$B242,'Revenue by Customer'!$A:$A,0))</f>
        <v/>
      </c>
      <c r="S242" s="192" t="str">
        <f>INDEX('Revenue by Customer'!S:S,MATCH('Full Customer List'!$B242,'Revenue by Customer'!$A:$A,0))</f>
        <v/>
      </c>
      <c r="T242" s="192">
        <f>INDEX('Revenue by Customer'!T:T,MATCH('Full Customer List'!$B242,'Revenue by Customer'!$A:$A,0))</f>
        <v>765</v>
      </c>
      <c r="U242" s="192" t="str">
        <f>INDEX('Revenue by Customer'!U:U,MATCH('Full Customer List'!$B242,'Revenue by Customer'!$A:$A,0))</f>
        <v/>
      </c>
      <c r="V242" s="192" t="str">
        <f>INDEX('Revenue by Customer'!V:V,MATCH('Full Customer List'!$B242,'Revenue by Customer'!$A:$A,0))</f>
        <v/>
      </c>
      <c r="W242" s="192" t="str">
        <f>INDEX('Revenue by Customer'!W:W,MATCH('Full Customer List'!$B242,'Revenue by Customer'!$A:$A,0))</f>
        <v/>
      </c>
      <c r="X242" s="192" t="str">
        <f>INDEX('Revenue by Customer'!X:X,MATCH('Full Customer List'!$B242,'Revenue by Customer'!$A:$A,0))</f>
        <v/>
      </c>
      <c r="Y242" s="192">
        <f>INDEX('Revenue by Customer'!Y:Y,MATCH('Full Customer List'!$B242,'Revenue by Customer'!$A:$A,0))</f>
        <v>765</v>
      </c>
      <c r="Z242" s="192" t="str">
        <f>INDEX('Revenue by Customer'!Z:Z,MATCH('Full Customer List'!$B242,'Revenue by Customer'!$A:$A,0))</f>
        <v/>
      </c>
      <c r="AA242" s="192" t="str">
        <f>INDEX('Revenue by Customer'!AA:AA,MATCH('Full Customer List'!$B242,'Revenue by Customer'!$A:$A,0))</f>
        <v/>
      </c>
      <c r="AB242" s="192" t="str">
        <f>INDEX('Revenue by Customer'!AB:AB,MATCH('Full Customer List'!$B242,'Revenue by Customer'!$A:$A,0))</f>
        <v/>
      </c>
      <c r="AC242" s="192" t="str">
        <f>INDEX('Revenue by Customer'!AC:AC,MATCH('Full Customer List'!$B242,'Revenue by Customer'!$A:$A,0))</f>
        <v/>
      </c>
    </row>
    <row r="243" spans="2:29" ht="12" customHeight="1">
      <c r="B243" s="173" t="s">
        <v>894</v>
      </c>
      <c r="C243" s="173" t="str">
        <f>INDEX('Customer List'!$B:$B,MATCH('Full Customer List'!$B243,'Customer List'!$A:$A,0))</f>
        <v>Former client</v>
      </c>
      <c r="D243" s="173" t="str">
        <f>INDEX('Customer List'!$C:$C,MATCH('Full Customer List'!$B243,'Customer List'!$A:$A,0))</f>
        <v>Tax client only</v>
      </c>
      <c r="E243" s="173" t="str">
        <f>INDEX('Customer List Mapping'!$C:$C,MATCH('Full Customer List'!D243,'Customer List Mapping'!$B:$B,0))</f>
        <v>Tax-Only Client</v>
      </c>
      <c r="F243" s="192" t="str">
        <f>INDEX('Customer List'!$K:$K,MATCH('Full Customer List'!$B243,'Customer List'!$A:$A,0))</f>
        <v/>
      </c>
      <c r="G243" s="192">
        <f>INDEX('Revenue by Customer'!$I:$I,MATCH('Full Customer List'!$B243,'Revenue by Customer'!$A:$A,0))</f>
        <v>765</v>
      </c>
      <c r="H243" s="257" t="str">
        <f>IFERROR(IF(C243="Active","",INDEX('Client Departures'!$G:$G,MATCH('Full Customer List'!$B243,'Client Departures'!$A:$A,0))),"Unclassified")</f>
        <v>Unclassified</v>
      </c>
      <c r="I243" s="196">
        <v>45931</v>
      </c>
      <c r="J243" s="196"/>
      <c r="K243" s="192" t="str">
        <f>INDEX('Revenue by Customer'!K:K,MATCH('Full Customer List'!$B243,'Revenue by Customer'!$A:$A,0))</f>
        <v/>
      </c>
      <c r="L243" s="192" t="str">
        <f>INDEX('Revenue by Customer'!L:L,MATCH('Full Customer List'!$B243,'Revenue by Customer'!$A:$A,0))</f>
        <v/>
      </c>
      <c r="M243" s="192" t="str">
        <f>INDEX('Revenue by Customer'!M:M,MATCH('Full Customer List'!$B243,'Revenue by Customer'!$A:$A,0))</f>
        <v/>
      </c>
      <c r="N243" s="192" t="str">
        <f>INDEX('Revenue by Customer'!N:N,MATCH('Full Customer List'!$B243,'Revenue by Customer'!$A:$A,0))</f>
        <v/>
      </c>
      <c r="O243" s="192" t="str">
        <f>INDEX('Revenue by Customer'!O:O,MATCH('Full Customer List'!$B243,'Revenue by Customer'!$A:$A,0))</f>
        <v/>
      </c>
      <c r="P243" s="192" t="str">
        <f>INDEX('Revenue by Customer'!P:P,MATCH('Full Customer List'!$B243,'Revenue by Customer'!$A:$A,0))</f>
        <v/>
      </c>
      <c r="Q243" s="192" t="str">
        <f>INDEX('Revenue by Customer'!Q:Q,MATCH('Full Customer List'!$B243,'Revenue by Customer'!$A:$A,0))</f>
        <v/>
      </c>
      <c r="R243" s="192" t="str">
        <f>INDEX('Revenue by Customer'!R:R,MATCH('Full Customer List'!$B243,'Revenue by Customer'!$A:$A,0))</f>
        <v/>
      </c>
      <c r="S243" s="192" t="str">
        <f>INDEX('Revenue by Customer'!S:S,MATCH('Full Customer List'!$B243,'Revenue by Customer'!$A:$A,0))</f>
        <v/>
      </c>
      <c r="T243" s="192">
        <f>INDEX('Revenue by Customer'!T:T,MATCH('Full Customer List'!$B243,'Revenue by Customer'!$A:$A,0))</f>
        <v>765</v>
      </c>
      <c r="U243" s="192" t="str">
        <f>INDEX('Revenue by Customer'!U:U,MATCH('Full Customer List'!$B243,'Revenue by Customer'!$A:$A,0))</f>
        <v/>
      </c>
      <c r="V243" s="192" t="str">
        <f>INDEX('Revenue by Customer'!V:V,MATCH('Full Customer List'!$B243,'Revenue by Customer'!$A:$A,0))</f>
        <v/>
      </c>
      <c r="W243" s="192" t="str">
        <f>INDEX('Revenue by Customer'!W:W,MATCH('Full Customer List'!$B243,'Revenue by Customer'!$A:$A,0))</f>
        <v/>
      </c>
      <c r="X243" s="192" t="str">
        <f>INDEX('Revenue by Customer'!X:X,MATCH('Full Customer List'!$B243,'Revenue by Customer'!$A:$A,0))</f>
        <v/>
      </c>
      <c r="Y243" s="192">
        <f>INDEX('Revenue by Customer'!Y:Y,MATCH('Full Customer List'!$B243,'Revenue by Customer'!$A:$A,0))</f>
        <v>765</v>
      </c>
      <c r="Z243" s="192" t="str">
        <f>INDEX('Revenue by Customer'!Z:Z,MATCH('Full Customer List'!$B243,'Revenue by Customer'!$A:$A,0))</f>
        <v/>
      </c>
      <c r="AA243" s="192" t="str">
        <f>INDEX('Revenue by Customer'!AA:AA,MATCH('Full Customer List'!$B243,'Revenue by Customer'!$A:$A,0))</f>
        <v/>
      </c>
      <c r="AB243" s="192" t="str">
        <f>INDEX('Revenue by Customer'!AB:AB,MATCH('Full Customer List'!$B243,'Revenue by Customer'!$A:$A,0))</f>
        <v/>
      </c>
      <c r="AC243" s="192" t="str">
        <f>INDEX('Revenue by Customer'!AC:AC,MATCH('Full Customer List'!$B243,'Revenue by Customer'!$A:$A,0))</f>
        <v/>
      </c>
    </row>
    <row r="244" spans="2:29" ht="12" customHeight="1">
      <c r="B244" s="173" t="s">
        <v>895</v>
      </c>
      <c r="C244" s="173" t="str">
        <f>INDEX('Customer List'!$B:$B,MATCH('Full Customer List'!$B244,'Customer List'!$A:$A,0))</f>
        <v>Former client</v>
      </c>
      <c r="D244" s="173" t="str">
        <f>INDEX('Customer List'!$C:$C,MATCH('Full Customer List'!$B244,'Customer List'!$A:$A,0))</f>
        <v>Tax client only</v>
      </c>
      <c r="E244" s="173" t="str">
        <f>INDEX('Customer List Mapping'!$C:$C,MATCH('Full Customer List'!D244,'Customer List Mapping'!$B:$B,0))</f>
        <v>Tax-Only Client</v>
      </c>
      <c r="F244" s="192" t="str">
        <f>INDEX('Customer List'!$K:$K,MATCH('Full Customer List'!$B244,'Customer List'!$A:$A,0))</f>
        <v/>
      </c>
      <c r="G244" s="192">
        <f>INDEX('Revenue by Customer'!$I:$I,MATCH('Full Customer List'!$B244,'Revenue by Customer'!$A:$A,0))</f>
        <v>765</v>
      </c>
      <c r="H244" s="257" t="str">
        <f>IFERROR(IF(C244="Active","",INDEX('Client Departures'!$G:$G,MATCH('Full Customer List'!$B244,'Client Departures'!$A:$A,0))),"Unclassified")</f>
        <v>Unclassified</v>
      </c>
      <c r="I244" s="196">
        <v>45931</v>
      </c>
      <c r="J244" s="196"/>
      <c r="K244" s="192" t="str">
        <f>INDEX('Revenue by Customer'!K:K,MATCH('Full Customer List'!$B244,'Revenue by Customer'!$A:$A,0))</f>
        <v/>
      </c>
      <c r="L244" s="192" t="str">
        <f>INDEX('Revenue by Customer'!L:L,MATCH('Full Customer List'!$B244,'Revenue by Customer'!$A:$A,0))</f>
        <v/>
      </c>
      <c r="M244" s="192" t="str">
        <f>INDEX('Revenue by Customer'!M:M,MATCH('Full Customer List'!$B244,'Revenue by Customer'!$A:$A,0))</f>
        <v/>
      </c>
      <c r="N244" s="192" t="str">
        <f>INDEX('Revenue by Customer'!N:N,MATCH('Full Customer List'!$B244,'Revenue by Customer'!$A:$A,0))</f>
        <v/>
      </c>
      <c r="O244" s="192" t="str">
        <f>INDEX('Revenue by Customer'!O:O,MATCH('Full Customer List'!$B244,'Revenue by Customer'!$A:$A,0))</f>
        <v/>
      </c>
      <c r="P244" s="192" t="str">
        <f>INDEX('Revenue by Customer'!P:P,MATCH('Full Customer List'!$B244,'Revenue by Customer'!$A:$A,0))</f>
        <v/>
      </c>
      <c r="Q244" s="192" t="str">
        <f>INDEX('Revenue by Customer'!Q:Q,MATCH('Full Customer List'!$B244,'Revenue by Customer'!$A:$A,0))</f>
        <v/>
      </c>
      <c r="R244" s="192" t="str">
        <f>INDEX('Revenue by Customer'!R:R,MATCH('Full Customer List'!$B244,'Revenue by Customer'!$A:$A,0))</f>
        <v/>
      </c>
      <c r="S244" s="192" t="str">
        <f>INDEX('Revenue by Customer'!S:S,MATCH('Full Customer List'!$B244,'Revenue by Customer'!$A:$A,0))</f>
        <v/>
      </c>
      <c r="T244" s="192">
        <f>INDEX('Revenue by Customer'!T:T,MATCH('Full Customer List'!$B244,'Revenue by Customer'!$A:$A,0))</f>
        <v>765</v>
      </c>
      <c r="U244" s="192" t="str">
        <f>INDEX('Revenue by Customer'!U:U,MATCH('Full Customer List'!$B244,'Revenue by Customer'!$A:$A,0))</f>
        <v/>
      </c>
      <c r="V244" s="192" t="str">
        <f>INDEX('Revenue by Customer'!V:V,MATCH('Full Customer List'!$B244,'Revenue by Customer'!$A:$A,0))</f>
        <v/>
      </c>
      <c r="W244" s="192" t="str">
        <f>INDEX('Revenue by Customer'!W:W,MATCH('Full Customer List'!$B244,'Revenue by Customer'!$A:$A,0))</f>
        <v/>
      </c>
      <c r="X244" s="192" t="str">
        <f>INDEX('Revenue by Customer'!X:X,MATCH('Full Customer List'!$B244,'Revenue by Customer'!$A:$A,0))</f>
        <v/>
      </c>
      <c r="Y244" s="192">
        <f>INDEX('Revenue by Customer'!Y:Y,MATCH('Full Customer List'!$B244,'Revenue by Customer'!$A:$A,0))</f>
        <v>765</v>
      </c>
      <c r="Z244" s="192" t="str">
        <f>INDEX('Revenue by Customer'!Z:Z,MATCH('Full Customer List'!$B244,'Revenue by Customer'!$A:$A,0))</f>
        <v/>
      </c>
      <c r="AA244" s="192" t="str">
        <f>INDEX('Revenue by Customer'!AA:AA,MATCH('Full Customer List'!$B244,'Revenue by Customer'!$A:$A,0))</f>
        <v/>
      </c>
      <c r="AB244" s="192" t="str">
        <f>INDEX('Revenue by Customer'!AB:AB,MATCH('Full Customer List'!$B244,'Revenue by Customer'!$A:$A,0))</f>
        <v/>
      </c>
      <c r="AC244" s="192" t="str">
        <f>INDEX('Revenue by Customer'!AC:AC,MATCH('Full Customer List'!$B244,'Revenue by Customer'!$A:$A,0))</f>
        <v/>
      </c>
    </row>
    <row r="245" spans="2:29" ht="12" customHeight="1">
      <c r="B245" s="173" t="s">
        <v>896</v>
      </c>
      <c r="C245" s="173" t="str">
        <f>INDEX('Customer List'!$B:$B,MATCH('Full Customer List'!$B245,'Customer List'!$A:$A,0))</f>
        <v>Former client</v>
      </c>
      <c r="D245" s="173" t="str">
        <f>INDEX('Customer List'!$C:$C,MATCH('Full Customer List'!$B245,'Customer List'!$A:$A,0))</f>
        <v>Tax client only</v>
      </c>
      <c r="E245" s="173" t="str">
        <f>INDEX('Customer List Mapping'!$C:$C,MATCH('Full Customer List'!D245,'Customer List Mapping'!$B:$B,0))</f>
        <v>Tax-Only Client</v>
      </c>
      <c r="F245" s="192" t="str">
        <f>INDEX('Customer List'!$K:$K,MATCH('Full Customer List'!$B245,'Customer List'!$A:$A,0))</f>
        <v/>
      </c>
      <c r="G245" s="192">
        <f>INDEX('Revenue by Customer'!$I:$I,MATCH('Full Customer List'!$B245,'Revenue by Customer'!$A:$A,0))</f>
        <v>765</v>
      </c>
      <c r="H245" s="257" t="str">
        <f>IFERROR(IF(C245="Active","",INDEX('Client Departures'!$G:$G,MATCH('Full Customer List'!$B245,'Client Departures'!$A:$A,0))),"Unclassified")</f>
        <v>Unclassified</v>
      </c>
      <c r="I245" s="196">
        <v>45931</v>
      </c>
      <c r="J245" s="196"/>
      <c r="K245" s="192" t="str">
        <f>INDEX('Revenue by Customer'!K:K,MATCH('Full Customer List'!$B245,'Revenue by Customer'!$A:$A,0))</f>
        <v/>
      </c>
      <c r="L245" s="192" t="str">
        <f>INDEX('Revenue by Customer'!L:L,MATCH('Full Customer List'!$B245,'Revenue by Customer'!$A:$A,0))</f>
        <v/>
      </c>
      <c r="M245" s="192" t="str">
        <f>INDEX('Revenue by Customer'!M:M,MATCH('Full Customer List'!$B245,'Revenue by Customer'!$A:$A,0))</f>
        <v/>
      </c>
      <c r="N245" s="192" t="str">
        <f>INDEX('Revenue by Customer'!N:N,MATCH('Full Customer List'!$B245,'Revenue by Customer'!$A:$A,0))</f>
        <v/>
      </c>
      <c r="O245" s="192" t="str">
        <f>INDEX('Revenue by Customer'!O:O,MATCH('Full Customer List'!$B245,'Revenue by Customer'!$A:$A,0))</f>
        <v/>
      </c>
      <c r="P245" s="192" t="str">
        <f>INDEX('Revenue by Customer'!P:P,MATCH('Full Customer List'!$B245,'Revenue by Customer'!$A:$A,0))</f>
        <v/>
      </c>
      <c r="Q245" s="192" t="str">
        <f>INDEX('Revenue by Customer'!Q:Q,MATCH('Full Customer List'!$B245,'Revenue by Customer'!$A:$A,0))</f>
        <v/>
      </c>
      <c r="R245" s="192" t="str">
        <f>INDEX('Revenue by Customer'!R:R,MATCH('Full Customer List'!$B245,'Revenue by Customer'!$A:$A,0))</f>
        <v/>
      </c>
      <c r="S245" s="192" t="str">
        <f>INDEX('Revenue by Customer'!S:S,MATCH('Full Customer List'!$B245,'Revenue by Customer'!$A:$A,0))</f>
        <v/>
      </c>
      <c r="T245" s="192">
        <f>INDEX('Revenue by Customer'!T:T,MATCH('Full Customer List'!$B245,'Revenue by Customer'!$A:$A,0))</f>
        <v>765</v>
      </c>
      <c r="U245" s="192" t="str">
        <f>INDEX('Revenue by Customer'!U:U,MATCH('Full Customer List'!$B245,'Revenue by Customer'!$A:$A,0))</f>
        <v/>
      </c>
      <c r="V245" s="192" t="str">
        <f>INDEX('Revenue by Customer'!V:V,MATCH('Full Customer List'!$B245,'Revenue by Customer'!$A:$A,0))</f>
        <v/>
      </c>
      <c r="W245" s="192" t="str">
        <f>INDEX('Revenue by Customer'!W:W,MATCH('Full Customer List'!$B245,'Revenue by Customer'!$A:$A,0))</f>
        <v/>
      </c>
      <c r="X245" s="192" t="str">
        <f>INDEX('Revenue by Customer'!X:X,MATCH('Full Customer List'!$B245,'Revenue by Customer'!$A:$A,0))</f>
        <v/>
      </c>
      <c r="Y245" s="192">
        <f>INDEX('Revenue by Customer'!Y:Y,MATCH('Full Customer List'!$B245,'Revenue by Customer'!$A:$A,0))</f>
        <v>765</v>
      </c>
      <c r="Z245" s="192" t="str">
        <f>INDEX('Revenue by Customer'!Z:Z,MATCH('Full Customer List'!$B245,'Revenue by Customer'!$A:$A,0))</f>
        <v/>
      </c>
      <c r="AA245" s="192" t="str">
        <f>INDEX('Revenue by Customer'!AA:AA,MATCH('Full Customer List'!$B245,'Revenue by Customer'!$A:$A,0))</f>
        <v/>
      </c>
      <c r="AB245" s="192" t="str">
        <f>INDEX('Revenue by Customer'!AB:AB,MATCH('Full Customer List'!$B245,'Revenue by Customer'!$A:$A,0))</f>
        <v/>
      </c>
      <c r="AC245" s="192" t="str">
        <f>INDEX('Revenue by Customer'!AC:AC,MATCH('Full Customer List'!$B245,'Revenue by Customer'!$A:$A,0))</f>
        <v/>
      </c>
    </row>
    <row r="246" spans="2:29" ht="12" customHeight="1">
      <c r="B246" s="173" t="s">
        <v>897</v>
      </c>
      <c r="C246" s="173" t="str">
        <f>INDEX('Customer List'!$B:$B,MATCH('Full Customer List'!$B246,'Customer List'!$A:$A,0))</f>
        <v>Former client</v>
      </c>
      <c r="D246" s="173" t="str">
        <f>INDEX('Customer List'!$C:$C,MATCH('Full Customer List'!$B246,'Customer List'!$A:$A,0))</f>
        <v>Tax client only</v>
      </c>
      <c r="E246" s="173" t="str">
        <f>INDEX('Customer List Mapping'!$C:$C,MATCH('Full Customer List'!D246,'Customer List Mapping'!$B:$B,0))</f>
        <v>Tax-Only Client</v>
      </c>
      <c r="F246" s="192" t="str">
        <f>INDEX('Customer List'!$K:$K,MATCH('Full Customer List'!$B246,'Customer List'!$A:$A,0))</f>
        <v/>
      </c>
      <c r="G246" s="192">
        <f>INDEX('Revenue by Customer'!$I:$I,MATCH('Full Customer List'!$B246,'Revenue by Customer'!$A:$A,0))</f>
        <v>765</v>
      </c>
      <c r="H246" s="257" t="str">
        <f>IFERROR(IF(C246="Active","",INDEX('Client Departures'!$G:$G,MATCH('Full Customer List'!$B246,'Client Departures'!$A:$A,0))),"Unclassified")</f>
        <v>Unclassified</v>
      </c>
      <c r="I246" s="196">
        <v>45931</v>
      </c>
      <c r="J246" s="196"/>
      <c r="K246" s="192" t="str">
        <f>INDEX('Revenue by Customer'!K:K,MATCH('Full Customer List'!$B246,'Revenue by Customer'!$A:$A,0))</f>
        <v/>
      </c>
      <c r="L246" s="192" t="str">
        <f>INDEX('Revenue by Customer'!L:L,MATCH('Full Customer List'!$B246,'Revenue by Customer'!$A:$A,0))</f>
        <v/>
      </c>
      <c r="M246" s="192" t="str">
        <f>INDEX('Revenue by Customer'!M:M,MATCH('Full Customer List'!$B246,'Revenue by Customer'!$A:$A,0))</f>
        <v/>
      </c>
      <c r="N246" s="192" t="str">
        <f>INDEX('Revenue by Customer'!N:N,MATCH('Full Customer List'!$B246,'Revenue by Customer'!$A:$A,0))</f>
        <v/>
      </c>
      <c r="O246" s="192" t="str">
        <f>INDEX('Revenue by Customer'!O:O,MATCH('Full Customer List'!$B246,'Revenue by Customer'!$A:$A,0))</f>
        <v/>
      </c>
      <c r="P246" s="192" t="str">
        <f>INDEX('Revenue by Customer'!P:P,MATCH('Full Customer List'!$B246,'Revenue by Customer'!$A:$A,0))</f>
        <v/>
      </c>
      <c r="Q246" s="192" t="str">
        <f>INDEX('Revenue by Customer'!Q:Q,MATCH('Full Customer List'!$B246,'Revenue by Customer'!$A:$A,0))</f>
        <v/>
      </c>
      <c r="R246" s="192" t="str">
        <f>INDEX('Revenue by Customer'!R:R,MATCH('Full Customer List'!$B246,'Revenue by Customer'!$A:$A,0))</f>
        <v/>
      </c>
      <c r="S246" s="192" t="str">
        <f>INDEX('Revenue by Customer'!S:S,MATCH('Full Customer List'!$B246,'Revenue by Customer'!$A:$A,0))</f>
        <v/>
      </c>
      <c r="T246" s="192">
        <f>INDEX('Revenue by Customer'!T:T,MATCH('Full Customer List'!$B246,'Revenue by Customer'!$A:$A,0))</f>
        <v>765</v>
      </c>
      <c r="U246" s="192" t="str">
        <f>INDEX('Revenue by Customer'!U:U,MATCH('Full Customer List'!$B246,'Revenue by Customer'!$A:$A,0))</f>
        <v/>
      </c>
      <c r="V246" s="192" t="str">
        <f>INDEX('Revenue by Customer'!V:V,MATCH('Full Customer List'!$B246,'Revenue by Customer'!$A:$A,0))</f>
        <v/>
      </c>
      <c r="W246" s="192" t="str">
        <f>INDEX('Revenue by Customer'!W:W,MATCH('Full Customer List'!$B246,'Revenue by Customer'!$A:$A,0))</f>
        <v/>
      </c>
      <c r="X246" s="192" t="str">
        <f>INDEX('Revenue by Customer'!X:X,MATCH('Full Customer List'!$B246,'Revenue by Customer'!$A:$A,0))</f>
        <v/>
      </c>
      <c r="Y246" s="192">
        <f>INDEX('Revenue by Customer'!Y:Y,MATCH('Full Customer List'!$B246,'Revenue by Customer'!$A:$A,0))</f>
        <v>765</v>
      </c>
      <c r="Z246" s="192" t="str">
        <f>INDEX('Revenue by Customer'!Z:Z,MATCH('Full Customer List'!$B246,'Revenue by Customer'!$A:$A,0))</f>
        <v/>
      </c>
      <c r="AA246" s="192" t="str">
        <f>INDEX('Revenue by Customer'!AA:AA,MATCH('Full Customer List'!$B246,'Revenue by Customer'!$A:$A,0))</f>
        <v/>
      </c>
      <c r="AB246" s="192" t="str">
        <f>INDEX('Revenue by Customer'!AB:AB,MATCH('Full Customer List'!$B246,'Revenue by Customer'!$A:$A,0))</f>
        <v/>
      </c>
      <c r="AC246" s="192" t="str">
        <f>INDEX('Revenue by Customer'!AC:AC,MATCH('Full Customer List'!$B246,'Revenue by Customer'!$A:$A,0))</f>
        <v/>
      </c>
    </row>
    <row r="247" spans="2:29" ht="12" customHeight="1">
      <c r="B247" s="173" t="s">
        <v>898</v>
      </c>
      <c r="C247" s="173" t="str">
        <f>INDEX('Customer List'!$B:$B,MATCH('Full Customer List'!$B247,'Customer List'!$A:$A,0))</f>
        <v>Former client</v>
      </c>
      <c r="D247" s="173" t="str">
        <f>INDEX('Customer List'!$C:$C,MATCH('Full Customer List'!$B247,'Customer List'!$A:$A,0))</f>
        <v>Small business (departed)</v>
      </c>
      <c r="E247" s="173" t="str">
        <f>INDEX('Customer List Mapping'!$C:$C,MATCH('Full Customer List'!D247,'Customer List Mapping'!$B:$B,0))</f>
        <v>Small Business</v>
      </c>
      <c r="F247" s="192" t="str">
        <f>INDEX('Customer List'!$K:$K,MATCH('Full Customer List'!$B247,'Customer List'!$A:$A,0))</f>
        <v/>
      </c>
      <c r="G247" s="192">
        <f>INDEX('Revenue by Customer'!$I:$I,MATCH('Full Customer List'!$B247,'Revenue by Customer'!$A:$A,0))</f>
        <v>305</v>
      </c>
      <c r="H247" s="257" t="str">
        <f>IFERROR(IF(C247="Active","",INDEX('Client Departures'!$G:$G,MATCH('Full Customer List'!$B247,'Client Departures'!$A:$A,0))),"Unclassified")</f>
        <v>Yes</v>
      </c>
      <c r="I247" s="196">
        <v>44927</v>
      </c>
      <c r="J247" s="196">
        <v>46022</v>
      </c>
      <c r="K247" s="192">
        <f>INDEX('Revenue by Customer'!K:K,MATCH('Full Customer List'!$B247,'Revenue by Customer'!$A:$A,0))</f>
        <v>380</v>
      </c>
      <c r="L247" s="192">
        <f>INDEX('Revenue by Customer'!L:L,MATCH('Full Customer List'!$B247,'Revenue by Customer'!$A:$A,0))</f>
        <v>305</v>
      </c>
      <c r="M247" s="192">
        <f>INDEX('Revenue by Customer'!M:M,MATCH('Full Customer List'!$B247,'Revenue by Customer'!$A:$A,0))</f>
        <v>305</v>
      </c>
      <c r="N247" s="192">
        <f>INDEX('Revenue by Customer'!N:N,MATCH('Full Customer List'!$B247,'Revenue by Customer'!$A:$A,0))</f>
        <v>305</v>
      </c>
      <c r="O247" s="192">
        <f>INDEX('Revenue by Customer'!O:O,MATCH('Full Customer List'!$B247,'Revenue by Customer'!$A:$A,0))</f>
        <v>305</v>
      </c>
      <c r="P247" s="192">
        <f>INDEX('Revenue by Customer'!P:P,MATCH('Full Customer List'!$B247,'Revenue by Customer'!$A:$A,0))</f>
        <v>305</v>
      </c>
      <c r="Q247" s="192">
        <f>INDEX('Revenue by Customer'!Q:Q,MATCH('Full Customer List'!$B247,'Revenue by Customer'!$A:$A,0))</f>
        <v>305</v>
      </c>
      <c r="R247" s="192">
        <f>INDEX('Revenue by Customer'!R:R,MATCH('Full Customer List'!$B247,'Revenue by Customer'!$A:$A,0))</f>
        <v>305</v>
      </c>
      <c r="S247" s="192">
        <f>INDEX('Revenue by Customer'!S:S,MATCH('Full Customer List'!$B247,'Revenue by Customer'!$A:$A,0))</f>
        <v>305</v>
      </c>
      <c r="T247" s="192">
        <f>INDEX('Revenue by Customer'!T:T,MATCH('Full Customer List'!$B247,'Revenue by Customer'!$A:$A,0))</f>
        <v>305</v>
      </c>
      <c r="U247" s="192">
        <f>INDEX('Revenue by Customer'!U:U,MATCH('Full Customer List'!$B247,'Revenue by Customer'!$A:$A,0))</f>
        <v>305</v>
      </c>
      <c r="V247" s="192">
        <f>INDEX('Revenue by Customer'!V:V,MATCH('Full Customer List'!$B247,'Revenue by Customer'!$A:$A,0))</f>
        <v>305</v>
      </c>
      <c r="W247" s="192" t="str">
        <f>INDEX('Revenue by Customer'!W:W,MATCH('Full Customer List'!$B247,'Revenue by Customer'!$A:$A,0))</f>
        <v/>
      </c>
      <c r="X247" s="192" t="str">
        <f>INDEX('Revenue by Customer'!X:X,MATCH('Full Customer List'!$B247,'Revenue by Customer'!$A:$A,0))</f>
        <v/>
      </c>
      <c r="Y247" s="192" t="str">
        <f>INDEX('Revenue by Customer'!Y:Y,MATCH('Full Customer List'!$B247,'Revenue by Customer'!$A:$A,0))</f>
        <v/>
      </c>
      <c r="Z247" s="192" t="str">
        <f>INDEX('Revenue by Customer'!Z:Z,MATCH('Full Customer List'!$B247,'Revenue by Customer'!$A:$A,0))</f>
        <v/>
      </c>
      <c r="AA247" s="192" t="str">
        <f>INDEX('Revenue by Customer'!AA:AA,MATCH('Full Customer List'!$B247,'Revenue by Customer'!$A:$A,0))</f>
        <v/>
      </c>
      <c r="AB247" s="192" t="str">
        <f>INDEX('Revenue by Customer'!AB:AB,MATCH('Full Customer List'!$B247,'Revenue by Customer'!$A:$A,0))</f>
        <v/>
      </c>
      <c r="AC247" s="192" t="str">
        <f>INDEX('Revenue by Customer'!AC:AC,MATCH('Full Customer List'!$B247,'Revenue by Customer'!$A:$A,0))</f>
        <v/>
      </c>
    </row>
    <row r="248" spans="2:29" ht="12" customHeight="1">
      <c r="B248" s="173" t="s">
        <v>899</v>
      </c>
      <c r="C248" s="173" t="str">
        <f>INDEX('Customer List'!$B:$B,MATCH('Full Customer List'!$B248,'Customer List'!$A:$A,0))</f>
        <v>Active</v>
      </c>
      <c r="D248" s="173" t="str">
        <f>INDEX('Customer List'!$C:$C,MATCH('Full Customer List'!$B248,'Customer List'!$A:$A,0))</f>
        <v>STR owner</v>
      </c>
      <c r="E248" s="173" t="str">
        <f>INDEX('Customer List Mapping'!$C:$C,MATCH('Full Customer List'!D248,'Customer List Mapping'!$B:$B,0))</f>
        <v>STR Owner</v>
      </c>
      <c r="F248" s="192">
        <f>INDEX('Customer List'!$K:$K,MATCH('Full Customer List'!$B248,'Customer List'!$A:$A,0))</f>
        <v>0</v>
      </c>
      <c r="G248" s="192">
        <f>INDEX('Revenue by Customer'!$I:$I,MATCH('Full Customer List'!$B248,'Revenue by Customer'!$A:$A,0))</f>
        <v>401.66666666666669</v>
      </c>
      <c r="H248" s="257" t="str">
        <f>IFERROR(IF(C248="Active","",INDEX('Client Departures'!$G:$G,MATCH('Full Customer List'!$B248,'Client Departures'!$A:$A,0))),"Unclassified")</f>
        <v/>
      </c>
      <c r="I248" s="196">
        <v>46082</v>
      </c>
      <c r="J248" s="196"/>
      <c r="K248" s="192" t="str">
        <f>INDEX('Revenue by Customer'!K:K,MATCH('Full Customer List'!$B248,'Revenue by Customer'!$A:$A,0))</f>
        <v/>
      </c>
      <c r="L248" s="192" t="str">
        <f>INDEX('Revenue by Customer'!L:L,MATCH('Full Customer List'!$B248,'Revenue by Customer'!$A:$A,0))</f>
        <v/>
      </c>
      <c r="M248" s="192" t="str">
        <f>INDEX('Revenue by Customer'!M:M,MATCH('Full Customer List'!$B248,'Revenue by Customer'!$A:$A,0))</f>
        <v/>
      </c>
      <c r="N248" s="192" t="str">
        <f>INDEX('Revenue by Customer'!N:N,MATCH('Full Customer List'!$B248,'Revenue by Customer'!$A:$A,0))</f>
        <v/>
      </c>
      <c r="O248" s="192" t="str">
        <f>INDEX('Revenue by Customer'!O:O,MATCH('Full Customer List'!$B248,'Revenue by Customer'!$A:$A,0))</f>
        <v/>
      </c>
      <c r="P248" s="192" t="str">
        <f>INDEX('Revenue by Customer'!P:P,MATCH('Full Customer List'!$B248,'Revenue by Customer'!$A:$A,0))</f>
        <v/>
      </c>
      <c r="Q248" s="192" t="str">
        <f>INDEX('Revenue by Customer'!Q:Q,MATCH('Full Customer List'!$B248,'Revenue by Customer'!$A:$A,0))</f>
        <v/>
      </c>
      <c r="R248" s="192" t="str">
        <f>INDEX('Revenue by Customer'!R:R,MATCH('Full Customer List'!$B248,'Revenue by Customer'!$A:$A,0))</f>
        <v/>
      </c>
      <c r="S248" s="192" t="str">
        <f>INDEX('Revenue by Customer'!S:S,MATCH('Full Customer List'!$B248,'Revenue by Customer'!$A:$A,0))</f>
        <v/>
      </c>
      <c r="T248" s="192" t="str">
        <f>INDEX('Revenue by Customer'!T:T,MATCH('Full Customer List'!$B248,'Revenue by Customer'!$A:$A,0))</f>
        <v/>
      </c>
      <c r="U248" s="192" t="str">
        <f>INDEX('Revenue by Customer'!U:U,MATCH('Full Customer List'!$B248,'Revenue by Customer'!$A:$A,0))</f>
        <v/>
      </c>
      <c r="V248" s="192" t="str">
        <f>INDEX('Revenue by Customer'!V:V,MATCH('Full Customer List'!$B248,'Revenue by Customer'!$A:$A,0))</f>
        <v/>
      </c>
      <c r="W248" s="192" t="str">
        <f>INDEX('Revenue by Customer'!W:W,MATCH('Full Customer List'!$B248,'Revenue by Customer'!$A:$A,0))</f>
        <v/>
      </c>
      <c r="X248" s="192" t="str">
        <f>INDEX('Revenue by Customer'!X:X,MATCH('Full Customer List'!$B248,'Revenue by Customer'!$A:$A,0))</f>
        <v/>
      </c>
      <c r="Y248" s="192">
        <f>INDEX('Revenue by Customer'!Y:Y,MATCH('Full Customer List'!$B248,'Revenue by Customer'!$A:$A,0))</f>
        <v>160</v>
      </c>
      <c r="Z248" s="192">
        <f>INDEX('Revenue by Customer'!Z:Z,MATCH('Full Customer List'!$B248,'Revenue by Customer'!$A:$A,0))</f>
        <v>160</v>
      </c>
      <c r="AA248" s="192">
        <f>INDEX('Revenue by Customer'!AA:AA,MATCH('Full Customer List'!$B248,'Revenue by Customer'!$A:$A,0))</f>
        <v>685</v>
      </c>
      <c r="AB248" s="192">
        <f>INDEX('Revenue by Customer'!AB:AB,MATCH('Full Customer List'!$B248,'Revenue by Customer'!$A:$A,0))</f>
        <v>260</v>
      </c>
      <c r="AC248" s="192">
        <f>INDEX('Revenue by Customer'!AC:AC,MATCH('Full Customer List'!$B248,'Revenue by Customer'!$A:$A,0))</f>
        <v>260</v>
      </c>
    </row>
    <row r="249" spans="2:29" ht="12" customHeight="1">
      <c r="B249" s="173" t="s">
        <v>900</v>
      </c>
      <c r="C249" s="173" t="str">
        <f>INDEX('Customer List'!$B:$B,MATCH('Full Customer List'!$B249,'Customer List'!$A:$A,0))</f>
        <v>Active</v>
      </c>
      <c r="D249" s="173" t="str">
        <f>INDEX('Customer List'!$C:$C,MATCH('Full Customer List'!$B249,'Customer List'!$A:$A,0))</f>
        <v>Property manager</v>
      </c>
      <c r="E249" s="173" t="str">
        <f>INDEX('Customer List Mapping'!$C:$C,MATCH('Full Customer List'!D249,'Customer List Mapping'!$B:$B,0))</f>
        <v>Property Manager</v>
      </c>
      <c r="F249" s="192">
        <f>INDEX('Customer List'!$K:$K,MATCH('Full Customer List'!$B249,'Customer List'!$A:$A,0))</f>
        <v>5</v>
      </c>
      <c r="G249" s="192">
        <f>INDEX('Revenue by Customer'!$I:$I,MATCH('Full Customer List'!$B249,'Revenue by Customer'!$A:$A,0))</f>
        <v>116.66666666666667</v>
      </c>
      <c r="H249" s="257" t="str">
        <f>IFERROR(IF(C249="Active","",INDEX('Client Departures'!$G:$G,MATCH('Full Customer List'!$B249,'Client Departures'!$A:$A,0))),"Unclassified")</f>
        <v/>
      </c>
      <c r="I249" s="196">
        <v>45748</v>
      </c>
      <c r="J249" s="196"/>
      <c r="K249" s="192" t="str">
        <f>INDEX('Revenue by Customer'!K:K,MATCH('Full Customer List'!$B249,'Revenue by Customer'!$A:$A,0))</f>
        <v/>
      </c>
      <c r="L249" s="192" t="str">
        <f>INDEX('Revenue by Customer'!L:L,MATCH('Full Customer List'!$B249,'Revenue by Customer'!$A:$A,0))</f>
        <v/>
      </c>
      <c r="M249" s="192" t="str">
        <f>INDEX('Revenue by Customer'!M:M,MATCH('Full Customer List'!$B249,'Revenue by Customer'!$A:$A,0))</f>
        <v/>
      </c>
      <c r="N249" s="192">
        <f>INDEX('Revenue by Customer'!N:N,MATCH('Full Customer List'!$B249,'Revenue by Customer'!$A:$A,0))</f>
        <v>350</v>
      </c>
      <c r="O249" s="192" t="str">
        <f>INDEX('Revenue by Customer'!O:O,MATCH('Full Customer List'!$B249,'Revenue by Customer'!$A:$A,0))</f>
        <v/>
      </c>
      <c r="P249" s="192">
        <f>INDEX('Revenue by Customer'!P:P,MATCH('Full Customer List'!$B249,'Revenue by Customer'!$A:$A,0))</f>
        <v>150</v>
      </c>
      <c r="Q249" s="192" t="str">
        <f>INDEX('Revenue by Customer'!Q:Q,MATCH('Full Customer List'!$B249,'Revenue by Customer'!$A:$A,0))</f>
        <v/>
      </c>
      <c r="R249" s="192" t="str">
        <f>INDEX('Revenue by Customer'!R:R,MATCH('Full Customer List'!$B249,'Revenue by Customer'!$A:$A,0))</f>
        <v/>
      </c>
      <c r="S249" s="192">
        <f>INDEX('Revenue by Customer'!S:S,MATCH('Full Customer List'!$B249,'Revenue by Customer'!$A:$A,0))</f>
        <v>355</v>
      </c>
      <c r="T249" s="192">
        <f>INDEX('Revenue by Customer'!T:T,MATCH('Full Customer List'!$B249,'Revenue by Customer'!$A:$A,0))</f>
        <v>105</v>
      </c>
      <c r="U249" s="192">
        <f>INDEX('Revenue by Customer'!U:U,MATCH('Full Customer List'!$B249,'Revenue by Customer'!$A:$A,0))</f>
        <v>105</v>
      </c>
      <c r="V249" s="192">
        <f>INDEX('Revenue by Customer'!V:V,MATCH('Full Customer List'!$B249,'Revenue by Customer'!$A:$A,0))</f>
        <v>105</v>
      </c>
      <c r="W249" s="192">
        <f>INDEX('Revenue by Customer'!W:W,MATCH('Full Customer List'!$B249,'Revenue by Customer'!$A:$A,0))</f>
        <v>135</v>
      </c>
      <c r="X249" s="192">
        <f>INDEX('Revenue by Customer'!X:X,MATCH('Full Customer List'!$B249,'Revenue by Customer'!$A:$A,0))</f>
        <v>105</v>
      </c>
      <c r="Y249" s="192">
        <f>INDEX('Revenue by Customer'!Y:Y,MATCH('Full Customer List'!$B249,'Revenue by Customer'!$A:$A,0))</f>
        <v>105</v>
      </c>
      <c r="Z249" s="192">
        <f>INDEX('Revenue by Customer'!Z:Z,MATCH('Full Customer List'!$B249,'Revenue by Customer'!$A:$A,0))</f>
        <v>140</v>
      </c>
      <c r="AA249" s="192">
        <f>INDEX('Revenue by Customer'!AA:AA,MATCH('Full Customer List'!$B249,'Revenue by Customer'!$A:$A,0))</f>
        <v>70</v>
      </c>
      <c r="AB249" s="192">
        <f>INDEX('Revenue by Customer'!AB:AB,MATCH('Full Customer List'!$B249,'Revenue by Customer'!$A:$A,0))</f>
        <v>140</v>
      </c>
      <c r="AC249" s="192">
        <f>INDEX('Revenue by Customer'!AC:AC,MATCH('Full Customer List'!$B249,'Revenue by Customer'!$A:$A,0))</f>
        <v>140</v>
      </c>
    </row>
    <row r="250" spans="2:29" ht="12" customHeight="1">
      <c r="B250" s="173" t="s">
        <v>901</v>
      </c>
      <c r="C250" s="173" t="str">
        <f>INDEX('Customer List'!$B:$B,MATCH('Full Customer List'!$B250,'Customer List'!$A:$A,0))</f>
        <v>Active</v>
      </c>
      <c r="D250" s="173" t="str">
        <f>INDEX('Customer List'!$C:$C,MATCH('Full Customer List'!$B250,'Customer List'!$A:$A,0))</f>
        <v>Property manager</v>
      </c>
      <c r="E250" s="173" t="str">
        <f>INDEX('Customer List Mapping'!$C:$C,MATCH('Full Customer List'!D250,'Customer List Mapping'!$B:$B,0))</f>
        <v>Property Manager</v>
      </c>
      <c r="F250" s="192">
        <f>INDEX('Customer List'!$K:$K,MATCH('Full Customer List'!$B250,'Customer List'!$A:$A,0))</f>
        <v>2</v>
      </c>
      <c r="G250" s="192">
        <f>INDEX('Revenue by Customer'!$I:$I,MATCH('Full Customer List'!$B250,'Revenue by Customer'!$A:$A,0))</f>
        <v>120</v>
      </c>
      <c r="H250" s="257" t="str">
        <f>IFERROR(IF(C250="Active","",INDEX('Client Departures'!$G:$G,MATCH('Full Customer List'!$B250,'Client Departures'!$A:$A,0))),"Unclassified")</f>
        <v/>
      </c>
      <c r="I250" s="196">
        <v>46054</v>
      </c>
      <c r="J250" s="196"/>
      <c r="K250" s="192" t="str">
        <f>INDEX('Revenue by Customer'!K:K,MATCH('Full Customer List'!$B250,'Revenue by Customer'!$A:$A,0))</f>
        <v/>
      </c>
      <c r="L250" s="192" t="str">
        <f>INDEX('Revenue by Customer'!L:L,MATCH('Full Customer List'!$B250,'Revenue by Customer'!$A:$A,0))</f>
        <v/>
      </c>
      <c r="M250" s="192" t="str">
        <f>INDEX('Revenue by Customer'!M:M,MATCH('Full Customer List'!$B250,'Revenue by Customer'!$A:$A,0))</f>
        <v/>
      </c>
      <c r="N250" s="192" t="str">
        <f>INDEX('Revenue by Customer'!N:N,MATCH('Full Customer List'!$B250,'Revenue by Customer'!$A:$A,0))</f>
        <v/>
      </c>
      <c r="O250" s="192" t="str">
        <f>INDEX('Revenue by Customer'!O:O,MATCH('Full Customer List'!$B250,'Revenue by Customer'!$A:$A,0))</f>
        <v/>
      </c>
      <c r="P250" s="192" t="str">
        <f>INDEX('Revenue by Customer'!P:P,MATCH('Full Customer List'!$B250,'Revenue by Customer'!$A:$A,0))</f>
        <v/>
      </c>
      <c r="Q250" s="192" t="str">
        <f>INDEX('Revenue by Customer'!Q:Q,MATCH('Full Customer List'!$B250,'Revenue by Customer'!$A:$A,0))</f>
        <v/>
      </c>
      <c r="R250" s="192" t="str">
        <f>INDEX('Revenue by Customer'!R:R,MATCH('Full Customer List'!$B250,'Revenue by Customer'!$A:$A,0))</f>
        <v/>
      </c>
      <c r="S250" s="192" t="str">
        <f>INDEX('Revenue by Customer'!S:S,MATCH('Full Customer List'!$B250,'Revenue by Customer'!$A:$A,0))</f>
        <v/>
      </c>
      <c r="T250" s="192" t="str">
        <f>INDEX('Revenue by Customer'!T:T,MATCH('Full Customer List'!$B250,'Revenue by Customer'!$A:$A,0))</f>
        <v/>
      </c>
      <c r="U250" s="192" t="str">
        <f>INDEX('Revenue by Customer'!U:U,MATCH('Full Customer List'!$B250,'Revenue by Customer'!$A:$A,0))</f>
        <v/>
      </c>
      <c r="V250" s="192" t="str">
        <f>INDEX('Revenue by Customer'!V:V,MATCH('Full Customer List'!$B250,'Revenue by Customer'!$A:$A,0))</f>
        <v/>
      </c>
      <c r="W250" s="192" t="str">
        <f>INDEX('Revenue by Customer'!W:W,MATCH('Full Customer List'!$B250,'Revenue by Customer'!$A:$A,0))</f>
        <v/>
      </c>
      <c r="X250" s="192" t="str">
        <f>INDEX('Revenue by Customer'!X:X,MATCH('Full Customer List'!$B250,'Revenue by Customer'!$A:$A,0))</f>
        <v/>
      </c>
      <c r="Y250" s="192">
        <f>INDEX('Revenue by Customer'!Y:Y,MATCH('Full Customer List'!$B250,'Revenue by Customer'!$A:$A,0))</f>
        <v>725</v>
      </c>
      <c r="Z250" s="192">
        <f>INDEX('Revenue by Customer'!Z:Z,MATCH('Full Customer List'!$B250,'Revenue by Customer'!$A:$A,0))</f>
        <v>417.5</v>
      </c>
      <c r="AA250" s="192">
        <f>INDEX('Revenue by Customer'!AA:AA,MATCH('Full Customer List'!$B250,'Revenue by Customer'!$A:$A,0))</f>
        <v>120</v>
      </c>
      <c r="AB250" s="192">
        <f>INDEX('Revenue by Customer'!AB:AB,MATCH('Full Customer List'!$B250,'Revenue by Customer'!$A:$A,0))</f>
        <v>120</v>
      </c>
      <c r="AC250" s="192">
        <f>INDEX('Revenue by Customer'!AC:AC,MATCH('Full Customer List'!$B250,'Revenue by Customer'!$A:$A,0))</f>
        <v>120</v>
      </c>
    </row>
    <row r="251" spans="2:29" ht="12" customHeight="1">
      <c r="B251" s="173" t="s">
        <v>902</v>
      </c>
      <c r="C251" s="173" t="str">
        <f>INDEX('Customer List'!$B:$B,MATCH('Full Customer List'!$B251,'Customer List'!$A:$A,0))</f>
        <v>Former client</v>
      </c>
      <c r="D251" s="173" t="str">
        <f>INDEX('Customer List'!$C:$C,MATCH('Full Customer List'!$B251,'Customer List'!$A:$A,0))</f>
        <v>Short-term rental (departed)</v>
      </c>
      <c r="E251" s="173" t="str">
        <f>INDEX('Customer List Mapping'!$C:$C,MATCH('Full Customer List'!D251,'Customer List Mapping'!$B:$B,0))</f>
        <v>Short-Term Rental</v>
      </c>
      <c r="F251" s="192" t="str">
        <f>INDEX('Customer List'!$K:$K,MATCH('Full Customer List'!$B251,'Customer List'!$A:$A,0))</f>
        <v/>
      </c>
      <c r="G251" s="192">
        <f>INDEX('Revenue by Customer'!$I:$I,MATCH('Full Customer List'!$B251,'Revenue by Customer'!$A:$A,0))</f>
        <v>300</v>
      </c>
      <c r="H251" s="257" t="str">
        <f>IFERROR(IF(C251="Active","",INDEX('Client Departures'!$G:$G,MATCH('Full Customer List'!$B251,'Client Departures'!$A:$A,0))),"Unclassified")</f>
        <v>Yes</v>
      </c>
      <c r="I251" s="196">
        <v>45505</v>
      </c>
      <c r="J251" s="196">
        <v>46022</v>
      </c>
      <c r="K251" s="192">
        <f>INDEX('Revenue by Customer'!K:K,MATCH('Full Customer List'!$B251,'Revenue by Customer'!$A:$A,0))</f>
        <v>250</v>
      </c>
      <c r="L251" s="192">
        <f>INDEX('Revenue by Customer'!L:L,MATCH('Full Customer List'!$B251,'Revenue by Customer'!$A:$A,0))</f>
        <v>250</v>
      </c>
      <c r="M251" s="192">
        <f>INDEX('Revenue by Customer'!M:M,MATCH('Full Customer List'!$B251,'Revenue by Customer'!$A:$A,0))</f>
        <v>250</v>
      </c>
      <c r="N251" s="192">
        <f>INDEX('Revenue by Customer'!N:N,MATCH('Full Customer List'!$B251,'Revenue by Customer'!$A:$A,0))</f>
        <v>250</v>
      </c>
      <c r="O251" s="192">
        <f>INDEX('Revenue by Customer'!O:O,MATCH('Full Customer List'!$B251,'Revenue by Customer'!$A:$A,0))</f>
        <v>250</v>
      </c>
      <c r="P251" s="192">
        <f>INDEX('Revenue by Customer'!P:P,MATCH('Full Customer List'!$B251,'Revenue by Customer'!$A:$A,0))</f>
        <v>250</v>
      </c>
      <c r="Q251" s="192">
        <f>INDEX('Revenue by Customer'!Q:Q,MATCH('Full Customer List'!$B251,'Revenue by Customer'!$A:$A,0))</f>
        <v>250</v>
      </c>
      <c r="R251" s="192">
        <f>INDEX('Revenue by Customer'!R:R,MATCH('Full Customer List'!$B251,'Revenue by Customer'!$A:$A,0))</f>
        <v>250</v>
      </c>
      <c r="S251" s="192">
        <f>INDEX('Revenue by Customer'!S:S,MATCH('Full Customer List'!$B251,'Revenue by Customer'!$A:$A,0))</f>
        <v>300</v>
      </c>
      <c r="T251" s="192">
        <f>INDEX('Revenue by Customer'!T:T,MATCH('Full Customer List'!$B251,'Revenue by Customer'!$A:$A,0))</f>
        <v>300</v>
      </c>
      <c r="U251" s="192">
        <f>INDEX('Revenue by Customer'!U:U,MATCH('Full Customer List'!$B251,'Revenue by Customer'!$A:$A,0))</f>
        <v>300</v>
      </c>
      <c r="V251" s="192">
        <f>INDEX('Revenue by Customer'!V:V,MATCH('Full Customer List'!$B251,'Revenue by Customer'!$A:$A,0))</f>
        <v>300</v>
      </c>
      <c r="W251" s="192" t="str">
        <f>INDEX('Revenue by Customer'!W:W,MATCH('Full Customer List'!$B251,'Revenue by Customer'!$A:$A,0))</f>
        <v/>
      </c>
      <c r="X251" s="192" t="str">
        <f>INDEX('Revenue by Customer'!X:X,MATCH('Full Customer List'!$B251,'Revenue by Customer'!$A:$A,0))</f>
        <v/>
      </c>
      <c r="Y251" s="192" t="str">
        <f>INDEX('Revenue by Customer'!Y:Y,MATCH('Full Customer List'!$B251,'Revenue by Customer'!$A:$A,0))</f>
        <v/>
      </c>
      <c r="Z251" s="192" t="str">
        <f>INDEX('Revenue by Customer'!Z:Z,MATCH('Full Customer List'!$B251,'Revenue by Customer'!$A:$A,0))</f>
        <v/>
      </c>
      <c r="AA251" s="192" t="str">
        <f>INDEX('Revenue by Customer'!AA:AA,MATCH('Full Customer List'!$B251,'Revenue by Customer'!$A:$A,0))</f>
        <v/>
      </c>
      <c r="AB251" s="192" t="str">
        <f>INDEX('Revenue by Customer'!AB:AB,MATCH('Full Customer List'!$B251,'Revenue by Customer'!$A:$A,0))</f>
        <v/>
      </c>
      <c r="AC251" s="192" t="str">
        <f>INDEX('Revenue by Customer'!AC:AC,MATCH('Full Customer List'!$B251,'Revenue by Customer'!$A:$A,0))</f>
        <v/>
      </c>
    </row>
    <row r="252" spans="2:29" ht="12" customHeight="1">
      <c r="B252" s="173" t="s">
        <v>903</v>
      </c>
      <c r="C252" s="173" t="str">
        <f>INDEX('Customer List'!$B:$B,MATCH('Full Customer List'!$B252,'Customer List'!$A:$A,0))</f>
        <v>Former client</v>
      </c>
      <c r="D252" s="173" t="str">
        <f>INDEX('Customer List'!$C:$C,MATCH('Full Customer List'!$B252,'Customer List'!$A:$A,0))</f>
        <v>Short-term rental (departed)</v>
      </c>
      <c r="E252" s="173" t="str">
        <f>INDEX('Customer List Mapping'!$C:$C,MATCH('Full Customer List'!D252,'Customer List Mapping'!$B:$B,0))</f>
        <v>Short-Term Rental</v>
      </c>
      <c r="F252" s="192" t="str">
        <f>INDEX('Customer List'!$K:$K,MATCH('Full Customer List'!$B252,'Customer List'!$A:$A,0))</f>
        <v/>
      </c>
      <c r="G252" s="192">
        <f>INDEX('Revenue by Customer'!$I:$I,MATCH('Full Customer List'!$B252,'Revenue by Customer'!$A:$A,0))</f>
        <v>110</v>
      </c>
      <c r="H252" s="257" t="str">
        <f>IFERROR(IF(C252="Active","",INDEX('Client Departures'!$G:$G,MATCH('Full Customer List'!$B252,'Client Departures'!$A:$A,0))),"Unclassified")</f>
        <v>Yes</v>
      </c>
      <c r="I252" s="196">
        <v>45839</v>
      </c>
      <c r="J252" s="196">
        <v>46053</v>
      </c>
      <c r="K252" s="192" t="str">
        <f>INDEX('Revenue by Customer'!K:K,MATCH('Full Customer List'!$B252,'Revenue by Customer'!$A:$A,0))</f>
        <v/>
      </c>
      <c r="L252" s="192" t="str">
        <f>INDEX('Revenue by Customer'!L:L,MATCH('Full Customer List'!$B252,'Revenue by Customer'!$A:$A,0))</f>
        <v/>
      </c>
      <c r="M252" s="192" t="str">
        <f>INDEX('Revenue by Customer'!M:M,MATCH('Full Customer List'!$B252,'Revenue by Customer'!$A:$A,0))</f>
        <v/>
      </c>
      <c r="N252" s="192" t="str">
        <f>INDEX('Revenue by Customer'!N:N,MATCH('Full Customer List'!$B252,'Revenue by Customer'!$A:$A,0))</f>
        <v/>
      </c>
      <c r="O252" s="192" t="str">
        <f>INDEX('Revenue by Customer'!O:O,MATCH('Full Customer List'!$B252,'Revenue by Customer'!$A:$A,0))</f>
        <v/>
      </c>
      <c r="P252" s="192" t="str">
        <f>INDEX('Revenue by Customer'!P:P,MATCH('Full Customer List'!$B252,'Revenue by Customer'!$A:$A,0))</f>
        <v/>
      </c>
      <c r="Q252" s="192">
        <f>INDEX('Revenue by Customer'!Q:Q,MATCH('Full Customer List'!$B252,'Revenue by Customer'!$A:$A,0))</f>
        <v>350</v>
      </c>
      <c r="R252" s="192">
        <f>INDEX('Revenue by Customer'!R:R,MATCH('Full Customer List'!$B252,'Revenue by Customer'!$A:$A,0))</f>
        <v>360</v>
      </c>
      <c r="S252" s="192">
        <f>INDEX('Revenue by Customer'!S:S,MATCH('Full Customer List'!$B252,'Revenue by Customer'!$A:$A,0))</f>
        <v>360</v>
      </c>
      <c r="T252" s="192">
        <f>INDEX('Revenue by Customer'!T:T,MATCH('Full Customer List'!$B252,'Revenue by Customer'!$A:$A,0))</f>
        <v>360</v>
      </c>
      <c r="U252" s="192">
        <f>INDEX('Revenue by Customer'!U:U,MATCH('Full Customer List'!$B252,'Revenue by Customer'!$A:$A,0))</f>
        <v>105</v>
      </c>
      <c r="V252" s="192">
        <f>INDEX('Revenue by Customer'!V:V,MATCH('Full Customer List'!$B252,'Revenue by Customer'!$A:$A,0))</f>
        <v>105</v>
      </c>
      <c r="W252" s="192">
        <f>INDEX('Revenue by Customer'!W:W,MATCH('Full Customer List'!$B252,'Revenue by Customer'!$A:$A,0))</f>
        <v>120</v>
      </c>
      <c r="X252" s="192" t="str">
        <f>INDEX('Revenue by Customer'!X:X,MATCH('Full Customer List'!$B252,'Revenue by Customer'!$A:$A,0))</f>
        <v/>
      </c>
      <c r="Y252" s="192" t="str">
        <f>INDEX('Revenue by Customer'!Y:Y,MATCH('Full Customer List'!$B252,'Revenue by Customer'!$A:$A,0))</f>
        <v/>
      </c>
      <c r="Z252" s="192" t="str">
        <f>INDEX('Revenue by Customer'!Z:Z,MATCH('Full Customer List'!$B252,'Revenue by Customer'!$A:$A,0))</f>
        <v/>
      </c>
      <c r="AA252" s="192" t="str">
        <f>INDEX('Revenue by Customer'!AA:AA,MATCH('Full Customer List'!$B252,'Revenue by Customer'!$A:$A,0))</f>
        <v/>
      </c>
      <c r="AB252" s="192" t="str">
        <f>INDEX('Revenue by Customer'!AB:AB,MATCH('Full Customer List'!$B252,'Revenue by Customer'!$A:$A,0))</f>
        <v/>
      </c>
      <c r="AC252" s="192" t="str">
        <f>INDEX('Revenue by Customer'!AC:AC,MATCH('Full Customer List'!$B252,'Revenue by Customer'!$A:$A,0))</f>
        <v/>
      </c>
    </row>
    <row r="253" spans="2:29" ht="12" customHeight="1">
      <c r="B253" s="173" t="s">
        <v>904</v>
      </c>
      <c r="C253" s="173" t="str">
        <f>INDEX('Customer List'!$B:$B,MATCH('Full Customer List'!$B253,'Customer List'!$A:$A,0))</f>
        <v>Former client</v>
      </c>
      <c r="D253" s="173" t="str">
        <f>INDEX('Customer List'!$C:$C,MATCH('Full Customer List'!$B253,'Customer List'!$A:$A,0))</f>
        <v>STR owner</v>
      </c>
      <c r="E253" s="173" t="str">
        <f>INDEX('Customer List Mapping'!$C:$C,MATCH('Full Customer List'!D253,'Customer List Mapping'!$B:$B,0))</f>
        <v>STR Owner</v>
      </c>
      <c r="F253" s="192">
        <f>INDEX('Customer List'!$K:$K,MATCH('Full Customer List'!$B253,'Customer List'!$A:$A,0))</f>
        <v>4</v>
      </c>
      <c r="G253" s="192">
        <f>INDEX('Revenue by Customer'!$I:$I,MATCH('Full Customer List'!$B253,'Revenue by Customer'!$A:$A,0))</f>
        <v>270.16666666666669</v>
      </c>
      <c r="H253" s="257" t="str">
        <f>IFERROR(IF(C253="Active","",INDEX('Client Departures'!$G:$G,MATCH('Full Customer List'!$B253,'Client Departures'!$A:$A,0))),"Unclassified")</f>
        <v>Yes</v>
      </c>
      <c r="I253" s="196">
        <v>46054</v>
      </c>
      <c r="J253" s="196">
        <v>46173</v>
      </c>
      <c r="K253" s="192" t="str">
        <f>INDEX('Revenue by Customer'!K:K,MATCH('Full Customer List'!$B253,'Revenue by Customer'!$A:$A,0))</f>
        <v/>
      </c>
      <c r="L253" s="192" t="str">
        <f>INDEX('Revenue by Customer'!L:L,MATCH('Full Customer List'!$B253,'Revenue by Customer'!$A:$A,0))</f>
        <v/>
      </c>
      <c r="M253" s="192" t="str">
        <f>INDEX('Revenue by Customer'!M:M,MATCH('Full Customer List'!$B253,'Revenue by Customer'!$A:$A,0))</f>
        <v/>
      </c>
      <c r="N253" s="192" t="str">
        <f>INDEX('Revenue by Customer'!N:N,MATCH('Full Customer List'!$B253,'Revenue by Customer'!$A:$A,0))</f>
        <v/>
      </c>
      <c r="O253" s="192" t="str">
        <f>INDEX('Revenue by Customer'!O:O,MATCH('Full Customer List'!$B253,'Revenue by Customer'!$A:$A,0))</f>
        <v/>
      </c>
      <c r="P253" s="192" t="str">
        <f>INDEX('Revenue by Customer'!P:P,MATCH('Full Customer List'!$B253,'Revenue by Customer'!$A:$A,0))</f>
        <v/>
      </c>
      <c r="Q253" s="192" t="str">
        <f>INDEX('Revenue by Customer'!Q:Q,MATCH('Full Customer List'!$B253,'Revenue by Customer'!$A:$A,0))</f>
        <v/>
      </c>
      <c r="R253" s="192" t="str">
        <f>INDEX('Revenue by Customer'!R:R,MATCH('Full Customer List'!$B253,'Revenue by Customer'!$A:$A,0))</f>
        <v/>
      </c>
      <c r="S253" s="192" t="str">
        <f>INDEX('Revenue by Customer'!S:S,MATCH('Full Customer List'!$B253,'Revenue by Customer'!$A:$A,0))</f>
        <v/>
      </c>
      <c r="T253" s="192" t="str">
        <f>INDEX('Revenue by Customer'!T:T,MATCH('Full Customer List'!$B253,'Revenue by Customer'!$A:$A,0))</f>
        <v/>
      </c>
      <c r="U253" s="192" t="str">
        <f>INDEX('Revenue by Customer'!U:U,MATCH('Full Customer List'!$B253,'Revenue by Customer'!$A:$A,0))</f>
        <v/>
      </c>
      <c r="V253" s="192" t="str">
        <f>INDEX('Revenue by Customer'!V:V,MATCH('Full Customer List'!$B253,'Revenue by Customer'!$A:$A,0))</f>
        <v/>
      </c>
      <c r="W253" s="192" t="str">
        <f>INDEX('Revenue by Customer'!W:W,MATCH('Full Customer List'!$B253,'Revenue by Customer'!$A:$A,0))</f>
        <v/>
      </c>
      <c r="X253" s="192">
        <f>INDEX('Revenue by Customer'!X:X,MATCH('Full Customer List'!$B253,'Revenue by Customer'!$A:$A,0))</f>
        <v>263</v>
      </c>
      <c r="Y253" s="192">
        <f>INDEX('Revenue by Customer'!Y:Y,MATCH('Full Customer List'!$B253,'Revenue by Customer'!$A:$A,0))</f>
        <v>263</v>
      </c>
      <c r="Z253" s="192">
        <f>INDEX('Revenue by Customer'!Z:Z,MATCH('Full Customer List'!$B253,'Revenue by Customer'!$A:$A,0))</f>
        <v>263</v>
      </c>
      <c r="AA253" s="192">
        <f>INDEX('Revenue by Customer'!AA:AA,MATCH('Full Customer List'!$B253,'Revenue by Customer'!$A:$A,0))</f>
        <v>237.5</v>
      </c>
      <c r="AB253" s="192">
        <f>INDEX('Revenue by Customer'!AB:AB,MATCH('Full Customer List'!$B253,'Revenue by Customer'!$A:$A,0))</f>
        <v>310</v>
      </c>
      <c r="AC253" s="192" t="str">
        <f>INDEX('Revenue by Customer'!AC:AC,MATCH('Full Customer List'!$B253,'Revenue by Customer'!$A:$A,0))</f>
        <v/>
      </c>
    </row>
    <row r="254" spans="2:29" ht="12" customHeight="1">
      <c r="B254" s="173" t="s">
        <v>905</v>
      </c>
      <c r="C254" s="173" t="str">
        <f>INDEX('Customer List'!$B:$B,MATCH('Full Customer List'!$B254,'Customer List'!$A:$A,0))</f>
        <v>Active</v>
      </c>
      <c r="D254" s="173" t="str">
        <f>INDEX('Customer List'!$C:$C,MATCH('Full Customer List'!$B254,'Customer List'!$A:$A,0))</f>
        <v>STR owner</v>
      </c>
      <c r="E254" s="173" t="str">
        <f>INDEX('Customer List Mapping'!$C:$C,MATCH('Full Customer List'!D254,'Customer List Mapping'!$B:$B,0))</f>
        <v>STR Owner</v>
      </c>
      <c r="F254" s="192" t="str">
        <f>INDEX('Customer List'!$K:$K,MATCH('Full Customer List'!$B254,'Customer List'!$A:$A,0))</f>
        <v/>
      </c>
      <c r="G254" s="192">
        <f>INDEX('Revenue by Customer'!$I:$I,MATCH('Full Customer List'!$B254,'Revenue by Customer'!$A:$A,0))</f>
        <v>310</v>
      </c>
      <c r="H254" s="257" t="str">
        <f>IFERROR(IF(C254="Active","",INDEX('Client Departures'!$G:$G,MATCH('Full Customer List'!$B254,'Client Departures'!$A:$A,0))),"Unclassified")</f>
        <v/>
      </c>
      <c r="I254" s="196">
        <v>46113</v>
      </c>
      <c r="J254" s="196"/>
      <c r="K254" s="192" t="str">
        <f>INDEX('Revenue by Customer'!K:K,MATCH('Full Customer List'!$B254,'Revenue by Customer'!$A:$A,0))</f>
        <v/>
      </c>
      <c r="L254" s="192" t="str">
        <f>INDEX('Revenue by Customer'!L:L,MATCH('Full Customer List'!$B254,'Revenue by Customer'!$A:$A,0))</f>
        <v/>
      </c>
      <c r="M254" s="192" t="str">
        <f>INDEX('Revenue by Customer'!M:M,MATCH('Full Customer List'!$B254,'Revenue by Customer'!$A:$A,0))</f>
        <v/>
      </c>
      <c r="N254" s="192" t="str">
        <f>INDEX('Revenue by Customer'!N:N,MATCH('Full Customer List'!$B254,'Revenue by Customer'!$A:$A,0))</f>
        <v/>
      </c>
      <c r="O254" s="192" t="str">
        <f>INDEX('Revenue by Customer'!O:O,MATCH('Full Customer List'!$B254,'Revenue by Customer'!$A:$A,0))</f>
        <v/>
      </c>
      <c r="P254" s="192" t="str">
        <f>INDEX('Revenue by Customer'!P:P,MATCH('Full Customer List'!$B254,'Revenue by Customer'!$A:$A,0))</f>
        <v/>
      </c>
      <c r="Q254" s="192" t="str">
        <f>INDEX('Revenue by Customer'!Q:Q,MATCH('Full Customer List'!$B254,'Revenue by Customer'!$A:$A,0))</f>
        <v/>
      </c>
      <c r="R254" s="192" t="str">
        <f>INDEX('Revenue by Customer'!R:R,MATCH('Full Customer List'!$B254,'Revenue by Customer'!$A:$A,0))</f>
        <v/>
      </c>
      <c r="S254" s="192" t="str">
        <f>INDEX('Revenue by Customer'!S:S,MATCH('Full Customer List'!$B254,'Revenue by Customer'!$A:$A,0))</f>
        <v/>
      </c>
      <c r="T254" s="192" t="str">
        <f>INDEX('Revenue by Customer'!T:T,MATCH('Full Customer List'!$B254,'Revenue by Customer'!$A:$A,0))</f>
        <v/>
      </c>
      <c r="U254" s="192" t="str">
        <f>INDEX('Revenue by Customer'!U:U,MATCH('Full Customer List'!$B254,'Revenue by Customer'!$A:$A,0))</f>
        <v/>
      </c>
      <c r="V254" s="192" t="str">
        <f>INDEX('Revenue by Customer'!V:V,MATCH('Full Customer List'!$B254,'Revenue by Customer'!$A:$A,0))</f>
        <v/>
      </c>
      <c r="W254" s="192" t="str">
        <f>INDEX('Revenue by Customer'!W:W,MATCH('Full Customer List'!$B254,'Revenue by Customer'!$A:$A,0))</f>
        <v/>
      </c>
      <c r="X254" s="192" t="str">
        <f>INDEX('Revenue by Customer'!X:X,MATCH('Full Customer List'!$B254,'Revenue by Customer'!$A:$A,0))</f>
        <v/>
      </c>
      <c r="Y254" s="192" t="str">
        <f>INDEX('Revenue by Customer'!Y:Y,MATCH('Full Customer List'!$B254,'Revenue by Customer'!$A:$A,0))</f>
        <v/>
      </c>
      <c r="Z254" s="192">
        <f>INDEX('Revenue by Customer'!Z:Z,MATCH('Full Customer List'!$B254,'Revenue by Customer'!$A:$A,0))</f>
        <v>310</v>
      </c>
      <c r="AA254" s="192">
        <f>INDEX('Revenue by Customer'!AA:AA,MATCH('Full Customer List'!$B254,'Revenue by Customer'!$A:$A,0))</f>
        <v>310</v>
      </c>
      <c r="AB254" s="192">
        <f>INDEX('Revenue by Customer'!AB:AB,MATCH('Full Customer List'!$B254,'Revenue by Customer'!$A:$A,0))</f>
        <v>310</v>
      </c>
      <c r="AC254" s="192">
        <f>INDEX('Revenue by Customer'!AC:AC,MATCH('Full Customer List'!$B254,'Revenue by Customer'!$A:$A,0))</f>
        <v>310</v>
      </c>
    </row>
    <row r="255" spans="2:29" ht="12" customHeight="1">
      <c r="B255" s="173" t="s">
        <v>906</v>
      </c>
      <c r="C255" s="173" t="str">
        <f>INDEX('Customer List'!$B:$B,MATCH('Full Customer List'!$B255,'Customer List'!$A:$A,0))</f>
        <v>Active</v>
      </c>
      <c r="D255" s="173" t="str">
        <f>INDEX('Customer List'!$C:$C,MATCH('Full Customer List'!$B255,'Customer List'!$A:$A,0))</f>
        <v>Property manager</v>
      </c>
      <c r="E255" s="173" t="str">
        <f>INDEX('Customer List Mapping'!$C:$C,MATCH('Full Customer List'!D255,'Customer List Mapping'!$B:$B,0))</f>
        <v>Property Manager</v>
      </c>
      <c r="F255" s="192">
        <f>INDEX('Customer List'!$K:$K,MATCH('Full Customer List'!$B255,'Customer List'!$A:$A,0))</f>
        <v>4</v>
      </c>
      <c r="G255" s="192">
        <f>INDEX('Revenue by Customer'!$I:$I,MATCH('Full Customer List'!$B255,'Revenue by Customer'!$A:$A,0))</f>
        <v>614.5</v>
      </c>
      <c r="H255" s="257" t="str">
        <f>IFERROR(IF(C255="Active","",INDEX('Client Departures'!$G:$G,MATCH('Full Customer List'!$B255,'Client Departures'!$A:$A,0))),"Unclassified")</f>
        <v/>
      </c>
      <c r="I255" s="196">
        <v>46174</v>
      </c>
      <c r="J255" s="196"/>
      <c r="K255" s="192" t="str">
        <f>INDEX('Revenue by Customer'!K:K,MATCH('Full Customer List'!$B255,'Revenue by Customer'!$A:$A,0))</f>
        <v/>
      </c>
      <c r="L255" s="192" t="str">
        <f>INDEX('Revenue by Customer'!L:L,MATCH('Full Customer List'!$B255,'Revenue by Customer'!$A:$A,0))</f>
        <v/>
      </c>
      <c r="M255" s="192" t="str">
        <f>INDEX('Revenue by Customer'!M:M,MATCH('Full Customer List'!$B255,'Revenue by Customer'!$A:$A,0))</f>
        <v/>
      </c>
      <c r="N255" s="192" t="str">
        <f>INDEX('Revenue by Customer'!N:N,MATCH('Full Customer List'!$B255,'Revenue by Customer'!$A:$A,0))</f>
        <v/>
      </c>
      <c r="O255" s="192" t="str">
        <f>INDEX('Revenue by Customer'!O:O,MATCH('Full Customer List'!$B255,'Revenue by Customer'!$A:$A,0))</f>
        <v/>
      </c>
      <c r="P255" s="192" t="str">
        <f>INDEX('Revenue by Customer'!P:P,MATCH('Full Customer List'!$B255,'Revenue by Customer'!$A:$A,0))</f>
        <v/>
      </c>
      <c r="Q255" s="192" t="str">
        <f>INDEX('Revenue by Customer'!Q:Q,MATCH('Full Customer List'!$B255,'Revenue by Customer'!$A:$A,0))</f>
        <v/>
      </c>
      <c r="R255" s="192" t="str">
        <f>INDEX('Revenue by Customer'!R:R,MATCH('Full Customer List'!$B255,'Revenue by Customer'!$A:$A,0))</f>
        <v/>
      </c>
      <c r="S255" s="192" t="str">
        <f>INDEX('Revenue by Customer'!S:S,MATCH('Full Customer List'!$B255,'Revenue by Customer'!$A:$A,0))</f>
        <v/>
      </c>
      <c r="T255" s="192" t="str">
        <f>INDEX('Revenue by Customer'!T:T,MATCH('Full Customer List'!$B255,'Revenue by Customer'!$A:$A,0))</f>
        <v/>
      </c>
      <c r="U255" s="192" t="str">
        <f>INDEX('Revenue by Customer'!U:U,MATCH('Full Customer List'!$B255,'Revenue by Customer'!$A:$A,0))</f>
        <v/>
      </c>
      <c r="V255" s="192" t="str">
        <f>INDEX('Revenue by Customer'!V:V,MATCH('Full Customer List'!$B255,'Revenue by Customer'!$A:$A,0))</f>
        <v/>
      </c>
      <c r="W255" s="192" t="str">
        <f>INDEX('Revenue by Customer'!W:W,MATCH('Full Customer List'!$B255,'Revenue by Customer'!$A:$A,0))</f>
        <v/>
      </c>
      <c r="X255" s="192" t="str">
        <f>INDEX('Revenue by Customer'!X:X,MATCH('Full Customer List'!$B255,'Revenue by Customer'!$A:$A,0))</f>
        <v/>
      </c>
      <c r="Y255" s="192" t="str">
        <f>INDEX('Revenue by Customer'!Y:Y,MATCH('Full Customer List'!$B255,'Revenue by Customer'!$A:$A,0))</f>
        <v/>
      </c>
      <c r="Z255" s="192" t="str">
        <f>INDEX('Revenue by Customer'!Z:Z,MATCH('Full Customer List'!$B255,'Revenue by Customer'!$A:$A,0))</f>
        <v/>
      </c>
      <c r="AA255" s="192" t="str">
        <f>INDEX('Revenue by Customer'!AA:AA,MATCH('Full Customer List'!$B255,'Revenue by Customer'!$A:$A,0))</f>
        <v/>
      </c>
      <c r="AB255" s="192">
        <f>INDEX('Revenue by Customer'!AB:AB,MATCH('Full Customer List'!$B255,'Revenue by Customer'!$A:$A,0))</f>
        <v>811</v>
      </c>
      <c r="AC255" s="192">
        <f>INDEX('Revenue by Customer'!AC:AC,MATCH('Full Customer List'!$B255,'Revenue by Customer'!$A:$A,0))</f>
        <v>418</v>
      </c>
    </row>
    <row r="256" spans="2:29" ht="12" customHeight="1">
      <c r="B256" s="173" t="s">
        <v>908</v>
      </c>
      <c r="C256" s="173" t="str">
        <f>INDEX('Customer List'!$B:$B,MATCH('Full Customer List'!$B256,'Customer List'!$A:$A,0))</f>
        <v>Active</v>
      </c>
      <c r="D256" s="173" t="str">
        <f>INDEX('Customer List'!$C:$C,MATCH('Full Customer List'!$B256,'Customer List'!$A:$A,0))</f>
        <v>STR owner</v>
      </c>
      <c r="E256" s="173" t="str">
        <f>INDEX('Customer List Mapping'!$C:$C,MATCH('Full Customer List'!D256,'Customer List Mapping'!$B:$B,0))</f>
        <v>STR Owner</v>
      </c>
      <c r="F256" s="192">
        <f>INDEX('Customer List'!$K:$K,MATCH('Full Customer List'!$B256,'Customer List'!$A:$A,0))</f>
        <v>0</v>
      </c>
      <c r="G256" s="192">
        <f>INDEX('Revenue by Customer'!$I:$I,MATCH('Full Customer List'!$B256,'Revenue by Customer'!$A:$A,0))</f>
        <v>150</v>
      </c>
      <c r="H256" s="257" t="str">
        <f>IFERROR(IF(C256="Active","",INDEX('Client Departures'!$G:$G,MATCH('Full Customer List'!$B256,'Client Departures'!$A:$A,0))),"Unclassified")</f>
        <v/>
      </c>
      <c r="I256" s="196">
        <v>45992</v>
      </c>
      <c r="J256" s="196"/>
      <c r="K256" s="192" t="str">
        <f>INDEX('Revenue by Customer'!K:K,MATCH('Full Customer List'!$B256,'Revenue by Customer'!$A:$A,0))</f>
        <v/>
      </c>
      <c r="L256" s="192" t="str">
        <f>INDEX('Revenue by Customer'!L:L,MATCH('Full Customer List'!$B256,'Revenue by Customer'!$A:$A,0))</f>
        <v/>
      </c>
      <c r="M256" s="192" t="str">
        <f>INDEX('Revenue by Customer'!M:M,MATCH('Full Customer List'!$B256,'Revenue by Customer'!$A:$A,0))</f>
        <v/>
      </c>
      <c r="N256" s="192" t="str">
        <f>INDEX('Revenue by Customer'!N:N,MATCH('Full Customer List'!$B256,'Revenue by Customer'!$A:$A,0))</f>
        <v/>
      </c>
      <c r="O256" s="192" t="str">
        <f>INDEX('Revenue by Customer'!O:O,MATCH('Full Customer List'!$B256,'Revenue by Customer'!$A:$A,0))</f>
        <v/>
      </c>
      <c r="P256" s="192" t="str">
        <f>INDEX('Revenue by Customer'!P:P,MATCH('Full Customer List'!$B256,'Revenue by Customer'!$A:$A,0))</f>
        <v/>
      </c>
      <c r="Q256" s="192" t="str">
        <f>INDEX('Revenue by Customer'!Q:Q,MATCH('Full Customer List'!$B256,'Revenue by Customer'!$A:$A,0))</f>
        <v/>
      </c>
      <c r="R256" s="192" t="str">
        <f>INDEX('Revenue by Customer'!R:R,MATCH('Full Customer List'!$B256,'Revenue by Customer'!$A:$A,0))</f>
        <v/>
      </c>
      <c r="S256" s="192" t="str">
        <f>INDEX('Revenue by Customer'!S:S,MATCH('Full Customer List'!$B256,'Revenue by Customer'!$A:$A,0))</f>
        <v/>
      </c>
      <c r="T256" s="192" t="str">
        <f>INDEX('Revenue by Customer'!T:T,MATCH('Full Customer List'!$B256,'Revenue by Customer'!$A:$A,0))</f>
        <v/>
      </c>
      <c r="U256" s="192" t="str">
        <f>INDEX('Revenue by Customer'!U:U,MATCH('Full Customer List'!$B256,'Revenue by Customer'!$A:$A,0))</f>
        <v/>
      </c>
      <c r="V256" s="192">
        <f>INDEX('Revenue by Customer'!V:V,MATCH('Full Customer List'!$B256,'Revenue by Customer'!$A:$A,0))</f>
        <v>150</v>
      </c>
      <c r="W256" s="192">
        <f>INDEX('Revenue by Customer'!W:W,MATCH('Full Customer List'!$B256,'Revenue by Customer'!$A:$A,0))</f>
        <v>150</v>
      </c>
      <c r="X256" s="192">
        <f>INDEX('Revenue by Customer'!X:X,MATCH('Full Customer List'!$B256,'Revenue by Customer'!$A:$A,0))</f>
        <v>165</v>
      </c>
      <c r="Y256" s="192">
        <f>INDEX('Revenue by Customer'!Y:Y,MATCH('Full Customer List'!$B256,'Revenue by Customer'!$A:$A,0))</f>
        <v>150</v>
      </c>
      <c r="Z256" s="192">
        <f>INDEX('Revenue by Customer'!Z:Z,MATCH('Full Customer List'!$B256,'Revenue by Customer'!$A:$A,0))</f>
        <v>150</v>
      </c>
      <c r="AA256" s="192">
        <f>INDEX('Revenue by Customer'!AA:AA,MATCH('Full Customer List'!$B256,'Revenue by Customer'!$A:$A,0))</f>
        <v>150</v>
      </c>
      <c r="AB256" s="192">
        <f>INDEX('Revenue by Customer'!AB:AB,MATCH('Full Customer List'!$B256,'Revenue by Customer'!$A:$A,0))</f>
        <v>150</v>
      </c>
      <c r="AC256" s="192">
        <f>INDEX('Revenue by Customer'!AC:AC,MATCH('Full Customer List'!$B256,'Revenue by Customer'!$A:$A,0))</f>
        <v>150</v>
      </c>
    </row>
    <row r="257" spans="2:29" ht="12" customHeight="1">
      <c r="B257" s="173" t="s">
        <v>909</v>
      </c>
      <c r="C257" s="173" t="str">
        <f>INDEX('Customer List'!$B:$B,MATCH('Full Customer List'!$B257,'Customer List'!$A:$A,0))</f>
        <v>Active</v>
      </c>
      <c r="D257" s="173" t="str">
        <f>INDEX('Customer List'!$C:$C,MATCH('Full Customer List'!$B257,'Customer List'!$A:$A,0))</f>
        <v>Property manager</v>
      </c>
      <c r="E257" s="173" t="str">
        <f>INDEX('Customer List Mapping'!$C:$C,MATCH('Full Customer List'!D257,'Customer List Mapping'!$B:$B,0))</f>
        <v>Property Manager</v>
      </c>
      <c r="F257" s="192">
        <f>INDEX('Customer List'!$K:$K,MATCH('Full Customer List'!$B257,'Customer List'!$A:$A,0))</f>
        <v>3</v>
      </c>
      <c r="G257" s="192">
        <f>INDEX('Revenue by Customer'!$I:$I,MATCH('Full Customer List'!$B257,'Revenue by Customer'!$A:$A,0))</f>
        <v>603.25</v>
      </c>
      <c r="H257" s="257" t="str">
        <f>IFERROR(IF(C257="Active","",INDEX('Client Departures'!$G:$G,MATCH('Full Customer List'!$B257,'Client Departures'!$A:$A,0))),"Unclassified")</f>
        <v/>
      </c>
      <c r="I257" s="196">
        <v>46174</v>
      </c>
      <c r="J257" s="196"/>
      <c r="K257" s="192" t="str">
        <f>INDEX('Revenue by Customer'!K:K,MATCH('Full Customer List'!$B257,'Revenue by Customer'!$A:$A,0))</f>
        <v/>
      </c>
      <c r="L257" s="192" t="str">
        <f>INDEX('Revenue by Customer'!L:L,MATCH('Full Customer List'!$B257,'Revenue by Customer'!$A:$A,0))</f>
        <v/>
      </c>
      <c r="M257" s="192" t="str">
        <f>INDEX('Revenue by Customer'!M:M,MATCH('Full Customer List'!$B257,'Revenue by Customer'!$A:$A,0))</f>
        <v/>
      </c>
      <c r="N257" s="192" t="str">
        <f>INDEX('Revenue by Customer'!N:N,MATCH('Full Customer List'!$B257,'Revenue by Customer'!$A:$A,0))</f>
        <v/>
      </c>
      <c r="O257" s="192" t="str">
        <f>INDEX('Revenue by Customer'!O:O,MATCH('Full Customer List'!$B257,'Revenue by Customer'!$A:$A,0))</f>
        <v/>
      </c>
      <c r="P257" s="192" t="str">
        <f>INDEX('Revenue by Customer'!P:P,MATCH('Full Customer List'!$B257,'Revenue by Customer'!$A:$A,0))</f>
        <v/>
      </c>
      <c r="Q257" s="192" t="str">
        <f>INDEX('Revenue by Customer'!Q:Q,MATCH('Full Customer List'!$B257,'Revenue by Customer'!$A:$A,0))</f>
        <v/>
      </c>
      <c r="R257" s="192" t="str">
        <f>INDEX('Revenue by Customer'!R:R,MATCH('Full Customer List'!$B257,'Revenue by Customer'!$A:$A,0))</f>
        <v/>
      </c>
      <c r="S257" s="192" t="str">
        <f>INDEX('Revenue by Customer'!S:S,MATCH('Full Customer List'!$B257,'Revenue by Customer'!$A:$A,0))</f>
        <v/>
      </c>
      <c r="T257" s="192" t="str">
        <f>INDEX('Revenue by Customer'!T:T,MATCH('Full Customer List'!$B257,'Revenue by Customer'!$A:$A,0))</f>
        <v/>
      </c>
      <c r="U257" s="192" t="str">
        <f>INDEX('Revenue by Customer'!U:U,MATCH('Full Customer List'!$B257,'Revenue by Customer'!$A:$A,0))</f>
        <v/>
      </c>
      <c r="V257" s="192" t="str">
        <f>INDEX('Revenue by Customer'!V:V,MATCH('Full Customer List'!$B257,'Revenue by Customer'!$A:$A,0))</f>
        <v/>
      </c>
      <c r="W257" s="192" t="str">
        <f>INDEX('Revenue by Customer'!W:W,MATCH('Full Customer List'!$B257,'Revenue by Customer'!$A:$A,0))</f>
        <v/>
      </c>
      <c r="X257" s="192" t="str">
        <f>INDEX('Revenue by Customer'!X:X,MATCH('Full Customer List'!$B257,'Revenue by Customer'!$A:$A,0))</f>
        <v/>
      </c>
      <c r="Y257" s="192" t="str">
        <f>INDEX('Revenue by Customer'!Y:Y,MATCH('Full Customer List'!$B257,'Revenue by Customer'!$A:$A,0))</f>
        <v/>
      </c>
      <c r="Z257" s="192" t="str">
        <f>INDEX('Revenue by Customer'!Z:Z,MATCH('Full Customer List'!$B257,'Revenue by Customer'!$A:$A,0))</f>
        <v/>
      </c>
      <c r="AA257" s="192" t="str">
        <f>INDEX('Revenue by Customer'!AA:AA,MATCH('Full Customer List'!$B257,'Revenue by Customer'!$A:$A,0))</f>
        <v/>
      </c>
      <c r="AB257" s="192">
        <f>INDEX('Revenue by Customer'!AB:AB,MATCH('Full Customer List'!$B257,'Revenue by Customer'!$A:$A,0))</f>
        <v>833.5</v>
      </c>
      <c r="AC257" s="192">
        <f>INDEX('Revenue by Customer'!AC:AC,MATCH('Full Customer List'!$B257,'Revenue by Customer'!$A:$A,0))</f>
        <v>373</v>
      </c>
    </row>
    <row r="258" spans="2:29" ht="12" customHeight="1">
      <c r="B258" s="173" t="s">
        <v>910</v>
      </c>
      <c r="C258" s="173" t="str">
        <f>INDEX('Customer List'!$B:$B,MATCH('Full Customer List'!$B258,'Customer List'!$A:$A,0))</f>
        <v>Former client</v>
      </c>
      <c r="D258" s="173" t="str">
        <f>INDEX('Customer List'!$C:$C,MATCH('Full Customer List'!$B258,'Customer List'!$A:$A,0))</f>
        <v>Tax client only</v>
      </c>
      <c r="E258" s="173" t="str">
        <f>INDEX('Customer List Mapping'!$C:$C,MATCH('Full Customer List'!D258,'Customer List Mapping'!$B:$B,0))</f>
        <v>Tax-Only Client</v>
      </c>
      <c r="F258" s="192" t="str">
        <f>INDEX('Customer List'!$K:$K,MATCH('Full Customer List'!$B258,'Customer List'!$A:$A,0))</f>
        <v/>
      </c>
      <c r="G258" s="192">
        <f>INDEX('Revenue by Customer'!$I:$I,MATCH('Full Customer List'!$B258,'Revenue by Customer'!$A:$A,0))</f>
        <v>1125</v>
      </c>
      <c r="H258" s="257" t="str">
        <f>IFERROR(IF(C258="Active","",INDEX('Client Departures'!$G:$G,MATCH('Full Customer List'!$B258,'Client Departures'!$A:$A,0))),"Unclassified")</f>
        <v>Unclassified</v>
      </c>
      <c r="I258" s="196">
        <v>46023</v>
      </c>
      <c r="J258" s="196"/>
      <c r="K258" s="192" t="str">
        <f>INDEX('Revenue by Customer'!K:K,MATCH('Full Customer List'!$B258,'Revenue by Customer'!$A:$A,0))</f>
        <v/>
      </c>
      <c r="L258" s="192" t="str">
        <f>INDEX('Revenue by Customer'!L:L,MATCH('Full Customer List'!$B258,'Revenue by Customer'!$A:$A,0))</f>
        <v/>
      </c>
      <c r="M258" s="192" t="str">
        <f>INDEX('Revenue by Customer'!M:M,MATCH('Full Customer List'!$B258,'Revenue by Customer'!$A:$A,0))</f>
        <v/>
      </c>
      <c r="N258" s="192" t="str">
        <f>INDEX('Revenue by Customer'!N:N,MATCH('Full Customer List'!$B258,'Revenue by Customer'!$A:$A,0))</f>
        <v/>
      </c>
      <c r="O258" s="192" t="str">
        <f>INDEX('Revenue by Customer'!O:O,MATCH('Full Customer List'!$B258,'Revenue by Customer'!$A:$A,0))</f>
        <v/>
      </c>
      <c r="P258" s="192" t="str">
        <f>INDEX('Revenue by Customer'!P:P,MATCH('Full Customer List'!$B258,'Revenue by Customer'!$A:$A,0))</f>
        <v/>
      </c>
      <c r="Q258" s="192" t="str">
        <f>INDEX('Revenue by Customer'!Q:Q,MATCH('Full Customer List'!$B258,'Revenue by Customer'!$A:$A,0))</f>
        <v/>
      </c>
      <c r="R258" s="192" t="str">
        <f>INDEX('Revenue by Customer'!R:R,MATCH('Full Customer List'!$B258,'Revenue by Customer'!$A:$A,0))</f>
        <v/>
      </c>
      <c r="S258" s="192" t="str">
        <f>INDEX('Revenue by Customer'!S:S,MATCH('Full Customer List'!$B258,'Revenue by Customer'!$A:$A,0))</f>
        <v/>
      </c>
      <c r="T258" s="192" t="str">
        <f>INDEX('Revenue by Customer'!T:T,MATCH('Full Customer List'!$B258,'Revenue by Customer'!$A:$A,0))</f>
        <v/>
      </c>
      <c r="U258" s="192" t="str">
        <f>INDEX('Revenue by Customer'!U:U,MATCH('Full Customer List'!$B258,'Revenue by Customer'!$A:$A,0))</f>
        <v/>
      </c>
      <c r="V258" s="192" t="str">
        <f>INDEX('Revenue by Customer'!V:V,MATCH('Full Customer List'!$B258,'Revenue by Customer'!$A:$A,0))</f>
        <v/>
      </c>
      <c r="W258" s="192">
        <f>INDEX('Revenue by Customer'!W:W,MATCH('Full Customer List'!$B258,'Revenue by Customer'!$A:$A,0))</f>
        <v>1125</v>
      </c>
      <c r="X258" s="192" t="str">
        <f>INDEX('Revenue by Customer'!X:X,MATCH('Full Customer List'!$B258,'Revenue by Customer'!$A:$A,0))</f>
        <v/>
      </c>
      <c r="Y258" s="192" t="str">
        <f>INDEX('Revenue by Customer'!Y:Y,MATCH('Full Customer List'!$B258,'Revenue by Customer'!$A:$A,0))</f>
        <v/>
      </c>
      <c r="Z258" s="192" t="str">
        <f>INDEX('Revenue by Customer'!Z:Z,MATCH('Full Customer List'!$B258,'Revenue by Customer'!$A:$A,0))</f>
        <v/>
      </c>
      <c r="AA258" s="192" t="str">
        <f>INDEX('Revenue by Customer'!AA:AA,MATCH('Full Customer List'!$B258,'Revenue by Customer'!$A:$A,0))</f>
        <v/>
      </c>
      <c r="AB258" s="192" t="str">
        <f>INDEX('Revenue by Customer'!AB:AB,MATCH('Full Customer List'!$B258,'Revenue by Customer'!$A:$A,0))</f>
        <v/>
      </c>
      <c r="AC258" s="192" t="str">
        <f>INDEX('Revenue by Customer'!AC:AC,MATCH('Full Customer List'!$B258,'Revenue by Customer'!$A:$A,0))</f>
        <v/>
      </c>
    </row>
    <row r="259" spans="2:29" ht="12" customHeight="1">
      <c r="B259" s="173" t="s">
        <v>911</v>
      </c>
      <c r="C259" s="173" t="str">
        <f>INDEX('Customer List'!$B:$B,MATCH('Full Customer List'!$B259,'Customer List'!$A:$A,0))</f>
        <v>Onboarding</v>
      </c>
      <c r="D259" s="173" t="str">
        <f>INDEX('Customer List'!$C:$C,MATCH('Full Customer List'!$B259,'Customer List'!$A:$A,0))</f>
        <v>Property manager</v>
      </c>
      <c r="E259" s="173" t="str">
        <f>INDEX('Customer List Mapping'!$C:$C,MATCH('Full Customer List'!D259,'Customer List Mapping'!$B:$B,0))</f>
        <v>Property Manager</v>
      </c>
      <c r="F259" s="192">
        <f>INDEX('Customer List'!$K:$K,MATCH('Full Customer List'!$B259,'Customer List'!$A:$A,0))</f>
        <v>6</v>
      </c>
      <c r="G259" s="192">
        <f>INDEX('Revenue by Customer'!$I:$I,MATCH('Full Customer List'!$B259,'Revenue by Customer'!$A:$A,0))</f>
        <v>1101</v>
      </c>
      <c r="H259" s="257" t="str">
        <f>IFERROR(IF(C259="Active","",INDEX('Client Departures'!$G:$G,MATCH('Full Customer List'!$B259,'Client Departures'!$A:$A,0))),"Unclassified")</f>
        <v>Unclassified</v>
      </c>
      <c r="I259" s="196">
        <v>46204</v>
      </c>
      <c r="J259" s="196"/>
      <c r="K259" s="192" t="str">
        <f>INDEX('Revenue by Customer'!K:K,MATCH('Full Customer List'!$B259,'Revenue by Customer'!$A:$A,0))</f>
        <v/>
      </c>
      <c r="L259" s="192" t="str">
        <f>INDEX('Revenue by Customer'!L:L,MATCH('Full Customer List'!$B259,'Revenue by Customer'!$A:$A,0))</f>
        <v/>
      </c>
      <c r="M259" s="192" t="str">
        <f>INDEX('Revenue by Customer'!M:M,MATCH('Full Customer List'!$B259,'Revenue by Customer'!$A:$A,0))</f>
        <v/>
      </c>
      <c r="N259" s="192" t="str">
        <f>INDEX('Revenue by Customer'!N:N,MATCH('Full Customer List'!$B259,'Revenue by Customer'!$A:$A,0))</f>
        <v/>
      </c>
      <c r="O259" s="192" t="str">
        <f>INDEX('Revenue by Customer'!O:O,MATCH('Full Customer List'!$B259,'Revenue by Customer'!$A:$A,0))</f>
        <v/>
      </c>
      <c r="P259" s="192" t="str">
        <f>INDEX('Revenue by Customer'!P:P,MATCH('Full Customer List'!$B259,'Revenue by Customer'!$A:$A,0))</f>
        <v/>
      </c>
      <c r="Q259" s="192" t="str">
        <f>INDEX('Revenue by Customer'!Q:Q,MATCH('Full Customer List'!$B259,'Revenue by Customer'!$A:$A,0))</f>
        <v/>
      </c>
      <c r="R259" s="192" t="str">
        <f>INDEX('Revenue by Customer'!R:R,MATCH('Full Customer List'!$B259,'Revenue by Customer'!$A:$A,0))</f>
        <v/>
      </c>
      <c r="S259" s="192" t="str">
        <f>INDEX('Revenue by Customer'!S:S,MATCH('Full Customer List'!$B259,'Revenue by Customer'!$A:$A,0))</f>
        <v/>
      </c>
      <c r="T259" s="192" t="str">
        <f>INDEX('Revenue by Customer'!T:T,MATCH('Full Customer List'!$B259,'Revenue by Customer'!$A:$A,0))</f>
        <v/>
      </c>
      <c r="U259" s="192" t="str">
        <f>INDEX('Revenue by Customer'!U:U,MATCH('Full Customer List'!$B259,'Revenue by Customer'!$A:$A,0))</f>
        <v/>
      </c>
      <c r="V259" s="192" t="str">
        <f>INDEX('Revenue by Customer'!V:V,MATCH('Full Customer List'!$B259,'Revenue by Customer'!$A:$A,0))</f>
        <v/>
      </c>
      <c r="W259" s="192" t="str">
        <f>INDEX('Revenue by Customer'!W:W,MATCH('Full Customer List'!$B259,'Revenue by Customer'!$A:$A,0))</f>
        <v/>
      </c>
      <c r="X259" s="192" t="str">
        <f>INDEX('Revenue by Customer'!X:X,MATCH('Full Customer List'!$B259,'Revenue by Customer'!$A:$A,0))</f>
        <v/>
      </c>
      <c r="Y259" s="192" t="str">
        <f>INDEX('Revenue by Customer'!Y:Y,MATCH('Full Customer List'!$B259,'Revenue by Customer'!$A:$A,0))</f>
        <v/>
      </c>
      <c r="Z259" s="192" t="str">
        <f>INDEX('Revenue by Customer'!Z:Z,MATCH('Full Customer List'!$B259,'Revenue by Customer'!$A:$A,0))</f>
        <v/>
      </c>
      <c r="AA259" s="192" t="str">
        <f>INDEX('Revenue by Customer'!AA:AA,MATCH('Full Customer List'!$B259,'Revenue by Customer'!$A:$A,0))</f>
        <v/>
      </c>
      <c r="AB259" s="192" t="str">
        <f>INDEX('Revenue by Customer'!AB:AB,MATCH('Full Customer List'!$B259,'Revenue by Customer'!$A:$A,0))</f>
        <v/>
      </c>
      <c r="AC259" s="192">
        <f>INDEX('Revenue by Customer'!AC:AC,MATCH('Full Customer List'!$B259,'Revenue by Customer'!$A:$A,0))</f>
        <v>1101</v>
      </c>
    </row>
    <row r="260" spans="2:29" ht="12" customHeight="1">
      <c r="B260" s="173" t="s">
        <v>912</v>
      </c>
      <c r="C260" s="173" t="str">
        <f>INDEX('Customer List'!$B:$B,MATCH('Full Customer List'!$B260,'Customer List'!$A:$A,0))</f>
        <v>Former client</v>
      </c>
      <c r="D260" s="173" t="str">
        <f>INDEX('Customer List'!$C:$C,MATCH('Full Customer List'!$B260,'Customer List'!$A:$A,0))</f>
        <v>Tax client only</v>
      </c>
      <c r="E260" s="173" t="str">
        <f>INDEX('Customer List Mapping'!$C:$C,MATCH('Full Customer List'!D260,'Customer List Mapping'!$B:$B,0))</f>
        <v>Tax-Only Client</v>
      </c>
      <c r="F260" s="192" t="str">
        <f>INDEX('Customer List'!$K:$K,MATCH('Full Customer List'!$B260,'Customer List'!$A:$A,0))</f>
        <v/>
      </c>
      <c r="G260" s="192">
        <f>INDEX('Revenue by Customer'!$I:$I,MATCH('Full Customer List'!$B260,'Revenue by Customer'!$A:$A,0))</f>
        <v>1080</v>
      </c>
      <c r="H260" s="257" t="str">
        <f>IFERROR(IF(C260="Active","",INDEX('Client Departures'!$G:$G,MATCH('Full Customer List'!$B260,'Client Departures'!$A:$A,0))),"Unclassified")</f>
        <v>Unclassified</v>
      </c>
      <c r="I260" s="196">
        <v>45901</v>
      </c>
      <c r="J260" s="196"/>
      <c r="K260" s="192" t="str">
        <f>INDEX('Revenue by Customer'!K:K,MATCH('Full Customer List'!$B260,'Revenue by Customer'!$A:$A,0))</f>
        <v/>
      </c>
      <c r="L260" s="192" t="str">
        <f>INDEX('Revenue by Customer'!L:L,MATCH('Full Customer List'!$B260,'Revenue by Customer'!$A:$A,0))</f>
        <v/>
      </c>
      <c r="M260" s="192" t="str">
        <f>INDEX('Revenue by Customer'!M:M,MATCH('Full Customer List'!$B260,'Revenue by Customer'!$A:$A,0))</f>
        <v/>
      </c>
      <c r="N260" s="192" t="str">
        <f>INDEX('Revenue by Customer'!N:N,MATCH('Full Customer List'!$B260,'Revenue by Customer'!$A:$A,0))</f>
        <v/>
      </c>
      <c r="O260" s="192" t="str">
        <f>INDEX('Revenue by Customer'!O:O,MATCH('Full Customer List'!$B260,'Revenue by Customer'!$A:$A,0))</f>
        <v/>
      </c>
      <c r="P260" s="192" t="str">
        <f>INDEX('Revenue by Customer'!P:P,MATCH('Full Customer List'!$B260,'Revenue by Customer'!$A:$A,0))</f>
        <v/>
      </c>
      <c r="Q260" s="192" t="str">
        <f>INDEX('Revenue by Customer'!Q:Q,MATCH('Full Customer List'!$B260,'Revenue by Customer'!$A:$A,0))</f>
        <v/>
      </c>
      <c r="R260" s="192" t="str">
        <f>INDEX('Revenue by Customer'!R:R,MATCH('Full Customer List'!$B260,'Revenue by Customer'!$A:$A,0))</f>
        <v/>
      </c>
      <c r="S260" s="192">
        <f>INDEX('Revenue by Customer'!S:S,MATCH('Full Customer List'!$B260,'Revenue by Customer'!$A:$A,0))</f>
        <v>1080</v>
      </c>
      <c r="T260" s="192" t="str">
        <f>INDEX('Revenue by Customer'!T:T,MATCH('Full Customer List'!$B260,'Revenue by Customer'!$A:$A,0))</f>
        <v/>
      </c>
      <c r="U260" s="192" t="str">
        <f>INDEX('Revenue by Customer'!U:U,MATCH('Full Customer List'!$B260,'Revenue by Customer'!$A:$A,0))</f>
        <v/>
      </c>
      <c r="V260" s="192" t="str">
        <f>INDEX('Revenue by Customer'!V:V,MATCH('Full Customer List'!$B260,'Revenue by Customer'!$A:$A,0))</f>
        <v/>
      </c>
      <c r="W260" s="192" t="str">
        <f>INDEX('Revenue by Customer'!W:W,MATCH('Full Customer List'!$B260,'Revenue by Customer'!$A:$A,0))</f>
        <v/>
      </c>
      <c r="X260" s="192" t="str">
        <f>INDEX('Revenue by Customer'!X:X,MATCH('Full Customer List'!$B260,'Revenue by Customer'!$A:$A,0))</f>
        <v/>
      </c>
      <c r="Y260" s="192" t="str">
        <f>INDEX('Revenue by Customer'!Y:Y,MATCH('Full Customer List'!$B260,'Revenue by Customer'!$A:$A,0))</f>
        <v/>
      </c>
      <c r="Z260" s="192" t="str">
        <f>INDEX('Revenue by Customer'!Z:Z,MATCH('Full Customer List'!$B260,'Revenue by Customer'!$A:$A,0))</f>
        <v/>
      </c>
      <c r="AA260" s="192" t="str">
        <f>INDEX('Revenue by Customer'!AA:AA,MATCH('Full Customer List'!$B260,'Revenue by Customer'!$A:$A,0))</f>
        <v/>
      </c>
      <c r="AB260" s="192" t="str">
        <f>INDEX('Revenue by Customer'!AB:AB,MATCH('Full Customer List'!$B260,'Revenue by Customer'!$A:$A,0))</f>
        <v/>
      </c>
      <c r="AC260" s="192" t="str">
        <f>INDEX('Revenue by Customer'!AC:AC,MATCH('Full Customer List'!$B260,'Revenue by Customer'!$A:$A,0))</f>
        <v/>
      </c>
    </row>
    <row r="261" spans="2:29" ht="12" customHeight="1">
      <c r="B261" s="173" t="s">
        <v>913</v>
      </c>
      <c r="C261" s="173" t="str">
        <f>INDEX('Customer List'!$B:$B,MATCH('Full Customer List'!$B261,'Customer List'!$A:$A,0))</f>
        <v>Active</v>
      </c>
      <c r="D261" s="173" t="str">
        <f>INDEX('Customer List'!$C:$C,MATCH('Full Customer List'!$B261,'Customer List'!$A:$A,0))</f>
        <v>STR owner</v>
      </c>
      <c r="E261" s="173" t="str">
        <f>INDEX('Customer List Mapping'!$C:$C,MATCH('Full Customer List'!D261,'Customer List Mapping'!$B:$B,0))</f>
        <v>STR Owner</v>
      </c>
      <c r="F261" s="192" t="str">
        <f>INDEX('Customer List'!$K:$K,MATCH('Full Customer List'!$B261,'Customer List'!$A:$A,0))</f>
        <v/>
      </c>
      <c r="G261" s="192">
        <f>INDEX('Revenue by Customer'!$I:$I,MATCH('Full Customer List'!$B261,'Revenue by Customer'!$A:$A,0))</f>
        <v>260</v>
      </c>
      <c r="H261" s="257" t="str">
        <f>IFERROR(IF(C261="Active","",INDEX('Client Departures'!$G:$G,MATCH('Full Customer List'!$B261,'Client Departures'!$A:$A,0))),"Unclassified")</f>
        <v/>
      </c>
      <c r="I261" s="196">
        <v>46113</v>
      </c>
      <c r="J261" s="196"/>
      <c r="K261" s="192" t="str">
        <f>INDEX('Revenue by Customer'!K:K,MATCH('Full Customer List'!$B261,'Revenue by Customer'!$A:$A,0))</f>
        <v/>
      </c>
      <c r="L261" s="192" t="str">
        <f>INDEX('Revenue by Customer'!L:L,MATCH('Full Customer List'!$B261,'Revenue by Customer'!$A:$A,0))</f>
        <v/>
      </c>
      <c r="M261" s="192" t="str">
        <f>INDEX('Revenue by Customer'!M:M,MATCH('Full Customer List'!$B261,'Revenue by Customer'!$A:$A,0))</f>
        <v/>
      </c>
      <c r="N261" s="192" t="str">
        <f>INDEX('Revenue by Customer'!N:N,MATCH('Full Customer List'!$B261,'Revenue by Customer'!$A:$A,0))</f>
        <v/>
      </c>
      <c r="O261" s="192" t="str">
        <f>INDEX('Revenue by Customer'!O:O,MATCH('Full Customer List'!$B261,'Revenue by Customer'!$A:$A,0))</f>
        <v/>
      </c>
      <c r="P261" s="192" t="str">
        <f>INDEX('Revenue by Customer'!P:P,MATCH('Full Customer List'!$B261,'Revenue by Customer'!$A:$A,0))</f>
        <v/>
      </c>
      <c r="Q261" s="192" t="str">
        <f>INDEX('Revenue by Customer'!Q:Q,MATCH('Full Customer List'!$B261,'Revenue by Customer'!$A:$A,0))</f>
        <v/>
      </c>
      <c r="R261" s="192" t="str">
        <f>INDEX('Revenue by Customer'!R:R,MATCH('Full Customer List'!$B261,'Revenue by Customer'!$A:$A,0))</f>
        <v/>
      </c>
      <c r="S261" s="192" t="str">
        <f>INDEX('Revenue by Customer'!S:S,MATCH('Full Customer List'!$B261,'Revenue by Customer'!$A:$A,0))</f>
        <v/>
      </c>
      <c r="T261" s="192" t="str">
        <f>INDEX('Revenue by Customer'!T:T,MATCH('Full Customer List'!$B261,'Revenue by Customer'!$A:$A,0))</f>
        <v/>
      </c>
      <c r="U261" s="192" t="str">
        <f>INDEX('Revenue by Customer'!U:U,MATCH('Full Customer List'!$B261,'Revenue by Customer'!$A:$A,0))</f>
        <v/>
      </c>
      <c r="V261" s="192" t="str">
        <f>INDEX('Revenue by Customer'!V:V,MATCH('Full Customer List'!$B261,'Revenue by Customer'!$A:$A,0))</f>
        <v/>
      </c>
      <c r="W261" s="192" t="str">
        <f>INDEX('Revenue by Customer'!W:W,MATCH('Full Customer List'!$B261,'Revenue by Customer'!$A:$A,0))</f>
        <v/>
      </c>
      <c r="X261" s="192" t="str">
        <f>INDEX('Revenue by Customer'!X:X,MATCH('Full Customer List'!$B261,'Revenue by Customer'!$A:$A,0))</f>
        <v/>
      </c>
      <c r="Y261" s="192" t="str">
        <f>INDEX('Revenue by Customer'!Y:Y,MATCH('Full Customer List'!$B261,'Revenue by Customer'!$A:$A,0))</f>
        <v/>
      </c>
      <c r="Z261" s="192">
        <f>INDEX('Revenue by Customer'!Z:Z,MATCH('Full Customer List'!$B261,'Revenue by Customer'!$A:$A,0))</f>
        <v>260</v>
      </c>
      <c r="AA261" s="192">
        <f>INDEX('Revenue by Customer'!AA:AA,MATCH('Full Customer List'!$B261,'Revenue by Customer'!$A:$A,0))</f>
        <v>260</v>
      </c>
      <c r="AB261" s="192">
        <f>INDEX('Revenue by Customer'!AB:AB,MATCH('Full Customer List'!$B261,'Revenue by Customer'!$A:$A,0))</f>
        <v>260</v>
      </c>
      <c r="AC261" s="192">
        <f>INDEX('Revenue by Customer'!AC:AC,MATCH('Full Customer List'!$B261,'Revenue by Customer'!$A:$A,0))</f>
        <v>260</v>
      </c>
    </row>
    <row r="262" spans="2:29" ht="12" customHeight="1">
      <c r="B262" s="173" t="s">
        <v>914</v>
      </c>
      <c r="C262" s="173" t="str">
        <f>INDEX('Customer List'!$B:$B,MATCH('Full Customer List'!$B262,'Customer List'!$A:$A,0))</f>
        <v>Former client</v>
      </c>
      <c r="D262" s="173" t="str">
        <f>INDEX('Customer List'!$C:$C,MATCH('Full Customer List'!$B262,'Customer List'!$A:$A,0))</f>
        <v>Small business</v>
      </c>
      <c r="E262" s="173" t="str">
        <f>INDEX('Customer List Mapping'!$C:$C,MATCH('Full Customer List'!D262,'Customer List Mapping'!$B:$B,0))</f>
        <v>Small Business</v>
      </c>
      <c r="F262" s="192" t="str">
        <f>INDEX('Customer List'!$K:$K,MATCH('Full Customer List'!$B262,'Customer List'!$A:$A,0))</f>
        <v/>
      </c>
      <c r="G262" s="192">
        <f>INDEX('Revenue by Customer'!$I:$I,MATCH('Full Customer List'!$B262,'Revenue by Customer'!$A:$A,0))</f>
        <v>148.33333333333334</v>
      </c>
      <c r="H262" s="257" t="str">
        <f>IFERROR(IF(C262="Active","",INDEX('Client Departures'!$G:$G,MATCH('Full Customer List'!$B262,'Client Departures'!$A:$A,0))),"Unclassified")</f>
        <v>Yes</v>
      </c>
      <c r="I262" s="196">
        <v>44317</v>
      </c>
      <c r="J262" s="196">
        <v>46022</v>
      </c>
      <c r="K262" s="192">
        <f>INDEX('Revenue by Customer'!K:K,MATCH('Full Customer List'!$B262,'Revenue by Customer'!$A:$A,0))</f>
        <v>290</v>
      </c>
      <c r="L262" s="192">
        <f>INDEX('Revenue by Customer'!L:L,MATCH('Full Customer List'!$B262,'Revenue by Customer'!$A:$A,0))</f>
        <v>185</v>
      </c>
      <c r="M262" s="192">
        <f>INDEX('Revenue by Customer'!M:M,MATCH('Full Customer List'!$B262,'Revenue by Customer'!$A:$A,0))</f>
        <v>185</v>
      </c>
      <c r="N262" s="192">
        <f>INDEX('Revenue by Customer'!N:N,MATCH('Full Customer List'!$B262,'Revenue by Customer'!$A:$A,0))</f>
        <v>185</v>
      </c>
      <c r="O262" s="192">
        <f>INDEX('Revenue by Customer'!O:O,MATCH('Full Customer List'!$B262,'Revenue by Customer'!$A:$A,0))</f>
        <v>185</v>
      </c>
      <c r="P262" s="192">
        <f>INDEX('Revenue by Customer'!P:P,MATCH('Full Customer List'!$B262,'Revenue by Customer'!$A:$A,0))</f>
        <v>185</v>
      </c>
      <c r="Q262" s="192">
        <f>INDEX('Revenue by Customer'!Q:Q,MATCH('Full Customer List'!$B262,'Revenue by Customer'!$A:$A,0))</f>
        <v>185</v>
      </c>
      <c r="R262" s="192">
        <f>INDEX('Revenue by Customer'!R:R,MATCH('Full Customer List'!$B262,'Revenue by Customer'!$A:$A,0))</f>
        <v>185</v>
      </c>
      <c r="S262" s="192">
        <f>INDEX('Revenue by Customer'!S:S,MATCH('Full Customer List'!$B262,'Revenue by Customer'!$A:$A,0))</f>
        <v>185</v>
      </c>
      <c r="T262" s="192">
        <f>INDEX('Revenue by Customer'!T:T,MATCH('Full Customer List'!$B262,'Revenue by Customer'!$A:$A,0))</f>
        <v>185</v>
      </c>
      <c r="U262" s="192">
        <f>INDEX('Revenue by Customer'!U:U,MATCH('Full Customer List'!$B262,'Revenue by Customer'!$A:$A,0))</f>
        <v>185</v>
      </c>
      <c r="V262" s="192">
        <f>INDEX('Revenue by Customer'!V:V,MATCH('Full Customer List'!$B262,'Revenue by Customer'!$A:$A,0))</f>
        <v>185</v>
      </c>
      <c r="W262" s="192" t="str">
        <f>INDEX('Revenue by Customer'!W:W,MATCH('Full Customer List'!$B262,'Revenue by Customer'!$A:$A,0))</f>
        <v/>
      </c>
      <c r="X262" s="192">
        <f>INDEX('Revenue by Customer'!X:X,MATCH('Full Customer List'!$B262,'Revenue by Customer'!$A:$A,0))</f>
        <v>75</v>
      </c>
      <c r="Y262" s="192" t="str">
        <f>INDEX('Revenue by Customer'!Y:Y,MATCH('Full Customer List'!$B262,'Revenue by Customer'!$A:$A,0))</f>
        <v/>
      </c>
      <c r="Z262" s="192" t="str">
        <f>INDEX('Revenue by Customer'!Z:Z,MATCH('Full Customer List'!$B262,'Revenue by Customer'!$A:$A,0))</f>
        <v/>
      </c>
      <c r="AA262" s="192" t="str">
        <f>INDEX('Revenue by Customer'!AA:AA,MATCH('Full Customer List'!$B262,'Revenue by Customer'!$A:$A,0))</f>
        <v/>
      </c>
      <c r="AB262" s="192" t="str">
        <f>INDEX('Revenue by Customer'!AB:AB,MATCH('Full Customer List'!$B262,'Revenue by Customer'!$A:$A,0))</f>
        <v/>
      </c>
      <c r="AC262" s="192" t="str">
        <f>INDEX('Revenue by Customer'!AC:AC,MATCH('Full Customer List'!$B262,'Revenue by Customer'!$A:$A,0))</f>
        <v/>
      </c>
    </row>
    <row r="263" spans="2:29" ht="12" customHeight="1">
      <c r="B263" s="173" t="s">
        <v>915</v>
      </c>
      <c r="C263" s="173" t="str">
        <f>INDEX('Customer List'!$B:$B,MATCH('Full Customer List'!$B263,'Customer List'!$A:$A,0))</f>
        <v>Former client</v>
      </c>
      <c r="D263" s="173" t="str">
        <f>INDEX('Customer List'!$C:$C,MATCH('Full Customer List'!$B263,'Customer List'!$A:$A,0))</f>
        <v>Short-term rental (departed)</v>
      </c>
      <c r="E263" s="173" t="str">
        <f>INDEX('Customer List Mapping'!$C:$C,MATCH('Full Customer List'!D263,'Customer List Mapping'!$B:$B,0))</f>
        <v>Short-Term Rental</v>
      </c>
      <c r="F263" s="192" t="str">
        <f>INDEX('Customer List'!$K:$K,MATCH('Full Customer List'!$B263,'Customer List'!$A:$A,0))</f>
        <v/>
      </c>
      <c r="G263" s="192">
        <f>INDEX('Revenue by Customer'!$I:$I,MATCH('Full Customer List'!$B263,'Revenue by Customer'!$A:$A,0))</f>
        <v>490</v>
      </c>
      <c r="H263" s="257" t="str">
        <f>IFERROR(IF(C263="Active","",INDEX('Client Departures'!$G:$G,MATCH('Full Customer List'!$B263,'Client Departures'!$A:$A,0))),"Unclassified")</f>
        <v>No</v>
      </c>
      <c r="I263" s="196">
        <v>45870</v>
      </c>
      <c r="J263" s="196">
        <v>45930</v>
      </c>
      <c r="K263" s="192" t="str">
        <f>INDEX('Revenue by Customer'!K:K,MATCH('Full Customer List'!$B263,'Revenue by Customer'!$A:$A,0))</f>
        <v/>
      </c>
      <c r="L263" s="192" t="str">
        <f>INDEX('Revenue by Customer'!L:L,MATCH('Full Customer List'!$B263,'Revenue by Customer'!$A:$A,0))</f>
        <v/>
      </c>
      <c r="M263" s="192" t="str">
        <f>INDEX('Revenue by Customer'!M:M,MATCH('Full Customer List'!$B263,'Revenue by Customer'!$A:$A,0))</f>
        <v/>
      </c>
      <c r="N263" s="192" t="str">
        <f>INDEX('Revenue by Customer'!N:N,MATCH('Full Customer List'!$B263,'Revenue by Customer'!$A:$A,0))</f>
        <v/>
      </c>
      <c r="O263" s="192" t="str">
        <f>INDEX('Revenue by Customer'!O:O,MATCH('Full Customer List'!$B263,'Revenue by Customer'!$A:$A,0))</f>
        <v/>
      </c>
      <c r="P263" s="192" t="str">
        <f>INDEX('Revenue by Customer'!P:P,MATCH('Full Customer List'!$B263,'Revenue by Customer'!$A:$A,0))</f>
        <v/>
      </c>
      <c r="Q263" s="192" t="str">
        <f>INDEX('Revenue by Customer'!Q:Q,MATCH('Full Customer List'!$B263,'Revenue by Customer'!$A:$A,0))</f>
        <v/>
      </c>
      <c r="R263" s="192">
        <f>INDEX('Revenue by Customer'!R:R,MATCH('Full Customer List'!$B263,'Revenue by Customer'!$A:$A,0))</f>
        <v>640</v>
      </c>
      <c r="S263" s="192">
        <f>INDEX('Revenue by Customer'!S:S,MATCH('Full Customer List'!$B263,'Revenue by Customer'!$A:$A,0))</f>
        <v>340</v>
      </c>
      <c r="T263" s="192" t="str">
        <f>INDEX('Revenue by Customer'!T:T,MATCH('Full Customer List'!$B263,'Revenue by Customer'!$A:$A,0))</f>
        <v/>
      </c>
      <c r="U263" s="192" t="str">
        <f>INDEX('Revenue by Customer'!U:U,MATCH('Full Customer List'!$B263,'Revenue by Customer'!$A:$A,0))</f>
        <v/>
      </c>
      <c r="V263" s="192" t="str">
        <f>INDEX('Revenue by Customer'!V:V,MATCH('Full Customer List'!$B263,'Revenue by Customer'!$A:$A,0))</f>
        <v/>
      </c>
      <c r="W263" s="192" t="str">
        <f>INDEX('Revenue by Customer'!W:W,MATCH('Full Customer List'!$B263,'Revenue by Customer'!$A:$A,0))</f>
        <v/>
      </c>
      <c r="X263" s="192" t="str">
        <f>INDEX('Revenue by Customer'!X:X,MATCH('Full Customer List'!$B263,'Revenue by Customer'!$A:$A,0))</f>
        <v/>
      </c>
      <c r="Y263" s="192" t="str">
        <f>INDEX('Revenue by Customer'!Y:Y,MATCH('Full Customer List'!$B263,'Revenue by Customer'!$A:$A,0))</f>
        <v/>
      </c>
      <c r="Z263" s="192" t="str">
        <f>INDEX('Revenue by Customer'!Z:Z,MATCH('Full Customer List'!$B263,'Revenue by Customer'!$A:$A,0))</f>
        <v/>
      </c>
      <c r="AA263" s="192" t="str">
        <f>INDEX('Revenue by Customer'!AA:AA,MATCH('Full Customer List'!$B263,'Revenue by Customer'!$A:$A,0))</f>
        <v/>
      </c>
      <c r="AB263" s="192" t="str">
        <f>INDEX('Revenue by Customer'!AB:AB,MATCH('Full Customer List'!$B263,'Revenue by Customer'!$A:$A,0))</f>
        <v/>
      </c>
      <c r="AC263" s="192" t="str">
        <f>INDEX('Revenue by Customer'!AC:AC,MATCH('Full Customer List'!$B263,'Revenue by Customer'!$A:$A,0))</f>
        <v/>
      </c>
    </row>
    <row r="264" spans="2:29" ht="12" customHeight="1">
      <c r="B264" s="173" t="s">
        <v>916</v>
      </c>
      <c r="C264" s="173" t="str">
        <f>INDEX('Customer List'!$B:$B,MATCH('Full Customer List'!$B264,'Customer List'!$A:$A,0))</f>
        <v>Onboarding</v>
      </c>
      <c r="D264" s="173" t="str">
        <f>INDEX('Customer List'!$C:$C,MATCH('Full Customer List'!$B264,'Customer List'!$A:$A,0))</f>
        <v>STR owner</v>
      </c>
      <c r="E264" s="173" t="str">
        <f>INDEX('Customer List Mapping'!$C:$C,MATCH('Full Customer List'!D264,'Customer List Mapping'!$B:$B,0))</f>
        <v>STR Owner</v>
      </c>
      <c r="F264" s="192" t="str">
        <f>INDEX('Customer List'!$K:$K,MATCH('Full Customer List'!$B264,'Customer List'!$A:$A,0))</f>
        <v/>
      </c>
      <c r="G264" s="192">
        <f>INDEX('Revenue by Customer'!$I:$I,MATCH('Full Customer List'!$B264,'Revenue by Customer'!$A:$A,0))</f>
        <v>975</v>
      </c>
      <c r="H264" s="257" t="str">
        <f>IFERROR(IF(C264="Active","",INDEX('Client Departures'!$G:$G,MATCH('Full Customer List'!$B264,'Client Departures'!$A:$A,0))),"Unclassified")</f>
        <v>Unclassified</v>
      </c>
      <c r="I264" s="196">
        <v>46054</v>
      </c>
      <c r="J264" s="196"/>
      <c r="K264" s="192" t="str">
        <f>INDEX('Revenue by Customer'!K:K,MATCH('Full Customer List'!$B264,'Revenue by Customer'!$A:$A,0))</f>
        <v/>
      </c>
      <c r="L264" s="192" t="str">
        <f>INDEX('Revenue by Customer'!L:L,MATCH('Full Customer List'!$B264,'Revenue by Customer'!$A:$A,0))</f>
        <v/>
      </c>
      <c r="M264" s="192" t="str">
        <f>INDEX('Revenue by Customer'!M:M,MATCH('Full Customer List'!$B264,'Revenue by Customer'!$A:$A,0))</f>
        <v/>
      </c>
      <c r="N264" s="192" t="str">
        <f>INDEX('Revenue by Customer'!N:N,MATCH('Full Customer List'!$B264,'Revenue by Customer'!$A:$A,0))</f>
        <v/>
      </c>
      <c r="O264" s="192" t="str">
        <f>INDEX('Revenue by Customer'!O:O,MATCH('Full Customer List'!$B264,'Revenue by Customer'!$A:$A,0))</f>
        <v/>
      </c>
      <c r="P264" s="192" t="str">
        <f>INDEX('Revenue by Customer'!P:P,MATCH('Full Customer List'!$B264,'Revenue by Customer'!$A:$A,0))</f>
        <v/>
      </c>
      <c r="Q264" s="192" t="str">
        <f>INDEX('Revenue by Customer'!Q:Q,MATCH('Full Customer List'!$B264,'Revenue by Customer'!$A:$A,0))</f>
        <v/>
      </c>
      <c r="R264" s="192" t="str">
        <f>INDEX('Revenue by Customer'!R:R,MATCH('Full Customer List'!$B264,'Revenue by Customer'!$A:$A,0))</f>
        <v/>
      </c>
      <c r="S264" s="192" t="str">
        <f>INDEX('Revenue by Customer'!S:S,MATCH('Full Customer List'!$B264,'Revenue by Customer'!$A:$A,0))</f>
        <v/>
      </c>
      <c r="T264" s="192" t="str">
        <f>INDEX('Revenue by Customer'!T:T,MATCH('Full Customer List'!$B264,'Revenue by Customer'!$A:$A,0))</f>
        <v/>
      </c>
      <c r="U264" s="192" t="str">
        <f>INDEX('Revenue by Customer'!U:U,MATCH('Full Customer List'!$B264,'Revenue by Customer'!$A:$A,0))</f>
        <v/>
      </c>
      <c r="V264" s="192" t="str">
        <f>INDEX('Revenue by Customer'!V:V,MATCH('Full Customer List'!$B264,'Revenue by Customer'!$A:$A,0))</f>
        <v/>
      </c>
      <c r="W264" s="192" t="str">
        <f>INDEX('Revenue by Customer'!W:W,MATCH('Full Customer List'!$B264,'Revenue by Customer'!$A:$A,0))</f>
        <v/>
      </c>
      <c r="X264" s="192">
        <f>INDEX('Revenue by Customer'!X:X,MATCH('Full Customer List'!$B264,'Revenue by Customer'!$A:$A,0))</f>
        <v>975</v>
      </c>
      <c r="Y264" s="192" t="str">
        <f>INDEX('Revenue by Customer'!Y:Y,MATCH('Full Customer List'!$B264,'Revenue by Customer'!$A:$A,0))</f>
        <v/>
      </c>
      <c r="Z264" s="192" t="str">
        <f>INDEX('Revenue by Customer'!Z:Z,MATCH('Full Customer List'!$B264,'Revenue by Customer'!$A:$A,0))</f>
        <v/>
      </c>
      <c r="AA264" s="192" t="str">
        <f>INDEX('Revenue by Customer'!AA:AA,MATCH('Full Customer List'!$B264,'Revenue by Customer'!$A:$A,0))</f>
        <v/>
      </c>
      <c r="AB264" s="192" t="str">
        <f>INDEX('Revenue by Customer'!AB:AB,MATCH('Full Customer List'!$B264,'Revenue by Customer'!$A:$A,0))</f>
        <v/>
      </c>
      <c r="AC264" s="192" t="str">
        <f>INDEX('Revenue by Customer'!AC:AC,MATCH('Full Customer List'!$B264,'Revenue by Customer'!$A:$A,0))</f>
        <v/>
      </c>
    </row>
    <row r="265" spans="2:29" ht="12" customHeight="1">
      <c r="B265" s="173" t="s">
        <v>917</v>
      </c>
      <c r="C265" s="173" t="str">
        <f>INDEX('Customer List'!$B:$B,MATCH('Full Customer List'!$B265,'Customer List'!$A:$A,0))</f>
        <v>Former client</v>
      </c>
      <c r="D265" s="173" t="str">
        <f>INDEX('Customer List'!$C:$C,MATCH('Full Customer List'!$B265,'Customer List'!$A:$A,0))</f>
        <v>Tax client only</v>
      </c>
      <c r="E265" s="173" t="str">
        <f>INDEX('Customer List Mapping'!$C:$C,MATCH('Full Customer List'!D265,'Customer List Mapping'!$B:$B,0))</f>
        <v>Tax-Only Client</v>
      </c>
      <c r="F265" s="192" t="str">
        <f>INDEX('Customer List'!$K:$K,MATCH('Full Customer List'!$B265,'Customer List'!$A:$A,0))</f>
        <v/>
      </c>
      <c r="G265" s="192">
        <f>INDEX('Revenue by Customer'!$I:$I,MATCH('Full Customer List'!$B265,'Revenue by Customer'!$A:$A,0))</f>
        <v>975</v>
      </c>
      <c r="H265" s="257" t="str">
        <f>IFERROR(IF(C265="Active","",INDEX('Client Departures'!$G:$G,MATCH('Full Customer List'!$B265,'Client Departures'!$A:$A,0))),"Unclassified")</f>
        <v>Unclassified</v>
      </c>
      <c r="I265" s="196">
        <v>46054</v>
      </c>
      <c r="J265" s="196"/>
      <c r="K265" s="192" t="str">
        <f>INDEX('Revenue by Customer'!K:K,MATCH('Full Customer List'!$B265,'Revenue by Customer'!$A:$A,0))</f>
        <v/>
      </c>
      <c r="L265" s="192" t="str">
        <f>INDEX('Revenue by Customer'!L:L,MATCH('Full Customer List'!$B265,'Revenue by Customer'!$A:$A,0))</f>
        <v/>
      </c>
      <c r="M265" s="192" t="str">
        <f>INDEX('Revenue by Customer'!M:M,MATCH('Full Customer List'!$B265,'Revenue by Customer'!$A:$A,0))</f>
        <v/>
      </c>
      <c r="N265" s="192" t="str">
        <f>INDEX('Revenue by Customer'!N:N,MATCH('Full Customer List'!$B265,'Revenue by Customer'!$A:$A,0))</f>
        <v/>
      </c>
      <c r="O265" s="192" t="str">
        <f>INDEX('Revenue by Customer'!O:O,MATCH('Full Customer List'!$B265,'Revenue by Customer'!$A:$A,0))</f>
        <v/>
      </c>
      <c r="P265" s="192" t="str">
        <f>INDEX('Revenue by Customer'!P:P,MATCH('Full Customer List'!$B265,'Revenue by Customer'!$A:$A,0))</f>
        <v/>
      </c>
      <c r="Q265" s="192" t="str">
        <f>INDEX('Revenue by Customer'!Q:Q,MATCH('Full Customer List'!$B265,'Revenue by Customer'!$A:$A,0))</f>
        <v/>
      </c>
      <c r="R265" s="192" t="str">
        <f>INDEX('Revenue by Customer'!R:R,MATCH('Full Customer List'!$B265,'Revenue by Customer'!$A:$A,0))</f>
        <v/>
      </c>
      <c r="S265" s="192" t="str">
        <f>INDEX('Revenue by Customer'!S:S,MATCH('Full Customer List'!$B265,'Revenue by Customer'!$A:$A,0))</f>
        <v/>
      </c>
      <c r="T265" s="192" t="str">
        <f>INDEX('Revenue by Customer'!T:T,MATCH('Full Customer List'!$B265,'Revenue by Customer'!$A:$A,0))</f>
        <v/>
      </c>
      <c r="U265" s="192" t="str">
        <f>INDEX('Revenue by Customer'!U:U,MATCH('Full Customer List'!$B265,'Revenue by Customer'!$A:$A,0))</f>
        <v/>
      </c>
      <c r="V265" s="192" t="str">
        <f>INDEX('Revenue by Customer'!V:V,MATCH('Full Customer List'!$B265,'Revenue by Customer'!$A:$A,0))</f>
        <v/>
      </c>
      <c r="W265" s="192" t="str">
        <f>INDEX('Revenue by Customer'!W:W,MATCH('Full Customer List'!$B265,'Revenue by Customer'!$A:$A,0))</f>
        <v/>
      </c>
      <c r="X265" s="192">
        <f>INDEX('Revenue by Customer'!X:X,MATCH('Full Customer List'!$B265,'Revenue by Customer'!$A:$A,0))</f>
        <v>975</v>
      </c>
      <c r="Y265" s="192" t="str">
        <f>INDEX('Revenue by Customer'!Y:Y,MATCH('Full Customer List'!$B265,'Revenue by Customer'!$A:$A,0))</f>
        <v/>
      </c>
      <c r="Z265" s="192" t="str">
        <f>INDEX('Revenue by Customer'!Z:Z,MATCH('Full Customer List'!$B265,'Revenue by Customer'!$A:$A,0))</f>
        <v/>
      </c>
      <c r="AA265" s="192" t="str">
        <f>INDEX('Revenue by Customer'!AA:AA,MATCH('Full Customer List'!$B265,'Revenue by Customer'!$A:$A,0))</f>
        <v/>
      </c>
      <c r="AB265" s="192" t="str">
        <f>INDEX('Revenue by Customer'!AB:AB,MATCH('Full Customer List'!$B265,'Revenue by Customer'!$A:$A,0))</f>
        <v/>
      </c>
      <c r="AC265" s="192" t="str">
        <f>INDEX('Revenue by Customer'!AC:AC,MATCH('Full Customer List'!$B265,'Revenue by Customer'!$A:$A,0))</f>
        <v/>
      </c>
    </row>
    <row r="266" spans="2:29" ht="12" customHeight="1">
      <c r="B266" s="173" t="s">
        <v>918</v>
      </c>
      <c r="C266" s="173" t="str">
        <f>INDEX('Customer List'!$B:$B,MATCH('Full Customer List'!$B266,'Customer List'!$A:$A,0))</f>
        <v>Former client</v>
      </c>
      <c r="D266" s="173" t="str">
        <f>INDEX('Customer List'!$C:$C,MATCH('Full Customer List'!$B266,'Customer List'!$A:$A,0))</f>
        <v>Small business</v>
      </c>
      <c r="E266" s="173" t="str">
        <f>INDEX('Customer List Mapping'!$C:$C,MATCH('Full Customer List'!D266,'Customer List Mapping'!$B:$B,0))</f>
        <v>Small Business</v>
      </c>
      <c r="F266" s="192" t="str">
        <f>INDEX('Customer List'!$K:$K,MATCH('Full Customer List'!$B266,'Customer List'!$A:$A,0))</f>
        <v/>
      </c>
      <c r="G266" s="192">
        <f>INDEX('Revenue by Customer'!$I:$I,MATCH('Full Customer List'!$B266,'Revenue by Customer'!$A:$A,0))</f>
        <v>65.5</v>
      </c>
      <c r="H266" s="257" t="str">
        <f>IFERROR(IF(C266="Active","",INDEX('Client Departures'!$G:$G,MATCH('Full Customer List'!$B266,'Client Departures'!$A:$A,0))),"Unclassified")</f>
        <v>Yes</v>
      </c>
      <c r="I266" s="196">
        <v>44682</v>
      </c>
      <c r="J266" s="196">
        <v>46112</v>
      </c>
      <c r="K266" s="192">
        <f>INDEX('Revenue by Customer'!K:K,MATCH('Full Customer List'!$B266,'Revenue by Customer'!$A:$A,0))</f>
        <v>100</v>
      </c>
      <c r="L266" s="192">
        <f>INDEX('Revenue by Customer'!L:L,MATCH('Full Customer List'!$B266,'Revenue by Customer'!$A:$A,0))</f>
        <v>55</v>
      </c>
      <c r="M266" s="192">
        <f>INDEX('Revenue by Customer'!M:M,MATCH('Full Customer List'!$B266,'Revenue by Customer'!$A:$A,0))</f>
        <v>55</v>
      </c>
      <c r="N266" s="192">
        <f>INDEX('Revenue by Customer'!N:N,MATCH('Full Customer List'!$B266,'Revenue by Customer'!$A:$A,0))</f>
        <v>55</v>
      </c>
      <c r="O266" s="192">
        <f>INDEX('Revenue by Customer'!O:O,MATCH('Full Customer List'!$B266,'Revenue by Customer'!$A:$A,0))</f>
        <v>290</v>
      </c>
      <c r="P266" s="192">
        <f>INDEX('Revenue by Customer'!P:P,MATCH('Full Customer List'!$B266,'Revenue by Customer'!$A:$A,0))</f>
        <v>290</v>
      </c>
      <c r="Q266" s="192">
        <f>INDEX('Revenue by Customer'!Q:Q,MATCH('Full Customer List'!$B266,'Revenue by Customer'!$A:$A,0))</f>
        <v>290</v>
      </c>
      <c r="R266" s="192">
        <f>INDEX('Revenue by Customer'!R:R,MATCH('Full Customer List'!$B266,'Revenue by Customer'!$A:$A,0))</f>
        <v>290</v>
      </c>
      <c r="S266" s="192">
        <f>INDEX('Revenue by Customer'!S:S,MATCH('Full Customer List'!$B266,'Revenue by Customer'!$A:$A,0))</f>
        <v>290</v>
      </c>
      <c r="T266" s="192">
        <f>INDEX('Revenue by Customer'!T:T,MATCH('Full Customer List'!$B266,'Revenue by Customer'!$A:$A,0))</f>
        <v>60</v>
      </c>
      <c r="U266" s="192">
        <f>INDEX('Revenue by Customer'!U:U,MATCH('Full Customer List'!$B266,'Revenue by Customer'!$A:$A,0))</f>
        <v>60</v>
      </c>
      <c r="V266" s="192">
        <f>INDEX('Revenue by Customer'!V:V,MATCH('Full Customer List'!$B266,'Revenue by Customer'!$A:$A,0))</f>
        <v>60</v>
      </c>
      <c r="W266" s="192">
        <f>INDEX('Revenue by Customer'!W:W,MATCH('Full Customer List'!$B266,'Revenue by Customer'!$A:$A,0))</f>
        <v>60</v>
      </c>
      <c r="X266" s="192">
        <f>INDEX('Revenue by Customer'!X:X,MATCH('Full Customer List'!$B266,'Revenue by Customer'!$A:$A,0))</f>
        <v>76.5</v>
      </c>
      <c r="Y266" s="192">
        <f>INDEX('Revenue by Customer'!Y:Y,MATCH('Full Customer List'!$B266,'Revenue by Customer'!$A:$A,0))</f>
        <v>60</v>
      </c>
      <c r="Z266" s="192" t="str">
        <f>INDEX('Revenue by Customer'!Z:Z,MATCH('Full Customer List'!$B266,'Revenue by Customer'!$A:$A,0))</f>
        <v/>
      </c>
      <c r="AA266" s="192" t="str">
        <f>INDEX('Revenue by Customer'!AA:AA,MATCH('Full Customer List'!$B266,'Revenue by Customer'!$A:$A,0))</f>
        <v/>
      </c>
      <c r="AB266" s="192" t="str">
        <f>INDEX('Revenue by Customer'!AB:AB,MATCH('Full Customer List'!$B266,'Revenue by Customer'!$A:$A,0))</f>
        <v/>
      </c>
      <c r="AC266" s="192" t="str">
        <f>INDEX('Revenue by Customer'!AC:AC,MATCH('Full Customer List'!$B266,'Revenue by Customer'!$A:$A,0))</f>
        <v/>
      </c>
    </row>
    <row r="267" spans="2:29" ht="12" customHeight="1">
      <c r="B267" s="173" t="s">
        <v>920</v>
      </c>
      <c r="C267" s="173" t="str">
        <f>INDEX('Customer List'!$B:$B,MATCH('Full Customer List'!$B267,'Customer List'!$A:$A,0))</f>
        <v>Former client</v>
      </c>
      <c r="D267" s="173" t="str">
        <f>INDEX('Customer List'!$C:$C,MATCH('Full Customer List'!$B267,'Customer List'!$A:$A,0))</f>
        <v>Short-term rental (departed)</v>
      </c>
      <c r="E267" s="173" t="str">
        <f>INDEX('Customer List Mapping'!$C:$C,MATCH('Full Customer List'!D267,'Customer List Mapping'!$B:$B,0))</f>
        <v>Short-Term Rental</v>
      </c>
      <c r="F267" s="192" t="str">
        <f>INDEX('Customer List'!$K:$K,MATCH('Full Customer List'!$B267,'Customer List'!$A:$A,0))</f>
        <v/>
      </c>
      <c r="G267" s="192">
        <f>INDEX('Revenue by Customer'!$I:$I,MATCH('Full Customer List'!$B267,'Revenue by Customer'!$A:$A,0))</f>
        <v>450</v>
      </c>
      <c r="H267" s="257" t="str">
        <f>IFERROR(IF(C267="Active","",INDEX('Client Departures'!$G:$G,MATCH('Full Customer List'!$B267,'Client Departures'!$A:$A,0))),"Unclassified")</f>
        <v>Yes</v>
      </c>
      <c r="I267" s="196">
        <v>45536</v>
      </c>
      <c r="J267" s="196">
        <v>45930</v>
      </c>
      <c r="K267" s="192">
        <f>INDEX('Revenue by Customer'!K:K,MATCH('Full Customer List'!$B267,'Revenue by Customer'!$A:$A,0))</f>
        <v>450</v>
      </c>
      <c r="L267" s="192">
        <f>INDEX('Revenue by Customer'!L:L,MATCH('Full Customer List'!$B267,'Revenue by Customer'!$A:$A,0))</f>
        <v>450</v>
      </c>
      <c r="M267" s="192">
        <f>INDEX('Revenue by Customer'!M:M,MATCH('Full Customer List'!$B267,'Revenue by Customer'!$A:$A,0))</f>
        <v>450</v>
      </c>
      <c r="N267" s="192">
        <f>INDEX('Revenue by Customer'!N:N,MATCH('Full Customer List'!$B267,'Revenue by Customer'!$A:$A,0))</f>
        <v>450</v>
      </c>
      <c r="O267" s="192">
        <f>INDEX('Revenue by Customer'!O:O,MATCH('Full Customer List'!$B267,'Revenue by Customer'!$A:$A,0))</f>
        <v>450</v>
      </c>
      <c r="P267" s="192">
        <f>INDEX('Revenue by Customer'!P:P,MATCH('Full Customer List'!$B267,'Revenue by Customer'!$A:$A,0))</f>
        <v>450</v>
      </c>
      <c r="Q267" s="192">
        <f>INDEX('Revenue by Customer'!Q:Q,MATCH('Full Customer List'!$B267,'Revenue by Customer'!$A:$A,0))</f>
        <v>450</v>
      </c>
      <c r="R267" s="192">
        <f>INDEX('Revenue by Customer'!R:R,MATCH('Full Customer List'!$B267,'Revenue by Customer'!$A:$A,0))</f>
        <v>450</v>
      </c>
      <c r="S267" s="192">
        <f>INDEX('Revenue by Customer'!S:S,MATCH('Full Customer List'!$B267,'Revenue by Customer'!$A:$A,0))</f>
        <v>450</v>
      </c>
      <c r="T267" s="192" t="str">
        <f>INDEX('Revenue by Customer'!T:T,MATCH('Full Customer List'!$B267,'Revenue by Customer'!$A:$A,0))</f>
        <v/>
      </c>
      <c r="U267" s="192" t="str">
        <f>INDEX('Revenue by Customer'!U:U,MATCH('Full Customer List'!$B267,'Revenue by Customer'!$A:$A,0))</f>
        <v/>
      </c>
      <c r="V267" s="192" t="str">
        <f>INDEX('Revenue by Customer'!V:V,MATCH('Full Customer List'!$B267,'Revenue by Customer'!$A:$A,0))</f>
        <v/>
      </c>
      <c r="W267" s="192" t="str">
        <f>INDEX('Revenue by Customer'!W:W,MATCH('Full Customer List'!$B267,'Revenue by Customer'!$A:$A,0))</f>
        <v/>
      </c>
      <c r="X267" s="192" t="str">
        <f>INDEX('Revenue by Customer'!X:X,MATCH('Full Customer List'!$B267,'Revenue by Customer'!$A:$A,0))</f>
        <v/>
      </c>
      <c r="Y267" s="192" t="str">
        <f>INDEX('Revenue by Customer'!Y:Y,MATCH('Full Customer List'!$B267,'Revenue by Customer'!$A:$A,0))</f>
        <v/>
      </c>
      <c r="Z267" s="192" t="str">
        <f>INDEX('Revenue by Customer'!Z:Z,MATCH('Full Customer List'!$B267,'Revenue by Customer'!$A:$A,0))</f>
        <v/>
      </c>
      <c r="AA267" s="192" t="str">
        <f>INDEX('Revenue by Customer'!AA:AA,MATCH('Full Customer List'!$B267,'Revenue by Customer'!$A:$A,0))</f>
        <v/>
      </c>
      <c r="AB267" s="192" t="str">
        <f>INDEX('Revenue by Customer'!AB:AB,MATCH('Full Customer List'!$B267,'Revenue by Customer'!$A:$A,0))</f>
        <v/>
      </c>
      <c r="AC267" s="192" t="str">
        <f>INDEX('Revenue by Customer'!AC:AC,MATCH('Full Customer List'!$B267,'Revenue by Customer'!$A:$A,0))</f>
        <v/>
      </c>
    </row>
    <row r="268" spans="2:29" ht="12" customHeight="1">
      <c r="B268" s="173" t="s">
        <v>921</v>
      </c>
      <c r="C268" s="173" t="str">
        <f>INDEX('Customer List'!$B:$B,MATCH('Full Customer List'!$B268,'Customer List'!$A:$A,0))</f>
        <v>Former client</v>
      </c>
      <c r="D268" s="173" t="str">
        <f>INDEX('Customer List'!$C:$C,MATCH('Full Customer List'!$B268,'Customer List'!$A:$A,0))</f>
        <v>Tax client only</v>
      </c>
      <c r="E268" s="173" t="str">
        <f>INDEX('Customer List Mapping'!$C:$C,MATCH('Full Customer List'!D268,'Customer List Mapping'!$B:$B,0))</f>
        <v>Tax-Only Client</v>
      </c>
      <c r="F268" s="192">
        <f>INDEX('Customer List'!$K:$K,MATCH('Full Customer List'!$B268,'Customer List'!$A:$A,0))</f>
        <v>5</v>
      </c>
      <c r="G268" s="192">
        <f>INDEX('Revenue by Customer'!$I:$I,MATCH('Full Customer List'!$B268,'Revenue by Customer'!$A:$A,0))</f>
        <v>425</v>
      </c>
      <c r="H268" s="257" t="str">
        <f>IFERROR(IF(C268="Active","",INDEX('Client Departures'!$G:$G,MATCH('Full Customer List'!$B268,'Client Departures'!$A:$A,0))),"Unclassified")</f>
        <v>Unclassified</v>
      </c>
      <c r="I268" s="196">
        <v>45383</v>
      </c>
      <c r="J268" s="196">
        <v>45930</v>
      </c>
      <c r="K268" s="192">
        <f>INDEX('Revenue by Customer'!K:K,MATCH('Full Customer List'!$B268,'Revenue by Customer'!$A:$A,0))</f>
        <v>485</v>
      </c>
      <c r="L268" s="192">
        <f>INDEX('Revenue by Customer'!L:L,MATCH('Full Customer List'!$B268,'Revenue by Customer'!$A:$A,0))</f>
        <v>395</v>
      </c>
      <c r="M268" s="192">
        <f>INDEX('Revenue by Customer'!M:M,MATCH('Full Customer List'!$B268,'Revenue by Customer'!$A:$A,0))</f>
        <v>395</v>
      </c>
      <c r="N268" s="192">
        <f>INDEX('Revenue by Customer'!N:N,MATCH('Full Customer List'!$B268,'Revenue by Customer'!$A:$A,0))</f>
        <v>400</v>
      </c>
      <c r="O268" s="192">
        <f>INDEX('Revenue by Customer'!O:O,MATCH('Full Customer List'!$B268,'Revenue by Customer'!$A:$A,0))</f>
        <v>400</v>
      </c>
      <c r="P268" s="192">
        <f>INDEX('Revenue by Customer'!P:P,MATCH('Full Customer List'!$B268,'Revenue by Customer'!$A:$A,0))</f>
        <v>400</v>
      </c>
      <c r="Q268" s="192">
        <f>INDEX('Revenue by Customer'!Q:Q,MATCH('Full Customer List'!$B268,'Revenue by Customer'!$A:$A,0))</f>
        <v>400</v>
      </c>
      <c r="R268" s="192">
        <f>INDEX('Revenue by Customer'!R:R,MATCH('Full Customer List'!$B268,'Revenue by Customer'!$A:$A,0))</f>
        <v>400</v>
      </c>
      <c r="S268" s="192">
        <f>INDEX('Revenue by Customer'!S:S,MATCH('Full Customer List'!$B268,'Revenue by Customer'!$A:$A,0))</f>
        <v>475</v>
      </c>
      <c r="T268" s="192" t="str">
        <f>INDEX('Revenue by Customer'!T:T,MATCH('Full Customer List'!$B268,'Revenue by Customer'!$A:$A,0))</f>
        <v/>
      </c>
      <c r="U268" s="192" t="str">
        <f>INDEX('Revenue by Customer'!U:U,MATCH('Full Customer List'!$B268,'Revenue by Customer'!$A:$A,0))</f>
        <v/>
      </c>
      <c r="V268" s="192" t="str">
        <f>INDEX('Revenue by Customer'!V:V,MATCH('Full Customer List'!$B268,'Revenue by Customer'!$A:$A,0))</f>
        <v/>
      </c>
      <c r="W268" s="192" t="str">
        <f>INDEX('Revenue by Customer'!W:W,MATCH('Full Customer List'!$B268,'Revenue by Customer'!$A:$A,0))</f>
        <v/>
      </c>
      <c r="X268" s="192" t="str">
        <f>INDEX('Revenue by Customer'!X:X,MATCH('Full Customer List'!$B268,'Revenue by Customer'!$A:$A,0))</f>
        <v/>
      </c>
      <c r="Y268" s="192" t="str">
        <f>INDEX('Revenue by Customer'!Y:Y,MATCH('Full Customer List'!$B268,'Revenue by Customer'!$A:$A,0))</f>
        <v/>
      </c>
      <c r="Z268" s="192" t="str">
        <f>INDEX('Revenue by Customer'!Z:Z,MATCH('Full Customer List'!$B268,'Revenue by Customer'!$A:$A,0))</f>
        <v/>
      </c>
      <c r="AA268" s="192" t="str">
        <f>INDEX('Revenue by Customer'!AA:AA,MATCH('Full Customer List'!$B268,'Revenue by Customer'!$A:$A,0))</f>
        <v/>
      </c>
      <c r="AB268" s="192" t="str">
        <f>INDEX('Revenue by Customer'!AB:AB,MATCH('Full Customer List'!$B268,'Revenue by Customer'!$A:$A,0))</f>
        <v/>
      </c>
      <c r="AC268" s="192" t="str">
        <f>INDEX('Revenue by Customer'!AC:AC,MATCH('Full Customer List'!$B268,'Revenue by Customer'!$A:$A,0))</f>
        <v/>
      </c>
    </row>
    <row r="269" spans="2:29" ht="12" customHeight="1">
      <c r="B269" s="173" t="s">
        <v>922</v>
      </c>
      <c r="C269" s="173" t="str">
        <f>INDEX('Customer List'!$B:$B,MATCH('Full Customer List'!$B269,'Customer List'!$A:$A,0))</f>
        <v>Former client</v>
      </c>
      <c r="D269" s="173" t="str">
        <f>INDEX('Customer List'!$C:$C,MATCH('Full Customer List'!$B269,'Customer List'!$A:$A,0))</f>
        <v>STR owner</v>
      </c>
      <c r="E269" s="173" t="str">
        <f>INDEX('Customer List Mapping'!$C:$C,MATCH('Full Customer List'!D269,'Customer List Mapping'!$B:$B,0))</f>
        <v>STR Owner</v>
      </c>
      <c r="F269" s="192">
        <f>INDEX('Customer List'!$K:$K,MATCH('Full Customer List'!$B269,'Customer List'!$A:$A,0))</f>
        <v>0</v>
      </c>
      <c r="G269" s="192">
        <f>INDEX('Revenue by Customer'!$I:$I,MATCH('Full Customer List'!$B269,'Revenue by Customer'!$A:$A,0))</f>
        <v>160</v>
      </c>
      <c r="H269" s="257" t="str">
        <f>IFERROR(IF(C269="Active","",INDEX('Client Departures'!$G:$G,MATCH('Full Customer List'!$B269,'Client Departures'!$A:$A,0))),"Unclassified")</f>
        <v>Yes</v>
      </c>
      <c r="I269" s="196">
        <v>46023</v>
      </c>
      <c r="J269" s="196">
        <v>46173</v>
      </c>
      <c r="K269" s="192" t="str">
        <f>INDEX('Revenue by Customer'!K:K,MATCH('Full Customer List'!$B269,'Revenue by Customer'!$A:$A,0))</f>
        <v/>
      </c>
      <c r="L269" s="192" t="str">
        <f>INDEX('Revenue by Customer'!L:L,MATCH('Full Customer List'!$B269,'Revenue by Customer'!$A:$A,0))</f>
        <v/>
      </c>
      <c r="M269" s="192" t="str">
        <f>INDEX('Revenue by Customer'!M:M,MATCH('Full Customer List'!$B269,'Revenue by Customer'!$A:$A,0))</f>
        <v/>
      </c>
      <c r="N269" s="192" t="str">
        <f>INDEX('Revenue by Customer'!N:N,MATCH('Full Customer List'!$B269,'Revenue by Customer'!$A:$A,0))</f>
        <v/>
      </c>
      <c r="O269" s="192" t="str">
        <f>INDEX('Revenue by Customer'!O:O,MATCH('Full Customer List'!$B269,'Revenue by Customer'!$A:$A,0))</f>
        <v/>
      </c>
      <c r="P269" s="192" t="str">
        <f>INDEX('Revenue by Customer'!P:P,MATCH('Full Customer List'!$B269,'Revenue by Customer'!$A:$A,0))</f>
        <v/>
      </c>
      <c r="Q269" s="192" t="str">
        <f>INDEX('Revenue by Customer'!Q:Q,MATCH('Full Customer List'!$B269,'Revenue by Customer'!$A:$A,0))</f>
        <v/>
      </c>
      <c r="R269" s="192" t="str">
        <f>INDEX('Revenue by Customer'!R:R,MATCH('Full Customer List'!$B269,'Revenue by Customer'!$A:$A,0))</f>
        <v/>
      </c>
      <c r="S269" s="192" t="str">
        <f>INDEX('Revenue by Customer'!S:S,MATCH('Full Customer List'!$B269,'Revenue by Customer'!$A:$A,0))</f>
        <v/>
      </c>
      <c r="T269" s="192" t="str">
        <f>INDEX('Revenue by Customer'!T:T,MATCH('Full Customer List'!$B269,'Revenue by Customer'!$A:$A,0))</f>
        <v/>
      </c>
      <c r="U269" s="192" t="str">
        <f>INDEX('Revenue by Customer'!U:U,MATCH('Full Customer List'!$B269,'Revenue by Customer'!$A:$A,0))</f>
        <v/>
      </c>
      <c r="V269" s="192" t="str">
        <f>INDEX('Revenue by Customer'!V:V,MATCH('Full Customer List'!$B269,'Revenue by Customer'!$A:$A,0))</f>
        <v/>
      </c>
      <c r="W269" s="192">
        <f>INDEX('Revenue by Customer'!W:W,MATCH('Full Customer List'!$B269,'Revenue by Customer'!$A:$A,0))</f>
        <v>160</v>
      </c>
      <c r="X269" s="192">
        <f>INDEX('Revenue by Customer'!X:X,MATCH('Full Customer List'!$B269,'Revenue by Customer'!$A:$A,0))</f>
        <v>160</v>
      </c>
      <c r="Y269" s="192">
        <f>INDEX('Revenue by Customer'!Y:Y,MATCH('Full Customer List'!$B269,'Revenue by Customer'!$A:$A,0))</f>
        <v>160</v>
      </c>
      <c r="Z269" s="192">
        <f>INDEX('Revenue by Customer'!Z:Z,MATCH('Full Customer List'!$B269,'Revenue by Customer'!$A:$A,0))</f>
        <v>160</v>
      </c>
      <c r="AA269" s="192">
        <f>INDEX('Revenue by Customer'!AA:AA,MATCH('Full Customer List'!$B269,'Revenue by Customer'!$A:$A,0))</f>
        <v>160</v>
      </c>
      <c r="AB269" s="192" t="str">
        <f>INDEX('Revenue by Customer'!AB:AB,MATCH('Full Customer List'!$B269,'Revenue by Customer'!$A:$A,0))</f>
        <v/>
      </c>
      <c r="AC269" s="192" t="str">
        <f>INDEX('Revenue by Customer'!AC:AC,MATCH('Full Customer List'!$B269,'Revenue by Customer'!$A:$A,0))</f>
        <v/>
      </c>
    </row>
    <row r="270" spans="2:29" ht="12" customHeight="1">
      <c r="B270" s="173" t="s">
        <v>923</v>
      </c>
      <c r="C270" s="173" t="str">
        <f>INDEX('Customer List'!$B:$B,MATCH('Full Customer List'!$B270,'Customer List'!$A:$A,0))</f>
        <v>Former client</v>
      </c>
      <c r="D270" s="173" t="str">
        <f>INDEX('Customer List'!$C:$C,MATCH('Full Customer List'!$B270,'Customer List'!$A:$A,0))</f>
        <v>STR owner</v>
      </c>
      <c r="E270" s="173" t="str">
        <f>INDEX('Customer List Mapping'!$C:$C,MATCH('Full Customer List'!D270,'Customer List Mapping'!$B:$B,0))</f>
        <v>STR Owner</v>
      </c>
      <c r="F270" s="192">
        <f>INDEX('Customer List'!$K:$K,MATCH('Full Customer List'!$B270,'Customer List'!$A:$A,0))</f>
        <v>0</v>
      </c>
      <c r="G270" s="192">
        <f>INDEX('Revenue by Customer'!$I:$I,MATCH('Full Customer List'!$B270,'Revenue by Customer'!$A:$A,0))</f>
        <v>160</v>
      </c>
      <c r="H270" s="257" t="str">
        <f>IFERROR(IF(C270="Active","",INDEX('Client Departures'!$G:$G,MATCH('Full Customer List'!$B270,'Client Departures'!$A:$A,0))),"Unclassified")</f>
        <v>Yes</v>
      </c>
      <c r="I270" s="196">
        <v>46023</v>
      </c>
      <c r="J270" s="196">
        <v>46173</v>
      </c>
      <c r="K270" s="192" t="str">
        <f>INDEX('Revenue by Customer'!K:K,MATCH('Full Customer List'!$B270,'Revenue by Customer'!$A:$A,0))</f>
        <v/>
      </c>
      <c r="L270" s="192" t="str">
        <f>INDEX('Revenue by Customer'!L:L,MATCH('Full Customer List'!$B270,'Revenue by Customer'!$A:$A,0))</f>
        <v/>
      </c>
      <c r="M270" s="192" t="str">
        <f>INDEX('Revenue by Customer'!M:M,MATCH('Full Customer List'!$B270,'Revenue by Customer'!$A:$A,0))</f>
        <v/>
      </c>
      <c r="N270" s="192" t="str">
        <f>INDEX('Revenue by Customer'!N:N,MATCH('Full Customer List'!$B270,'Revenue by Customer'!$A:$A,0))</f>
        <v/>
      </c>
      <c r="O270" s="192" t="str">
        <f>INDEX('Revenue by Customer'!O:O,MATCH('Full Customer List'!$B270,'Revenue by Customer'!$A:$A,0))</f>
        <v/>
      </c>
      <c r="P270" s="192" t="str">
        <f>INDEX('Revenue by Customer'!P:P,MATCH('Full Customer List'!$B270,'Revenue by Customer'!$A:$A,0))</f>
        <v/>
      </c>
      <c r="Q270" s="192" t="str">
        <f>INDEX('Revenue by Customer'!Q:Q,MATCH('Full Customer List'!$B270,'Revenue by Customer'!$A:$A,0))</f>
        <v/>
      </c>
      <c r="R270" s="192" t="str">
        <f>INDEX('Revenue by Customer'!R:R,MATCH('Full Customer List'!$B270,'Revenue by Customer'!$A:$A,0))</f>
        <v/>
      </c>
      <c r="S270" s="192" t="str">
        <f>INDEX('Revenue by Customer'!S:S,MATCH('Full Customer List'!$B270,'Revenue by Customer'!$A:$A,0))</f>
        <v/>
      </c>
      <c r="T270" s="192" t="str">
        <f>INDEX('Revenue by Customer'!T:T,MATCH('Full Customer List'!$B270,'Revenue by Customer'!$A:$A,0))</f>
        <v/>
      </c>
      <c r="U270" s="192" t="str">
        <f>INDEX('Revenue by Customer'!U:U,MATCH('Full Customer List'!$B270,'Revenue by Customer'!$A:$A,0))</f>
        <v/>
      </c>
      <c r="V270" s="192" t="str">
        <f>INDEX('Revenue by Customer'!V:V,MATCH('Full Customer List'!$B270,'Revenue by Customer'!$A:$A,0))</f>
        <v/>
      </c>
      <c r="W270" s="192">
        <f>INDEX('Revenue by Customer'!W:W,MATCH('Full Customer List'!$B270,'Revenue by Customer'!$A:$A,0))</f>
        <v>160</v>
      </c>
      <c r="X270" s="192">
        <f>INDEX('Revenue by Customer'!X:X,MATCH('Full Customer List'!$B270,'Revenue by Customer'!$A:$A,0))</f>
        <v>160</v>
      </c>
      <c r="Y270" s="192">
        <f>INDEX('Revenue by Customer'!Y:Y,MATCH('Full Customer List'!$B270,'Revenue by Customer'!$A:$A,0))</f>
        <v>160</v>
      </c>
      <c r="Z270" s="192">
        <f>INDEX('Revenue by Customer'!Z:Z,MATCH('Full Customer List'!$B270,'Revenue by Customer'!$A:$A,0))</f>
        <v>160</v>
      </c>
      <c r="AA270" s="192">
        <f>INDEX('Revenue by Customer'!AA:AA,MATCH('Full Customer List'!$B270,'Revenue by Customer'!$A:$A,0))</f>
        <v>160</v>
      </c>
      <c r="AB270" s="192" t="str">
        <f>INDEX('Revenue by Customer'!AB:AB,MATCH('Full Customer List'!$B270,'Revenue by Customer'!$A:$A,0))</f>
        <v/>
      </c>
      <c r="AC270" s="192" t="str">
        <f>INDEX('Revenue by Customer'!AC:AC,MATCH('Full Customer List'!$B270,'Revenue by Customer'!$A:$A,0))</f>
        <v/>
      </c>
    </row>
    <row r="271" spans="2:29" ht="12" customHeight="1">
      <c r="B271" s="173" t="s">
        <v>924</v>
      </c>
      <c r="C271" s="173" t="str">
        <f>INDEX('Customer List'!$B:$B,MATCH('Full Customer List'!$B271,'Customer List'!$A:$A,0))</f>
        <v>Former client</v>
      </c>
      <c r="D271" s="173" t="str">
        <f>INDEX('Customer List'!$C:$C,MATCH('Full Customer List'!$B271,'Customer List'!$A:$A,0))</f>
        <v>Small business (departed)</v>
      </c>
      <c r="E271" s="173" t="str">
        <f>INDEX('Customer List Mapping'!$C:$C,MATCH('Full Customer List'!D271,'Customer List Mapping'!$B:$B,0))</f>
        <v>Small Business</v>
      </c>
      <c r="F271" s="192" t="str">
        <f>INDEX('Customer List'!$K:$K,MATCH('Full Customer List'!$B271,'Customer List'!$A:$A,0))</f>
        <v/>
      </c>
      <c r="G271" s="192">
        <f>INDEX('Revenue by Customer'!$I:$I,MATCH('Full Customer List'!$B271,'Revenue by Customer'!$A:$A,0))</f>
        <v>400</v>
      </c>
      <c r="H271" s="257" t="str">
        <f>IFERROR(IF(C271="Active","",INDEX('Client Departures'!$G:$G,MATCH('Full Customer List'!$B271,'Client Departures'!$A:$A,0))),"Unclassified")</f>
        <v>No</v>
      </c>
      <c r="I271" s="196">
        <v>45870</v>
      </c>
      <c r="J271" s="196">
        <v>45930</v>
      </c>
      <c r="K271" s="192" t="str">
        <f>INDEX('Revenue by Customer'!K:K,MATCH('Full Customer List'!$B271,'Revenue by Customer'!$A:$A,0))</f>
        <v/>
      </c>
      <c r="L271" s="192" t="str">
        <f>INDEX('Revenue by Customer'!L:L,MATCH('Full Customer List'!$B271,'Revenue by Customer'!$A:$A,0))</f>
        <v/>
      </c>
      <c r="M271" s="192" t="str">
        <f>INDEX('Revenue by Customer'!M:M,MATCH('Full Customer List'!$B271,'Revenue by Customer'!$A:$A,0))</f>
        <v/>
      </c>
      <c r="N271" s="192" t="str">
        <f>INDEX('Revenue by Customer'!N:N,MATCH('Full Customer List'!$B271,'Revenue by Customer'!$A:$A,0))</f>
        <v/>
      </c>
      <c r="O271" s="192" t="str">
        <f>INDEX('Revenue by Customer'!O:O,MATCH('Full Customer List'!$B271,'Revenue by Customer'!$A:$A,0))</f>
        <v/>
      </c>
      <c r="P271" s="192" t="str">
        <f>INDEX('Revenue by Customer'!P:P,MATCH('Full Customer List'!$B271,'Revenue by Customer'!$A:$A,0))</f>
        <v/>
      </c>
      <c r="Q271" s="192" t="str">
        <f>INDEX('Revenue by Customer'!Q:Q,MATCH('Full Customer List'!$B271,'Revenue by Customer'!$A:$A,0))</f>
        <v/>
      </c>
      <c r="R271" s="192">
        <f>INDEX('Revenue by Customer'!R:R,MATCH('Full Customer List'!$B271,'Revenue by Customer'!$A:$A,0))</f>
        <v>400</v>
      </c>
      <c r="S271" s="192">
        <f>INDEX('Revenue by Customer'!S:S,MATCH('Full Customer List'!$B271,'Revenue by Customer'!$A:$A,0))</f>
        <v>400</v>
      </c>
      <c r="T271" s="192">
        <f>INDEX('Revenue by Customer'!T:T,MATCH('Full Customer List'!$B271,'Revenue by Customer'!$A:$A,0))</f>
        <v>0</v>
      </c>
      <c r="U271" s="192" t="str">
        <f>INDEX('Revenue by Customer'!U:U,MATCH('Full Customer List'!$B271,'Revenue by Customer'!$A:$A,0))</f>
        <v/>
      </c>
      <c r="V271" s="192" t="str">
        <f>INDEX('Revenue by Customer'!V:V,MATCH('Full Customer List'!$B271,'Revenue by Customer'!$A:$A,0))</f>
        <v/>
      </c>
      <c r="W271" s="192" t="str">
        <f>INDEX('Revenue by Customer'!W:W,MATCH('Full Customer List'!$B271,'Revenue by Customer'!$A:$A,0))</f>
        <v/>
      </c>
      <c r="X271" s="192" t="str">
        <f>INDEX('Revenue by Customer'!X:X,MATCH('Full Customer List'!$B271,'Revenue by Customer'!$A:$A,0))</f>
        <v/>
      </c>
      <c r="Y271" s="192" t="str">
        <f>INDEX('Revenue by Customer'!Y:Y,MATCH('Full Customer List'!$B271,'Revenue by Customer'!$A:$A,0))</f>
        <v/>
      </c>
      <c r="Z271" s="192" t="str">
        <f>INDEX('Revenue by Customer'!Z:Z,MATCH('Full Customer List'!$B271,'Revenue by Customer'!$A:$A,0))</f>
        <v/>
      </c>
      <c r="AA271" s="192" t="str">
        <f>INDEX('Revenue by Customer'!AA:AA,MATCH('Full Customer List'!$B271,'Revenue by Customer'!$A:$A,0))</f>
        <v/>
      </c>
      <c r="AB271" s="192" t="str">
        <f>INDEX('Revenue by Customer'!AB:AB,MATCH('Full Customer List'!$B271,'Revenue by Customer'!$A:$A,0))</f>
        <v/>
      </c>
      <c r="AC271" s="192" t="str">
        <f>INDEX('Revenue by Customer'!AC:AC,MATCH('Full Customer List'!$B271,'Revenue by Customer'!$A:$A,0))</f>
        <v/>
      </c>
    </row>
    <row r="272" spans="2:29" ht="12" customHeight="1">
      <c r="B272" s="173" t="s">
        <v>925</v>
      </c>
      <c r="C272" s="173" t="str">
        <f>INDEX('Customer List'!$B:$B,MATCH('Full Customer List'!$B272,'Customer List'!$A:$A,0))</f>
        <v>Former client</v>
      </c>
      <c r="D272" s="173" t="str">
        <f>INDEX('Customer List'!$C:$C,MATCH('Full Customer List'!$B272,'Customer List'!$A:$A,0))</f>
        <v>Short-term rental (departed)</v>
      </c>
      <c r="E272" s="173" t="str">
        <f>INDEX('Customer List Mapping'!$C:$C,MATCH('Full Customer List'!D272,'Customer List Mapping'!$B:$B,0))</f>
        <v>Short-Term Rental</v>
      </c>
      <c r="F272" s="192" t="str">
        <f>INDEX('Customer List'!$K:$K,MATCH('Full Customer List'!$B272,'Customer List'!$A:$A,0))</f>
        <v/>
      </c>
      <c r="G272" s="192">
        <f>INDEX('Revenue by Customer'!$I:$I,MATCH('Full Customer List'!$B272,'Revenue by Customer'!$A:$A,0))</f>
        <v>400</v>
      </c>
      <c r="H272" s="257" t="str">
        <f>IFERROR(IF(C272="Active","",INDEX('Client Departures'!$G:$G,MATCH('Full Customer List'!$B272,'Client Departures'!$A:$A,0))),"Unclassified")</f>
        <v>No</v>
      </c>
      <c r="I272" s="196">
        <v>45962</v>
      </c>
      <c r="J272" s="196">
        <v>46022</v>
      </c>
      <c r="K272" s="192" t="str">
        <f>INDEX('Revenue by Customer'!K:K,MATCH('Full Customer List'!$B272,'Revenue by Customer'!$A:$A,0))</f>
        <v/>
      </c>
      <c r="L272" s="192" t="str">
        <f>INDEX('Revenue by Customer'!L:L,MATCH('Full Customer List'!$B272,'Revenue by Customer'!$A:$A,0))</f>
        <v/>
      </c>
      <c r="M272" s="192" t="str">
        <f>INDEX('Revenue by Customer'!M:M,MATCH('Full Customer List'!$B272,'Revenue by Customer'!$A:$A,0))</f>
        <v/>
      </c>
      <c r="N272" s="192" t="str">
        <f>INDEX('Revenue by Customer'!N:N,MATCH('Full Customer List'!$B272,'Revenue by Customer'!$A:$A,0))</f>
        <v/>
      </c>
      <c r="O272" s="192" t="str">
        <f>INDEX('Revenue by Customer'!O:O,MATCH('Full Customer List'!$B272,'Revenue by Customer'!$A:$A,0))</f>
        <v/>
      </c>
      <c r="P272" s="192" t="str">
        <f>INDEX('Revenue by Customer'!P:P,MATCH('Full Customer List'!$B272,'Revenue by Customer'!$A:$A,0))</f>
        <v/>
      </c>
      <c r="Q272" s="192" t="str">
        <f>INDEX('Revenue by Customer'!Q:Q,MATCH('Full Customer List'!$B272,'Revenue by Customer'!$A:$A,0))</f>
        <v/>
      </c>
      <c r="R272" s="192" t="str">
        <f>INDEX('Revenue by Customer'!R:R,MATCH('Full Customer List'!$B272,'Revenue by Customer'!$A:$A,0))</f>
        <v/>
      </c>
      <c r="S272" s="192" t="str">
        <f>INDEX('Revenue by Customer'!S:S,MATCH('Full Customer List'!$B272,'Revenue by Customer'!$A:$A,0))</f>
        <v/>
      </c>
      <c r="T272" s="192" t="str">
        <f>INDEX('Revenue by Customer'!T:T,MATCH('Full Customer List'!$B272,'Revenue by Customer'!$A:$A,0))</f>
        <v/>
      </c>
      <c r="U272" s="192">
        <f>INDEX('Revenue by Customer'!U:U,MATCH('Full Customer List'!$B272,'Revenue by Customer'!$A:$A,0))</f>
        <v>100</v>
      </c>
      <c r="V272" s="192">
        <f>INDEX('Revenue by Customer'!V:V,MATCH('Full Customer List'!$B272,'Revenue by Customer'!$A:$A,0))</f>
        <v>700</v>
      </c>
      <c r="W272" s="192">
        <f>INDEX('Revenue by Customer'!W:W,MATCH('Full Customer List'!$B272,'Revenue by Customer'!$A:$A,0))</f>
        <v>0</v>
      </c>
      <c r="X272" s="192" t="str">
        <f>INDEX('Revenue by Customer'!X:X,MATCH('Full Customer List'!$B272,'Revenue by Customer'!$A:$A,0))</f>
        <v/>
      </c>
      <c r="Y272" s="192" t="str">
        <f>INDEX('Revenue by Customer'!Y:Y,MATCH('Full Customer List'!$B272,'Revenue by Customer'!$A:$A,0))</f>
        <v/>
      </c>
      <c r="Z272" s="192" t="str">
        <f>INDEX('Revenue by Customer'!Z:Z,MATCH('Full Customer List'!$B272,'Revenue by Customer'!$A:$A,0))</f>
        <v/>
      </c>
      <c r="AA272" s="192" t="str">
        <f>INDEX('Revenue by Customer'!AA:AA,MATCH('Full Customer List'!$B272,'Revenue by Customer'!$A:$A,0))</f>
        <v/>
      </c>
      <c r="AB272" s="192" t="str">
        <f>INDEX('Revenue by Customer'!AB:AB,MATCH('Full Customer List'!$B272,'Revenue by Customer'!$A:$A,0))</f>
        <v/>
      </c>
      <c r="AC272" s="192" t="str">
        <f>INDEX('Revenue by Customer'!AC:AC,MATCH('Full Customer List'!$B272,'Revenue by Customer'!$A:$A,0))</f>
        <v/>
      </c>
    </row>
    <row r="273" spans="2:29" ht="12" customHeight="1">
      <c r="B273" s="173" t="s">
        <v>926</v>
      </c>
      <c r="C273" s="173" t="str">
        <f>INDEX('Customer List'!$B:$B,MATCH('Full Customer List'!$B273,'Customer List'!$A:$A,0))</f>
        <v>Former client</v>
      </c>
      <c r="D273" s="173" t="str">
        <f>INDEX('Customer List'!$C:$C,MATCH('Full Customer List'!$B273,'Customer List'!$A:$A,0))</f>
        <v>Small business</v>
      </c>
      <c r="E273" s="173" t="str">
        <f>INDEX('Customer List Mapping'!$C:$C,MATCH('Full Customer List'!D273,'Customer List Mapping'!$B:$B,0))</f>
        <v>Small Business</v>
      </c>
      <c r="F273" s="192" t="str">
        <f>INDEX('Customer List'!$K:$K,MATCH('Full Customer List'!$B273,'Customer List'!$A:$A,0))</f>
        <v/>
      </c>
      <c r="G273" s="192">
        <f>INDEX('Revenue by Customer'!$I:$I,MATCH('Full Customer List'!$B273,'Revenue by Customer'!$A:$A,0))</f>
        <v>147</v>
      </c>
      <c r="H273" s="257" t="str">
        <f>IFERROR(IF(C273="Active","",INDEX('Client Departures'!$G:$G,MATCH('Full Customer List'!$B273,'Client Departures'!$A:$A,0))),"Unclassified")</f>
        <v>Yes</v>
      </c>
      <c r="I273" s="196">
        <v>44317</v>
      </c>
      <c r="J273" s="196">
        <v>46022</v>
      </c>
      <c r="K273" s="192">
        <f>INDEX('Revenue by Customer'!K:K,MATCH('Full Customer List'!$B273,'Revenue by Customer'!$A:$A,0))</f>
        <v>192</v>
      </c>
      <c r="L273" s="192">
        <f>INDEX('Revenue by Customer'!L:L,MATCH('Full Customer List'!$B273,'Revenue by Customer'!$A:$A,0))</f>
        <v>147</v>
      </c>
      <c r="M273" s="192">
        <f>INDEX('Revenue by Customer'!M:M,MATCH('Full Customer List'!$B273,'Revenue by Customer'!$A:$A,0))</f>
        <v>147</v>
      </c>
      <c r="N273" s="192">
        <f>INDEX('Revenue by Customer'!N:N,MATCH('Full Customer List'!$B273,'Revenue by Customer'!$A:$A,0))</f>
        <v>147</v>
      </c>
      <c r="O273" s="192">
        <f>INDEX('Revenue by Customer'!O:O,MATCH('Full Customer List'!$B273,'Revenue by Customer'!$A:$A,0))</f>
        <v>147</v>
      </c>
      <c r="P273" s="192">
        <f>INDEX('Revenue by Customer'!P:P,MATCH('Full Customer List'!$B273,'Revenue by Customer'!$A:$A,0))</f>
        <v>147</v>
      </c>
      <c r="Q273" s="192">
        <f>INDEX('Revenue by Customer'!Q:Q,MATCH('Full Customer List'!$B273,'Revenue by Customer'!$A:$A,0))</f>
        <v>147</v>
      </c>
      <c r="R273" s="192">
        <f>INDEX('Revenue by Customer'!R:R,MATCH('Full Customer List'!$B273,'Revenue by Customer'!$A:$A,0))</f>
        <v>147</v>
      </c>
      <c r="S273" s="192">
        <f>INDEX('Revenue by Customer'!S:S,MATCH('Full Customer List'!$B273,'Revenue by Customer'!$A:$A,0))</f>
        <v>147</v>
      </c>
      <c r="T273" s="192">
        <f>INDEX('Revenue by Customer'!T:T,MATCH('Full Customer List'!$B273,'Revenue by Customer'!$A:$A,0))</f>
        <v>147</v>
      </c>
      <c r="U273" s="192">
        <f>INDEX('Revenue by Customer'!U:U,MATCH('Full Customer List'!$B273,'Revenue by Customer'!$A:$A,0))</f>
        <v>147</v>
      </c>
      <c r="V273" s="192">
        <f>INDEX('Revenue by Customer'!V:V,MATCH('Full Customer List'!$B273,'Revenue by Customer'!$A:$A,0))</f>
        <v>147</v>
      </c>
      <c r="W273" s="192" t="str">
        <f>INDEX('Revenue by Customer'!W:W,MATCH('Full Customer List'!$B273,'Revenue by Customer'!$A:$A,0))</f>
        <v/>
      </c>
      <c r="X273" s="192" t="str">
        <f>INDEX('Revenue by Customer'!X:X,MATCH('Full Customer List'!$B273,'Revenue by Customer'!$A:$A,0))</f>
        <v/>
      </c>
      <c r="Y273" s="192" t="str">
        <f>INDEX('Revenue by Customer'!Y:Y,MATCH('Full Customer List'!$B273,'Revenue by Customer'!$A:$A,0))</f>
        <v/>
      </c>
      <c r="Z273" s="192" t="str">
        <f>INDEX('Revenue by Customer'!Z:Z,MATCH('Full Customer List'!$B273,'Revenue by Customer'!$A:$A,0))</f>
        <v/>
      </c>
      <c r="AA273" s="192" t="str">
        <f>INDEX('Revenue by Customer'!AA:AA,MATCH('Full Customer List'!$B273,'Revenue by Customer'!$A:$A,0))</f>
        <v/>
      </c>
      <c r="AB273" s="192" t="str">
        <f>INDEX('Revenue by Customer'!AB:AB,MATCH('Full Customer List'!$B273,'Revenue by Customer'!$A:$A,0))</f>
        <v/>
      </c>
      <c r="AC273" s="192" t="str">
        <f>INDEX('Revenue by Customer'!AC:AC,MATCH('Full Customer List'!$B273,'Revenue by Customer'!$A:$A,0))</f>
        <v/>
      </c>
    </row>
    <row r="274" spans="2:29" ht="12" customHeight="1">
      <c r="B274" s="173" t="s">
        <v>927</v>
      </c>
      <c r="C274" s="173" t="str">
        <f>INDEX('Customer List'!$B:$B,MATCH('Full Customer List'!$B274,'Customer List'!$A:$A,0))</f>
        <v>Former client</v>
      </c>
      <c r="D274" s="173" t="str">
        <f>INDEX('Customer List'!$C:$C,MATCH('Full Customer List'!$B274,'Customer List'!$A:$A,0))</f>
        <v>Short-term rental (departed)</v>
      </c>
      <c r="E274" s="173" t="str">
        <f>INDEX('Customer List Mapping'!$C:$C,MATCH('Full Customer List'!D274,'Customer List Mapping'!$B:$B,0))</f>
        <v>Short-Term Rental</v>
      </c>
      <c r="F274" s="192" t="str">
        <f>INDEX('Customer List'!$K:$K,MATCH('Full Customer List'!$B274,'Customer List'!$A:$A,0))</f>
        <v/>
      </c>
      <c r="G274" s="192">
        <f>INDEX('Revenue by Customer'!$I:$I,MATCH('Full Customer List'!$B274,'Revenue by Customer'!$A:$A,0))</f>
        <v>362.5</v>
      </c>
      <c r="H274" s="257" t="str">
        <f>IFERROR(IF(C274="Active","",INDEX('Client Departures'!$G:$G,MATCH('Full Customer List'!$B274,'Client Departures'!$A:$A,0))),"Unclassified")</f>
        <v>No</v>
      </c>
      <c r="I274" s="196">
        <v>45931</v>
      </c>
      <c r="J274" s="196">
        <v>45991</v>
      </c>
      <c r="K274" s="192" t="str">
        <f>INDEX('Revenue by Customer'!K:K,MATCH('Full Customer List'!$B274,'Revenue by Customer'!$A:$A,0))</f>
        <v/>
      </c>
      <c r="L274" s="192" t="str">
        <f>INDEX('Revenue by Customer'!L:L,MATCH('Full Customer List'!$B274,'Revenue by Customer'!$A:$A,0))</f>
        <v/>
      </c>
      <c r="M274" s="192" t="str">
        <f>INDEX('Revenue by Customer'!M:M,MATCH('Full Customer List'!$B274,'Revenue by Customer'!$A:$A,0))</f>
        <v/>
      </c>
      <c r="N274" s="192" t="str">
        <f>INDEX('Revenue by Customer'!N:N,MATCH('Full Customer List'!$B274,'Revenue by Customer'!$A:$A,0))</f>
        <v/>
      </c>
      <c r="O274" s="192" t="str">
        <f>INDEX('Revenue by Customer'!O:O,MATCH('Full Customer List'!$B274,'Revenue by Customer'!$A:$A,0))</f>
        <v/>
      </c>
      <c r="P274" s="192" t="str">
        <f>INDEX('Revenue by Customer'!P:P,MATCH('Full Customer List'!$B274,'Revenue by Customer'!$A:$A,0))</f>
        <v/>
      </c>
      <c r="Q274" s="192" t="str">
        <f>INDEX('Revenue by Customer'!Q:Q,MATCH('Full Customer List'!$B274,'Revenue by Customer'!$A:$A,0))</f>
        <v/>
      </c>
      <c r="R274" s="192" t="str">
        <f>INDEX('Revenue by Customer'!R:R,MATCH('Full Customer List'!$B274,'Revenue by Customer'!$A:$A,0))</f>
        <v/>
      </c>
      <c r="S274" s="192" t="str">
        <f>INDEX('Revenue by Customer'!S:S,MATCH('Full Customer List'!$B274,'Revenue by Customer'!$A:$A,0))</f>
        <v/>
      </c>
      <c r="T274" s="192">
        <f>INDEX('Revenue by Customer'!T:T,MATCH('Full Customer List'!$B274,'Revenue by Customer'!$A:$A,0))</f>
        <v>400</v>
      </c>
      <c r="U274" s="192">
        <f>INDEX('Revenue by Customer'!U:U,MATCH('Full Customer List'!$B274,'Revenue by Customer'!$A:$A,0))</f>
        <v>325</v>
      </c>
      <c r="V274" s="192" t="str">
        <f>INDEX('Revenue by Customer'!V:V,MATCH('Full Customer List'!$B274,'Revenue by Customer'!$A:$A,0))</f>
        <v/>
      </c>
      <c r="W274" s="192" t="str">
        <f>INDEX('Revenue by Customer'!W:W,MATCH('Full Customer List'!$B274,'Revenue by Customer'!$A:$A,0))</f>
        <v/>
      </c>
      <c r="X274" s="192" t="str">
        <f>INDEX('Revenue by Customer'!X:X,MATCH('Full Customer List'!$B274,'Revenue by Customer'!$A:$A,0))</f>
        <v/>
      </c>
      <c r="Y274" s="192" t="str">
        <f>INDEX('Revenue by Customer'!Y:Y,MATCH('Full Customer List'!$B274,'Revenue by Customer'!$A:$A,0))</f>
        <v/>
      </c>
      <c r="Z274" s="192" t="str">
        <f>INDEX('Revenue by Customer'!Z:Z,MATCH('Full Customer List'!$B274,'Revenue by Customer'!$A:$A,0))</f>
        <v/>
      </c>
      <c r="AA274" s="192" t="str">
        <f>INDEX('Revenue by Customer'!AA:AA,MATCH('Full Customer List'!$B274,'Revenue by Customer'!$A:$A,0))</f>
        <v/>
      </c>
      <c r="AB274" s="192" t="str">
        <f>INDEX('Revenue by Customer'!AB:AB,MATCH('Full Customer List'!$B274,'Revenue by Customer'!$A:$A,0))</f>
        <v/>
      </c>
      <c r="AC274" s="192" t="str">
        <f>INDEX('Revenue by Customer'!AC:AC,MATCH('Full Customer List'!$B274,'Revenue by Customer'!$A:$A,0))</f>
        <v/>
      </c>
    </row>
    <row r="275" spans="2:29" ht="12" customHeight="1">
      <c r="B275" s="173" t="s">
        <v>928</v>
      </c>
      <c r="C275" s="173" t="str">
        <f>INDEX('Customer List'!$B:$B,MATCH('Full Customer List'!$B275,'Customer List'!$A:$A,0))</f>
        <v>Former client</v>
      </c>
      <c r="D275" s="173" t="str">
        <f>INDEX('Customer List'!$C:$C,MATCH('Full Customer List'!$B275,'Customer List'!$A:$A,0))</f>
        <v>Tax client only</v>
      </c>
      <c r="E275" s="173" t="str">
        <f>INDEX('Customer List Mapping'!$C:$C,MATCH('Full Customer List'!D275,'Customer List Mapping'!$B:$B,0))</f>
        <v>Tax-Only Client</v>
      </c>
      <c r="F275" s="192" t="str">
        <f>INDEX('Customer List'!$K:$K,MATCH('Full Customer List'!$B275,'Customer List'!$A:$A,0))</f>
        <v/>
      </c>
      <c r="G275" s="192">
        <f>INDEX('Revenue by Customer'!$I:$I,MATCH('Full Customer List'!$B275,'Revenue by Customer'!$A:$A,0))</f>
        <v>650</v>
      </c>
      <c r="H275" s="257" t="str">
        <f>IFERROR(IF(C275="Active","",INDEX('Client Departures'!$G:$G,MATCH('Full Customer List'!$B275,'Client Departures'!$A:$A,0))),"Unclassified")</f>
        <v>Unclassified</v>
      </c>
      <c r="I275" s="196">
        <v>46054</v>
      </c>
      <c r="J275" s="196"/>
      <c r="K275" s="192" t="str">
        <f>INDEX('Revenue by Customer'!K:K,MATCH('Full Customer List'!$B275,'Revenue by Customer'!$A:$A,0))</f>
        <v/>
      </c>
      <c r="L275" s="192" t="str">
        <f>INDEX('Revenue by Customer'!L:L,MATCH('Full Customer List'!$B275,'Revenue by Customer'!$A:$A,0))</f>
        <v/>
      </c>
      <c r="M275" s="192" t="str">
        <f>INDEX('Revenue by Customer'!M:M,MATCH('Full Customer List'!$B275,'Revenue by Customer'!$A:$A,0))</f>
        <v/>
      </c>
      <c r="N275" s="192" t="str">
        <f>INDEX('Revenue by Customer'!N:N,MATCH('Full Customer List'!$B275,'Revenue by Customer'!$A:$A,0))</f>
        <v/>
      </c>
      <c r="O275" s="192" t="str">
        <f>INDEX('Revenue by Customer'!O:O,MATCH('Full Customer List'!$B275,'Revenue by Customer'!$A:$A,0))</f>
        <v/>
      </c>
      <c r="P275" s="192" t="str">
        <f>INDEX('Revenue by Customer'!P:P,MATCH('Full Customer List'!$B275,'Revenue by Customer'!$A:$A,0))</f>
        <v/>
      </c>
      <c r="Q275" s="192" t="str">
        <f>INDEX('Revenue by Customer'!Q:Q,MATCH('Full Customer List'!$B275,'Revenue by Customer'!$A:$A,0))</f>
        <v/>
      </c>
      <c r="R275" s="192" t="str">
        <f>INDEX('Revenue by Customer'!R:R,MATCH('Full Customer List'!$B275,'Revenue by Customer'!$A:$A,0))</f>
        <v/>
      </c>
      <c r="S275" s="192" t="str">
        <f>INDEX('Revenue by Customer'!S:S,MATCH('Full Customer List'!$B275,'Revenue by Customer'!$A:$A,0))</f>
        <v/>
      </c>
      <c r="T275" s="192" t="str">
        <f>INDEX('Revenue by Customer'!T:T,MATCH('Full Customer List'!$B275,'Revenue by Customer'!$A:$A,0))</f>
        <v/>
      </c>
      <c r="U275" s="192" t="str">
        <f>INDEX('Revenue by Customer'!U:U,MATCH('Full Customer List'!$B275,'Revenue by Customer'!$A:$A,0))</f>
        <v/>
      </c>
      <c r="V275" s="192" t="str">
        <f>INDEX('Revenue by Customer'!V:V,MATCH('Full Customer List'!$B275,'Revenue by Customer'!$A:$A,0))</f>
        <v/>
      </c>
      <c r="W275" s="192" t="str">
        <f>INDEX('Revenue by Customer'!W:W,MATCH('Full Customer List'!$B275,'Revenue by Customer'!$A:$A,0))</f>
        <v/>
      </c>
      <c r="X275" s="192">
        <f>INDEX('Revenue by Customer'!X:X,MATCH('Full Customer List'!$B275,'Revenue by Customer'!$A:$A,0))</f>
        <v>650</v>
      </c>
      <c r="Y275" s="192" t="str">
        <f>INDEX('Revenue by Customer'!Y:Y,MATCH('Full Customer List'!$B275,'Revenue by Customer'!$A:$A,0))</f>
        <v/>
      </c>
      <c r="Z275" s="192" t="str">
        <f>INDEX('Revenue by Customer'!Z:Z,MATCH('Full Customer List'!$B275,'Revenue by Customer'!$A:$A,0))</f>
        <v/>
      </c>
      <c r="AA275" s="192" t="str">
        <f>INDEX('Revenue by Customer'!AA:AA,MATCH('Full Customer List'!$B275,'Revenue by Customer'!$A:$A,0))</f>
        <v/>
      </c>
      <c r="AB275" s="192" t="str">
        <f>INDEX('Revenue by Customer'!AB:AB,MATCH('Full Customer List'!$B275,'Revenue by Customer'!$A:$A,0))</f>
        <v/>
      </c>
      <c r="AC275" s="192" t="str">
        <f>INDEX('Revenue by Customer'!AC:AC,MATCH('Full Customer List'!$B275,'Revenue by Customer'!$A:$A,0))</f>
        <v/>
      </c>
    </row>
    <row r="276" spans="2:29" ht="12" customHeight="1">
      <c r="B276" s="173" t="s">
        <v>929</v>
      </c>
      <c r="C276" s="173" t="str">
        <f>INDEX('Customer List'!$B:$B,MATCH('Full Customer List'!$B276,'Customer List'!$A:$A,0))</f>
        <v>Former client</v>
      </c>
      <c r="D276" s="173" t="str">
        <f>INDEX('Customer List'!$C:$C,MATCH('Full Customer List'!$B276,'Customer List'!$A:$A,0))</f>
        <v>Short-term rental (departed)</v>
      </c>
      <c r="E276" s="173" t="str">
        <f>INDEX('Customer List Mapping'!$C:$C,MATCH('Full Customer List'!D276,'Customer List Mapping'!$B:$B,0))</f>
        <v>Short-Term Rental</v>
      </c>
      <c r="F276" s="192" t="str">
        <f>INDEX('Customer List'!$K:$K,MATCH('Full Customer List'!$B276,'Customer List'!$A:$A,0))</f>
        <v/>
      </c>
      <c r="G276" s="192">
        <f>INDEX('Revenue by Customer'!$I:$I,MATCH('Full Customer List'!$B276,'Revenue by Customer'!$A:$A,0))</f>
        <v>183.33333333333334</v>
      </c>
      <c r="H276" s="257" t="str">
        <f>IFERROR(IF(C276="Active","",INDEX('Client Departures'!$G:$G,MATCH('Full Customer List'!$B276,'Client Departures'!$A:$A,0))),"Unclassified")</f>
        <v>Yes</v>
      </c>
      <c r="I276" s="196">
        <v>45323</v>
      </c>
      <c r="J276" s="196">
        <v>45900</v>
      </c>
      <c r="K276" s="192">
        <f>INDEX('Revenue by Customer'!K:K,MATCH('Full Customer List'!$B276,'Revenue by Customer'!$A:$A,0))</f>
        <v>630</v>
      </c>
      <c r="L276" s="192">
        <f>INDEX('Revenue by Customer'!L:L,MATCH('Full Customer List'!$B276,'Revenue by Customer'!$A:$A,0))</f>
        <v>470</v>
      </c>
      <c r="M276" s="192">
        <f>INDEX('Revenue by Customer'!M:M,MATCH('Full Customer List'!$B276,'Revenue by Customer'!$A:$A,0))</f>
        <v>720</v>
      </c>
      <c r="N276" s="192">
        <f>INDEX('Revenue by Customer'!N:N,MATCH('Full Customer List'!$B276,'Revenue by Customer'!$A:$A,0))</f>
        <v>540</v>
      </c>
      <c r="O276" s="192">
        <f>INDEX('Revenue by Customer'!O:O,MATCH('Full Customer List'!$B276,'Revenue by Customer'!$A:$A,0))</f>
        <v>540</v>
      </c>
      <c r="P276" s="192">
        <f>INDEX('Revenue by Customer'!P:P,MATCH('Full Customer List'!$B276,'Revenue by Customer'!$A:$A,0))</f>
        <v>540</v>
      </c>
      <c r="Q276" s="192">
        <f>INDEX('Revenue by Customer'!Q:Q,MATCH('Full Customer List'!$B276,'Revenue by Customer'!$A:$A,0))</f>
        <v>470</v>
      </c>
      <c r="R276" s="192">
        <f>INDEX('Revenue by Customer'!R:R,MATCH('Full Customer List'!$B276,'Revenue by Customer'!$A:$A,0))</f>
        <v>400</v>
      </c>
      <c r="S276" s="192">
        <f>INDEX('Revenue by Customer'!S:S,MATCH('Full Customer List'!$B276,'Revenue by Customer'!$A:$A,0))</f>
        <v>75</v>
      </c>
      <c r="T276" s="192">
        <f>INDEX('Revenue by Customer'!T:T,MATCH('Full Customer List'!$B276,'Revenue by Customer'!$A:$A,0))</f>
        <v>75</v>
      </c>
      <c r="U276" s="192" t="str">
        <f>INDEX('Revenue by Customer'!U:U,MATCH('Full Customer List'!$B276,'Revenue by Customer'!$A:$A,0))</f>
        <v/>
      </c>
      <c r="V276" s="192" t="str">
        <f>INDEX('Revenue by Customer'!V:V,MATCH('Full Customer List'!$B276,'Revenue by Customer'!$A:$A,0))</f>
        <v/>
      </c>
      <c r="W276" s="192" t="str">
        <f>INDEX('Revenue by Customer'!W:W,MATCH('Full Customer List'!$B276,'Revenue by Customer'!$A:$A,0))</f>
        <v/>
      </c>
      <c r="X276" s="192" t="str">
        <f>INDEX('Revenue by Customer'!X:X,MATCH('Full Customer List'!$B276,'Revenue by Customer'!$A:$A,0))</f>
        <v/>
      </c>
      <c r="Y276" s="192" t="str">
        <f>INDEX('Revenue by Customer'!Y:Y,MATCH('Full Customer List'!$B276,'Revenue by Customer'!$A:$A,0))</f>
        <v/>
      </c>
      <c r="Z276" s="192" t="str">
        <f>INDEX('Revenue by Customer'!Z:Z,MATCH('Full Customer List'!$B276,'Revenue by Customer'!$A:$A,0))</f>
        <v/>
      </c>
      <c r="AA276" s="192" t="str">
        <f>INDEX('Revenue by Customer'!AA:AA,MATCH('Full Customer List'!$B276,'Revenue by Customer'!$A:$A,0))</f>
        <v/>
      </c>
      <c r="AB276" s="192" t="str">
        <f>INDEX('Revenue by Customer'!AB:AB,MATCH('Full Customer List'!$B276,'Revenue by Customer'!$A:$A,0))</f>
        <v/>
      </c>
      <c r="AC276" s="192" t="str">
        <f>INDEX('Revenue by Customer'!AC:AC,MATCH('Full Customer List'!$B276,'Revenue by Customer'!$A:$A,0))</f>
        <v/>
      </c>
    </row>
    <row r="277" spans="2:29" ht="12" customHeight="1">
      <c r="B277" s="173" t="s">
        <v>930</v>
      </c>
      <c r="C277" s="173" t="str">
        <f>INDEX('Customer List'!$B:$B,MATCH('Full Customer List'!$B277,'Customer List'!$A:$A,0))</f>
        <v>Former client</v>
      </c>
      <c r="D277" s="173" t="str">
        <f>INDEX('Customer List'!$C:$C,MATCH('Full Customer List'!$B277,'Customer List'!$A:$A,0))</f>
        <v>Tax client only</v>
      </c>
      <c r="E277" s="173" t="str">
        <f>INDEX('Customer List Mapping'!$C:$C,MATCH('Full Customer List'!D277,'Customer List Mapping'!$B:$B,0))</f>
        <v>Tax-Only Client</v>
      </c>
      <c r="F277" s="192" t="str">
        <f>INDEX('Customer List'!$K:$K,MATCH('Full Customer List'!$B277,'Customer List'!$A:$A,0))</f>
        <v/>
      </c>
      <c r="G277" s="192">
        <f>INDEX('Revenue by Customer'!$I:$I,MATCH('Full Customer List'!$B277,'Revenue by Customer'!$A:$A,0))</f>
        <v>495</v>
      </c>
      <c r="H277" s="257" t="str">
        <f>IFERROR(IF(C277="Active","",INDEX('Client Departures'!$G:$G,MATCH('Full Customer List'!$B277,'Client Departures'!$A:$A,0))),"Unclassified")</f>
        <v>Unclassified</v>
      </c>
      <c r="I277" s="196">
        <v>45931</v>
      </c>
      <c r="J277" s="196"/>
      <c r="K277" s="192" t="str">
        <f>INDEX('Revenue by Customer'!K:K,MATCH('Full Customer List'!$B277,'Revenue by Customer'!$A:$A,0))</f>
        <v/>
      </c>
      <c r="L277" s="192" t="str">
        <f>INDEX('Revenue by Customer'!L:L,MATCH('Full Customer List'!$B277,'Revenue by Customer'!$A:$A,0))</f>
        <v/>
      </c>
      <c r="M277" s="192" t="str">
        <f>INDEX('Revenue by Customer'!M:M,MATCH('Full Customer List'!$B277,'Revenue by Customer'!$A:$A,0))</f>
        <v/>
      </c>
      <c r="N277" s="192" t="str">
        <f>INDEX('Revenue by Customer'!N:N,MATCH('Full Customer List'!$B277,'Revenue by Customer'!$A:$A,0))</f>
        <v/>
      </c>
      <c r="O277" s="192" t="str">
        <f>INDEX('Revenue by Customer'!O:O,MATCH('Full Customer List'!$B277,'Revenue by Customer'!$A:$A,0))</f>
        <v/>
      </c>
      <c r="P277" s="192" t="str">
        <f>INDEX('Revenue by Customer'!P:P,MATCH('Full Customer List'!$B277,'Revenue by Customer'!$A:$A,0))</f>
        <v/>
      </c>
      <c r="Q277" s="192" t="str">
        <f>INDEX('Revenue by Customer'!Q:Q,MATCH('Full Customer List'!$B277,'Revenue by Customer'!$A:$A,0))</f>
        <v/>
      </c>
      <c r="R277" s="192" t="str">
        <f>INDEX('Revenue by Customer'!R:R,MATCH('Full Customer List'!$B277,'Revenue by Customer'!$A:$A,0))</f>
        <v/>
      </c>
      <c r="S277" s="192" t="str">
        <f>INDEX('Revenue by Customer'!S:S,MATCH('Full Customer List'!$B277,'Revenue by Customer'!$A:$A,0))</f>
        <v/>
      </c>
      <c r="T277" s="192">
        <f>INDEX('Revenue by Customer'!T:T,MATCH('Full Customer List'!$B277,'Revenue by Customer'!$A:$A,0))</f>
        <v>495</v>
      </c>
      <c r="U277" s="192" t="str">
        <f>INDEX('Revenue by Customer'!U:U,MATCH('Full Customer List'!$B277,'Revenue by Customer'!$A:$A,0))</f>
        <v/>
      </c>
      <c r="V277" s="192" t="str">
        <f>INDEX('Revenue by Customer'!V:V,MATCH('Full Customer List'!$B277,'Revenue by Customer'!$A:$A,0))</f>
        <v/>
      </c>
      <c r="W277" s="192" t="str">
        <f>INDEX('Revenue by Customer'!W:W,MATCH('Full Customer List'!$B277,'Revenue by Customer'!$A:$A,0))</f>
        <v/>
      </c>
      <c r="X277" s="192" t="str">
        <f>INDEX('Revenue by Customer'!X:X,MATCH('Full Customer List'!$B277,'Revenue by Customer'!$A:$A,0))</f>
        <v/>
      </c>
      <c r="Y277" s="192">
        <f>INDEX('Revenue by Customer'!Y:Y,MATCH('Full Customer List'!$B277,'Revenue by Customer'!$A:$A,0))</f>
        <v>0</v>
      </c>
      <c r="Z277" s="192" t="str">
        <f>INDEX('Revenue by Customer'!Z:Z,MATCH('Full Customer List'!$B277,'Revenue by Customer'!$A:$A,0))</f>
        <v/>
      </c>
      <c r="AA277" s="192" t="str">
        <f>INDEX('Revenue by Customer'!AA:AA,MATCH('Full Customer List'!$B277,'Revenue by Customer'!$A:$A,0))</f>
        <v/>
      </c>
      <c r="AB277" s="192" t="str">
        <f>INDEX('Revenue by Customer'!AB:AB,MATCH('Full Customer List'!$B277,'Revenue by Customer'!$A:$A,0))</f>
        <v/>
      </c>
      <c r="AC277" s="192" t="str">
        <f>INDEX('Revenue by Customer'!AC:AC,MATCH('Full Customer List'!$B277,'Revenue by Customer'!$A:$A,0))</f>
        <v/>
      </c>
    </row>
    <row r="278" spans="2:29" ht="12" customHeight="1">
      <c r="B278" s="173" t="s">
        <v>931</v>
      </c>
      <c r="C278" s="173" t="str">
        <f>INDEX('Customer List'!$B:$B,MATCH('Full Customer List'!$B278,'Customer List'!$A:$A,0))</f>
        <v>Onboarding</v>
      </c>
      <c r="D278" s="173" t="str">
        <f>INDEX('Customer List'!$C:$C,MATCH('Full Customer List'!$B278,'Customer List'!$A:$A,0))</f>
        <v>STR owner</v>
      </c>
      <c r="E278" s="173" t="str">
        <f>INDEX('Customer List Mapping'!$C:$C,MATCH('Full Customer List'!D278,'Customer List Mapping'!$B:$B,0))</f>
        <v>STR Owner</v>
      </c>
      <c r="F278" s="192" t="str">
        <f>INDEX('Customer List'!$K:$K,MATCH('Full Customer List'!$B278,'Customer List'!$A:$A,0))</f>
        <v/>
      </c>
      <c r="G278" s="192">
        <f>INDEX('Revenue by Customer'!$I:$I,MATCH('Full Customer List'!$B278,'Revenue by Customer'!$A:$A,0))</f>
        <v>418</v>
      </c>
      <c r="H278" s="257" t="str">
        <f>IFERROR(IF(C278="Active","",INDEX('Client Departures'!$G:$G,MATCH('Full Customer List'!$B278,'Client Departures'!$A:$A,0))),"Unclassified")</f>
        <v>Unclassified</v>
      </c>
      <c r="I278" s="196">
        <v>46204</v>
      </c>
      <c r="J278" s="196"/>
      <c r="K278" s="192" t="str">
        <f>INDEX('Revenue by Customer'!K:K,MATCH('Full Customer List'!$B278,'Revenue by Customer'!$A:$A,0))</f>
        <v/>
      </c>
      <c r="L278" s="192" t="str">
        <f>INDEX('Revenue by Customer'!L:L,MATCH('Full Customer List'!$B278,'Revenue by Customer'!$A:$A,0))</f>
        <v/>
      </c>
      <c r="M278" s="192" t="str">
        <f>INDEX('Revenue by Customer'!M:M,MATCH('Full Customer List'!$B278,'Revenue by Customer'!$A:$A,0))</f>
        <v/>
      </c>
      <c r="N278" s="192" t="str">
        <f>INDEX('Revenue by Customer'!N:N,MATCH('Full Customer List'!$B278,'Revenue by Customer'!$A:$A,0))</f>
        <v/>
      </c>
      <c r="O278" s="192" t="str">
        <f>INDEX('Revenue by Customer'!O:O,MATCH('Full Customer List'!$B278,'Revenue by Customer'!$A:$A,0))</f>
        <v/>
      </c>
      <c r="P278" s="192" t="str">
        <f>INDEX('Revenue by Customer'!P:P,MATCH('Full Customer List'!$B278,'Revenue by Customer'!$A:$A,0))</f>
        <v/>
      </c>
      <c r="Q278" s="192" t="str">
        <f>INDEX('Revenue by Customer'!Q:Q,MATCH('Full Customer List'!$B278,'Revenue by Customer'!$A:$A,0))</f>
        <v/>
      </c>
      <c r="R278" s="192" t="str">
        <f>INDEX('Revenue by Customer'!R:R,MATCH('Full Customer List'!$B278,'Revenue by Customer'!$A:$A,0))</f>
        <v/>
      </c>
      <c r="S278" s="192" t="str">
        <f>INDEX('Revenue by Customer'!S:S,MATCH('Full Customer List'!$B278,'Revenue by Customer'!$A:$A,0))</f>
        <v/>
      </c>
      <c r="T278" s="192" t="str">
        <f>INDEX('Revenue by Customer'!T:T,MATCH('Full Customer List'!$B278,'Revenue by Customer'!$A:$A,0))</f>
        <v/>
      </c>
      <c r="U278" s="192" t="str">
        <f>INDEX('Revenue by Customer'!U:U,MATCH('Full Customer List'!$B278,'Revenue by Customer'!$A:$A,0))</f>
        <v/>
      </c>
      <c r="V278" s="192" t="str">
        <f>INDEX('Revenue by Customer'!V:V,MATCH('Full Customer List'!$B278,'Revenue by Customer'!$A:$A,0))</f>
        <v/>
      </c>
      <c r="W278" s="192" t="str">
        <f>INDEX('Revenue by Customer'!W:W,MATCH('Full Customer List'!$B278,'Revenue by Customer'!$A:$A,0))</f>
        <v/>
      </c>
      <c r="X278" s="192" t="str">
        <f>INDEX('Revenue by Customer'!X:X,MATCH('Full Customer List'!$B278,'Revenue by Customer'!$A:$A,0))</f>
        <v/>
      </c>
      <c r="Y278" s="192" t="str">
        <f>INDEX('Revenue by Customer'!Y:Y,MATCH('Full Customer List'!$B278,'Revenue by Customer'!$A:$A,0))</f>
        <v/>
      </c>
      <c r="Z278" s="192" t="str">
        <f>INDEX('Revenue by Customer'!Z:Z,MATCH('Full Customer List'!$B278,'Revenue by Customer'!$A:$A,0))</f>
        <v/>
      </c>
      <c r="AA278" s="192" t="str">
        <f>INDEX('Revenue by Customer'!AA:AA,MATCH('Full Customer List'!$B278,'Revenue by Customer'!$A:$A,0))</f>
        <v/>
      </c>
      <c r="AB278" s="192" t="str">
        <f>INDEX('Revenue by Customer'!AB:AB,MATCH('Full Customer List'!$B278,'Revenue by Customer'!$A:$A,0))</f>
        <v/>
      </c>
      <c r="AC278" s="192">
        <f>INDEX('Revenue by Customer'!AC:AC,MATCH('Full Customer List'!$B278,'Revenue by Customer'!$A:$A,0))</f>
        <v>418</v>
      </c>
    </row>
    <row r="279" spans="2:29" ht="12" customHeight="1">
      <c r="B279" s="173" t="s">
        <v>932</v>
      </c>
      <c r="C279" s="173" t="str">
        <f>INDEX('Customer List'!$B:$B,MATCH('Full Customer List'!$B279,'Customer List'!$A:$A,0))</f>
        <v>Former client</v>
      </c>
      <c r="D279" s="173" t="str">
        <f>INDEX('Customer List'!$C:$C,MATCH('Full Customer List'!$B279,'Customer List'!$A:$A,0))</f>
        <v>Short-term rental (departed)</v>
      </c>
      <c r="E279" s="173" t="str">
        <f>INDEX('Customer List Mapping'!$C:$C,MATCH('Full Customer List'!D279,'Customer List Mapping'!$B:$B,0))</f>
        <v>Short-Term Rental</v>
      </c>
      <c r="F279" s="192" t="str">
        <f>INDEX('Customer List'!$K:$K,MATCH('Full Customer List'!$B279,'Customer List'!$A:$A,0))</f>
        <v/>
      </c>
      <c r="G279" s="192">
        <f>INDEX('Revenue by Customer'!$I:$I,MATCH('Full Customer List'!$B279,'Revenue by Customer'!$A:$A,0))</f>
        <v>395</v>
      </c>
      <c r="H279" s="257" t="str">
        <f>IFERROR(IF(C279="Active","",INDEX('Client Departures'!$G:$G,MATCH('Full Customer List'!$B279,'Client Departures'!$A:$A,0))),"Unclassified")</f>
        <v>Yes</v>
      </c>
      <c r="I279" s="196">
        <v>45536</v>
      </c>
      <c r="J279" s="196">
        <v>45900</v>
      </c>
      <c r="K279" s="192">
        <f>INDEX('Revenue by Customer'!K:K,MATCH('Full Customer List'!$B279,'Revenue by Customer'!$A:$A,0))</f>
        <v>395</v>
      </c>
      <c r="L279" s="192">
        <f>INDEX('Revenue by Customer'!L:L,MATCH('Full Customer List'!$B279,'Revenue by Customer'!$A:$A,0))</f>
        <v>395</v>
      </c>
      <c r="M279" s="192">
        <f>INDEX('Revenue by Customer'!M:M,MATCH('Full Customer List'!$B279,'Revenue by Customer'!$A:$A,0))</f>
        <v>395</v>
      </c>
      <c r="N279" s="192">
        <f>INDEX('Revenue by Customer'!N:N,MATCH('Full Customer List'!$B279,'Revenue by Customer'!$A:$A,0))</f>
        <v>395</v>
      </c>
      <c r="O279" s="192">
        <f>INDEX('Revenue by Customer'!O:O,MATCH('Full Customer List'!$B279,'Revenue by Customer'!$A:$A,0))</f>
        <v>395</v>
      </c>
      <c r="P279" s="192">
        <f>INDEX('Revenue by Customer'!P:P,MATCH('Full Customer List'!$B279,'Revenue by Customer'!$A:$A,0))</f>
        <v>395</v>
      </c>
      <c r="Q279" s="192">
        <f>INDEX('Revenue by Customer'!Q:Q,MATCH('Full Customer List'!$B279,'Revenue by Customer'!$A:$A,0))</f>
        <v>395</v>
      </c>
      <c r="R279" s="192">
        <f>INDEX('Revenue by Customer'!R:R,MATCH('Full Customer List'!$B279,'Revenue by Customer'!$A:$A,0))</f>
        <v>395</v>
      </c>
      <c r="S279" s="192" t="str">
        <f>INDEX('Revenue by Customer'!S:S,MATCH('Full Customer List'!$B279,'Revenue by Customer'!$A:$A,0))</f>
        <v/>
      </c>
      <c r="T279" s="192" t="str">
        <f>INDEX('Revenue by Customer'!T:T,MATCH('Full Customer List'!$B279,'Revenue by Customer'!$A:$A,0))</f>
        <v/>
      </c>
      <c r="U279" s="192" t="str">
        <f>INDEX('Revenue by Customer'!U:U,MATCH('Full Customer List'!$B279,'Revenue by Customer'!$A:$A,0))</f>
        <v/>
      </c>
      <c r="V279" s="192" t="str">
        <f>INDEX('Revenue by Customer'!V:V,MATCH('Full Customer List'!$B279,'Revenue by Customer'!$A:$A,0))</f>
        <v/>
      </c>
      <c r="W279" s="192" t="str">
        <f>INDEX('Revenue by Customer'!W:W,MATCH('Full Customer List'!$B279,'Revenue by Customer'!$A:$A,0))</f>
        <v/>
      </c>
      <c r="X279" s="192" t="str">
        <f>INDEX('Revenue by Customer'!X:X,MATCH('Full Customer List'!$B279,'Revenue by Customer'!$A:$A,0))</f>
        <v/>
      </c>
      <c r="Y279" s="192" t="str">
        <f>INDEX('Revenue by Customer'!Y:Y,MATCH('Full Customer List'!$B279,'Revenue by Customer'!$A:$A,0))</f>
        <v/>
      </c>
      <c r="Z279" s="192" t="str">
        <f>INDEX('Revenue by Customer'!Z:Z,MATCH('Full Customer List'!$B279,'Revenue by Customer'!$A:$A,0))</f>
        <v/>
      </c>
      <c r="AA279" s="192" t="str">
        <f>INDEX('Revenue by Customer'!AA:AA,MATCH('Full Customer List'!$B279,'Revenue by Customer'!$A:$A,0))</f>
        <v/>
      </c>
      <c r="AB279" s="192" t="str">
        <f>INDEX('Revenue by Customer'!AB:AB,MATCH('Full Customer List'!$B279,'Revenue by Customer'!$A:$A,0))</f>
        <v/>
      </c>
      <c r="AC279" s="192" t="str">
        <f>INDEX('Revenue by Customer'!AC:AC,MATCH('Full Customer List'!$B279,'Revenue by Customer'!$A:$A,0))</f>
        <v/>
      </c>
    </row>
    <row r="280" spans="2:29" ht="12" customHeight="1">
      <c r="B280" s="173" t="s">
        <v>933</v>
      </c>
      <c r="C280" s="173" t="str">
        <f>INDEX('Customer List'!$B:$B,MATCH('Full Customer List'!$B280,'Customer List'!$A:$A,0))</f>
        <v>Former client</v>
      </c>
      <c r="D280" s="173" t="str">
        <f>INDEX('Customer List'!$C:$C,MATCH('Full Customer List'!$B280,'Customer List'!$A:$A,0))</f>
        <v>Tax client only</v>
      </c>
      <c r="E280" s="173" t="str">
        <f>INDEX('Customer List Mapping'!$C:$C,MATCH('Full Customer List'!D280,'Customer List Mapping'!$B:$B,0))</f>
        <v>Tax-Only Client</v>
      </c>
      <c r="F280" s="192" t="str">
        <f>INDEX('Customer List'!$K:$K,MATCH('Full Customer List'!$B280,'Customer List'!$A:$A,0))</f>
        <v/>
      </c>
      <c r="G280" s="192">
        <f>INDEX('Revenue by Customer'!$I:$I,MATCH('Full Customer List'!$B280,'Revenue by Customer'!$A:$A,0))</f>
        <v>380.25</v>
      </c>
      <c r="H280" s="257" t="str">
        <f>IFERROR(IF(C280="Active","",INDEX('Client Departures'!$G:$G,MATCH('Full Customer List'!$B280,'Client Departures'!$A:$A,0))),"Unclassified")</f>
        <v>Unclassified</v>
      </c>
      <c r="I280" s="196">
        <v>45931</v>
      </c>
      <c r="J280" s="196"/>
      <c r="K280" s="192" t="str">
        <f>INDEX('Revenue by Customer'!K:K,MATCH('Full Customer List'!$B280,'Revenue by Customer'!$A:$A,0))</f>
        <v/>
      </c>
      <c r="L280" s="192" t="str">
        <f>INDEX('Revenue by Customer'!L:L,MATCH('Full Customer List'!$B280,'Revenue by Customer'!$A:$A,0))</f>
        <v/>
      </c>
      <c r="M280" s="192" t="str">
        <f>INDEX('Revenue by Customer'!M:M,MATCH('Full Customer List'!$B280,'Revenue by Customer'!$A:$A,0))</f>
        <v/>
      </c>
      <c r="N280" s="192" t="str">
        <f>INDEX('Revenue by Customer'!N:N,MATCH('Full Customer List'!$B280,'Revenue by Customer'!$A:$A,0))</f>
        <v/>
      </c>
      <c r="O280" s="192" t="str">
        <f>INDEX('Revenue by Customer'!O:O,MATCH('Full Customer List'!$B280,'Revenue by Customer'!$A:$A,0))</f>
        <v/>
      </c>
      <c r="P280" s="192" t="str">
        <f>INDEX('Revenue by Customer'!P:P,MATCH('Full Customer List'!$B280,'Revenue by Customer'!$A:$A,0))</f>
        <v/>
      </c>
      <c r="Q280" s="192" t="str">
        <f>INDEX('Revenue by Customer'!Q:Q,MATCH('Full Customer List'!$B280,'Revenue by Customer'!$A:$A,0))</f>
        <v/>
      </c>
      <c r="R280" s="192" t="str">
        <f>INDEX('Revenue by Customer'!R:R,MATCH('Full Customer List'!$B280,'Revenue by Customer'!$A:$A,0))</f>
        <v/>
      </c>
      <c r="S280" s="192" t="str">
        <f>INDEX('Revenue by Customer'!S:S,MATCH('Full Customer List'!$B280,'Revenue by Customer'!$A:$A,0))</f>
        <v/>
      </c>
      <c r="T280" s="192">
        <f>INDEX('Revenue by Customer'!T:T,MATCH('Full Customer List'!$B280,'Revenue by Customer'!$A:$A,0))</f>
        <v>380.25</v>
      </c>
      <c r="U280" s="192" t="str">
        <f>INDEX('Revenue by Customer'!U:U,MATCH('Full Customer List'!$B280,'Revenue by Customer'!$A:$A,0))</f>
        <v/>
      </c>
      <c r="V280" s="192" t="str">
        <f>INDEX('Revenue by Customer'!V:V,MATCH('Full Customer List'!$B280,'Revenue by Customer'!$A:$A,0))</f>
        <v/>
      </c>
      <c r="W280" s="192" t="str">
        <f>INDEX('Revenue by Customer'!W:W,MATCH('Full Customer List'!$B280,'Revenue by Customer'!$A:$A,0))</f>
        <v/>
      </c>
      <c r="X280" s="192" t="str">
        <f>INDEX('Revenue by Customer'!X:X,MATCH('Full Customer List'!$B280,'Revenue by Customer'!$A:$A,0))</f>
        <v/>
      </c>
      <c r="Y280" s="192" t="str">
        <f>INDEX('Revenue by Customer'!Y:Y,MATCH('Full Customer List'!$B280,'Revenue by Customer'!$A:$A,0))</f>
        <v/>
      </c>
      <c r="Z280" s="192" t="str">
        <f>INDEX('Revenue by Customer'!Z:Z,MATCH('Full Customer List'!$B280,'Revenue by Customer'!$A:$A,0))</f>
        <v/>
      </c>
      <c r="AA280" s="192" t="str">
        <f>INDEX('Revenue by Customer'!AA:AA,MATCH('Full Customer List'!$B280,'Revenue by Customer'!$A:$A,0))</f>
        <v/>
      </c>
      <c r="AB280" s="192" t="str">
        <f>INDEX('Revenue by Customer'!AB:AB,MATCH('Full Customer List'!$B280,'Revenue by Customer'!$A:$A,0))</f>
        <v/>
      </c>
      <c r="AC280" s="192" t="str">
        <f>INDEX('Revenue by Customer'!AC:AC,MATCH('Full Customer List'!$B280,'Revenue by Customer'!$A:$A,0))</f>
        <v/>
      </c>
    </row>
    <row r="281" spans="2:29" ht="12" customHeight="1">
      <c r="B281" s="173" t="s">
        <v>934</v>
      </c>
      <c r="C281" s="173" t="str">
        <f>INDEX('Customer List'!$B:$B,MATCH('Full Customer List'!$B281,'Customer List'!$A:$A,0))</f>
        <v>Former client</v>
      </c>
      <c r="D281" s="173" t="str">
        <f>INDEX('Customer List'!$C:$C,MATCH('Full Customer List'!$B281,'Customer List'!$A:$A,0))</f>
        <v>Short-term rental (departed)</v>
      </c>
      <c r="E281" s="173" t="str">
        <f>INDEX('Customer List Mapping'!$C:$C,MATCH('Full Customer List'!D281,'Customer List Mapping'!$B:$B,0))</f>
        <v>Short-Term Rental</v>
      </c>
      <c r="F281" s="192" t="str">
        <f>INDEX('Customer List'!$K:$K,MATCH('Full Customer List'!$B281,'Customer List'!$A:$A,0))</f>
        <v/>
      </c>
      <c r="G281" s="192">
        <f>INDEX('Revenue by Customer'!$I:$I,MATCH('Full Customer List'!$B281,'Revenue by Customer'!$A:$A,0))</f>
        <v>90</v>
      </c>
      <c r="H281" s="257" t="str">
        <f>IFERROR(IF(C281="Active","",INDEX('Client Departures'!$G:$G,MATCH('Full Customer List'!$B281,'Client Departures'!$A:$A,0))),"Unclassified")</f>
        <v>No</v>
      </c>
      <c r="I281" s="196">
        <v>45901</v>
      </c>
      <c r="J281" s="196">
        <v>45991</v>
      </c>
      <c r="K281" s="192" t="str">
        <f>INDEX('Revenue by Customer'!K:K,MATCH('Full Customer List'!$B281,'Revenue by Customer'!$A:$A,0))</f>
        <v/>
      </c>
      <c r="L281" s="192" t="str">
        <f>INDEX('Revenue by Customer'!L:L,MATCH('Full Customer List'!$B281,'Revenue by Customer'!$A:$A,0))</f>
        <v/>
      </c>
      <c r="M281" s="192" t="str">
        <f>INDEX('Revenue by Customer'!M:M,MATCH('Full Customer List'!$B281,'Revenue by Customer'!$A:$A,0))</f>
        <v/>
      </c>
      <c r="N281" s="192" t="str">
        <f>INDEX('Revenue by Customer'!N:N,MATCH('Full Customer List'!$B281,'Revenue by Customer'!$A:$A,0))</f>
        <v/>
      </c>
      <c r="O281" s="192" t="str">
        <f>INDEX('Revenue by Customer'!O:O,MATCH('Full Customer List'!$B281,'Revenue by Customer'!$A:$A,0))</f>
        <v/>
      </c>
      <c r="P281" s="192" t="str">
        <f>INDEX('Revenue by Customer'!P:P,MATCH('Full Customer List'!$B281,'Revenue by Customer'!$A:$A,0))</f>
        <v/>
      </c>
      <c r="Q281" s="192" t="str">
        <f>INDEX('Revenue by Customer'!Q:Q,MATCH('Full Customer List'!$B281,'Revenue by Customer'!$A:$A,0))</f>
        <v/>
      </c>
      <c r="R281" s="192" t="str">
        <f>INDEX('Revenue by Customer'!R:R,MATCH('Full Customer List'!$B281,'Revenue by Customer'!$A:$A,0))</f>
        <v/>
      </c>
      <c r="S281" s="192">
        <f>INDEX('Revenue by Customer'!S:S,MATCH('Full Customer List'!$B281,'Revenue by Customer'!$A:$A,0))</f>
        <v>85</v>
      </c>
      <c r="T281" s="192">
        <f>INDEX('Revenue by Customer'!T:T,MATCH('Full Customer List'!$B281,'Revenue by Customer'!$A:$A,0))</f>
        <v>85</v>
      </c>
      <c r="U281" s="192">
        <f>INDEX('Revenue by Customer'!U:U,MATCH('Full Customer List'!$B281,'Revenue by Customer'!$A:$A,0))</f>
        <v>85</v>
      </c>
      <c r="V281" s="192">
        <f>INDEX('Revenue by Customer'!V:V,MATCH('Full Customer List'!$B281,'Revenue by Customer'!$A:$A,0))</f>
        <v>100</v>
      </c>
      <c r="W281" s="192" t="str">
        <f>INDEX('Revenue by Customer'!W:W,MATCH('Full Customer List'!$B281,'Revenue by Customer'!$A:$A,0))</f>
        <v/>
      </c>
      <c r="X281" s="192" t="str">
        <f>INDEX('Revenue by Customer'!X:X,MATCH('Full Customer List'!$B281,'Revenue by Customer'!$A:$A,0))</f>
        <v/>
      </c>
      <c r="Y281" s="192" t="str">
        <f>INDEX('Revenue by Customer'!Y:Y,MATCH('Full Customer List'!$B281,'Revenue by Customer'!$A:$A,0))</f>
        <v/>
      </c>
      <c r="Z281" s="192" t="str">
        <f>INDEX('Revenue by Customer'!Z:Z,MATCH('Full Customer List'!$B281,'Revenue by Customer'!$A:$A,0))</f>
        <v/>
      </c>
      <c r="AA281" s="192" t="str">
        <f>INDEX('Revenue by Customer'!AA:AA,MATCH('Full Customer List'!$B281,'Revenue by Customer'!$A:$A,0))</f>
        <v/>
      </c>
      <c r="AB281" s="192" t="str">
        <f>INDEX('Revenue by Customer'!AB:AB,MATCH('Full Customer List'!$B281,'Revenue by Customer'!$A:$A,0))</f>
        <v/>
      </c>
      <c r="AC281" s="192" t="str">
        <f>INDEX('Revenue by Customer'!AC:AC,MATCH('Full Customer List'!$B281,'Revenue by Customer'!$A:$A,0))</f>
        <v/>
      </c>
    </row>
    <row r="282" spans="2:29" ht="12" customHeight="1">
      <c r="B282" s="173" t="s">
        <v>935</v>
      </c>
      <c r="C282" s="173" t="str">
        <f>INDEX('Customer List'!$B:$B,MATCH('Full Customer List'!$B282,'Customer List'!$A:$A,0))</f>
        <v>Former client</v>
      </c>
      <c r="D282" s="173" t="str">
        <f>INDEX('Customer List'!$C:$C,MATCH('Full Customer List'!$B282,'Customer List'!$A:$A,0))</f>
        <v>Short-term rental (departed)</v>
      </c>
      <c r="E282" s="173" t="str">
        <f>INDEX('Customer List Mapping'!$C:$C,MATCH('Full Customer List'!D282,'Customer List Mapping'!$B:$B,0))</f>
        <v>Short-Term Rental</v>
      </c>
      <c r="F282" s="192" t="str">
        <f>INDEX('Customer List'!$K:$K,MATCH('Full Customer List'!$B282,'Customer List'!$A:$A,0))</f>
        <v/>
      </c>
      <c r="G282" s="192">
        <f>INDEX('Revenue by Customer'!$I:$I,MATCH('Full Customer List'!$B282,'Revenue by Customer'!$A:$A,0))</f>
        <v>200</v>
      </c>
      <c r="H282" s="257" t="str">
        <f>IFERROR(IF(C282="Active","",INDEX('Client Departures'!$G:$G,MATCH('Full Customer List'!$B282,'Client Departures'!$A:$A,0))),"Unclassified")</f>
        <v>No</v>
      </c>
      <c r="I282" s="196">
        <v>45992</v>
      </c>
      <c r="J282" s="196">
        <v>46022</v>
      </c>
      <c r="K282" s="192" t="str">
        <f>INDEX('Revenue by Customer'!K:K,MATCH('Full Customer List'!$B282,'Revenue by Customer'!$A:$A,0))</f>
        <v/>
      </c>
      <c r="L282" s="192" t="str">
        <f>INDEX('Revenue by Customer'!L:L,MATCH('Full Customer List'!$B282,'Revenue by Customer'!$A:$A,0))</f>
        <v/>
      </c>
      <c r="M282" s="192" t="str">
        <f>INDEX('Revenue by Customer'!M:M,MATCH('Full Customer List'!$B282,'Revenue by Customer'!$A:$A,0))</f>
        <v/>
      </c>
      <c r="N282" s="192" t="str">
        <f>INDEX('Revenue by Customer'!N:N,MATCH('Full Customer List'!$B282,'Revenue by Customer'!$A:$A,0))</f>
        <v/>
      </c>
      <c r="O282" s="192" t="str">
        <f>INDEX('Revenue by Customer'!O:O,MATCH('Full Customer List'!$B282,'Revenue by Customer'!$A:$A,0))</f>
        <v/>
      </c>
      <c r="P282" s="192" t="str">
        <f>INDEX('Revenue by Customer'!P:P,MATCH('Full Customer List'!$B282,'Revenue by Customer'!$A:$A,0))</f>
        <v/>
      </c>
      <c r="Q282" s="192" t="str">
        <f>INDEX('Revenue by Customer'!Q:Q,MATCH('Full Customer List'!$B282,'Revenue by Customer'!$A:$A,0))</f>
        <v/>
      </c>
      <c r="R282" s="192" t="str">
        <f>INDEX('Revenue by Customer'!R:R,MATCH('Full Customer List'!$B282,'Revenue by Customer'!$A:$A,0))</f>
        <v/>
      </c>
      <c r="S282" s="192" t="str">
        <f>INDEX('Revenue by Customer'!S:S,MATCH('Full Customer List'!$B282,'Revenue by Customer'!$A:$A,0))</f>
        <v/>
      </c>
      <c r="T282" s="192" t="str">
        <f>INDEX('Revenue by Customer'!T:T,MATCH('Full Customer List'!$B282,'Revenue by Customer'!$A:$A,0))</f>
        <v/>
      </c>
      <c r="U282" s="192" t="str">
        <f>INDEX('Revenue by Customer'!U:U,MATCH('Full Customer List'!$B282,'Revenue by Customer'!$A:$A,0))</f>
        <v/>
      </c>
      <c r="V282" s="192">
        <f>INDEX('Revenue by Customer'!V:V,MATCH('Full Customer List'!$B282,'Revenue by Customer'!$A:$A,0))</f>
        <v>200</v>
      </c>
      <c r="W282" s="192">
        <f>INDEX('Revenue by Customer'!W:W,MATCH('Full Customer List'!$B282,'Revenue by Customer'!$A:$A,0))</f>
        <v>0</v>
      </c>
      <c r="X282" s="192" t="str">
        <f>INDEX('Revenue by Customer'!X:X,MATCH('Full Customer List'!$B282,'Revenue by Customer'!$A:$A,0))</f>
        <v/>
      </c>
      <c r="Y282" s="192" t="str">
        <f>INDEX('Revenue by Customer'!Y:Y,MATCH('Full Customer List'!$B282,'Revenue by Customer'!$A:$A,0))</f>
        <v/>
      </c>
      <c r="Z282" s="192" t="str">
        <f>INDEX('Revenue by Customer'!Z:Z,MATCH('Full Customer List'!$B282,'Revenue by Customer'!$A:$A,0))</f>
        <v/>
      </c>
      <c r="AA282" s="192" t="str">
        <f>INDEX('Revenue by Customer'!AA:AA,MATCH('Full Customer List'!$B282,'Revenue by Customer'!$A:$A,0))</f>
        <v/>
      </c>
      <c r="AB282" s="192" t="str">
        <f>INDEX('Revenue by Customer'!AB:AB,MATCH('Full Customer List'!$B282,'Revenue by Customer'!$A:$A,0))</f>
        <v/>
      </c>
      <c r="AC282" s="192" t="str">
        <f>INDEX('Revenue by Customer'!AC:AC,MATCH('Full Customer List'!$B282,'Revenue by Customer'!$A:$A,0))</f>
        <v/>
      </c>
    </row>
    <row r="283" spans="2:29" ht="12" customHeight="1">
      <c r="B283" s="173" t="s">
        <v>936</v>
      </c>
      <c r="C283" s="173" t="str">
        <f>INDEX('Customer List'!$B:$B,MATCH('Full Customer List'!$B283,'Customer List'!$A:$A,0))</f>
        <v>Former client</v>
      </c>
      <c r="D283" s="173" t="str">
        <f>INDEX('Customer List'!$C:$C,MATCH('Full Customer List'!$B283,'Customer List'!$A:$A,0))</f>
        <v>Short-term rental (departed)</v>
      </c>
      <c r="E283" s="173" t="str">
        <f>INDEX('Customer List Mapping'!$C:$C,MATCH('Full Customer List'!D283,'Customer List Mapping'!$B:$B,0))</f>
        <v>Short-Term Rental</v>
      </c>
      <c r="F283" s="192" t="str">
        <f>INDEX('Customer List'!$K:$K,MATCH('Full Customer List'!$B283,'Customer List'!$A:$A,0))</f>
        <v/>
      </c>
      <c r="G283" s="192">
        <f>INDEX('Revenue by Customer'!$I:$I,MATCH('Full Customer List'!$B283,'Revenue by Customer'!$A:$A,0))</f>
        <v>488.33333333333331</v>
      </c>
      <c r="H283" s="257" t="str">
        <f>IFERROR(IF(C283="Active","",INDEX('Client Departures'!$G:$G,MATCH('Full Customer List'!$B283,'Client Departures'!$A:$A,0))),"Unclassified")</f>
        <v>Yes</v>
      </c>
      <c r="I283" s="196">
        <v>45352</v>
      </c>
      <c r="J283" s="196">
        <v>45838</v>
      </c>
      <c r="K283" s="192">
        <f>INDEX('Revenue by Customer'!K:K,MATCH('Full Customer List'!$B283,'Revenue by Customer'!$A:$A,0))</f>
        <v>948</v>
      </c>
      <c r="L283" s="192">
        <f>INDEX('Revenue by Customer'!L:L,MATCH('Full Customer List'!$B283,'Revenue by Customer'!$A:$A,0))</f>
        <v>1075</v>
      </c>
      <c r="M283" s="192">
        <f>INDEX('Revenue by Customer'!M:M,MATCH('Full Customer List'!$B283,'Revenue by Customer'!$A:$A,0))</f>
        <v>940</v>
      </c>
      <c r="N283" s="192">
        <f>INDEX('Revenue by Customer'!N:N,MATCH('Full Customer List'!$B283,'Revenue by Customer'!$A:$A,0))</f>
        <v>925</v>
      </c>
      <c r="O283" s="192">
        <f>INDEX('Revenue by Customer'!O:O,MATCH('Full Customer List'!$B283,'Revenue by Customer'!$A:$A,0))</f>
        <v>1225</v>
      </c>
      <c r="P283" s="192">
        <f>INDEX('Revenue by Customer'!P:P,MATCH('Full Customer List'!$B283,'Revenue by Customer'!$A:$A,0))</f>
        <v>1375</v>
      </c>
      <c r="Q283" s="192" t="str">
        <f>INDEX('Revenue by Customer'!Q:Q,MATCH('Full Customer List'!$B283,'Revenue by Customer'!$A:$A,0))</f>
        <v/>
      </c>
      <c r="R283" s="192" t="str">
        <f>INDEX('Revenue by Customer'!R:R,MATCH('Full Customer List'!$B283,'Revenue by Customer'!$A:$A,0))</f>
        <v/>
      </c>
      <c r="S283" s="192" t="str">
        <f>INDEX('Revenue by Customer'!S:S,MATCH('Full Customer List'!$B283,'Revenue by Customer'!$A:$A,0))</f>
        <v/>
      </c>
      <c r="T283" s="192" t="str">
        <f>INDEX('Revenue by Customer'!T:T,MATCH('Full Customer List'!$B283,'Revenue by Customer'!$A:$A,0))</f>
        <v/>
      </c>
      <c r="U283" s="192" t="str">
        <f>INDEX('Revenue by Customer'!U:U,MATCH('Full Customer List'!$B283,'Revenue by Customer'!$A:$A,0))</f>
        <v/>
      </c>
      <c r="V283" s="192" t="str">
        <f>INDEX('Revenue by Customer'!V:V,MATCH('Full Customer List'!$B283,'Revenue by Customer'!$A:$A,0))</f>
        <v/>
      </c>
      <c r="W283" s="192">
        <f>INDEX('Revenue by Customer'!W:W,MATCH('Full Customer List'!$B283,'Revenue by Customer'!$A:$A,0))</f>
        <v>75</v>
      </c>
      <c r="X283" s="192">
        <f>INDEX('Revenue by Customer'!X:X,MATCH('Full Customer List'!$B283,'Revenue by Customer'!$A:$A,0))</f>
        <v>15</v>
      </c>
      <c r="Y283" s="192" t="str">
        <f>INDEX('Revenue by Customer'!Y:Y,MATCH('Full Customer List'!$B283,'Revenue by Customer'!$A:$A,0))</f>
        <v/>
      </c>
      <c r="Z283" s="192" t="str">
        <f>INDEX('Revenue by Customer'!Z:Z,MATCH('Full Customer List'!$B283,'Revenue by Customer'!$A:$A,0))</f>
        <v/>
      </c>
      <c r="AA283" s="192" t="str">
        <f>INDEX('Revenue by Customer'!AA:AA,MATCH('Full Customer List'!$B283,'Revenue by Customer'!$A:$A,0))</f>
        <v/>
      </c>
      <c r="AB283" s="192" t="str">
        <f>INDEX('Revenue by Customer'!AB:AB,MATCH('Full Customer List'!$B283,'Revenue by Customer'!$A:$A,0))</f>
        <v/>
      </c>
      <c r="AC283" s="192" t="str">
        <f>INDEX('Revenue by Customer'!AC:AC,MATCH('Full Customer List'!$B283,'Revenue by Customer'!$A:$A,0))</f>
        <v/>
      </c>
    </row>
    <row r="284" spans="2:29" ht="12" customHeight="1">
      <c r="B284" s="173" t="s">
        <v>937</v>
      </c>
      <c r="C284" s="173" t="str">
        <f>INDEX('Customer List'!$B:$B,MATCH('Full Customer List'!$B284,'Customer List'!$A:$A,0))</f>
        <v>Former client</v>
      </c>
      <c r="D284" s="173" t="str">
        <f>INDEX('Customer List'!$C:$C,MATCH('Full Customer List'!$B284,'Customer List'!$A:$A,0))</f>
        <v>Short-term rental (departed)</v>
      </c>
      <c r="E284" s="173" t="str">
        <f>INDEX('Customer List Mapping'!$C:$C,MATCH('Full Customer List'!D284,'Customer List Mapping'!$B:$B,0))</f>
        <v>Short-Term Rental</v>
      </c>
      <c r="F284" s="192" t="str">
        <f>INDEX('Customer List'!$K:$K,MATCH('Full Customer List'!$B284,'Customer List'!$A:$A,0))</f>
        <v/>
      </c>
      <c r="G284" s="192">
        <f>INDEX('Revenue by Customer'!$I:$I,MATCH('Full Customer List'!$B284,'Revenue by Customer'!$A:$A,0))</f>
        <v>1076.6666666666667</v>
      </c>
      <c r="H284" s="257" t="str">
        <f>IFERROR(IF(C284="Active","",INDEX('Client Departures'!$G:$G,MATCH('Full Customer List'!$B284,'Client Departures'!$A:$A,0))),"Unclassified")</f>
        <v>Yes</v>
      </c>
      <c r="I284" s="196">
        <v>45413</v>
      </c>
      <c r="J284" s="196">
        <v>45777</v>
      </c>
      <c r="K284" s="192">
        <f>INDEX('Revenue by Customer'!K:K,MATCH('Full Customer List'!$B284,'Revenue by Customer'!$A:$A,0))</f>
        <v>1400</v>
      </c>
      <c r="L284" s="192">
        <f>INDEX('Revenue by Customer'!L:L,MATCH('Full Customer List'!$B284,'Revenue by Customer'!$A:$A,0))</f>
        <v>1400</v>
      </c>
      <c r="M284" s="192">
        <f>INDEX('Revenue by Customer'!M:M,MATCH('Full Customer List'!$B284,'Revenue by Customer'!$A:$A,0))</f>
        <v>1400</v>
      </c>
      <c r="N284" s="192">
        <f>INDEX('Revenue by Customer'!N:N,MATCH('Full Customer List'!$B284,'Revenue by Customer'!$A:$A,0))</f>
        <v>1330</v>
      </c>
      <c r="O284" s="192" t="str">
        <f>INDEX('Revenue by Customer'!O:O,MATCH('Full Customer List'!$B284,'Revenue by Customer'!$A:$A,0))</f>
        <v/>
      </c>
      <c r="P284" s="192">
        <f>INDEX('Revenue by Customer'!P:P,MATCH('Full Customer List'!$B284,'Revenue by Customer'!$A:$A,0))</f>
        <v>500</v>
      </c>
      <c r="Q284" s="192" t="str">
        <f>INDEX('Revenue by Customer'!Q:Q,MATCH('Full Customer List'!$B284,'Revenue by Customer'!$A:$A,0))</f>
        <v/>
      </c>
      <c r="R284" s="192" t="str">
        <f>INDEX('Revenue by Customer'!R:R,MATCH('Full Customer List'!$B284,'Revenue by Customer'!$A:$A,0))</f>
        <v/>
      </c>
      <c r="S284" s="192" t="str">
        <f>INDEX('Revenue by Customer'!S:S,MATCH('Full Customer List'!$B284,'Revenue by Customer'!$A:$A,0))</f>
        <v/>
      </c>
      <c r="T284" s="192" t="str">
        <f>INDEX('Revenue by Customer'!T:T,MATCH('Full Customer List'!$B284,'Revenue by Customer'!$A:$A,0))</f>
        <v/>
      </c>
      <c r="U284" s="192" t="str">
        <f>INDEX('Revenue by Customer'!U:U,MATCH('Full Customer List'!$B284,'Revenue by Customer'!$A:$A,0))</f>
        <v/>
      </c>
      <c r="V284" s="192" t="str">
        <f>INDEX('Revenue by Customer'!V:V,MATCH('Full Customer List'!$B284,'Revenue by Customer'!$A:$A,0))</f>
        <v/>
      </c>
      <c r="W284" s="192" t="str">
        <f>INDEX('Revenue by Customer'!W:W,MATCH('Full Customer List'!$B284,'Revenue by Customer'!$A:$A,0))</f>
        <v/>
      </c>
      <c r="X284" s="192" t="str">
        <f>INDEX('Revenue by Customer'!X:X,MATCH('Full Customer List'!$B284,'Revenue by Customer'!$A:$A,0))</f>
        <v/>
      </c>
      <c r="Y284" s="192" t="str">
        <f>INDEX('Revenue by Customer'!Y:Y,MATCH('Full Customer List'!$B284,'Revenue by Customer'!$A:$A,0))</f>
        <v/>
      </c>
      <c r="Z284" s="192" t="str">
        <f>INDEX('Revenue by Customer'!Z:Z,MATCH('Full Customer List'!$B284,'Revenue by Customer'!$A:$A,0))</f>
        <v/>
      </c>
      <c r="AA284" s="192" t="str">
        <f>INDEX('Revenue by Customer'!AA:AA,MATCH('Full Customer List'!$B284,'Revenue by Customer'!$A:$A,0))</f>
        <v/>
      </c>
      <c r="AB284" s="192" t="str">
        <f>INDEX('Revenue by Customer'!AB:AB,MATCH('Full Customer List'!$B284,'Revenue by Customer'!$A:$A,0))</f>
        <v/>
      </c>
      <c r="AC284" s="192" t="str">
        <f>INDEX('Revenue by Customer'!AC:AC,MATCH('Full Customer List'!$B284,'Revenue by Customer'!$A:$A,0))</f>
        <v/>
      </c>
    </row>
    <row r="285" spans="2:29" ht="12" customHeight="1">
      <c r="B285" s="173" t="s">
        <v>938</v>
      </c>
      <c r="C285" s="173" t="str">
        <f>INDEX('Customer List'!$B:$B,MATCH('Full Customer List'!$B285,'Customer List'!$A:$A,0))</f>
        <v>Former client</v>
      </c>
      <c r="D285" s="173" t="str">
        <f>INDEX('Customer List'!$C:$C,MATCH('Full Customer List'!$B285,'Customer List'!$A:$A,0))</f>
        <v>Small business (departed)</v>
      </c>
      <c r="E285" s="173" t="str">
        <f>INDEX('Customer List Mapping'!$C:$C,MATCH('Full Customer List'!D285,'Customer List Mapping'!$B:$B,0))</f>
        <v>Small Business</v>
      </c>
      <c r="F285" s="192" t="str">
        <f>INDEX('Customer List'!$K:$K,MATCH('Full Customer List'!$B285,'Customer List'!$A:$A,0))</f>
        <v/>
      </c>
      <c r="G285" s="192">
        <f>INDEX('Revenue by Customer'!$I:$I,MATCH('Full Customer List'!$B285,'Revenue by Customer'!$A:$A,0))</f>
        <v>710</v>
      </c>
      <c r="H285" s="257" t="str">
        <f>IFERROR(IF(C285="Active","",INDEX('Client Departures'!$G:$G,MATCH('Full Customer List'!$B285,'Client Departures'!$A:$A,0))),"Unclassified")</f>
        <v>Yes</v>
      </c>
      <c r="I285" s="196">
        <v>44317</v>
      </c>
      <c r="J285" s="196">
        <v>45869</v>
      </c>
      <c r="K285" s="192">
        <f>INDEX('Revenue by Customer'!K:K,MATCH('Full Customer List'!$B285,'Revenue by Customer'!$A:$A,0))</f>
        <v>950</v>
      </c>
      <c r="L285" s="192">
        <f>INDEX('Revenue by Customer'!L:L,MATCH('Full Customer List'!$B285,'Revenue by Customer'!$A:$A,0))</f>
        <v>710</v>
      </c>
      <c r="M285" s="192">
        <f>INDEX('Revenue by Customer'!M:M,MATCH('Full Customer List'!$B285,'Revenue by Customer'!$A:$A,0))</f>
        <v>710</v>
      </c>
      <c r="N285" s="192">
        <f>INDEX('Revenue by Customer'!N:N,MATCH('Full Customer List'!$B285,'Revenue by Customer'!$A:$A,0))</f>
        <v>710</v>
      </c>
      <c r="O285" s="192">
        <f>INDEX('Revenue by Customer'!O:O,MATCH('Full Customer List'!$B285,'Revenue by Customer'!$A:$A,0))</f>
        <v>710</v>
      </c>
      <c r="P285" s="192">
        <f>INDEX('Revenue by Customer'!P:P,MATCH('Full Customer List'!$B285,'Revenue by Customer'!$A:$A,0))</f>
        <v>710</v>
      </c>
      <c r="Q285" s="192">
        <f>INDEX('Revenue by Customer'!Q:Q,MATCH('Full Customer List'!$B285,'Revenue by Customer'!$A:$A,0))</f>
        <v>710</v>
      </c>
      <c r="R285" s="192" t="str">
        <f>INDEX('Revenue by Customer'!R:R,MATCH('Full Customer List'!$B285,'Revenue by Customer'!$A:$A,0))</f>
        <v/>
      </c>
      <c r="S285" s="192" t="str">
        <f>INDEX('Revenue by Customer'!S:S,MATCH('Full Customer List'!$B285,'Revenue by Customer'!$A:$A,0))</f>
        <v/>
      </c>
      <c r="T285" s="192" t="str">
        <f>INDEX('Revenue by Customer'!T:T,MATCH('Full Customer List'!$B285,'Revenue by Customer'!$A:$A,0))</f>
        <v/>
      </c>
      <c r="U285" s="192" t="str">
        <f>INDEX('Revenue by Customer'!U:U,MATCH('Full Customer List'!$B285,'Revenue by Customer'!$A:$A,0))</f>
        <v/>
      </c>
      <c r="V285" s="192" t="str">
        <f>INDEX('Revenue by Customer'!V:V,MATCH('Full Customer List'!$B285,'Revenue by Customer'!$A:$A,0))</f>
        <v/>
      </c>
      <c r="W285" s="192" t="str">
        <f>INDEX('Revenue by Customer'!W:W,MATCH('Full Customer List'!$B285,'Revenue by Customer'!$A:$A,0))</f>
        <v/>
      </c>
      <c r="X285" s="192" t="str">
        <f>INDEX('Revenue by Customer'!X:X,MATCH('Full Customer List'!$B285,'Revenue by Customer'!$A:$A,0))</f>
        <v/>
      </c>
      <c r="Y285" s="192" t="str">
        <f>INDEX('Revenue by Customer'!Y:Y,MATCH('Full Customer List'!$B285,'Revenue by Customer'!$A:$A,0))</f>
        <v/>
      </c>
      <c r="Z285" s="192" t="str">
        <f>INDEX('Revenue by Customer'!Z:Z,MATCH('Full Customer List'!$B285,'Revenue by Customer'!$A:$A,0))</f>
        <v/>
      </c>
      <c r="AA285" s="192" t="str">
        <f>INDEX('Revenue by Customer'!AA:AA,MATCH('Full Customer List'!$B285,'Revenue by Customer'!$A:$A,0))</f>
        <v/>
      </c>
      <c r="AB285" s="192" t="str">
        <f>INDEX('Revenue by Customer'!AB:AB,MATCH('Full Customer List'!$B285,'Revenue by Customer'!$A:$A,0))</f>
        <v/>
      </c>
      <c r="AC285" s="192" t="str">
        <f>INDEX('Revenue by Customer'!AC:AC,MATCH('Full Customer List'!$B285,'Revenue by Customer'!$A:$A,0))</f>
        <v/>
      </c>
    </row>
    <row r="286" spans="2:29" ht="12" customHeight="1">
      <c r="B286" s="173" t="s">
        <v>939</v>
      </c>
      <c r="C286" s="173" t="str">
        <f>INDEX('Customer List'!$B:$B,MATCH('Full Customer List'!$B286,'Customer List'!$A:$A,0))</f>
        <v>Former client</v>
      </c>
      <c r="D286" s="173" t="str">
        <f>INDEX('Customer List'!$C:$C,MATCH('Full Customer List'!$B286,'Customer List'!$A:$A,0))</f>
        <v>Short-term rental (departed)</v>
      </c>
      <c r="E286" s="173" t="str">
        <f>INDEX('Customer List Mapping'!$C:$C,MATCH('Full Customer List'!D286,'Customer List Mapping'!$B:$B,0))</f>
        <v>Short-Term Rental</v>
      </c>
      <c r="F286" s="192" t="str">
        <f>INDEX('Customer List'!$K:$K,MATCH('Full Customer List'!$B286,'Customer List'!$A:$A,0))</f>
        <v/>
      </c>
      <c r="G286" s="192">
        <f>INDEX('Revenue by Customer'!$I:$I,MATCH('Full Customer List'!$B286,'Revenue by Customer'!$A:$A,0))</f>
        <v>842.66666666666663</v>
      </c>
      <c r="H286" s="257" t="str">
        <f>IFERROR(IF(C286="Active","",INDEX('Client Departures'!$G:$G,MATCH('Full Customer List'!$B286,'Client Departures'!$A:$A,0))),"Unclassified")</f>
        <v>Yes</v>
      </c>
      <c r="I286" s="196">
        <v>45536</v>
      </c>
      <c r="J286" s="196">
        <v>45838</v>
      </c>
      <c r="K286" s="192">
        <f>INDEX('Revenue by Customer'!K:K,MATCH('Full Customer List'!$B286,'Revenue by Customer'!$A:$A,0))</f>
        <v>790</v>
      </c>
      <c r="L286" s="192">
        <f>INDEX('Revenue by Customer'!L:L,MATCH('Full Customer List'!$B286,'Revenue by Customer'!$A:$A,0))</f>
        <v>816</v>
      </c>
      <c r="M286" s="192">
        <f>INDEX('Revenue by Customer'!M:M,MATCH('Full Customer List'!$B286,'Revenue by Customer'!$A:$A,0))</f>
        <v>948</v>
      </c>
      <c r="N286" s="192">
        <f>INDEX('Revenue by Customer'!N:N,MATCH('Full Customer List'!$B286,'Revenue by Customer'!$A:$A,0))</f>
        <v>790</v>
      </c>
      <c r="O286" s="192">
        <f>INDEX('Revenue by Customer'!O:O,MATCH('Full Customer List'!$B286,'Revenue by Customer'!$A:$A,0))</f>
        <v>869</v>
      </c>
      <c r="P286" s="192">
        <f>INDEX('Revenue by Customer'!P:P,MATCH('Full Customer List'!$B286,'Revenue by Customer'!$A:$A,0))</f>
        <v>869</v>
      </c>
      <c r="Q286" s="192" t="str">
        <f>INDEX('Revenue by Customer'!Q:Q,MATCH('Full Customer List'!$B286,'Revenue by Customer'!$A:$A,0))</f>
        <v/>
      </c>
      <c r="R286" s="192" t="str">
        <f>INDEX('Revenue by Customer'!R:R,MATCH('Full Customer List'!$B286,'Revenue by Customer'!$A:$A,0))</f>
        <v/>
      </c>
      <c r="S286" s="192" t="str">
        <f>INDEX('Revenue by Customer'!S:S,MATCH('Full Customer List'!$B286,'Revenue by Customer'!$A:$A,0))</f>
        <v/>
      </c>
      <c r="T286" s="192" t="str">
        <f>INDEX('Revenue by Customer'!T:T,MATCH('Full Customer List'!$B286,'Revenue by Customer'!$A:$A,0))</f>
        <v/>
      </c>
      <c r="U286" s="192" t="str">
        <f>INDEX('Revenue by Customer'!U:U,MATCH('Full Customer List'!$B286,'Revenue by Customer'!$A:$A,0))</f>
        <v/>
      </c>
      <c r="V286" s="192" t="str">
        <f>INDEX('Revenue by Customer'!V:V,MATCH('Full Customer List'!$B286,'Revenue by Customer'!$A:$A,0))</f>
        <v/>
      </c>
      <c r="W286" s="192" t="str">
        <f>INDEX('Revenue by Customer'!W:W,MATCH('Full Customer List'!$B286,'Revenue by Customer'!$A:$A,0))</f>
        <v/>
      </c>
      <c r="X286" s="192" t="str">
        <f>INDEX('Revenue by Customer'!X:X,MATCH('Full Customer List'!$B286,'Revenue by Customer'!$A:$A,0))</f>
        <v/>
      </c>
      <c r="Y286" s="192" t="str">
        <f>INDEX('Revenue by Customer'!Y:Y,MATCH('Full Customer List'!$B286,'Revenue by Customer'!$A:$A,0))</f>
        <v/>
      </c>
      <c r="Z286" s="192" t="str">
        <f>INDEX('Revenue by Customer'!Z:Z,MATCH('Full Customer List'!$B286,'Revenue by Customer'!$A:$A,0))</f>
        <v/>
      </c>
      <c r="AA286" s="192" t="str">
        <f>INDEX('Revenue by Customer'!AA:AA,MATCH('Full Customer List'!$B286,'Revenue by Customer'!$A:$A,0))</f>
        <v/>
      </c>
      <c r="AB286" s="192" t="str">
        <f>INDEX('Revenue by Customer'!AB:AB,MATCH('Full Customer List'!$B286,'Revenue by Customer'!$A:$A,0))</f>
        <v/>
      </c>
      <c r="AC286" s="192" t="str">
        <f>INDEX('Revenue by Customer'!AC:AC,MATCH('Full Customer List'!$B286,'Revenue by Customer'!$A:$A,0))</f>
        <v/>
      </c>
    </row>
    <row r="287" spans="2:29" ht="12" customHeight="1">
      <c r="B287" s="173" t="s">
        <v>940</v>
      </c>
      <c r="C287" s="173" t="str">
        <f>INDEX('Customer List'!$B:$B,MATCH('Full Customer List'!$B287,'Customer List'!$A:$A,0))</f>
        <v>Former client</v>
      </c>
      <c r="D287" s="173" t="str">
        <f>INDEX('Customer List'!$C:$C,MATCH('Full Customer List'!$B287,'Customer List'!$A:$A,0))</f>
        <v>Short-term rental (departed)</v>
      </c>
      <c r="E287" s="173" t="str">
        <f>INDEX('Customer List Mapping'!$C:$C,MATCH('Full Customer List'!D287,'Customer List Mapping'!$B:$B,0))</f>
        <v>Short-Term Rental</v>
      </c>
      <c r="F287" s="192" t="str">
        <f>INDEX('Customer List'!$K:$K,MATCH('Full Customer List'!$B287,'Customer List'!$A:$A,0))</f>
        <v/>
      </c>
      <c r="G287" s="192">
        <f>INDEX('Revenue by Customer'!$I:$I,MATCH('Full Customer List'!$B287,'Revenue by Customer'!$A:$A,0))</f>
        <v>336.66666666666669</v>
      </c>
      <c r="H287" s="257" t="str">
        <f>IFERROR(IF(C287="Active","",INDEX('Client Departures'!$G:$G,MATCH('Full Customer List'!$B287,'Client Departures'!$A:$A,0))),"Unclassified")</f>
        <v>No</v>
      </c>
      <c r="I287" s="196">
        <v>45292</v>
      </c>
      <c r="J287" s="196">
        <v>45838</v>
      </c>
      <c r="K287" s="192">
        <f>INDEX('Revenue by Customer'!K:K,MATCH('Full Customer List'!$B287,'Revenue by Customer'!$A:$A,0))</f>
        <v>520</v>
      </c>
      <c r="L287" s="192">
        <f>INDEX('Revenue by Customer'!L:L,MATCH('Full Customer List'!$B287,'Revenue by Customer'!$A:$A,0))</f>
        <v>430</v>
      </c>
      <c r="M287" s="192">
        <f>INDEX('Revenue by Customer'!M:M,MATCH('Full Customer List'!$B287,'Revenue by Customer'!$A:$A,0))</f>
        <v>430</v>
      </c>
      <c r="N287" s="192">
        <f>INDEX('Revenue by Customer'!N:N,MATCH('Full Customer List'!$B287,'Revenue by Customer'!$A:$A,0))</f>
        <v>430</v>
      </c>
      <c r="O287" s="192">
        <f>INDEX('Revenue by Customer'!O:O,MATCH('Full Customer List'!$B287,'Revenue by Customer'!$A:$A,0))</f>
        <v>430</v>
      </c>
      <c r="P287" s="192">
        <f>INDEX('Revenue by Customer'!P:P,MATCH('Full Customer List'!$B287,'Revenue by Customer'!$A:$A,0))</f>
        <v>150</v>
      </c>
      <c r="Q287" s="192" t="str">
        <f>INDEX('Revenue by Customer'!Q:Q,MATCH('Full Customer List'!$B287,'Revenue by Customer'!$A:$A,0))</f>
        <v/>
      </c>
      <c r="R287" s="192" t="str">
        <f>INDEX('Revenue by Customer'!R:R,MATCH('Full Customer List'!$B287,'Revenue by Customer'!$A:$A,0))</f>
        <v/>
      </c>
      <c r="S287" s="192" t="str">
        <f>INDEX('Revenue by Customer'!S:S,MATCH('Full Customer List'!$B287,'Revenue by Customer'!$A:$A,0))</f>
        <v/>
      </c>
      <c r="T287" s="192" t="str">
        <f>INDEX('Revenue by Customer'!T:T,MATCH('Full Customer List'!$B287,'Revenue by Customer'!$A:$A,0))</f>
        <v/>
      </c>
      <c r="U287" s="192" t="str">
        <f>INDEX('Revenue by Customer'!U:U,MATCH('Full Customer List'!$B287,'Revenue by Customer'!$A:$A,0))</f>
        <v/>
      </c>
      <c r="V287" s="192" t="str">
        <f>INDEX('Revenue by Customer'!V:V,MATCH('Full Customer List'!$B287,'Revenue by Customer'!$A:$A,0))</f>
        <v/>
      </c>
      <c r="W287" s="192" t="str">
        <f>INDEX('Revenue by Customer'!W:W,MATCH('Full Customer List'!$B287,'Revenue by Customer'!$A:$A,0))</f>
        <v/>
      </c>
      <c r="X287" s="192" t="str">
        <f>INDEX('Revenue by Customer'!X:X,MATCH('Full Customer List'!$B287,'Revenue by Customer'!$A:$A,0))</f>
        <v/>
      </c>
      <c r="Y287" s="192" t="str">
        <f>INDEX('Revenue by Customer'!Y:Y,MATCH('Full Customer List'!$B287,'Revenue by Customer'!$A:$A,0))</f>
        <v/>
      </c>
      <c r="Z287" s="192" t="str">
        <f>INDEX('Revenue by Customer'!Z:Z,MATCH('Full Customer List'!$B287,'Revenue by Customer'!$A:$A,0))</f>
        <v/>
      </c>
      <c r="AA287" s="192" t="str">
        <f>INDEX('Revenue by Customer'!AA:AA,MATCH('Full Customer List'!$B287,'Revenue by Customer'!$A:$A,0))</f>
        <v/>
      </c>
      <c r="AB287" s="192" t="str">
        <f>INDEX('Revenue by Customer'!AB:AB,MATCH('Full Customer List'!$B287,'Revenue by Customer'!$A:$A,0))</f>
        <v/>
      </c>
      <c r="AC287" s="192" t="str">
        <f>INDEX('Revenue by Customer'!AC:AC,MATCH('Full Customer List'!$B287,'Revenue by Customer'!$A:$A,0))</f>
        <v/>
      </c>
    </row>
    <row r="288" spans="2:29" ht="12" customHeight="1">
      <c r="B288" s="173" t="s">
        <v>941</v>
      </c>
      <c r="C288" s="173" t="str">
        <f>INDEX('Customer List'!$B:$B,MATCH('Full Customer List'!$B288,'Customer List'!$A:$A,0))</f>
        <v>Former client</v>
      </c>
      <c r="D288" s="173" t="str">
        <f>INDEX('Customer List'!$C:$C,MATCH('Full Customer List'!$B288,'Customer List'!$A:$A,0))</f>
        <v>Short-term rental (departed)</v>
      </c>
      <c r="E288" s="173" t="str">
        <f>INDEX('Customer List Mapping'!$C:$C,MATCH('Full Customer List'!D288,'Customer List Mapping'!$B:$B,0))</f>
        <v>Short-Term Rental</v>
      </c>
      <c r="F288" s="192" t="str">
        <f>INDEX('Customer List'!$K:$K,MATCH('Full Customer List'!$B288,'Customer List'!$A:$A,0))</f>
        <v/>
      </c>
      <c r="G288" s="192">
        <f>INDEX('Revenue by Customer'!$I:$I,MATCH('Full Customer List'!$B288,'Revenue by Customer'!$A:$A,0))</f>
        <v>360</v>
      </c>
      <c r="H288" s="257" t="str">
        <f>IFERROR(IF(C288="Active","",INDEX('Client Departures'!$G:$G,MATCH('Full Customer List'!$B288,'Client Departures'!$A:$A,0))),"Unclassified")</f>
        <v>Yes</v>
      </c>
      <c r="I288" s="196">
        <v>45627</v>
      </c>
      <c r="J288" s="196">
        <v>45838</v>
      </c>
      <c r="K288" s="192">
        <f>INDEX('Revenue by Customer'!K:K,MATCH('Full Customer List'!$B288,'Revenue by Customer'!$A:$A,0))</f>
        <v>360</v>
      </c>
      <c r="L288" s="192">
        <f>INDEX('Revenue by Customer'!L:L,MATCH('Full Customer List'!$B288,'Revenue by Customer'!$A:$A,0))</f>
        <v>360</v>
      </c>
      <c r="M288" s="192">
        <f>INDEX('Revenue by Customer'!M:M,MATCH('Full Customer List'!$B288,'Revenue by Customer'!$A:$A,0))</f>
        <v>360</v>
      </c>
      <c r="N288" s="192">
        <f>INDEX('Revenue by Customer'!N:N,MATCH('Full Customer List'!$B288,'Revenue by Customer'!$A:$A,0))</f>
        <v>360</v>
      </c>
      <c r="O288" s="192">
        <f>INDEX('Revenue by Customer'!O:O,MATCH('Full Customer List'!$B288,'Revenue by Customer'!$A:$A,0))</f>
        <v>360</v>
      </c>
      <c r="P288" s="192">
        <f>INDEX('Revenue by Customer'!P:P,MATCH('Full Customer List'!$B288,'Revenue by Customer'!$A:$A,0))</f>
        <v>360</v>
      </c>
      <c r="Q288" s="192" t="str">
        <f>INDEX('Revenue by Customer'!Q:Q,MATCH('Full Customer List'!$B288,'Revenue by Customer'!$A:$A,0))</f>
        <v/>
      </c>
      <c r="R288" s="192" t="str">
        <f>INDEX('Revenue by Customer'!R:R,MATCH('Full Customer List'!$B288,'Revenue by Customer'!$A:$A,0))</f>
        <v/>
      </c>
      <c r="S288" s="192" t="str">
        <f>INDEX('Revenue by Customer'!S:S,MATCH('Full Customer List'!$B288,'Revenue by Customer'!$A:$A,0))</f>
        <v/>
      </c>
      <c r="T288" s="192" t="str">
        <f>INDEX('Revenue by Customer'!T:T,MATCH('Full Customer List'!$B288,'Revenue by Customer'!$A:$A,0))</f>
        <v/>
      </c>
      <c r="U288" s="192" t="str">
        <f>INDEX('Revenue by Customer'!U:U,MATCH('Full Customer List'!$B288,'Revenue by Customer'!$A:$A,0))</f>
        <v/>
      </c>
      <c r="V288" s="192" t="str">
        <f>INDEX('Revenue by Customer'!V:V,MATCH('Full Customer List'!$B288,'Revenue by Customer'!$A:$A,0))</f>
        <v/>
      </c>
      <c r="W288" s="192" t="str">
        <f>INDEX('Revenue by Customer'!W:W,MATCH('Full Customer List'!$B288,'Revenue by Customer'!$A:$A,0))</f>
        <v/>
      </c>
      <c r="X288" s="192" t="str">
        <f>INDEX('Revenue by Customer'!X:X,MATCH('Full Customer List'!$B288,'Revenue by Customer'!$A:$A,0))</f>
        <v/>
      </c>
      <c r="Y288" s="192" t="str">
        <f>INDEX('Revenue by Customer'!Y:Y,MATCH('Full Customer List'!$B288,'Revenue by Customer'!$A:$A,0))</f>
        <v/>
      </c>
      <c r="Z288" s="192" t="str">
        <f>INDEX('Revenue by Customer'!Z:Z,MATCH('Full Customer List'!$B288,'Revenue by Customer'!$A:$A,0))</f>
        <v/>
      </c>
      <c r="AA288" s="192" t="str">
        <f>INDEX('Revenue by Customer'!AA:AA,MATCH('Full Customer List'!$B288,'Revenue by Customer'!$A:$A,0))</f>
        <v/>
      </c>
      <c r="AB288" s="192" t="str">
        <f>INDEX('Revenue by Customer'!AB:AB,MATCH('Full Customer List'!$B288,'Revenue by Customer'!$A:$A,0))</f>
        <v/>
      </c>
      <c r="AC288" s="192" t="str">
        <f>INDEX('Revenue by Customer'!AC:AC,MATCH('Full Customer List'!$B288,'Revenue by Customer'!$A:$A,0))</f>
        <v/>
      </c>
    </row>
    <row r="289" spans="2:29" ht="12" customHeight="1">
      <c r="B289" s="173" t="s">
        <v>942</v>
      </c>
      <c r="C289" s="173" t="str">
        <f>INDEX('Customer List'!$B:$B,MATCH('Full Customer List'!$B289,'Customer List'!$A:$A,0))</f>
        <v>Former client</v>
      </c>
      <c r="D289" s="173" t="str">
        <f>INDEX('Customer List'!$C:$C,MATCH('Full Customer List'!$B289,'Customer List'!$A:$A,0))</f>
        <v>Short-term rental (departed)</v>
      </c>
      <c r="E289" s="173" t="str">
        <f>INDEX('Customer List Mapping'!$C:$C,MATCH('Full Customer List'!D289,'Customer List Mapping'!$B:$B,0))</f>
        <v>Short-Term Rental</v>
      </c>
      <c r="F289" s="192" t="str">
        <f>INDEX('Customer List'!$K:$K,MATCH('Full Customer List'!$B289,'Customer List'!$A:$A,0))</f>
        <v/>
      </c>
      <c r="G289" s="192">
        <f>INDEX('Revenue by Customer'!$I:$I,MATCH('Full Customer List'!$B289,'Revenue by Customer'!$A:$A,0))</f>
        <v>427.5</v>
      </c>
      <c r="H289" s="257" t="str">
        <f>IFERROR(IF(C289="Active","",INDEX('Client Departures'!$G:$G,MATCH('Full Customer List'!$B289,'Client Departures'!$A:$A,0))),"Unclassified")</f>
        <v>Yes</v>
      </c>
      <c r="I289" s="196">
        <v>45748</v>
      </c>
      <c r="J289" s="196">
        <v>45838</v>
      </c>
      <c r="K289" s="192" t="str">
        <f>INDEX('Revenue by Customer'!K:K,MATCH('Full Customer List'!$B289,'Revenue by Customer'!$A:$A,0))</f>
        <v/>
      </c>
      <c r="L289" s="192" t="str">
        <f>INDEX('Revenue by Customer'!L:L,MATCH('Full Customer List'!$B289,'Revenue by Customer'!$A:$A,0))</f>
        <v/>
      </c>
      <c r="M289" s="192" t="str">
        <f>INDEX('Revenue by Customer'!M:M,MATCH('Full Customer List'!$B289,'Revenue by Customer'!$A:$A,0))</f>
        <v/>
      </c>
      <c r="N289" s="192">
        <f>INDEX('Revenue by Customer'!N:N,MATCH('Full Customer List'!$B289,'Revenue by Customer'!$A:$A,0))</f>
        <v>778.75</v>
      </c>
      <c r="O289" s="192">
        <f>INDEX('Revenue by Customer'!O:O,MATCH('Full Customer List'!$B289,'Revenue by Customer'!$A:$A,0))</f>
        <v>403.75</v>
      </c>
      <c r="P289" s="192">
        <f>INDEX('Revenue by Customer'!P:P,MATCH('Full Customer List'!$B289,'Revenue by Customer'!$A:$A,0))</f>
        <v>403.75</v>
      </c>
      <c r="Q289" s="192">
        <f>INDEX('Revenue by Customer'!Q:Q,MATCH('Full Customer List'!$B289,'Revenue by Customer'!$A:$A,0))</f>
        <v>475</v>
      </c>
      <c r="R289" s="192" t="str">
        <f>INDEX('Revenue by Customer'!R:R,MATCH('Full Customer List'!$B289,'Revenue by Customer'!$A:$A,0))</f>
        <v/>
      </c>
      <c r="S289" s="192" t="str">
        <f>INDEX('Revenue by Customer'!S:S,MATCH('Full Customer List'!$B289,'Revenue by Customer'!$A:$A,0))</f>
        <v/>
      </c>
      <c r="T289" s="192" t="str">
        <f>INDEX('Revenue by Customer'!T:T,MATCH('Full Customer List'!$B289,'Revenue by Customer'!$A:$A,0))</f>
        <v/>
      </c>
      <c r="U289" s="192" t="str">
        <f>INDEX('Revenue by Customer'!U:U,MATCH('Full Customer List'!$B289,'Revenue by Customer'!$A:$A,0))</f>
        <v/>
      </c>
      <c r="V289" s="192" t="str">
        <f>INDEX('Revenue by Customer'!V:V,MATCH('Full Customer List'!$B289,'Revenue by Customer'!$A:$A,0))</f>
        <v/>
      </c>
      <c r="W289" s="192" t="str">
        <f>INDEX('Revenue by Customer'!W:W,MATCH('Full Customer List'!$B289,'Revenue by Customer'!$A:$A,0))</f>
        <v/>
      </c>
      <c r="X289" s="192" t="str">
        <f>INDEX('Revenue by Customer'!X:X,MATCH('Full Customer List'!$B289,'Revenue by Customer'!$A:$A,0))</f>
        <v/>
      </c>
      <c r="Y289" s="192" t="str">
        <f>INDEX('Revenue by Customer'!Y:Y,MATCH('Full Customer List'!$B289,'Revenue by Customer'!$A:$A,0))</f>
        <v/>
      </c>
      <c r="Z289" s="192" t="str">
        <f>INDEX('Revenue by Customer'!Z:Z,MATCH('Full Customer List'!$B289,'Revenue by Customer'!$A:$A,0))</f>
        <v/>
      </c>
      <c r="AA289" s="192" t="str">
        <f>INDEX('Revenue by Customer'!AA:AA,MATCH('Full Customer List'!$B289,'Revenue by Customer'!$A:$A,0))</f>
        <v/>
      </c>
      <c r="AB289" s="192" t="str">
        <f>INDEX('Revenue by Customer'!AB:AB,MATCH('Full Customer List'!$B289,'Revenue by Customer'!$A:$A,0))</f>
        <v/>
      </c>
      <c r="AC289" s="192" t="str">
        <f>INDEX('Revenue by Customer'!AC:AC,MATCH('Full Customer List'!$B289,'Revenue by Customer'!$A:$A,0))</f>
        <v/>
      </c>
    </row>
    <row r="290" spans="2:29" ht="12" customHeight="1">
      <c r="B290" s="173" t="s">
        <v>943</v>
      </c>
      <c r="C290" s="173" t="str">
        <f>INDEX('Customer List'!$B:$B,MATCH('Full Customer List'!$B290,'Customer List'!$A:$A,0))</f>
        <v>Former client</v>
      </c>
      <c r="D290" s="173" t="str">
        <f>INDEX('Customer List'!$C:$C,MATCH('Full Customer List'!$B290,'Customer List'!$A:$A,0))</f>
        <v>Small business (departed)</v>
      </c>
      <c r="E290" s="173" t="str">
        <f>INDEX('Customer List Mapping'!$C:$C,MATCH('Full Customer List'!D290,'Customer List Mapping'!$B:$B,0))</f>
        <v>Small Business</v>
      </c>
      <c r="F290" s="192" t="str">
        <f>INDEX('Customer List'!$K:$K,MATCH('Full Customer List'!$B290,'Customer List'!$A:$A,0))</f>
        <v/>
      </c>
      <c r="G290" s="192">
        <f>INDEX('Revenue by Customer'!$I:$I,MATCH('Full Customer List'!$B290,'Revenue by Customer'!$A:$A,0))</f>
        <v>303.33333333333331</v>
      </c>
      <c r="H290" s="257" t="str">
        <f>IFERROR(IF(C290="Active","",INDEX('Client Departures'!$G:$G,MATCH('Full Customer List'!$B290,'Client Departures'!$A:$A,0))),"Unclassified")</f>
        <v>Yes</v>
      </c>
      <c r="I290" s="196">
        <v>44287</v>
      </c>
      <c r="J290" s="196">
        <v>45838</v>
      </c>
      <c r="K290" s="192">
        <f>INDEX('Revenue by Customer'!K:K,MATCH('Full Customer List'!$B290,'Revenue by Customer'!$A:$A,0))</f>
        <v>405</v>
      </c>
      <c r="L290" s="192">
        <f>INDEX('Revenue by Customer'!L:L,MATCH('Full Customer List'!$B290,'Revenue by Customer'!$A:$A,0))</f>
        <v>360</v>
      </c>
      <c r="M290" s="192">
        <f>INDEX('Revenue by Customer'!M:M,MATCH('Full Customer List'!$B290,'Revenue by Customer'!$A:$A,0))</f>
        <v>360</v>
      </c>
      <c r="N290" s="192">
        <f>INDEX('Revenue by Customer'!N:N,MATCH('Full Customer List'!$B290,'Revenue by Customer'!$A:$A,0))</f>
        <v>360</v>
      </c>
      <c r="O290" s="192">
        <f>INDEX('Revenue by Customer'!O:O,MATCH('Full Customer List'!$B290,'Revenue by Customer'!$A:$A,0))</f>
        <v>275</v>
      </c>
      <c r="P290" s="192">
        <f>INDEX('Revenue by Customer'!P:P,MATCH('Full Customer List'!$B290,'Revenue by Customer'!$A:$A,0))</f>
        <v>275</v>
      </c>
      <c r="Q290" s="192" t="str">
        <f>INDEX('Revenue by Customer'!Q:Q,MATCH('Full Customer List'!$B290,'Revenue by Customer'!$A:$A,0))</f>
        <v/>
      </c>
      <c r="R290" s="192" t="str">
        <f>INDEX('Revenue by Customer'!R:R,MATCH('Full Customer List'!$B290,'Revenue by Customer'!$A:$A,0))</f>
        <v/>
      </c>
      <c r="S290" s="192" t="str">
        <f>INDEX('Revenue by Customer'!S:S,MATCH('Full Customer List'!$B290,'Revenue by Customer'!$A:$A,0))</f>
        <v/>
      </c>
      <c r="T290" s="192" t="str">
        <f>INDEX('Revenue by Customer'!T:T,MATCH('Full Customer List'!$B290,'Revenue by Customer'!$A:$A,0))</f>
        <v/>
      </c>
      <c r="U290" s="192" t="str">
        <f>INDEX('Revenue by Customer'!U:U,MATCH('Full Customer List'!$B290,'Revenue by Customer'!$A:$A,0))</f>
        <v/>
      </c>
      <c r="V290" s="192" t="str">
        <f>INDEX('Revenue by Customer'!V:V,MATCH('Full Customer List'!$B290,'Revenue by Customer'!$A:$A,0))</f>
        <v/>
      </c>
      <c r="W290" s="192" t="str">
        <f>INDEX('Revenue by Customer'!W:W,MATCH('Full Customer List'!$B290,'Revenue by Customer'!$A:$A,0))</f>
        <v/>
      </c>
      <c r="X290" s="192" t="str">
        <f>INDEX('Revenue by Customer'!X:X,MATCH('Full Customer List'!$B290,'Revenue by Customer'!$A:$A,0))</f>
        <v/>
      </c>
      <c r="Y290" s="192" t="str">
        <f>INDEX('Revenue by Customer'!Y:Y,MATCH('Full Customer List'!$B290,'Revenue by Customer'!$A:$A,0))</f>
        <v/>
      </c>
      <c r="Z290" s="192" t="str">
        <f>INDEX('Revenue by Customer'!Z:Z,MATCH('Full Customer List'!$B290,'Revenue by Customer'!$A:$A,0))</f>
        <v/>
      </c>
      <c r="AA290" s="192" t="str">
        <f>INDEX('Revenue by Customer'!AA:AA,MATCH('Full Customer List'!$B290,'Revenue by Customer'!$A:$A,0))</f>
        <v/>
      </c>
      <c r="AB290" s="192" t="str">
        <f>INDEX('Revenue by Customer'!AB:AB,MATCH('Full Customer List'!$B290,'Revenue by Customer'!$A:$A,0))</f>
        <v/>
      </c>
      <c r="AC290" s="192" t="str">
        <f>INDEX('Revenue by Customer'!AC:AC,MATCH('Full Customer List'!$B290,'Revenue by Customer'!$A:$A,0))</f>
        <v/>
      </c>
    </row>
    <row r="291" spans="2:29" ht="12" customHeight="1">
      <c r="B291" s="173" t="s">
        <v>945</v>
      </c>
      <c r="C291" s="173" t="str">
        <f>INDEX('Customer List'!$B:$B,MATCH('Full Customer List'!$B291,'Customer List'!$A:$A,0))</f>
        <v>Former client</v>
      </c>
      <c r="D291" s="173" t="str">
        <f>INDEX('Customer List'!$C:$C,MATCH('Full Customer List'!$B291,'Customer List'!$A:$A,0))</f>
        <v>Short-term rental (departed)</v>
      </c>
      <c r="E291" s="173" t="str">
        <f>INDEX('Customer List Mapping'!$C:$C,MATCH('Full Customer List'!D291,'Customer List Mapping'!$B:$B,0))</f>
        <v>Short-Term Rental</v>
      </c>
      <c r="F291" s="192" t="str">
        <f>INDEX('Customer List'!$K:$K,MATCH('Full Customer List'!$B291,'Customer List'!$A:$A,0))</f>
        <v/>
      </c>
      <c r="G291" s="192">
        <f>INDEX('Revenue by Customer'!$I:$I,MATCH('Full Customer List'!$B291,'Revenue by Customer'!$A:$A,0))</f>
        <v>366.66666666666669</v>
      </c>
      <c r="H291" s="257" t="str">
        <f>IFERROR(IF(C291="Active","",INDEX('Client Departures'!$G:$G,MATCH('Full Customer List'!$B291,'Client Departures'!$A:$A,0))),"Unclassified")</f>
        <v>Yes</v>
      </c>
      <c r="I291" s="196">
        <v>45689</v>
      </c>
      <c r="J291" s="196">
        <v>45838</v>
      </c>
      <c r="K291" s="192" t="str">
        <f>INDEX('Revenue by Customer'!K:K,MATCH('Full Customer List'!$B291,'Revenue by Customer'!$A:$A,0))</f>
        <v/>
      </c>
      <c r="L291" s="192">
        <f>INDEX('Revenue by Customer'!L:L,MATCH('Full Customer List'!$B291,'Revenue by Customer'!$A:$A,0))</f>
        <v>350</v>
      </c>
      <c r="M291" s="192">
        <f>INDEX('Revenue by Customer'!M:M,MATCH('Full Customer List'!$B291,'Revenue by Customer'!$A:$A,0))</f>
        <v>420</v>
      </c>
      <c r="N291" s="192">
        <f>INDEX('Revenue by Customer'!N:N,MATCH('Full Customer List'!$B291,'Revenue by Customer'!$A:$A,0))</f>
        <v>340</v>
      </c>
      <c r="O291" s="192">
        <f>INDEX('Revenue by Customer'!O:O,MATCH('Full Customer List'!$B291,'Revenue by Customer'!$A:$A,0))</f>
        <v>380</v>
      </c>
      <c r="P291" s="192">
        <f>INDEX('Revenue by Customer'!P:P,MATCH('Full Customer List'!$B291,'Revenue by Customer'!$A:$A,0))</f>
        <v>380</v>
      </c>
      <c r="Q291" s="192" t="str">
        <f>INDEX('Revenue by Customer'!Q:Q,MATCH('Full Customer List'!$B291,'Revenue by Customer'!$A:$A,0))</f>
        <v/>
      </c>
      <c r="R291" s="192" t="str">
        <f>INDEX('Revenue by Customer'!R:R,MATCH('Full Customer List'!$B291,'Revenue by Customer'!$A:$A,0))</f>
        <v/>
      </c>
      <c r="S291" s="192" t="str">
        <f>INDEX('Revenue by Customer'!S:S,MATCH('Full Customer List'!$B291,'Revenue by Customer'!$A:$A,0))</f>
        <v/>
      </c>
      <c r="T291" s="192" t="str">
        <f>INDEX('Revenue by Customer'!T:T,MATCH('Full Customer List'!$B291,'Revenue by Customer'!$A:$A,0))</f>
        <v/>
      </c>
      <c r="U291" s="192" t="str">
        <f>INDEX('Revenue by Customer'!U:U,MATCH('Full Customer List'!$B291,'Revenue by Customer'!$A:$A,0))</f>
        <v/>
      </c>
      <c r="V291" s="192" t="str">
        <f>INDEX('Revenue by Customer'!V:V,MATCH('Full Customer List'!$B291,'Revenue by Customer'!$A:$A,0))</f>
        <v/>
      </c>
      <c r="W291" s="192" t="str">
        <f>INDEX('Revenue by Customer'!W:W,MATCH('Full Customer List'!$B291,'Revenue by Customer'!$A:$A,0))</f>
        <v/>
      </c>
      <c r="X291" s="192" t="str">
        <f>INDEX('Revenue by Customer'!X:X,MATCH('Full Customer List'!$B291,'Revenue by Customer'!$A:$A,0))</f>
        <v/>
      </c>
      <c r="Y291" s="192" t="str">
        <f>INDEX('Revenue by Customer'!Y:Y,MATCH('Full Customer List'!$B291,'Revenue by Customer'!$A:$A,0))</f>
        <v/>
      </c>
      <c r="Z291" s="192" t="str">
        <f>INDEX('Revenue by Customer'!Z:Z,MATCH('Full Customer List'!$B291,'Revenue by Customer'!$A:$A,0))</f>
        <v/>
      </c>
      <c r="AA291" s="192" t="str">
        <f>INDEX('Revenue by Customer'!AA:AA,MATCH('Full Customer List'!$B291,'Revenue by Customer'!$A:$A,0))</f>
        <v/>
      </c>
      <c r="AB291" s="192" t="str">
        <f>INDEX('Revenue by Customer'!AB:AB,MATCH('Full Customer List'!$B291,'Revenue by Customer'!$A:$A,0))</f>
        <v/>
      </c>
      <c r="AC291" s="192" t="str">
        <f>INDEX('Revenue by Customer'!AC:AC,MATCH('Full Customer List'!$B291,'Revenue by Customer'!$A:$A,0))</f>
        <v/>
      </c>
    </row>
    <row r="292" spans="2:29" ht="12" customHeight="1">
      <c r="B292" s="173" t="s">
        <v>946</v>
      </c>
      <c r="C292" s="173" t="str">
        <f>INDEX('Customer List'!$B:$B,MATCH('Full Customer List'!$B292,'Customer List'!$A:$A,0))</f>
        <v>Former client</v>
      </c>
      <c r="D292" s="173" t="str">
        <f>INDEX('Customer List'!$C:$C,MATCH('Full Customer List'!$B292,'Customer List'!$A:$A,0))</f>
        <v>Short-term rental (departed)</v>
      </c>
      <c r="E292" s="173" t="str">
        <f>INDEX('Customer List Mapping'!$C:$C,MATCH('Full Customer List'!D292,'Customer List Mapping'!$B:$B,0))</f>
        <v>Short-Term Rental</v>
      </c>
      <c r="F292" s="192" t="str">
        <f>INDEX('Customer List'!$K:$K,MATCH('Full Customer List'!$B292,'Customer List'!$A:$A,0))</f>
        <v/>
      </c>
      <c r="G292" s="192">
        <f>INDEX('Revenue by Customer'!$I:$I,MATCH('Full Customer List'!$B292,'Revenue by Customer'!$A:$A,0))</f>
        <v>453.33333333333331</v>
      </c>
      <c r="H292" s="257" t="str">
        <f>IFERROR(IF(C292="Active","",INDEX('Client Departures'!$G:$G,MATCH('Full Customer List'!$B292,'Client Departures'!$A:$A,0))),"Unclassified")</f>
        <v>Yes</v>
      </c>
      <c r="I292" s="196">
        <v>45323</v>
      </c>
      <c r="J292" s="196">
        <v>45777</v>
      </c>
      <c r="K292" s="192">
        <f>INDEX('Revenue by Customer'!K:K,MATCH('Full Customer List'!$B292,'Revenue by Customer'!$A:$A,0))</f>
        <v>375</v>
      </c>
      <c r="L292" s="192">
        <f>INDEX('Revenue by Customer'!L:L,MATCH('Full Customer List'!$B292,'Revenue by Customer'!$A:$A,0))</f>
        <v>480</v>
      </c>
      <c r="M292" s="192">
        <f>INDEX('Revenue by Customer'!M:M,MATCH('Full Customer List'!$B292,'Revenue by Customer'!$A:$A,0))</f>
        <v>480</v>
      </c>
      <c r="N292" s="192">
        <f>INDEX('Revenue by Customer'!N:N,MATCH('Full Customer List'!$B292,'Revenue by Customer'!$A:$A,0))</f>
        <v>400</v>
      </c>
      <c r="O292" s="192" t="str">
        <f>INDEX('Revenue by Customer'!O:O,MATCH('Full Customer List'!$B292,'Revenue by Customer'!$A:$A,0))</f>
        <v/>
      </c>
      <c r="P292" s="192" t="str">
        <f>INDEX('Revenue by Customer'!P:P,MATCH('Full Customer List'!$B292,'Revenue by Customer'!$A:$A,0))</f>
        <v/>
      </c>
      <c r="Q292" s="192" t="str">
        <f>INDEX('Revenue by Customer'!Q:Q,MATCH('Full Customer List'!$B292,'Revenue by Customer'!$A:$A,0))</f>
        <v/>
      </c>
      <c r="R292" s="192" t="str">
        <f>INDEX('Revenue by Customer'!R:R,MATCH('Full Customer List'!$B292,'Revenue by Customer'!$A:$A,0))</f>
        <v/>
      </c>
      <c r="S292" s="192" t="str">
        <f>INDEX('Revenue by Customer'!S:S,MATCH('Full Customer List'!$B292,'Revenue by Customer'!$A:$A,0))</f>
        <v/>
      </c>
      <c r="T292" s="192" t="str">
        <f>INDEX('Revenue by Customer'!T:T,MATCH('Full Customer List'!$B292,'Revenue by Customer'!$A:$A,0))</f>
        <v/>
      </c>
      <c r="U292" s="192" t="str">
        <f>INDEX('Revenue by Customer'!U:U,MATCH('Full Customer List'!$B292,'Revenue by Customer'!$A:$A,0))</f>
        <v/>
      </c>
      <c r="V292" s="192" t="str">
        <f>INDEX('Revenue by Customer'!V:V,MATCH('Full Customer List'!$B292,'Revenue by Customer'!$A:$A,0))</f>
        <v/>
      </c>
      <c r="W292" s="192" t="str">
        <f>INDEX('Revenue by Customer'!W:W,MATCH('Full Customer List'!$B292,'Revenue by Customer'!$A:$A,0))</f>
        <v/>
      </c>
      <c r="X292" s="192" t="str">
        <f>INDEX('Revenue by Customer'!X:X,MATCH('Full Customer List'!$B292,'Revenue by Customer'!$A:$A,0))</f>
        <v/>
      </c>
      <c r="Y292" s="192" t="str">
        <f>INDEX('Revenue by Customer'!Y:Y,MATCH('Full Customer List'!$B292,'Revenue by Customer'!$A:$A,0))</f>
        <v/>
      </c>
      <c r="Z292" s="192" t="str">
        <f>INDEX('Revenue by Customer'!Z:Z,MATCH('Full Customer List'!$B292,'Revenue by Customer'!$A:$A,0))</f>
        <v/>
      </c>
      <c r="AA292" s="192" t="str">
        <f>INDEX('Revenue by Customer'!AA:AA,MATCH('Full Customer List'!$B292,'Revenue by Customer'!$A:$A,0))</f>
        <v/>
      </c>
      <c r="AB292" s="192" t="str">
        <f>INDEX('Revenue by Customer'!AB:AB,MATCH('Full Customer List'!$B292,'Revenue by Customer'!$A:$A,0))</f>
        <v/>
      </c>
      <c r="AC292" s="192" t="str">
        <f>INDEX('Revenue by Customer'!AC:AC,MATCH('Full Customer List'!$B292,'Revenue by Customer'!$A:$A,0))</f>
        <v/>
      </c>
    </row>
    <row r="293" spans="2:29" ht="12" customHeight="1">
      <c r="B293" s="173" t="s">
        <v>947</v>
      </c>
      <c r="C293" s="173" t="str">
        <f>INDEX('Customer List'!$B:$B,MATCH('Full Customer List'!$B293,'Customer List'!$A:$A,0))</f>
        <v>Former client</v>
      </c>
      <c r="D293" s="173" t="str">
        <f>INDEX('Customer List'!$C:$C,MATCH('Full Customer List'!$B293,'Customer List'!$A:$A,0))</f>
        <v>Short-term rental (departed)</v>
      </c>
      <c r="E293" s="173" t="str">
        <f>INDEX('Customer List Mapping'!$C:$C,MATCH('Full Customer List'!D293,'Customer List Mapping'!$B:$B,0))</f>
        <v>Short-Term Rental</v>
      </c>
      <c r="F293" s="192" t="str">
        <f>INDEX('Customer List'!$K:$K,MATCH('Full Customer List'!$B293,'Customer List'!$A:$A,0))</f>
        <v/>
      </c>
      <c r="G293" s="192">
        <f>INDEX('Revenue by Customer'!$I:$I,MATCH('Full Customer List'!$B293,'Revenue by Customer'!$A:$A,0))</f>
        <v>335</v>
      </c>
      <c r="H293" s="257" t="str">
        <f>IFERROR(IF(C293="Active","",INDEX('Client Departures'!$G:$G,MATCH('Full Customer List'!$B293,'Client Departures'!$A:$A,0))),"Unclassified")</f>
        <v>No</v>
      </c>
      <c r="I293" s="196">
        <v>44743</v>
      </c>
      <c r="J293" s="196">
        <v>45808</v>
      </c>
      <c r="K293" s="192">
        <f>INDEX('Revenue by Customer'!K:K,MATCH('Full Customer List'!$B293,'Revenue by Customer'!$A:$A,0))</f>
        <v>330</v>
      </c>
      <c r="L293" s="192">
        <f>INDEX('Revenue by Customer'!L:L,MATCH('Full Customer List'!$B293,'Revenue by Customer'!$A:$A,0))</f>
        <v>330</v>
      </c>
      <c r="M293" s="192">
        <f>INDEX('Revenue by Customer'!M:M,MATCH('Full Customer List'!$B293,'Revenue by Customer'!$A:$A,0))</f>
        <v>330</v>
      </c>
      <c r="N293" s="192">
        <f>INDEX('Revenue by Customer'!N:N,MATCH('Full Customer List'!$B293,'Revenue by Customer'!$A:$A,0))</f>
        <v>330</v>
      </c>
      <c r="O293" s="192">
        <f>INDEX('Revenue by Customer'!O:O,MATCH('Full Customer List'!$B293,'Revenue by Customer'!$A:$A,0))</f>
        <v>345</v>
      </c>
      <c r="P293" s="192" t="str">
        <f>INDEX('Revenue by Customer'!P:P,MATCH('Full Customer List'!$B293,'Revenue by Customer'!$A:$A,0))</f>
        <v/>
      </c>
      <c r="Q293" s="192" t="str">
        <f>INDEX('Revenue by Customer'!Q:Q,MATCH('Full Customer List'!$B293,'Revenue by Customer'!$A:$A,0))</f>
        <v/>
      </c>
      <c r="R293" s="192" t="str">
        <f>INDEX('Revenue by Customer'!R:R,MATCH('Full Customer List'!$B293,'Revenue by Customer'!$A:$A,0))</f>
        <v/>
      </c>
      <c r="S293" s="192" t="str">
        <f>INDEX('Revenue by Customer'!S:S,MATCH('Full Customer List'!$B293,'Revenue by Customer'!$A:$A,0))</f>
        <v/>
      </c>
      <c r="T293" s="192" t="str">
        <f>INDEX('Revenue by Customer'!T:T,MATCH('Full Customer List'!$B293,'Revenue by Customer'!$A:$A,0))</f>
        <v/>
      </c>
      <c r="U293" s="192" t="str">
        <f>INDEX('Revenue by Customer'!U:U,MATCH('Full Customer List'!$B293,'Revenue by Customer'!$A:$A,0))</f>
        <v/>
      </c>
      <c r="V293" s="192" t="str">
        <f>INDEX('Revenue by Customer'!V:V,MATCH('Full Customer List'!$B293,'Revenue by Customer'!$A:$A,0))</f>
        <v/>
      </c>
      <c r="W293" s="192" t="str">
        <f>INDEX('Revenue by Customer'!W:W,MATCH('Full Customer List'!$B293,'Revenue by Customer'!$A:$A,0))</f>
        <v/>
      </c>
      <c r="X293" s="192" t="str">
        <f>INDEX('Revenue by Customer'!X:X,MATCH('Full Customer List'!$B293,'Revenue by Customer'!$A:$A,0))</f>
        <v/>
      </c>
      <c r="Y293" s="192" t="str">
        <f>INDEX('Revenue by Customer'!Y:Y,MATCH('Full Customer List'!$B293,'Revenue by Customer'!$A:$A,0))</f>
        <v/>
      </c>
      <c r="Z293" s="192" t="str">
        <f>INDEX('Revenue by Customer'!Z:Z,MATCH('Full Customer List'!$B293,'Revenue by Customer'!$A:$A,0))</f>
        <v/>
      </c>
      <c r="AA293" s="192" t="str">
        <f>INDEX('Revenue by Customer'!AA:AA,MATCH('Full Customer List'!$B293,'Revenue by Customer'!$A:$A,0))</f>
        <v/>
      </c>
      <c r="AB293" s="192" t="str">
        <f>INDEX('Revenue by Customer'!AB:AB,MATCH('Full Customer List'!$B293,'Revenue by Customer'!$A:$A,0))</f>
        <v/>
      </c>
      <c r="AC293" s="192" t="str">
        <f>INDEX('Revenue by Customer'!AC:AC,MATCH('Full Customer List'!$B293,'Revenue by Customer'!$A:$A,0))</f>
        <v/>
      </c>
    </row>
    <row r="294" spans="2:29" ht="12" customHeight="1">
      <c r="B294" s="173" t="s">
        <v>948</v>
      </c>
      <c r="C294" s="173" t="str">
        <f>INDEX('Customer List'!$B:$B,MATCH('Full Customer List'!$B294,'Customer List'!$A:$A,0))</f>
        <v>Former client</v>
      </c>
      <c r="D294" s="173" t="str">
        <f>INDEX('Customer List'!$C:$C,MATCH('Full Customer List'!$B294,'Customer List'!$A:$A,0))</f>
        <v>Short-term rental (departed)</v>
      </c>
      <c r="E294" s="173" t="str">
        <f>INDEX('Customer List Mapping'!$C:$C,MATCH('Full Customer List'!D294,'Customer List Mapping'!$B:$B,0))</f>
        <v>Short-Term Rental</v>
      </c>
      <c r="F294" s="192" t="str">
        <f>INDEX('Customer List'!$K:$K,MATCH('Full Customer List'!$B294,'Customer List'!$A:$A,0))</f>
        <v/>
      </c>
      <c r="G294" s="192">
        <f>INDEX('Revenue by Customer'!$I:$I,MATCH('Full Customer List'!$B294,'Revenue by Customer'!$A:$A,0))</f>
        <v>408.33333333333331</v>
      </c>
      <c r="H294" s="257" t="str">
        <f>IFERROR(IF(C294="Active","",INDEX('Client Departures'!$G:$G,MATCH('Full Customer List'!$B294,'Client Departures'!$A:$A,0))),"Unclassified")</f>
        <v>Yes</v>
      </c>
      <c r="I294" s="196">
        <v>45383</v>
      </c>
      <c r="J294" s="196">
        <v>45777</v>
      </c>
      <c r="K294" s="192">
        <f>INDEX('Revenue by Customer'!K:K,MATCH('Full Customer List'!$B294,'Revenue by Customer'!$A:$A,0))</f>
        <v>430</v>
      </c>
      <c r="L294" s="192">
        <f>INDEX('Revenue by Customer'!L:L,MATCH('Full Customer List'!$B294,'Revenue by Customer'!$A:$A,0))</f>
        <v>325</v>
      </c>
      <c r="M294" s="192">
        <f>INDEX('Revenue by Customer'!M:M,MATCH('Full Customer List'!$B294,'Revenue by Customer'!$A:$A,0))</f>
        <v>575</v>
      </c>
      <c r="N294" s="192">
        <f>INDEX('Revenue by Customer'!N:N,MATCH('Full Customer List'!$B294,'Revenue by Customer'!$A:$A,0))</f>
        <v>325</v>
      </c>
      <c r="O294" s="192" t="str">
        <f>INDEX('Revenue by Customer'!O:O,MATCH('Full Customer List'!$B294,'Revenue by Customer'!$A:$A,0))</f>
        <v/>
      </c>
      <c r="P294" s="192" t="str">
        <f>INDEX('Revenue by Customer'!P:P,MATCH('Full Customer List'!$B294,'Revenue by Customer'!$A:$A,0))</f>
        <v/>
      </c>
      <c r="Q294" s="192" t="str">
        <f>INDEX('Revenue by Customer'!Q:Q,MATCH('Full Customer List'!$B294,'Revenue by Customer'!$A:$A,0))</f>
        <v/>
      </c>
      <c r="R294" s="192" t="str">
        <f>INDEX('Revenue by Customer'!R:R,MATCH('Full Customer List'!$B294,'Revenue by Customer'!$A:$A,0))</f>
        <v/>
      </c>
      <c r="S294" s="192" t="str">
        <f>INDEX('Revenue by Customer'!S:S,MATCH('Full Customer List'!$B294,'Revenue by Customer'!$A:$A,0))</f>
        <v/>
      </c>
      <c r="T294" s="192" t="str">
        <f>INDEX('Revenue by Customer'!T:T,MATCH('Full Customer List'!$B294,'Revenue by Customer'!$A:$A,0))</f>
        <v/>
      </c>
      <c r="U294" s="192" t="str">
        <f>INDEX('Revenue by Customer'!U:U,MATCH('Full Customer List'!$B294,'Revenue by Customer'!$A:$A,0))</f>
        <v/>
      </c>
      <c r="V294" s="192" t="str">
        <f>INDEX('Revenue by Customer'!V:V,MATCH('Full Customer List'!$B294,'Revenue by Customer'!$A:$A,0))</f>
        <v/>
      </c>
      <c r="W294" s="192" t="str">
        <f>INDEX('Revenue by Customer'!W:W,MATCH('Full Customer List'!$B294,'Revenue by Customer'!$A:$A,0))</f>
        <v/>
      </c>
      <c r="X294" s="192" t="str">
        <f>INDEX('Revenue by Customer'!X:X,MATCH('Full Customer List'!$B294,'Revenue by Customer'!$A:$A,0))</f>
        <v/>
      </c>
      <c r="Y294" s="192" t="str">
        <f>INDEX('Revenue by Customer'!Y:Y,MATCH('Full Customer List'!$B294,'Revenue by Customer'!$A:$A,0))</f>
        <v/>
      </c>
      <c r="Z294" s="192" t="str">
        <f>INDEX('Revenue by Customer'!Z:Z,MATCH('Full Customer List'!$B294,'Revenue by Customer'!$A:$A,0))</f>
        <v/>
      </c>
      <c r="AA294" s="192" t="str">
        <f>INDEX('Revenue by Customer'!AA:AA,MATCH('Full Customer List'!$B294,'Revenue by Customer'!$A:$A,0))</f>
        <v/>
      </c>
      <c r="AB294" s="192" t="str">
        <f>INDEX('Revenue by Customer'!AB:AB,MATCH('Full Customer List'!$B294,'Revenue by Customer'!$A:$A,0))</f>
        <v/>
      </c>
      <c r="AC294" s="192" t="str">
        <f>INDEX('Revenue by Customer'!AC:AC,MATCH('Full Customer List'!$B294,'Revenue by Customer'!$A:$A,0))</f>
        <v/>
      </c>
    </row>
    <row r="295" spans="2:29" ht="12" customHeight="1">
      <c r="B295" s="173" t="s">
        <v>949</v>
      </c>
      <c r="C295" s="173" t="str">
        <f>INDEX('Customer List'!$B:$B,MATCH('Full Customer List'!$B295,'Customer List'!$A:$A,0))</f>
        <v>Former client</v>
      </c>
      <c r="D295" s="173" t="str">
        <f>INDEX('Customer List'!$C:$C,MATCH('Full Customer List'!$B295,'Customer List'!$A:$A,0))</f>
        <v>Short-term rental (departed)</v>
      </c>
      <c r="E295" s="173" t="str">
        <f>INDEX('Customer List Mapping'!$C:$C,MATCH('Full Customer List'!D295,'Customer List Mapping'!$B:$B,0))</f>
        <v>Short-Term Rental</v>
      </c>
      <c r="F295" s="192" t="str">
        <f>INDEX('Customer List'!$K:$K,MATCH('Full Customer List'!$B295,'Customer List'!$A:$A,0))</f>
        <v/>
      </c>
      <c r="G295" s="192">
        <f>INDEX('Revenue by Customer'!$I:$I,MATCH('Full Customer List'!$B295,'Revenue by Customer'!$A:$A,0))</f>
        <v>395</v>
      </c>
      <c r="H295" s="257" t="str">
        <f>IFERROR(IF(C295="Active","",INDEX('Client Departures'!$G:$G,MATCH('Full Customer List'!$B295,'Client Departures'!$A:$A,0))),"Unclassified")</f>
        <v>No</v>
      </c>
      <c r="I295" s="196">
        <v>45566</v>
      </c>
      <c r="J295" s="196">
        <v>45777</v>
      </c>
      <c r="K295" s="192">
        <f>INDEX('Revenue by Customer'!K:K,MATCH('Full Customer List'!$B295,'Revenue by Customer'!$A:$A,0))</f>
        <v>395</v>
      </c>
      <c r="L295" s="192">
        <f>INDEX('Revenue by Customer'!L:L,MATCH('Full Customer List'!$B295,'Revenue by Customer'!$A:$A,0))</f>
        <v>395</v>
      </c>
      <c r="M295" s="192">
        <f>INDEX('Revenue by Customer'!M:M,MATCH('Full Customer List'!$B295,'Revenue by Customer'!$A:$A,0))</f>
        <v>395</v>
      </c>
      <c r="N295" s="192">
        <f>INDEX('Revenue by Customer'!N:N,MATCH('Full Customer List'!$B295,'Revenue by Customer'!$A:$A,0))</f>
        <v>395</v>
      </c>
      <c r="O295" s="192" t="str">
        <f>INDEX('Revenue by Customer'!O:O,MATCH('Full Customer List'!$B295,'Revenue by Customer'!$A:$A,0))</f>
        <v/>
      </c>
      <c r="P295" s="192" t="str">
        <f>INDEX('Revenue by Customer'!P:P,MATCH('Full Customer List'!$B295,'Revenue by Customer'!$A:$A,0))</f>
        <v/>
      </c>
      <c r="Q295" s="192" t="str">
        <f>INDEX('Revenue by Customer'!Q:Q,MATCH('Full Customer List'!$B295,'Revenue by Customer'!$A:$A,0))</f>
        <v/>
      </c>
      <c r="R295" s="192" t="str">
        <f>INDEX('Revenue by Customer'!R:R,MATCH('Full Customer List'!$B295,'Revenue by Customer'!$A:$A,0))</f>
        <v/>
      </c>
      <c r="S295" s="192" t="str">
        <f>INDEX('Revenue by Customer'!S:S,MATCH('Full Customer List'!$B295,'Revenue by Customer'!$A:$A,0))</f>
        <v/>
      </c>
      <c r="T295" s="192" t="str">
        <f>INDEX('Revenue by Customer'!T:T,MATCH('Full Customer List'!$B295,'Revenue by Customer'!$A:$A,0))</f>
        <v/>
      </c>
      <c r="U295" s="192" t="str">
        <f>INDEX('Revenue by Customer'!U:U,MATCH('Full Customer List'!$B295,'Revenue by Customer'!$A:$A,0))</f>
        <v/>
      </c>
      <c r="V295" s="192" t="str">
        <f>INDEX('Revenue by Customer'!V:V,MATCH('Full Customer List'!$B295,'Revenue by Customer'!$A:$A,0))</f>
        <v/>
      </c>
      <c r="W295" s="192" t="str">
        <f>INDEX('Revenue by Customer'!W:W,MATCH('Full Customer List'!$B295,'Revenue by Customer'!$A:$A,0))</f>
        <v/>
      </c>
      <c r="X295" s="192" t="str">
        <f>INDEX('Revenue by Customer'!X:X,MATCH('Full Customer List'!$B295,'Revenue by Customer'!$A:$A,0))</f>
        <v/>
      </c>
      <c r="Y295" s="192" t="str">
        <f>INDEX('Revenue by Customer'!Y:Y,MATCH('Full Customer List'!$B295,'Revenue by Customer'!$A:$A,0))</f>
        <v/>
      </c>
      <c r="Z295" s="192" t="str">
        <f>INDEX('Revenue by Customer'!Z:Z,MATCH('Full Customer List'!$B295,'Revenue by Customer'!$A:$A,0))</f>
        <v/>
      </c>
      <c r="AA295" s="192" t="str">
        <f>INDEX('Revenue by Customer'!AA:AA,MATCH('Full Customer List'!$B295,'Revenue by Customer'!$A:$A,0))</f>
        <v/>
      </c>
      <c r="AB295" s="192" t="str">
        <f>INDEX('Revenue by Customer'!AB:AB,MATCH('Full Customer List'!$B295,'Revenue by Customer'!$A:$A,0))</f>
        <v/>
      </c>
      <c r="AC295" s="192" t="str">
        <f>INDEX('Revenue by Customer'!AC:AC,MATCH('Full Customer List'!$B295,'Revenue by Customer'!$A:$A,0))</f>
        <v/>
      </c>
    </row>
    <row r="296" spans="2:29" ht="12" customHeight="1">
      <c r="B296" s="173" t="s">
        <v>950</v>
      </c>
      <c r="C296" s="173" t="str">
        <f>INDEX('Customer List'!$B:$B,MATCH('Full Customer List'!$B296,'Customer List'!$A:$A,0))</f>
        <v>Former client</v>
      </c>
      <c r="D296" s="173" t="str">
        <f>INDEX('Customer List'!$C:$C,MATCH('Full Customer List'!$B296,'Customer List'!$A:$A,0))</f>
        <v>Small business (departed)</v>
      </c>
      <c r="E296" s="173" t="str">
        <f>INDEX('Customer List Mapping'!$C:$C,MATCH('Full Customer List'!D296,'Customer List Mapping'!$B:$B,0))</f>
        <v>Small Business</v>
      </c>
      <c r="F296" s="192" t="str">
        <f>INDEX('Customer List'!$K:$K,MATCH('Full Customer List'!$B296,'Customer List'!$A:$A,0))</f>
        <v/>
      </c>
      <c r="G296" s="192">
        <f>INDEX('Revenue by Customer'!$I:$I,MATCH('Full Customer List'!$B296,'Revenue by Customer'!$A:$A,0))</f>
        <v>300</v>
      </c>
      <c r="H296" s="257" t="str">
        <f>IFERROR(IF(C296="Active","",INDEX('Client Departures'!$G:$G,MATCH('Full Customer List'!$B296,'Client Departures'!$A:$A,0))),"Unclassified")</f>
        <v>Yes</v>
      </c>
      <c r="I296" s="196">
        <v>44317</v>
      </c>
      <c r="J296" s="196">
        <v>45808</v>
      </c>
      <c r="K296" s="192">
        <f>INDEX('Revenue by Customer'!K:K,MATCH('Full Customer List'!$B296,'Revenue by Customer'!$A:$A,0))</f>
        <v>345</v>
      </c>
      <c r="L296" s="192">
        <f>INDEX('Revenue by Customer'!L:L,MATCH('Full Customer List'!$B296,'Revenue by Customer'!$A:$A,0))</f>
        <v>300</v>
      </c>
      <c r="M296" s="192">
        <f>INDEX('Revenue by Customer'!M:M,MATCH('Full Customer List'!$B296,'Revenue by Customer'!$A:$A,0))</f>
        <v>300</v>
      </c>
      <c r="N296" s="192">
        <f>INDEX('Revenue by Customer'!N:N,MATCH('Full Customer List'!$B296,'Revenue by Customer'!$A:$A,0))</f>
        <v>300</v>
      </c>
      <c r="O296" s="192">
        <f>INDEX('Revenue by Customer'!O:O,MATCH('Full Customer List'!$B296,'Revenue by Customer'!$A:$A,0))</f>
        <v>300</v>
      </c>
      <c r="P296" s="192" t="str">
        <f>INDEX('Revenue by Customer'!P:P,MATCH('Full Customer List'!$B296,'Revenue by Customer'!$A:$A,0))</f>
        <v/>
      </c>
      <c r="Q296" s="192" t="str">
        <f>INDEX('Revenue by Customer'!Q:Q,MATCH('Full Customer List'!$B296,'Revenue by Customer'!$A:$A,0))</f>
        <v/>
      </c>
      <c r="R296" s="192" t="str">
        <f>INDEX('Revenue by Customer'!R:R,MATCH('Full Customer List'!$B296,'Revenue by Customer'!$A:$A,0))</f>
        <v/>
      </c>
      <c r="S296" s="192" t="str">
        <f>INDEX('Revenue by Customer'!S:S,MATCH('Full Customer List'!$B296,'Revenue by Customer'!$A:$A,0))</f>
        <v/>
      </c>
      <c r="T296" s="192" t="str">
        <f>INDEX('Revenue by Customer'!T:T,MATCH('Full Customer List'!$B296,'Revenue by Customer'!$A:$A,0))</f>
        <v/>
      </c>
      <c r="U296" s="192" t="str">
        <f>INDEX('Revenue by Customer'!U:U,MATCH('Full Customer List'!$B296,'Revenue by Customer'!$A:$A,0))</f>
        <v/>
      </c>
      <c r="V296" s="192" t="str">
        <f>INDEX('Revenue by Customer'!V:V,MATCH('Full Customer List'!$B296,'Revenue by Customer'!$A:$A,0))</f>
        <v/>
      </c>
      <c r="W296" s="192" t="str">
        <f>INDEX('Revenue by Customer'!W:W,MATCH('Full Customer List'!$B296,'Revenue by Customer'!$A:$A,0))</f>
        <v/>
      </c>
      <c r="X296" s="192" t="str">
        <f>INDEX('Revenue by Customer'!X:X,MATCH('Full Customer List'!$B296,'Revenue by Customer'!$A:$A,0))</f>
        <v/>
      </c>
      <c r="Y296" s="192" t="str">
        <f>INDEX('Revenue by Customer'!Y:Y,MATCH('Full Customer List'!$B296,'Revenue by Customer'!$A:$A,0))</f>
        <v/>
      </c>
      <c r="Z296" s="192" t="str">
        <f>INDEX('Revenue by Customer'!Z:Z,MATCH('Full Customer List'!$B296,'Revenue by Customer'!$A:$A,0))</f>
        <v/>
      </c>
      <c r="AA296" s="192" t="str">
        <f>INDEX('Revenue by Customer'!AA:AA,MATCH('Full Customer List'!$B296,'Revenue by Customer'!$A:$A,0))</f>
        <v/>
      </c>
      <c r="AB296" s="192" t="str">
        <f>INDEX('Revenue by Customer'!AB:AB,MATCH('Full Customer List'!$B296,'Revenue by Customer'!$A:$A,0))</f>
        <v/>
      </c>
      <c r="AC296" s="192" t="str">
        <f>INDEX('Revenue by Customer'!AC:AC,MATCH('Full Customer List'!$B296,'Revenue by Customer'!$A:$A,0))</f>
        <v/>
      </c>
    </row>
    <row r="297" spans="2:29" ht="12" customHeight="1">
      <c r="B297" s="173" t="s">
        <v>951</v>
      </c>
      <c r="C297" s="173" t="str">
        <f>INDEX('Customer List'!$B:$B,MATCH('Full Customer List'!$B297,'Customer List'!$A:$A,0))</f>
        <v>Former client</v>
      </c>
      <c r="D297" s="173" t="str">
        <f>INDEX('Customer List'!$C:$C,MATCH('Full Customer List'!$B297,'Customer List'!$A:$A,0))</f>
        <v>Short-term rental (departed)</v>
      </c>
      <c r="E297" s="173" t="str">
        <f>INDEX('Customer List Mapping'!$C:$C,MATCH('Full Customer List'!D297,'Customer List Mapping'!$B:$B,0))</f>
        <v>Short-Term Rental</v>
      </c>
      <c r="F297" s="192" t="str">
        <f>INDEX('Customer List'!$K:$K,MATCH('Full Customer List'!$B297,'Customer List'!$A:$A,0))</f>
        <v/>
      </c>
      <c r="G297" s="192">
        <f>INDEX('Revenue by Customer'!$I:$I,MATCH('Full Customer List'!$B297,'Revenue by Customer'!$A:$A,0))</f>
        <v>395</v>
      </c>
      <c r="H297" s="257" t="str">
        <f>IFERROR(IF(C297="Active","",INDEX('Client Departures'!$G:$G,MATCH('Full Customer List'!$B297,'Client Departures'!$A:$A,0))),"Unclassified")</f>
        <v>Yes</v>
      </c>
      <c r="I297" s="196">
        <v>45383</v>
      </c>
      <c r="J297" s="196">
        <v>45747</v>
      </c>
      <c r="K297" s="192">
        <f>INDEX('Revenue by Customer'!K:K,MATCH('Full Customer List'!$B297,'Revenue by Customer'!$A:$A,0))</f>
        <v>395</v>
      </c>
      <c r="L297" s="192">
        <f>INDEX('Revenue by Customer'!L:L,MATCH('Full Customer List'!$B297,'Revenue by Customer'!$A:$A,0))</f>
        <v>395</v>
      </c>
      <c r="M297" s="192">
        <f>INDEX('Revenue by Customer'!M:M,MATCH('Full Customer List'!$B297,'Revenue by Customer'!$A:$A,0))</f>
        <v>395</v>
      </c>
      <c r="N297" s="192" t="str">
        <f>INDEX('Revenue by Customer'!N:N,MATCH('Full Customer List'!$B297,'Revenue by Customer'!$A:$A,0))</f>
        <v/>
      </c>
      <c r="O297" s="192" t="str">
        <f>INDEX('Revenue by Customer'!O:O,MATCH('Full Customer List'!$B297,'Revenue by Customer'!$A:$A,0))</f>
        <v/>
      </c>
      <c r="P297" s="192" t="str">
        <f>INDEX('Revenue by Customer'!P:P,MATCH('Full Customer List'!$B297,'Revenue by Customer'!$A:$A,0))</f>
        <v/>
      </c>
      <c r="Q297" s="192" t="str">
        <f>INDEX('Revenue by Customer'!Q:Q,MATCH('Full Customer List'!$B297,'Revenue by Customer'!$A:$A,0))</f>
        <v/>
      </c>
      <c r="R297" s="192" t="str">
        <f>INDEX('Revenue by Customer'!R:R,MATCH('Full Customer List'!$B297,'Revenue by Customer'!$A:$A,0))</f>
        <v/>
      </c>
      <c r="S297" s="192" t="str">
        <f>INDEX('Revenue by Customer'!S:S,MATCH('Full Customer List'!$B297,'Revenue by Customer'!$A:$A,0))</f>
        <v/>
      </c>
      <c r="T297" s="192" t="str">
        <f>INDEX('Revenue by Customer'!T:T,MATCH('Full Customer List'!$B297,'Revenue by Customer'!$A:$A,0))</f>
        <v/>
      </c>
      <c r="U297" s="192" t="str">
        <f>INDEX('Revenue by Customer'!U:U,MATCH('Full Customer List'!$B297,'Revenue by Customer'!$A:$A,0))</f>
        <v/>
      </c>
      <c r="V297" s="192" t="str">
        <f>INDEX('Revenue by Customer'!V:V,MATCH('Full Customer List'!$B297,'Revenue by Customer'!$A:$A,0))</f>
        <v/>
      </c>
      <c r="W297" s="192" t="str">
        <f>INDEX('Revenue by Customer'!W:W,MATCH('Full Customer List'!$B297,'Revenue by Customer'!$A:$A,0))</f>
        <v/>
      </c>
      <c r="X297" s="192" t="str">
        <f>INDEX('Revenue by Customer'!X:X,MATCH('Full Customer List'!$B297,'Revenue by Customer'!$A:$A,0))</f>
        <v/>
      </c>
      <c r="Y297" s="192" t="str">
        <f>INDEX('Revenue by Customer'!Y:Y,MATCH('Full Customer List'!$B297,'Revenue by Customer'!$A:$A,0))</f>
        <v/>
      </c>
      <c r="Z297" s="192" t="str">
        <f>INDEX('Revenue by Customer'!Z:Z,MATCH('Full Customer List'!$B297,'Revenue by Customer'!$A:$A,0))</f>
        <v/>
      </c>
      <c r="AA297" s="192" t="str">
        <f>INDEX('Revenue by Customer'!AA:AA,MATCH('Full Customer List'!$B297,'Revenue by Customer'!$A:$A,0))</f>
        <v/>
      </c>
      <c r="AB297" s="192" t="str">
        <f>INDEX('Revenue by Customer'!AB:AB,MATCH('Full Customer List'!$B297,'Revenue by Customer'!$A:$A,0))</f>
        <v/>
      </c>
      <c r="AC297" s="192" t="str">
        <f>INDEX('Revenue by Customer'!AC:AC,MATCH('Full Customer List'!$B297,'Revenue by Customer'!$A:$A,0))</f>
        <v/>
      </c>
    </row>
    <row r="298" spans="2:29" ht="12" customHeight="1">
      <c r="B298" s="173" t="s">
        <v>952</v>
      </c>
      <c r="C298" s="173" t="str">
        <f>INDEX('Customer List'!$B:$B,MATCH('Full Customer List'!$B298,'Customer List'!$A:$A,0))</f>
        <v>Former client</v>
      </c>
      <c r="D298" s="173" t="str">
        <f>INDEX('Customer List'!$C:$C,MATCH('Full Customer List'!$B298,'Customer List'!$A:$A,0))</f>
        <v>Short-term rental (departed)</v>
      </c>
      <c r="E298" s="173" t="str">
        <f>INDEX('Customer List Mapping'!$C:$C,MATCH('Full Customer List'!D298,'Customer List Mapping'!$B:$B,0))</f>
        <v>Short-Term Rental</v>
      </c>
      <c r="F298" s="192" t="str">
        <f>INDEX('Customer List'!$K:$K,MATCH('Full Customer List'!$B298,'Customer List'!$A:$A,0))</f>
        <v/>
      </c>
      <c r="G298" s="192">
        <f>INDEX('Revenue by Customer'!$I:$I,MATCH('Full Customer List'!$B298,'Revenue by Customer'!$A:$A,0))</f>
        <v>375.25</v>
      </c>
      <c r="H298" s="257" t="str">
        <f>IFERROR(IF(C298="Active","",INDEX('Client Departures'!$G:$G,MATCH('Full Customer List'!$B298,'Client Departures'!$A:$A,0))),"Unclassified")</f>
        <v>No</v>
      </c>
      <c r="I298" s="196">
        <v>45627</v>
      </c>
      <c r="J298" s="196">
        <v>45747</v>
      </c>
      <c r="K298" s="192">
        <f>INDEX('Revenue by Customer'!K:K,MATCH('Full Customer List'!$B298,'Revenue by Customer'!$A:$A,0))</f>
        <v>335.75</v>
      </c>
      <c r="L298" s="192">
        <f>INDEX('Revenue by Customer'!L:L,MATCH('Full Customer List'!$B298,'Revenue by Customer'!$A:$A,0))</f>
        <v>395</v>
      </c>
      <c r="M298" s="192">
        <f>INDEX('Revenue by Customer'!M:M,MATCH('Full Customer List'!$B298,'Revenue by Customer'!$A:$A,0))</f>
        <v>395</v>
      </c>
      <c r="N298" s="192" t="str">
        <f>INDEX('Revenue by Customer'!N:N,MATCH('Full Customer List'!$B298,'Revenue by Customer'!$A:$A,0))</f>
        <v/>
      </c>
      <c r="O298" s="192" t="str">
        <f>INDEX('Revenue by Customer'!O:O,MATCH('Full Customer List'!$B298,'Revenue by Customer'!$A:$A,0))</f>
        <v/>
      </c>
      <c r="P298" s="192" t="str">
        <f>INDEX('Revenue by Customer'!P:P,MATCH('Full Customer List'!$B298,'Revenue by Customer'!$A:$A,0))</f>
        <v/>
      </c>
      <c r="Q298" s="192" t="str">
        <f>INDEX('Revenue by Customer'!Q:Q,MATCH('Full Customer List'!$B298,'Revenue by Customer'!$A:$A,0))</f>
        <v/>
      </c>
      <c r="R298" s="192" t="str">
        <f>INDEX('Revenue by Customer'!R:R,MATCH('Full Customer List'!$B298,'Revenue by Customer'!$A:$A,0))</f>
        <v/>
      </c>
      <c r="S298" s="192" t="str">
        <f>INDEX('Revenue by Customer'!S:S,MATCH('Full Customer List'!$B298,'Revenue by Customer'!$A:$A,0))</f>
        <v/>
      </c>
      <c r="T298" s="192" t="str">
        <f>INDEX('Revenue by Customer'!T:T,MATCH('Full Customer List'!$B298,'Revenue by Customer'!$A:$A,0))</f>
        <v/>
      </c>
      <c r="U298" s="192" t="str">
        <f>INDEX('Revenue by Customer'!U:U,MATCH('Full Customer List'!$B298,'Revenue by Customer'!$A:$A,0))</f>
        <v/>
      </c>
      <c r="V298" s="192" t="str">
        <f>INDEX('Revenue by Customer'!V:V,MATCH('Full Customer List'!$B298,'Revenue by Customer'!$A:$A,0))</f>
        <v/>
      </c>
      <c r="W298" s="192" t="str">
        <f>INDEX('Revenue by Customer'!W:W,MATCH('Full Customer List'!$B298,'Revenue by Customer'!$A:$A,0))</f>
        <v/>
      </c>
      <c r="X298" s="192" t="str">
        <f>INDEX('Revenue by Customer'!X:X,MATCH('Full Customer List'!$B298,'Revenue by Customer'!$A:$A,0))</f>
        <v/>
      </c>
      <c r="Y298" s="192" t="str">
        <f>INDEX('Revenue by Customer'!Y:Y,MATCH('Full Customer List'!$B298,'Revenue by Customer'!$A:$A,0))</f>
        <v/>
      </c>
      <c r="Z298" s="192" t="str">
        <f>INDEX('Revenue by Customer'!Z:Z,MATCH('Full Customer List'!$B298,'Revenue by Customer'!$A:$A,0))</f>
        <v/>
      </c>
      <c r="AA298" s="192" t="str">
        <f>INDEX('Revenue by Customer'!AA:AA,MATCH('Full Customer List'!$B298,'Revenue by Customer'!$A:$A,0))</f>
        <v/>
      </c>
      <c r="AB298" s="192" t="str">
        <f>INDEX('Revenue by Customer'!AB:AB,MATCH('Full Customer List'!$B298,'Revenue by Customer'!$A:$A,0))</f>
        <v/>
      </c>
      <c r="AC298" s="192" t="str">
        <f>INDEX('Revenue by Customer'!AC:AC,MATCH('Full Customer List'!$B298,'Revenue by Customer'!$A:$A,0))</f>
        <v/>
      </c>
    </row>
    <row r="299" spans="2:29" ht="12" customHeight="1">
      <c r="B299" s="173" t="s">
        <v>953</v>
      </c>
      <c r="C299" s="173" t="str">
        <f>INDEX('Customer List'!$B:$B,MATCH('Full Customer List'!$B299,'Customer List'!$A:$A,0))</f>
        <v>Former client</v>
      </c>
      <c r="D299" s="173" t="str">
        <f>INDEX('Customer List'!$C:$C,MATCH('Full Customer List'!$B299,'Customer List'!$A:$A,0))</f>
        <v>Small business (departed)</v>
      </c>
      <c r="E299" s="173" t="str">
        <f>INDEX('Customer List Mapping'!$C:$C,MATCH('Full Customer List'!D299,'Customer List Mapping'!$B:$B,0))</f>
        <v>Small Business</v>
      </c>
      <c r="F299" s="192" t="str">
        <f>INDEX('Customer List'!$K:$K,MATCH('Full Customer List'!$B299,'Customer List'!$A:$A,0))</f>
        <v/>
      </c>
      <c r="G299" s="192">
        <f>INDEX('Revenue by Customer'!$I:$I,MATCH('Full Customer List'!$B299,'Revenue by Customer'!$A:$A,0))</f>
        <v>875</v>
      </c>
      <c r="H299" s="257" t="str">
        <f>IFERROR(IF(C299="Active","",INDEX('Client Departures'!$G:$G,MATCH('Full Customer List'!$B299,'Client Departures'!$A:$A,0))),"Unclassified")</f>
        <v>Yes</v>
      </c>
      <c r="I299" s="196">
        <v>44958</v>
      </c>
      <c r="J299" s="196">
        <v>45688</v>
      </c>
      <c r="K299" s="192">
        <f>INDEX('Revenue by Customer'!K:K,MATCH('Full Customer List'!$B299,'Revenue by Customer'!$A:$A,0))</f>
        <v>875</v>
      </c>
      <c r="L299" s="192" t="str">
        <f>INDEX('Revenue by Customer'!L:L,MATCH('Full Customer List'!$B299,'Revenue by Customer'!$A:$A,0))</f>
        <v/>
      </c>
      <c r="M299" s="192" t="str">
        <f>INDEX('Revenue by Customer'!M:M,MATCH('Full Customer List'!$B299,'Revenue by Customer'!$A:$A,0))</f>
        <v/>
      </c>
      <c r="N299" s="192" t="str">
        <f>INDEX('Revenue by Customer'!N:N,MATCH('Full Customer List'!$B299,'Revenue by Customer'!$A:$A,0))</f>
        <v/>
      </c>
      <c r="O299" s="192" t="str">
        <f>INDEX('Revenue by Customer'!O:O,MATCH('Full Customer List'!$B299,'Revenue by Customer'!$A:$A,0))</f>
        <v/>
      </c>
      <c r="P299" s="192" t="str">
        <f>INDEX('Revenue by Customer'!P:P,MATCH('Full Customer List'!$B299,'Revenue by Customer'!$A:$A,0))</f>
        <v/>
      </c>
      <c r="Q299" s="192" t="str">
        <f>INDEX('Revenue by Customer'!Q:Q,MATCH('Full Customer List'!$B299,'Revenue by Customer'!$A:$A,0))</f>
        <v/>
      </c>
      <c r="R299" s="192" t="str">
        <f>INDEX('Revenue by Customer'!R:R,MATCH('Full Customer List'!$B299,'Revenue by Customer'!$A:$A,0))</f>
        <v/>
      </c>
      <c r="S299" s="192" t="str">
        <f>INDEX('Revenue by Customer'!S:S,MATCH('Full Customer List'!$B299,'Revenue by Customer'!$A:$A,0))</f>
        <v/>
      </c>
      <c r="T299" s="192" t="str">
        <f>INDEX('Revenue by Customer'!T:T,MATCH('Full Customer List'!$B299,'Revenue by Customer'!$A:$A,0))</f>
        <v/>
      </c>
      <c r="U299" s="192" t="str">
        <f>INDEX('Revenue by Customer'!U:U,MATCH('Full Customer List'!$B299,'Revenue by Customer'!$A:$A,0))</f>
        <v/>
      </c>
      <c r="V299" s="192" t="str">
        <f>INDEX('Revenue by Customer'!V:V,MATCH('Full Customer List'!$B299,'Revenue by Customer'!$A:$A,0))</f>
        <v/>
      </c>
      <c r="W299" s="192" t="str">
        <f>INDEX('Revenue by Customer'!W:W,MATCH('Full Customer List'!$B299,'Revenue by Customer'!$A:$A,0))</f>
        <v/>
      </c>
      <c r="X299" s="192" t="str">
        <f>INDEX('Revenue by Customer'!X:X,MATCH('Full Customer List'!$B299,'Revenue by Customer'!$A:$A,0))</f>
        <v/>
      </c>
      <c r="Y299" s="192" t="str">
        <f>INDEX('Revenue by Customer'!Y:Y,MATCH('Full Customer List'!$B299,'Revenue by Customer'!$A:$A,0))</f>
        <v/>
      </c>
      <c r="Z299" s="192" t="str">
        <f>INDEX('Revenue by Customer'!Z:Z,MATCH('Full Customer List'!$B299,'Revenue by Customer'!$A:$A,0))</f>
        <v/>
      </c>
      <c r="AA299" s="192" t="str">
        <f>INDEX('Revenue by Customer'!AA:AA,MATCH('Full Customer List'!$B299,'Revenue by Customer'!$A:$A,0))</f>
        <v/>
      </c>
      <c r="AB299" s="192" t="str">
        <f>INDEX('Revenue by Customer'!AB:AB,MATCH('Full Customer List'!$B299,'Revenue by Customer'!$A:$A,0))</f>
        <v/>
      </c>
      <c r="AC299" s="192" t="str">
        <f>INDEX('Revenue by Customer'!AC:AC,MATCH('Full Customer List'!$B299,'Revenue by Customer'!$A:$A,0))</f>
        <v/>
      </c>
    </row>
    <row r="300" spans="2:29" ht="12" customHeight="1">
      <c r="B300" s="173" t="s">
        <v>954</v>
      </c>
      <c r="C300" s="173" t="str">
        <f>INDEX('Customer List'!$B:$B,MATCH('Full Customer List'!$B300,'Customer List'!$A:$A,0))</f>
        <v>Former client</v>
      </c>
      <c r="D300" s="173" t="str">
        <f>INDEX('Customer List'!$C:$C,MATCH('Full Customer List'!$B300,'Customer List'!$A:$A,0))</f>
        <v>Short-term rental (departed)</v>
      </c>
      <c r="E300" s="173" t="str">
        <f>INDEX('Customer List Mapping'!$C:$C,MATCH('Full Customer List'!D300,'Customer List Mapping'!$B:$B,0))</f>
        <v>Short-Term Rental</v>
      </c>
      <c r="F300" s="192" t="str">
        <f>INDEX('Customer List'!$K:$K,MATCH('Full Customer List'!$B300,'Customer List'!$A:$A,0))</f>
        <v/>
      </c>
      <c r="G300" s="192">
        <f>INDEX('Revenue by Customer'!$I:$I,MATCH('Full Customer List'!$B300,'Revenue by Customer'!$A:$A,0))</f>
        <v>430</v>
      </c>
      <c r="H300" s="257" t="str">
        <f>IFERROR(IF(C300="Active","",INDEX('Client Departures'!$G:$G,MATCH('Full Customer List'!$B300,'Client Departures'!$A:$A,0))),"Unclassified")</f>
        <v>Yes</v>
      </c>
      <c r="I300" s="196">
        <v>45383</v>
      </c>
      <c r="J300" s="196">
        <v>45716</v>
      </c>
      <c r="K300" s="192">
        <f>INDEX('Revenue by Customer'!K:K,MATCH('Full Customer List'!$B300,'Revenue by Customer'!$A:$A,0))</f>
        <v>400</v>
      </c>
      <c r="L300" s="192">
        <f>INDEX('Revenue by Customer'!L:L,MATCH('Full Customer List'!$B300,'Revenue by Customer'!$A:$A,0))</f>
        <v>460</v>
      </c>
      <c r="M300" s="192" t="str">
        <f>INDEX('Revenue by Customer'!M:M,MATCH('Full Customer List'!$B300,'Revenue by Customer'!$A:$A,0))</f>
        <v/>
      </c>
      <c r="N300" s="192" t="str">
        <f>INDEX('Revenue by Customer'!N:N,MATCH('Full Customer List'!$B300,'Revenue by Customer'!$A:$A,0))</f>
        <v/>
      </c>
      <c r="O300" s="192" t="str">
        <f>INDEX('Revenue by Customer'!O:O,MATCH('Full Customer List'!$B300,'Revenue by Customer'!$A:$A,0))</f>
        <v/>
      </c>
      <c r="P300" s="192" t="str">
        <f>INDEX('Revenue by Customer'!P:P,MATCH('Full Customer List'!$B300,'Revenue by Customer'!$A:$A,0))</f>
        <v/>
      </c>
      <c r="Q300" s="192" t="str">
        <f>INDEX('Revenue by Customer'!Q:Q,MATCH('Full Customer List'!$B300,'Revenue by Customer'!$A:$A,0))</f>
        <v/>
      </c>
      <c r="R300" s="192" t="str">
        <f>INDEX('Revenue by Customer'!R:R,MATCH('Full Customer List'!$B300,'Revenue by Customer'!$A:$A,0))</f>
        <v/>
      </c>
      <c r="S300" s="192" t="str">
        <f>INDEX('Revenue by Customer'!S:S,MATCH('Full Customer List'!$B300,'Revenue by Customer'!$A:$A,0))</f>
        <v/>
      </c>
      <c r="T300" s="192" t="str">
        <f>INDEX('Revenue by Customer'!T:T,MATCH('Full Customer List'!$B300,'Revenue by Customer'!$A:$A,0))</f>
        <v/>
      </c>
      <c r="U300" s="192" t="str">
        <f>INDEX('Revenue by Customer'!U:U,MATCH('Full Customer List'!$B300,'Revenue by Customer'!$A:$A,0))</f>
        <v/>
      </c>
      <c r="V300" s="192" t="str">
        <f>INDEX('Revenue by Customer'!V:V,MATCH('Full Customer List'!$B300,'Revenue by Customer'!$A:$A,0))</f>
        <v/>
      </c>
      <c r="W300" s="192" t="str">
        <f>INDEX('Revenue by Customer'!W:W,MATCH('Full Customer List'!$B300,'Revenue by Customer'!$A:$A,0))</f>
        <v/>
      </c>
      <c r="X300" s="192" t="str">
        <f>INDEX('Revenue by Customer'!X:X,MATCH('Full Customer List'!$B300,'Revenue by Customer'!$A:$A,0))</f>
        <v/>
      </c>
      <c r="Y300" s="192" t="str">
        <f>INDEX('Revenue by Customer'!Y:Y,MATCH('Full Customer List'!$B300,'Revenue by Customer'!$A:$A,0))</f>
        <v/>
      </c>
      <c r="Z300" s="192" t="str">
        <f>INDEX('Revenue by Customer'!Z:Z,MATCH('Full Customer List'!$B300,'Revenue by Customer'!$A:$A,0))</f>
        <v/>
      </c>
      <c r="AA300" s="192" t="str">
        <f>INDEX('Revenue by Customer'!AA:AA,MATCH('Full Customer List'!$B300,'Revenue by Customer'!$A:$A,0))</f>
        <v/>
      </c>
      <c r="AB300" s="192" t="str">
        <f>INDEX('Revenue by Customer'!AB:AB,MATCH('Full Customer List'!$B300,'Revenue by Customer'!$A:$A,0))</f>
        <v/>
      </c>
      <c r="AC300" s="192" t="str">
        <f>INDEX('Revenue by Customer'!AC:AC,MATCH('Full Customer List'!$B300,'Revenue by Customer'!$A:$A,0))</f>
        <v/>
      </c>
    </row>
    <row r="301" spans="2:29" ht="12" customHeight="1">
      <c r="B301" s="173" t="s">
        <v>955</v>
      </c>
      <c r="C301" s="173" t="str">
        <f>INDEX('Customer List'!$B:$B,MATCH('Full Customer List'!$B301,'Customer List'!$A:$A,0))</f>
        <v>Former client</v>
      </c>
      <c r="D301" s="173" t="str">
        <f>INDEX('Customer List'!$C:$C,MATCH('Full Customer List'!$B301,'Customer List'!$A:$A,0))</f>
        <v>Small business (departed)</v>
      </c>
      <c r="E301" s="173" t="str">
        <f>INDEX('Customer List Mapping'!$C:$C,MATCH('Full Customer List'!D301,'Customer List Mapping'!$B:$B,0))</f>
        <v>Small Business</v>
      </c>
      <c r="F301" s="192" t="str">
        <f>INDEX('Customer List'!$K:$K,MATCH('Full Customer List'!$B301,'Customer List'!$A:$A,0))</f>
        <v/>
      </c>
      <c r="G301" s="192">
        <f>INDEX('Revenue by Customer'!$I:$I,MATCH('Full Customer List'!$B301,'Revenue by Customer'!$A:$A,0))</f>
        <v>400</v>
      </c>
      <c r="H301" s="257" t="str">
        <f>IFERROR(IF(C301="Active","",INDEX('Client Departures'!$G:$G,MATCH('Full Customer List'!$B301,'Client Departures'!$A:$A,0))),"Unclassified")</f>
        <v>No</v>
      </c>
      <c r="I301" s="196">
        <v>45627</v>
      </c>
      <c r="J301" s="196">
        <v>45716</v>
      </c>
      <c r="K301" s="192">
        <f>INDEX('Revenue by Customer'!K:K,MATCH('Full Customer List'!$B301,'Revenue by Customer'!$A:$A,0))</f>
        <v>400</v>
      </c>
      <c r="L301" s="192">
        <f>INDEX('Revenue by Customer'!L:L,MATCH('Full Customer List'!$B301,'Revenue by Customer'!$A:$A,0))</f>
        <v>400</v>
      </c>
      <c r="M301" s="192" t="str">
        <f>INDEX('Revenue by Customer'!M:M,MATCH('Full Customer List'!$B301,'Revenue by Customer'!$A:$A,0))</f>
        <v/>
      </c>
      <c r="N301" s="192" t="str">
        <f>INDEX('Revenue by Customer'!N:N,MATCH('Full Customer List'!$B301,'Revenue by Customer'!$A:$A,0))</f>
        <v/>
      </c>
      <c r="O301" s="192" t="str">
        <f>INDEX('Revenue by Customer'!O:O,MATCH('Full Customer List'!$B301,'Revenue by Customer'!$A:$A,0))</f>
        <v/>
      </c>
      <c r="P301" s="192" t="str">
        <f>INDEX('Revenue by Customer'!P:P,MATCH('Full Customer List'!$B301,'Revenue by Customer'!$A:$A,0))</f>
        <v/>
      </c>
      <c r="Q301" s="192" t="str">
        <f>INDEX('Revenue by Customer'!Q:Q,MATCH('Full Customer List'!$B301,'Revenue by Customer'!$A:$A,0))</f>
        <v/>
      </c>
      <c r="R301" s="192" t="str">
        <f>INDEX('Revenue by Customer'!R:R,MATCH('Full Customer List'!$B301,'Revenue by Customer'!$A:$A,0))</f>
        <v/>
      </c>
      <c r="S301" s="192" t="str">
        <f>INDEX('Revenue by Customer'!S:S,MATCH('Full Customer List'!$B301,'Revenue by Customer'!$A:$A,0))</f>
        <v/>
      </c>
      <c r="T301" s="192" t="str">
        <f>INDEX('Revenue by Customer'!T:T,MATCH('Full Customer List'!$B301,'Revenue by Customer'!$A:$A,0))</f>
        <v/>
      </c>
      <c r="U301" s="192" t="str">
        <f>INDEX('Revenue by Customer'!U:U,MATCH('Full Customer List'!$B301,'Revenue by Customer'!$A:$A,0))</f>
        <v/>
      </c>
      <c r="V301" s="192" t="str">
        <f>INDEX('Revenue by Customer'!V:V,MATCH('Full Customer List'!$B301,'Revenue by Customer'!$A:$A,0))</f>
        <v/>
      </c>
      <c r="W301" s="192" t="str">
        <f>INDEX('Revenue by Customer'!W:W,MATCH('Full Customer List'!$B301,'Revenue by Customer'!$A:$A,0))</f>
        <v/>
      </c>
      <c r="X301" s="192" t="str">
        <f>INDEX('Revenue by Customer'!X:X,MATCH('Full Customer List'!$B301,'Revenue by Customer'!$A:$A,0))</f>
        <v/>
      </c>
      <c r="Y301" s="192" t="str">
        <f>INDEX('Revenue by Customer'!Y:Y,MATCH('Full Customer List'!$B301,'Revenue by Customer'!$A:$A,0))</f>
        <v/>
      </c>
      <c r="Z301" s="192" t="str">
        <f>INDEX('Revenue by Customer'!Z:Z,MATCH('Full Customer List'!$B301,'Revenue by Customer'!$A:$A,0))</f>
        <v/>
      </c>
      <c r="AA301" s="192" t="str">
        <f>INDEX('Revenue by Customer'!AA:AA,MATCH('Full Customer List'!$B301,'Revenue by Customer'!$A:$A,0))</f>
        <v/>
      </c>
      <c r="AB301" s="192" t="str">
        <f>INDEX('Revenue by Customer'!AB:AB,MATCH('Full Customer List'!$B301,'Revenue by Customer'!$A:$A,0))</f>
        <v/>
      </c>
      <c r="AC301" s="192" t="str">
        <f>INDEX('Revenue by Customer'!AC:AC,MATCH('Full Customer List'!$B301,'Revenue by Customer'!$A:$A,0))</f>
        <v/>
      </c>
    </row>
    <row r="302" spans="2:29" ht="12" customHeight="1">
      <c r="B302" s="173" t="s">
        <v>956</v>
      </c>
      <c r="C302" s="173" t="str">
        <f>INDEX('Customer List'!$B:$B,MATCH('Full Customer List'!$B302,'Customer List'!$A:$A,0))</f>
        <v>Former client</v>
      </c>
      <c r="D302" s="173" t="str">
        <f>INDEX('Customer List'!$C:$C,MATCH('Full Customer List'!$B302,'Customer List'!$A:$A,0))</f>
        <v>Short-term rental (departed)</v>
      </c>
      <c r="E302" s="173" t="str">
        <f>INDEX('Customer List Mapping'!$C:$C,MATCH('Full Customer List'!D302,'Customer List Mapping'!$B:$B,0))</f>
        <v>Short-Term Rental</v>
      </c>
      <c r="F302" s="192" t="str">
        <f>INDEX('Customer List'!$K:$K,MATCH('Full Customer List'!$B302,'Customer List'!$A:$A,0))</f>
        <v/>
      </c>
      <c r="G302" s="192">
        <f>INDEX('Revenue by Customer'!$I:$I,MATCH('Full Customer List'!$B302,'Revenue by Customer'!$A:$A,0))</f>
        <v>395</v>
      </c>
      <c r="H302" s="257" t="str">
        <f>IFERROR(IF(C302="Active","",INDEX('Client Departures'!$G:$G,MATCH('Full Customer List'!$B302,'Client Departures'!$A:$A,0))),"Unclassified")</f>
        <v>Yes</v>
      </c>
      <c r="I302" s="196">
        <v>45566</v>
      </c>
      <c r="J302" s="196">
        <v>45716</v>
      </c>
      <c r="K302" s="192">
        <f>INDEX('Revenue by Customer'!K:K,MATCH('Full Customer List'!$B302,'Revenue by Customer'!$A:$A,0))</f>
        <v>395</v>
      </c>
      <c r="L302" s="192">
        <f>INDEX('Revenue by Customer'!L:L,MATCH('Full Customer List'!$B302,'Revenue by Customer'!$A:$A,0))</f>
        <v>395</v>
      </c>
      <c r="M302" s="192" t="str">
        <f>INDEX('Revenue by Customer'!M:M,MATCH('Full Customer List'!$B302,'Revenue by Customer'!$A:$A,0))</f>
        <v/>
      </c>
      <c r="N302" s="192" t="str">
        <f>INDEX('Revenue by Customer'!N:N,MATCH('Full Customer List'!$B302,'Revenue by Customer'!$A:$A,0))</f>
        <v/>
      </c>
      <c r="O302" s="192" t="str">
        <f>INDEX('Revenue by Customer'!O:O,MATCH('Full Customer List'!$B302,'Revenue by Customer'!$A:$A,0))</f>
        <v/>
      </c>
      <c r="P302" s="192" t="str">
        <f>INDEX('Revenue by Customer'!P:P,MATCH('Full Customer List'!$B302,'Revenue by Customer'!$A:$A,0))</f>
        <v/>
      </c>
      <c r="Q302" s="192" t="str">
        <f>INDEX('Revenue by Customer'!Q:Q,MATCH('Full Customer List'!$B302,'Revenue by Customer'!$A:$A,0))</f>
        <v/>
      </c>
      <c r="R302" s="192" t="str">
        <f>INDEX('Revenue by Customer'!R:R,MATCH('Full Customer List'!$B302,'Revenue by Customer'!$A:$A,0))</f>
        <v/>
      </c>
      <c r="S302" s="192" t="str">
        <f>INDEX('Revenue by Customer'!S:S,MATCH('Full Customer List'!$B302,'Revenue by Customer'!$A:$A,0))</f>
        <v/>
      </c>
      <c r="T302" s="192" t="str">
        <f>INDEX('Revenue by Customer'!T:T,MATCH('Full Customer List'!$B302,'Revenue by Customer'!$A:$A,0))</f>
        <v/>
      </c>
      <c r="U302" s="192" t="str">
        <f>INDEX('Revenue by Customer'!U:U,MATCH('Full Customer List'!$B302,'Revenue by Customer'!$A:$A,0))</f>
        <v/>
      </c>
      <c r="V302" s="192" t="str">
        <f>INDEX('Revenue by Customer'!V:V,MATCH('Full Customer List'!$B302,'Revenue by Customer'!$A:$A,0))</f>
        <v/>
      </c>
      <c r="W302" s="192" t="str">
        <f>INDEX('Revenue by Customer'!W:W,MATCH('Full Customer List'!$B302,'Revenue by Customer'!$A:$A,0))</f>
        <v/>
      </c>
      <c r="X302" s="192" t="str">
        <f>INDEX('Revenue by Customer'!X:X,MATCH('Full Customer List'!$B302,'Revenue by Customer'!$A:$A,0))</f>
        <v/>
      </c>
      <c r="Y302" s="192" t="str">
        <f>INDEX('Revenue by Customer'!Y:Y,MATCH('Full Customer List'!$B302,'Revenue by Customer'!$A:$A,0))</f>
        <v/>
      </c>
      <c r="Z302" s="192" t="str">
        <f>INDEX('Revenue by Customer'!Z:Z,MATCH('Full Customer List'!$B302,'Revenue by Customer'!$A:$A,0))</f>
        <v/>
      </c>
      <c r="AA302" s="192" t="str">
        <f>INDEX('Revenue by Customer'!AA:AA,MATCH('Full Customer List'!$B302,'Revenue by Customer'!$A:$A,0))</f>
        <v/>
      </c>
      <c r="AB302" s="192" t="str">
        <f>INDEX('Revenue by Customer'!AB:AB,MATCH('Full Customer List'!$B302,'Revenue by Customer'!$A:$A,0))</f>
        <v/>
      </c>
      <c r="AC302" s="192" t="str">
        <f>INDEX('Revenue by Customer'!AC:AC,MATCH('Full Customer List'!$B302,'Revenue by Customer'!$A:$A,0))</f>
        <v/>
      </c>
    </row>
    <row r="303" spans="2:29" ht="12" customHeight="1">
      <c r="B303" s="173" t="s">
        <v>957</v>
      </c>
      <c r="C303" s="173" t="str">
        <f>INDEX('Customer List'!$B:$B,MATCH('Full Customer List'!$B303,'Customer List'!$A:$A,0))</f>
        <v>Former client</v>
      </c>
      <c r="D303" s="173" t="str">
        <f>INDEX('Customer List'!$C:$C,MATCH('Full Customer List'!$B303,'Customer List'!$A:$A,0))</f>
        <v>Small business (departed)</v>
      </c>
      <c r="E303" s="173" t="str">
        <f>INDEX('Customer List Mapping'!$C:$C,MATCH('Full Customer List'!D303,'Customer List Mapping'!$B:$B,0))</f>
        <v>Small Business</v>
      </c>
      <c r="F303" s="192" t="str">
        <f>INDEX('Customer List'!$K:$K,MATCH('Full Customer List'!$B303,'Customer List'!$A:$A,0))</f>
        <v/>
      </c>
      <c r="G303" s="192">
        <f>INDEX('Revenue by Customer'!$I:$I,MATCH('Full Customer List'!$B303,'Revenue by Customer'!$A:$A,0))</f>
        <v>380</v>
      </c>
      <c r="H303" s="257" t="str">
        <f>IFERROR(IF(C303="Active","",INDEX('Client Departures'!$G:$G,MATCH('Full Customer List'!$B303,'Client Departures'!$A:$A,0))),"Unclassified")</f>
        <v>No</v>
      </c>
      <c r="I303" s="196">
        <v>45597</v>
      </c>
      <c r="J303" s="196">
        <v>45688</v>
      </c>
      <c r="K303" s="192">
        <f>INDEX('Revenue by Customer'!K:K,MATCH('Full Customer List'!$B303,'Revenue by Customer'!$A:$A,0))</f>
        <v>625</v>
      </c>
      <c r="L303" s="192">
        <f>INDEX('Revenue by Customer'!L:L,MATCH('Full Customer List'!$B303,'Revenue by Customer'!$A:$A,0))</f>
        <v>135</v>
      </c>
      <c r="M303" s="192" t="str">
        <f>INDEX('Revenue by Customer'!M:M,MATCH('Full Customer List'!$B303,'Revenue by Customer'!$A:$A,0))</f>
        <v/>
      </c>
      <c r="N303" s="192" t="str">
        <f>INDEX('Revenue by Customer'!N:N,MATCH('Full Customer List'!$B303,'Revenue by Customer'!$A:$A,0))</f>
        <v/>
      </c>
      <c r="O303" s="192" t="str">
        <f>INDEX('Revenue by Customer'!O:O,MATCH('Full Customer List'!$B303,'Revenue by Customer'!$A:$A,0))</f>
        <v/>
      </c>
      <c r="P303" s="192" t="str">
        <f>INDEX('Revenue by Customer'!P:P,MATCH('Full Customer List'!$B303,'Revenue by Customer'!$A:$A,0))</f>
        <v/>
      </c>
      <c r="Q303" s="192" t="str">
        <f>INDEX('Revenue by Customer'!Q:Q,MATCH('Full Customer List'!$B303,'Revenue by Customer'!$A:$A,0))</f>
        <v/>
      </c>
      <c r="R303" s="192" t="str">
        <f>INDEX('Revenue by Customer'!R:R,MATCH('Full Customer List'!$B303,'Revenue by Customer'!$A:$A,0))</f>
        <v/>
      </c>
      <c r="S303" s="192" t="str">
        <f>INDEX('Revenue by Customer'!S:S,MATCH('Full Customer List'!$B303,'Revenue by Customer'!$A:$A,0))</f>
        <v/>
      </c>
      <c r="T303" s="192" t="str">
        <f>INDEX('Revenue by Customer'!T:T,MATCH('Full Customer List'!$B303,'Revenue by Customer'!$A:$A,0))</f>
        <v/>
      </c>
      <c r="U303" s="192" t="str">
        <f>INDEX('Revenue by Customer'!U:U,MATCH('Full Customer List'!$B303,'Revenue by Customer'!$A:$A,0))</f>
        <v/>
      </c>
      <c r="V303" s="192" t="str">
        <f>INDEX('Revenue by Customer'!V:V,MATCH('Full Customer List'!$B303,'Revenue by Customer'!$A:$A,0))</f>
        <v/>
      </c>
      <c r="W303" s="192" t="str">
        <f>INDEX('Revenue by Customer'!W:W,MATCH('Full Customer List'!$B303,'Revenue by Customer'!$A:$A,0))</f>
        <v/>
      </c>
      <c r="X303" s="192" t="str">
        <f>INDEX('Revenue by Customer'!X:X,MATCH('Full Customer List'!$B303,'Revenue by Customer'!$A:$A,0))</f>
        <v/>
      </c>
      <c r="Y303" s="192" t="str">
        <f>INDEX('Revenue by Customer'!Y:Y,MATCH('Full Customer List'!$B303,'Revenue by Customer'!$A:$A,0))</f>
        <v/>
      </c>
      <c r="Z303" s="192" t="str">
        <f>INDEX('Revenue by Customer'!Z:Z,MATCH('Full Customer List'!$B303,'Revenue by Customer'!$A:$A,0))</f>
        <v/>
      </c>
      <c r="AA303" s="192" t="str">
        <f>INDEX('Revenue by Customer'!AA:AA,MATCH('Full Customer List'!$B303,'Revenue by Customer'!$A:$A,0))</f>
        <v/>
      </c>
      <c r="AB303" s="192" t="str">
        <f>INDEX('Revenue by Customer'!AB:AB,MATCH('Full Customer List'!$B303,'Revenue by Customer'!$A:$A,0))</f>
        <v/>
      </c>
      <c r="AC303" s="192" t="str">
        <f>INDEX('Revenue by Customer'!AC:AC,MATCH('Full Customer List'!$B303,'Revenue by Customer'!$A:$A,0))</f>
        <v/>
      </c>
    </row>
    <row r="304" spans="2:29" ht="12" customHeight="1">
      <c r="B304" s="173" t="s">
        <v>958</v>
      </c>
      <c r="C304" s="173" t="str">
        <f>INDEX('Customer List'!$B:$B,MATCH('Full Customer List'!$B304,'Customer List'!$A:$A,0))</f>
        <v>Former client</v>
      </c>
      <c r="D304" s="173" t="str">
        <f>INDEX('Customer List'!$C:$C,MATCH('Full Customer List'!$B304,'Customer List'!$A:$A,0))</f>
        <v>Short-term rental (departed)</v>
      </c>
      <c r="E304" s="173" t="str">
        <f>INDEX('Customer List Mapping'!$C:$C,MATCH('Full Customer List'!D304,'Customer List Mapping'!$B:$B,0))</f>
        <v>Short-Term Rental</v>
      </c>
      <c r="F304" s="192" t="str">
        <f>INDEX('Customer List'!$K:$K,MATCH('Full Customer List'!$B304,'Customer List'!$A:$A,0))</f>
        <v/>
      </c>
      <c r="G304" s="192">
        <f>INDEX('Revenue by Customer'!$I:$I,MATCH('Full Customer List'!$B304,'Revenue by Customer'!$A:$A,0))</f>
        <v>135</v>
      </c>
      <c r="H304" s="257" t="str">
        <f>IFERROR(IF(C304="Active","",INDEX('Client Departures'!$G:$G,MATCH('Full Customer List'!$B304,'Client Departures'!$A:$A,0))),"Unclassified")</f>
        <v>No</v>
      </c>
      <c r="I304" s="196">
        <v>45292</v>
      </c>
      <c r="J304" s="196">
        <v>45808</v>
      </c>
      <c r="K304" s="192">
        <f>INDEX('Revenue by Customer'!K:K,MATCH('Full Customer List'!$B304,'Revenue by Customer'!$A:$A,0))</f>
        <v>135</v>
      </c>
      <c r="L304" s="192">
        <f>INDEX('Revenue by Customer'!L:L,MATCH('Full Customer List'!$B304,'Revenue by Customer'!$A:$A,0))</f>
        <v>120</v>
      </c>
      <c r="M304" s="192">
        <f>INDEX('Revenue by Customer'!M:M,MATCH('Full Customer List'!$B304,'Revenue by Customer'!$A:$A,0))</f>
        <v>135</v>
      </c>
      <c r="N304" s="192">
        <f>INDEX('Revenue by Customer'!N:N,MATCH('Full Customer List'!$B304,'Revenue by Customer'!$A:$A,0))</f>
        <v>135</v>
      </c>
      <c r="O304" s="192">
        <f>INDEX('Revenue by Customer'!O:O,MATCH('Full Customer List'!$B304,'Revenue by Customer'!$A:$A,0))</f>
        <v>135</v>
      </c>
      <c r="P304" s="192" t="str">
        <f>INDEX('Revenue by Customer'!P:P,MATCH('Full Customer List'!$B304,'Revenue by Customer'!$A:$A,0))</f>
        <v/>
      </c>
      <c r="Q304" s="192" t="str">
        <f>INDEX('Revenue by Customer'!Q:Q,MATCH('Full Customer List'!$B304,'Revenue by Customer'!$A:$A,0))</f>
        <v/>
      </c>
      <c r="R304" s="192" t="str">
        <f>INDEX('Revenue by Customer'!R:R,MATCH('Full Customer List'!$B304,'Revenue by Customer'!$A:$A,0))</f>
        <v/>
      </c>
      <c r="S304" s="192" t="str">
        <f>INDEX('Revenue by Customer'!S:S,MATCH('Full Customer List'!$B304,'Revenue by Customer'!$A:$A,0))</f>
        <v/>
      </c>
      <c r="T304" s="192" t="str">
        <f>INDEX('Revenue by Customer'!T:T,MATCH('Full Customer List'!$B304,'Revenue by Customer'!$A:$A,0))</f>
        <v/>
      </c>
      <c r="U304" s="192" t="str">
        <f>INDEX('Revenue by Customer'!U:U,MATCH('Full Customer List'!$B304,'Revenue by Customer'!$A:$A,0))</f>
        <v/>
      </c>
      <c r="V304" s="192" t="str">
        <f>INDEX('Revenue by Customer'!V:V,MATCH('Full Customer List'!$B304,'Revenue by Customer'!$A:$A,0))</f>
        <v/>
      </c>
      <c r="W304" s="192" t="str">
        <f>INDEX('Revenue by Customer'!W:W,MATCH('Full Customer List'!$B304,'Revenue by Customer'!$A:$A,0))</f>
        <v/>
      </c>
      <c r="X304" s="192" t="str">
        <f>INDEX('Revenue by Customer'!X:X,MATCH('Full Customer List'!$B304,'Revenue by Customer'!$A:$A,0))</f>
        <v/>
      </c>
      <c r="Y304" s="192" t="str">
        <f>INDEX('Revenue by Customer'!Y:Y,MATCH('Full Customer List'!$B304,'Revenue by Customer'!$A:$A,0))</f>
        <v/>
      </c>
      <c r="Z304" s="192" t="str">
        <f>INDEX('Revenue by Customer'!Z:Z,MATCH('Full Customer List'!$B304,'Revenue by Customer'!$A:$A,0))</f>
        <v/>
      </c>
      <c r="AA304" s="192" t="str">
        <f>INDEX('Revenue by Customer'!AA:AA,MATCH('Full Customer List'!$B304,'Revenue by Customer'!$A:$A,0))</f>
        <v/>
      </c>
      <c r="AB304" s="192" t="str">
        <f>INDEX('Revenue by Customer'!AB:AB,MATCH('Full Customer List'!$B304,'Revenue by Customer'!$A:$A,0))</f>
        <v/>
      </c>
      <c r="AC304" s="192" t="str">
        <f>INDEX('Revenue by Customer'!AC:AC,MATCH('Full Customer List'!$B304,'Revenue by Customer'!$A:$A,0))</f>
        <v/>
      </c>
    </row>
    <row r="305" spans="2:29" ht="12" customHeight="1">
      <c r="B305" s="173" t="s">
        <v>959</v>
      </c>
      <c r="C305" s="173" t="str">
        <f>INDEX('Customer List'!$B:$B,MATCH('Full Customer List'!$B305,'Customer List'!$A:$A,0))</f>
        <v>Former client</v>
      </c>
      <c r="D305" s="173" t="str">
        <f>INDEX('Customer List'!$C:$C,MATCH('Full Customer List'!$B305,'Customer List'!$A:$A,0))</f>
        <v>Short-term rental (departed)</v>
      </c>
      <c r="E305" s="173" t="str">
        <f>INDEX('Customer List Mapping'!$C:$C,MATCH('Full Customer List'!D305,'Customer List Mapping'!$B:$B,0))</f>
        <v>Short-Term Rental</v>
      </c>
      <c r="F305" s="192" t="str">
        <f>INDEX('Customer List'!$K:$K,MATCH('Full Customer List'!$B305,'Customer List'!$A:$A,0))</f>
        <v/>
      </c>
      <c r="G305" s="192">
        <f>INDEX('Revenue by Customer'!$I:$I,MATCH('Full Customer List'!$B305,'Revenue by Customer'!$A:$A,0))</f>
        <v>280.625</v>
      </c>
      <c r="H305" s="257" t="str">
        <f>IFERROR(IF(C305="Active","",INDEX('Client Departures'!$G:$G,MATCH('Full Customer List'!$B305,'Client Departures'!$A:$A,0))),"Unclassified")</f>
        <v>No</v>
      </c>
      <c r="I305" s="196">
        <v>45597</v>
      </c>
      <c r="J305" s="196">
        <v>45688</v>
      </c>
      <c r="K305" s="192">
        <f>INDEX('Revenue by Customer'!K:K,MATCH('Full Customer List'!$B305,'Revenue by Customer'!$A:$A,0))</f>
        <v>531.25</v>
      </c>
      <c r="L305" s="192">
        <f>INDEX('Revenue by Customer'!L:L,MATCH('Full Customer List'!$B305,'Revenue by Customer'!$A:$A,0))</f>
        <v>30</v>
      </c>
      <c r="M305" s="192" t="str">
        <f>INDEX('Revenue by Customer'!M:M,MATCH('Full Customer List'!$B305,'Revenue by Customer'!$A:$A,0))</f>
        <v/>
      </c>
      <c r="N305" s="192" t="str">
        <f>INDEX('Revenue by Customer'!N:N,MATCH('Full Customer List'!$B305,'Revenue by Customer'!$A:$A,0))</f>
        <v/>
      </c>
      <c r="O305" s="192" t="str">
        <f>INDEX('Revenue by Customer'!O:O,MATCH('Full Customer List'!$B305,'Revenue by Customer'!$A:$A,0))</f>
        <v/>
      </c>
      <c r="P305" s="192" t="str">
        <f>INDEX('Revenue by Customer'!P:P,MATCH('Full Customer List'!$B305,'Revenue by Customer'!$A:$A,0))</f>
        <v/>
      </c>
      <c r="Q305" s="192" t="str">
        <f>INDEX('Revenue by Customer'!Q:Q,MATCH('Full Customer List'!$B305,'Revenue by Customer'!$A:$A,0))</f>
        <v/>
      </c>
      <c r="R305" s="192" t="str">
        <f>INDEX('Revenue by Customer'!R:R,MATCH('Full Customer List'!$B305,'Revenue by Customer'!$A:$A,0))</f>
        <v/>
      </c>
      <c r="S305" s="192" t="str">
        <f>INDEX('Revenue by Customer'!S:S,MATCH('Full Customer List'!$B305,'Revenue by Customer'!$A:$A,0))</f>
        <v/>
      </c>
      <c r="T305" s="192" t="str">
        <f>INDEX('Revenue by Customer'!T:T,MATCH('Full Customer List'!$B305,'Revenue by Customer'!$A:$A,0))</f>
        <v/>
      </c>
      <c r="U305" s="192" t="str">
        <f>INDEX('Revenue by Customer'!U:U,MATCH('Full Customer List'!$B305,'Revenue by Customer'!$A:$A,0))</f>
        <v/>
      </c>
      <c r="V305" s="192" t="str">
        <f>INDEX('Revenue by Customer'!V:V,MATCH('Full Customer List'!$B305,'Revenue by Customer'!$A:$A,0))</f>
        <v/>
      </c>
      <c r="W305" s="192" t="str">
        <f>INDEX('Revenue by Customer'!W:W,MATCH('Full Customer List'!$B305,'Revenue by Customer'!$A:$A,0))</f>
        <v/>
      </c>
      <c r="X305" s="192" t="str">
        <f>INDEX('Revenue by Customer'!X:X,MATCH('Full Customer List'!$B305,'Revenue by Customer'!$A:$A,0))</f>
        <v/>
      </c>
      <c r="Y305" s="192" t="str">
        <f>INDEX('Revenue by Customer'!Y:Y,MATCH('Full Customer List'!$B305,'Revenue by Customer'!$A:$A,0))</f>
        <v/>
      </c>
      <c r="Z305" s="192" t="str">
        <f>INDEX('Revenue by Customer'!Z:Z,MATCH('Full Customer List'!$B305,'Revenue by Customer'!$A:$A,0))</f>
        <v/>
      </c>
      <c r="AA305" s="192" t="str">
        <f>INDEX('Revenue by Customer'!AA:AA,MATCH('Full Customer List'!$B305,'Revenue by Customer'!$A:$A,0))</f>
        <v/>
      </c>
      <c r="AB305" s="192" t="str">
        <f>INDEX('Revenue by Customer'!AB:AB,MATCH('Full Customer List'!$B305,'Revenue by Customer'!$A:$A,0))</f>
        <v/>
      </c>
      <c r="AC305" s="192" t="str">
        <f>INDEX('Revenue by Customer'!AC:AC,MATCH('Full Customer List'!$B305,'Revenue by Customer'!$A:$A,0))</f>
        <v/>
      </c>
    </row>
    <row r="306" spans="2:29" ht="12" customHeight="1">
      <c r="B306" s="173" t="s">
        <v>960</v>
      </c>
      <c r="C306" s="173" t="str">
        <f>INDEX('Customer List'!$B:$B,MATCH('Full Customer List'!$B306,'Customer List'!$A:$A,0))</f>
        <v>Former client</v>
      </c>
      <c r="D306" s="173" t="str">
        <f>INDEX('Customer List'!$C:$C,MATCH('Full Customer List'!$B306,'Customer List'!$A:$A,0))</f>
        <v>Short-term rental (departed)</v>
      </c>
      <c r="E306" s="173" t="str">
        <f>INDEX('Customer List Mapping'!$C:$C,MATCH('Full Customer List'!D306,'Customer List Mapping'!$B:$B,0))</f>
        <v>Short-Term Rental</v>
      </c>
      <c r="F306" s="192" t="str">
        <f>INDEX('Customer List'!$K:$K,MATCH('Full Customer List'!$B306,'Customer List'!$A:$A,0))</f>
        <v/>
      </c>
      <c r="G306" s="192">
        <f>INDEX('Revenue by Customer'!$I:$I,MATCH('Full Customer List'!$B306,'Revenue by Customer'!$A:$A,0))</f>
        <v>510</v>
      </c>
      <c r="H306" s="257" t="str">
        <f>IFERROR(IF(C306="Active","",INDEX('Client Departures'!$G:$G,MATCH('Full Customer List'!$B306,'Client Departures'!$A:$A,0))),"Unclassified")</f>
        <v>No</v>
      </c>
      <c r="I306" s="196">
        <v>45323</v>
      </c>
      <c r="J306" s="196">
        <v>45688</v>
      </c>
      <c r="K306" s="192">
        <f>INDEX('Revenue by Customer'!K:K,MATCH('Full Customer List'!$B306,'Revenue by Customer'!$A:$A,0))</f>
        <v>510</v>
      </c>
      <c r="L306" s="192" t="str">
        <f>INDEX('Revenue by Customer'!L:L,MATCH('Full Customer List'!$B306,'Revenue by Customer'!$A:$A,0))</f>
        <v/>
      </c>
      <c r="M306" s="192" t="str">
        <f>INDEX('Revenue by Customer'!M:M,MATCH('Full Customer List'!$B306,'Revenue by Customer'!$A:$A,0))</f>
        <v/>
      </c>
      <c r="N306" s="192" t="str">
        <f>INDEX('Revenue by Customer'!N:N,MATCH('Full Customer List'!$B306,'Revenue by Customer'!$A:$A,0))</f>
        <v/>
      </c>
      <c r="O306" s="192" t="str">
        <f>INDEX('Revenue by Customer'!O:O,MATCH('Full Customer List'!$B306,'Revenue by Customer'!$A:$A,0))</f>
        <v/>
      </c>
      <c r="P306" s="192" t="str">
        <f>INDEX('Revenue by Customer'!P:P,MATCH('Full Customer List'!$B306,'Revenue by Customer'!$A:$A,0))</f>
        <v/>
      </c>
      <c r="Q306" s="192" t="str">
        <f>INDEX('Revenue by Customer'!Q:Q,MATCH('Full Customer List'!$B306,'Revenue by Customer'!$A:$A,0))</f>
        <v/>
      </c>
      <c r="R306" s="192" t="str">
        <f>INDEX('Revenue by Customer'!R:R,MATCH('Full Customer List'!$B306,'Revenue by Customer'!$A:$A,0))</f>
        <v/>
      </c>
      <c r="S306" s="192" t="str">
        <f>INDEX('Revenue by Customer'!S:S,MATCH('Full Customer List'!$B306,'Revenue by Customer'!$A:$A,0))</f>
        <v/>
      </c>
      <c r="T306" s="192" t="str">
        <f>INDEX('Revenue by Customer'!T:T,MATCH('Full Customer List'!$B306,'Revenue by Customer'!$A:$A,0))</f>
        <v/>
      </c>
      <c r="U306" s="192" t="str">
        <f>INDEX('Revenue by Customer'!U:U,MATCH('Full Customer List'!$B306,'Revenue by Customer'!$A:$A,0))</f>
        <v/>
      </c>
      <c r="V306" s="192" t="str">
        <f>INDEX('Revenue by Customer'!V:V,MATCH('Full Customer List'!$B306,'Revenue by Customer'!$A:$A,0))</f>
        <v/>
      </c>
      <c r="W306" s="192" t="str">
        <f>INDEX('Revenue by Customer'!W:W,MATCH('Full Customer List'!$B306,'Revenue by Customer'!$A:$A,0))</f>
        <v/>
      </c>
      <c r="X306" s="192" t="str">
        <f>INDEX('Revenue by Customer'!X:X,MATCH('Full Customer List'!$B306,'Revenue by Customer'!$A:$A,0))</f>
        <v/>
      </c>
      <c r="Y306" s="192" t="str">
        <f>INDEX('Revenue by Customer'!Y:Y,MATCH('Full Customer List'!$B306,'Revenue by Customer'!$A:$A,0))</f>
        <v/>
      </c>
      <c r="Z306" s="192" t="str">
        <f>INDEX('Revenue by Customer'!Z:Z,MATCH('Full Customer List'!$B306,'Revenue by Customer'!$A:$A,0))</f>
        <v/>
      </c>
      <c r="AA306" s="192" t="str">
        <f>INDEX('Revenue by Customer'!AA:AA,MATCH('Full Customer List'!$B306,'Revenue by Customer'!$A:$A,0))</f>
        <v/>
      </c>
      <c r="AB306" s="192" t="str">
        <f>INDEX('Revenue by Customer'!AB:AB,MATCH('Full Customer List'!$B306,'Revenue by Customer'!$A:$A,0))</f>
        <v/>
      </c>
      <c r="AC306" s="192" t="str">
        <f>INDEX('Revenue by Customer'!AC:AC,MATCH('Full Customer List'!$B306,'Revenue by Customer'!$A:$A,0))</f>
        <v/>
      </c>
    </row>
    <row r="307" spans="2:29" ht="12" customHeight="1">
      <c r="B307" s="173" t="s">
        <v>961</v>
      </c>
      <c r="C307" s="173" t="str">
        <f>INDEX('Customer List'!$B:$B,MATCH('Full Customer List'!$B307,'Customer List'!$A:$A,0))</f>
        <v>Former client</v>
      </c>
      <c r="D307" s="173" t="str">
        <f>INDEX('Customer List'!$C:$C,MATCH('Full Customer List'!$B307,'Customer List'!$A:$A,0))</f>
        <v>Short-term rental (departed)</v>
      </c>
      <c r="E307" s="173" t="str">
        <f>INDEX('Customer List Mapping'!$C:$C,MATCH('Full Customer List'!D307,'Customer List Mapping'!$B:$B,0))</f>
        <v>Short-Term Rental</v>
      </c>
      <c r="F307" s="192" t="str">
        <f>INDEX('Customer List'!$K:$K,MATCH('Full Customer List'!$B307,'Customer List'!$A:$A,0))</f>
        <v/>
      </c>
      <c r="G307" s="192">
        <f>INDEX('Revenue by Customer'!$I:$I,MATCH('Full Customer List'!$B307,'Revenue by Customer'!$A:$A,0))</f>
        <v>375</v>
      </c>
      <c r="H307" s="257" t="str">
        <f>IFERROR(IF(C307="Active","",INDEX('Client Departures'!$G:$G,MATCH('Full Customer List'!$B307,'Client Departures'!$A:$A,0))),"Unclassified")</f>
        <v>No</v>
      </c>
      <c r="I307" s="196">
        <v>45352</v>
      </c>
      <c r="J307" s="196">
        <v>45688</v>
      </c>
      <c r="K307" s="192">
        <f>INDEX('Revenue by Customer'!K:K,MATCH('Full Customer List'!$B307,'Revenue by Customer'!$A:$A,0))</f>
        <v>375</v>
      </c>
      <c r="L307" s="192" t="str">
        <f>INDEX('Revenue by Customer'!L:L,MATCH('Full Customer List'!$B307,'Revenue by Customer'!$A:$A,0))</f>
        <v/>
      </c>
      <c r="M307" s="192" t="str">
        <f>INDEX('Revenue by Customer'!M:M,MATCH('Full Customer List'!$B307,'Revenue by Customer'!$A:$A,0))</f>
        <v/>
      </c>
      <c r="N307" s="192" t="str">
        <f>INDEX('Revenue by Customer'!N:N,MATCH('Full Customer List'!$B307,'Revenue by Customer'!$A:$A,0))</f>
        <v/>
      </c>
      <c r="O307" s="192" t="str">
        <f>INDEX('Revenue by Customer'!O:O,MATCH('Full Customer List'!$B307,'Revenue by Customer'!$A:$A,0))</f>
        <v/>
      </c>
      <c r="P307" s="192" t="str">
        <f>INDEX('Revenue by Customer'!P:P,MATCH('Full Customer List'!$B307,'Revenue by Customer'!$A:$A,0))</f>
        <v/>
      </c>
      <c r="Q307" s="192" t="str">
        <f>INDEX('Revenue by Customer'!Q:Q,MATCH('Full Customer List'!$B307,'Revenue by Customer'!$A:$A,0))</f>
        <v/>
      </c>
      <c r="R307" s="192" t="str">
        <f>INDEX('Revenue by Customer'!R:R,MATCH('Full Customer List'!$B307,'Revenue by Customer'!$A:$A,0))</f>
        <v/>
      </c>
      <c r="S307" s="192" t="str">
        <f>INDEX('Revenue by Customer'!S:S,MATCH('Full Customer List'!$B307,'Revenue by Customer'!$A:$A,0))</f>
        <v/>
      </c>
      <c r="T307" s="192" t="str">
        <f>INDEX('Revenue by Customer'!T:T,MATCH('Full Customer List'!$B307,'Revenue by Customer'!$A:$A,0))</f>
        <v/>
      </c>
      <c r="U307" s="192" t="str">
        <f>INDEX('Revenue by Customer'!U:U,MATCH('Full Customer List'!$B307,'Revenue by Customer'!$A:$A,0))</f>
        <v/>
      </c>
      <c r="V307" s="192" t="str">
        <f>INDEX('Revenue by Customer'!V:V,MATCH('Full Customer List'!$B307,'Revenue by Customer'!$A:$A,0))</f>
        <v/>
      </c>
      <c r="W307" s="192" t="str">
        <f>INDEX('Revenue by Customer'!W:W,MATCH('Full Customer List'!$B307,'Revenue by Customer'!$A:$A,0))</f>
        <v/>
      </c>
      <c r="X307" s="192" t="str">
        <f>INDEX('Revenue by Customer'!X:X,MATCH('Full Customer List'!$B307,'Revenue by Customer'!$A:$A,0))</f>
        <v/>
      </c>
      <c r="Y307" s="192" t="str">
        <f>INDEX('Revenue by Customer'!Y:Y,MATCH('Full Customer List'!$B307,'Revenue by Customer'!$A:$A,0))</f>
        <v/>
      </c>
      <c r="Z307" s="192" t="str">
        <f>INDEX('Revenue by Customer'!Z:Z,MATCH('Full Customer List'!$B307,'Revenue by Customer'!$A:$A,0))</f>
        <v/>
      </c>
      <c r="AA307" s="192" t="str">
        <f>INDEX('Revenue by Customer'!AA:AA,MATCH('Full Customer List'!$B307,'Revenue by Customer'!$A:$A,0))</f>
        <v/>
      </c>
      <c r="AB307" s="192" t="str">
        <f>INDEX('Revenue by Customer'!AB:AB,MATCH('Full Customer List'!$B307,'Revenue by Customer'!$A:$A,0))</f>
        <v/>
      </c>
      <c r="AC307" s="192" t="str">
        <f>INDEX('Revenue by Customer'!AC:AC,MATCH('Full Customer List'!$B307,'Revenue by Customer'!$A:$A,0))</f>
        <v/>
      </c>
    </row>
    <row r="308" spans="2:29" ht="12" customHeight="1">
      <c r="B308" s="173" t="s">
        <v>962</v>
      </c>
      <c r="C308" s="173" t="str">
        <f>INDEX('Customer List'!$B:$B,MATCH('Full Customer List'!$B308,'Customer List'!$A:$A,0))</f>
        <v>Former client</v>
      </c>
      <c r="D308" s="173" t="str">
        <f>INDEX('Customer List'!$C:$C,MATCH('Full Customer List'!$B308,'Customer List'!$A:$A,0))</f>
        <v>Short-term rental (departed)</v>
      </c>
      <c r="E308" s="173" t="str">
        <f>INDEX('Customer List Mapping'!$C:$C,MATCH('Full Customer List'!D308,'Customer List Mapping'!$B:$B,0))</f>
        <v>Short-Term Rental</v>
      </c>
      <c r="F308" s="192" t="str">
        <f>INDEX('Customer List'!$K:$K,MATCH('Full Customer List'!$B308,'Customer List'!$A:$A,0))</f>
        <v/>
      </c>
      <c r="G308" s="192">
        <f>INDEX('Revenue by Customer'!$I:$I,MATCH('Full Customer List'!$B308,'Revenue by Customer'!$A:$A,0))</f>
        <v>360</v>
      </c>
      <c r="H308" s="257" t="str">
        <f>IFERROR(IF(C308="Active","",INDEX('Client Departures'!$G:$G,MATCH('Full Customer List'!$B308,'Client Departures'!$A:$A,0))),"Unclassified")</f>
        <v>No</v>
      </c>
      <c r="I308" s="196">
        <v>45627</v>
      </c>
      <c r="J308" s="196">
        <v>45688</v>
      </c>
      <c r="K308" s="192">
        <f>INDEX('Revenue by Customer'!K:K,MATCH('Full Customer List'!$B308,'Revenue by Customer'!$A:$A,0))</f>
        <v>360</v>
      </c>
      <c r="L308" s="192" t="str">
        <f>INDEX('Revenue by Customer'!L:L,MATCH('Full Customer List'!$B308,'Revenue by Customer'!$A:$A,0))</f>
        <v/>
      </c>
      <c r="M308" s="192" t="str">
        <f>INDEX('Revenue by Customer'!M:M,MATCH('Full Customer List'!$B308,'Revenue by Customer'!$A:$A,0))</f>
        <v/>
      </c>
      <c r="N308" s="192" t="str">
        <f>INDEX('Revenue by Customer'!N:N,MATCH('Full Customer List'!$B308,'Revenue by Customer'!$A:$A,0))</f>
        <v/>
      </c>
      <c r="O308" s="192" t="str">
        <f>INDEX('Revenue by Customer'!O:O,MATCH('Full Customer List'!$B308,'Revenue by Customer'!$A:$A,0))</f>
        <v/>
      </c>
      <c r="P308" s="192" t="str">
        <f>INDEX('Revenue by Customer'!P:P,MATCH('Full Customer List'!$B308,'Revenue by Customer'!$A:$A,0))</f>
        <v/>
      </c>
      <c r="Q308" s="192" t="str">
        <f>INDEX('Revenue by Customer'!Q:Q,MATCH('Full Customer List'!$B308,'Revenue by Customer'!$A:$A,0))</f>
        <v/>
      </c>
      <c r="R308" s="192" t="str">
        <f>INDEX('Revenue by Customer'!R:R,MATCH('Full Customer List'!$B308,'Revenue by Customer'!$A:$A,0))</f>
        <v/>
      </c>
      <c r="S308" s="192" t="str">
        <f>INDEX('Revenue by Customer'!S:S,MATCH('Full Customer List'!$B308,'Revenue by Customer'!$A:$A,0))</f>
        <v/>
      </c>
      <c r="T308" s="192" t="str">
        <f>INDEX('Revenue by Customer'!T:T,MATCH('Full Customer List'!$B308,'Revenue by Customer'!$A:$A,0))</f>
        <v/>
      </c>
      <c r="U308" s="192" t="str">
        <f>INDEX('Revenue by Customer'!U:U,MATCH('Full Customer List'!$B308,'Revenue by Customer'!$A:$A,0))</f>
        <v/>
      </c>
      <c r="V308" s="192" t="str">
        <f>INDEX('Revenue by Customer'!V:V,MATCH('Full Customer List'!$B308,'Revenue by Customer'!$A:$A,0))</f>
        <v/>
      </c>
      <c r="W308" s="192" t="str">
        <f>INDEX('Revenue by Customer'!W:W,MATCH('Full Customer List'!$B308,'Revenue by Customer'!$A:$A,0))</f>
        <v/>
      </c>
      <c r="X308" s="192" t="str">
        <f>INDEX('Revenue by Customer'!X:X,MATCH('Full Customer List'!$B308,'Revenue by Customer'!$A:$A,0))</f>
        <v/>
      </c>
      <c r="Y308" s="192" t="str">
        <f>INDEX('Revenue by Customer'!Y:Y,MATCH('Full Customer List'!$B308,'Revenue by Customer'!$A:$A,0))</f>
        <v/>
      </c>
      <c r="Z308" s="192" t="str">
        <f>INDEX('Revenue by Customer'!Z:Z,MATCH('Full Customer List'!$B308,'Revenue by Customer'!$A:$A,0))</f>
        <v/>
      </c>
      <c r="AA308" s="192" t="str">
        <f>INDEX('Revenue by Customer'!AA:AA,MATCH('Full Customer List'!$B308,'Revenue by Customer'!$A:$A,0))</f>
        <v/>
      </c>
      <c r="AB308" s="192" t="str">
        <f>INDEX('Revenue by Customer'!AB:AB,MATCH('Full Customer List'!$B308,'Revenue by Customer'!$A:$A,0))</f>
        <v/>
      </c>
      <c r="AC308" s="192" t="str">
        <f>INDEX('Revenue by Customer'!AC:AC,MATCH('Full Customer List'!$B308,'Revenue by Customer'!$A:$A,0))</f>
        <v/>
      </c>
    </row>
    <row r="309" spans="2:29" ht="12" customHeight="1">
      <c r="B309" s="173" t="s">
        <v>963</v>
      </c>
      <c r="C309" s="173" t="str">
        <f>INDEX('Customer List'!$B:$B,MATCH('Full Customer List'!$B309,'Customer List'!$A:$A,0))</f>
        <v>Former client</v>
      </c>
      <c r="D309" s="173" t="str">
        <f>INDEX('Customer List'!$C:$C,MATCH('Full Customer List'!$B309,'Customer List'!$A:$A,0))</f>
        <v>Small business (departed)</v>
      </c>
      <c r="E309" s="173" t="str">
        <f>INDEX('Customer List Mapping'!$C:$C,MATCH('Full Customer List'!D309,'Customer List Mapping'!$B:$B,0))</f>
        <v>Small Business</v>
      </c>
      <c r="F309" s="192" t="str">
        <f>INDEX('Customer List'!$K:$K,MATCH('Full Customer List'!$B309,'Customer List'!$A:$A,0))</f>
        <v/>
      </c>
      <c r="G309" s="192">
        <f>INDEX('Revenue by Customer'!$I:$I,MATCH('Full Customer List'!$B309,'Revenue by Customer'!$A:$A,0))</f>
        <v>350</v>
      </c>
      <c r="H309" s="257" t="str">
        <f>IFERROR(IF(C309="Active","",INDEX('Client Departures'!$G:$G,MATCH('Full Customer List'!$B309,'Client Departures'!$A:$A,0))),"Unclassified")</f>
        <v>No</v>
      </c>
      <c r="I309" s="196">
        <v>45597</v>
      </c>
      <c r="J309" s="196">
        <v>45688</v>
      </c>
      <c r="K309" s="192">
        <f>INDEX('Revenue by Customer'!K:K,MATCH('Full Customer List'!$B309,'Revenue by Customer'!$A:$A,0))</f>
        <v>350</v>
      </c>
      <c r="L309" s="192" t="str">
        <f>INDEX('Revenue by Customer'!L:L,MATCH('Full Customer List'!$B309,'Revenue by Customer'!$A:$A,0))</f>
        <v/>
      </c>
      <c r="M309" s="192" t="str">
        <f>INDEX('Revenue by Customer'!M:M,MATCH('Full Customer List'!$B309,'Revenue by Customer'!$A:$A,0))</f>
        <v/>
      </c>
      <c r="N309" s="192" t="str">
        <f>INDEX('Revenue by Customer'!N:N,MATCH('Full Customer List'!$B309,'Revenue by Customer'!$A:$A,0))</f>
        <v/>
      </c>
      <c r="O309" s="192" t="str">
        <f>INDEX('Revenue by Customer'!O:O,MATCH('Full Customer List'!$B309,'Revenue by Customer'!$A:$A,0))</f>
        <v/>
      </c>
      <c r="P309" s="192" t="str">
        <f>INDEX('Revenue by Customer'!P:P,MATCH('Full Customer List'!$B309,'Revenue by Customer'!$A:$A,0))</f>
        <v/>
      </c>
      <c r="Q309" s="192" t="str">
        <f>INDEX('Revenue by Customer'!Q:Q,MATCH('Full Customer List'!$B309,'Revenue by Customer'!$A:$A,0))</f>
        <v/>
      </c>
      <c r="R309" s="192" t="str">
        <f>INDEX('Revenue by Customer'!R:R,MATCH('Full Customer List'!$B309,'Revenue by Customer'!$A:$A,0))</f>
        <v/>
      </c>
      <c r="S309" s="192" t="str">
        <f>INDEX('Revenue by Customer'!S:S,MATCH('Full Customer List'!$B309,'Revenue by Customer'!$A:$A,0))</f>
        <v/>
      </c>
      <c r="T309" s="192" t="str">
        <f>INDEX('Revenue by Customer'!T:T,MATCH('Full Customer List'!$B309,'Revenue by Customer'!$A:$A,0))</f>
        <v/>
      </c>
      <c r="U309" s="192" t="str">
        <f>INDEX('Revenue by Customer'!U:U,MATCH('Full Customer List'!$B309,'Revenue by Customer'!$A:$A,0))</f>
        <v/>
      </c>
      <c r="V309" s="192" t="str">
        <f>INDEX('Revenue by Customer'!V:V,MATCH('Full Customer List'!$B309,'Revenue by Customer'!$A:$A,0))</f>
        <v/>
      </c>
      <c r="W309" s="192" t="str">
        <f>INDEX('Revenue by Customer'!W:W,MATCH('Full Customer List'!$B309,'Revenue by Customer'!$A:$A,0))</f>
        <v/>
      </c>
      <c r="X309" s="192" t="str">
        <f>INDEX('Revenue by Customer'!X:X,MATCH('Full Customer List'!$B309,'Revenue by Customer'!$A:$A,0))</f>
        <v/>
      </c>
      <c r="Y309" s="192" t="str">
        <f>INDEX('Revenue by Customer'!Y:Y,MATCH('Full Customer List'!$B309,'Revenue by Customer'!$A:$A,0))</f>
        <v/>
      </c>
      <c r="Z309" s="192" t="str">
        <f>INDEX('Revenue by Customer'!Z:Z,MATCH('Full Customer List'!$B309,'Revenue by Customer'!$A:$A,0))</f>
        <v/>
      </c>
      <c r="AA309" s="192" t="str">
        <f>INDEX('Revenue by Customer'!AA:AA,MATCH('Full Customer List'!$B309,'Revenue by Customer'!$A:$A,0))</f>
        <v/>
      </c>
      <c r="AB309" s="192" t="str">
        <f>INDEX('Revenue by Customer'!AB:AB,MATCH('Full Customer List'!$B309,'Revenue by Customer'!$A:$A,0))</f>
        <v/>
      </c>
      <c r="AC309" s="192" t="str">
        <f>INDEX('Revenue by Customer'!AC:AC,MATCH('Full Customer List'!$B309,'Revenue by Customer'!$A:$A,0))</f>
        <v/>
      </c>
    </row>
    <row r="310" spans="2:29" ht="12" customHeight="1">
      <c r="B310" s="173" t="s">
        <v>964</v>
      </c>
      <c r="C310" s="173" t="str">
        <f>INDEX('Customer List'!$B:$B,MATCH('Full Customer List'!$B310,'Customer List'!$A:$A,0))</f>
        <v>Former client</v>
      </c>
      <c r="D310" s="173" t="str">
        <f>INDEX('Customer List'!$C:$C,MATCH('Full Customer List'!$B310,'Customer List'!$A:$A,0))</f>
        <v>Short-term rental (departed)</v>
      </c>
      <c r="E310" s="173" t="str">
        <f>INDEX('Customer List Mapping'!$C:$C,MATCH('Full Customer List'!D310,'Customer List Mapping'!$B:$B,0))</f>
        <v>Short-Term Rental</v>
      </c>
      <c r="F310" s="192" t="str">
        <f>INDEX('Customer List'!$K:$K,MATCH('Full Customer List'!$B310,'Customer List'!$A:$A,0))</f>
        <v/>
      </c>
      <c r="G310" s="192">
        <f>INDEX('Revenue by Customer'!$I:$I,MATCH('Full Customer List'!$B310,'Revenue by Customer'!$A:$A,0))</f>
        <v>76.5</v>
      </c>
      <c r="H310" s="257" t="str">
        <f>IFERROR(IF(C310="Active","",INDEX('Client Departures'!$G:$G,MATCH('Full Customer List'!$B310,'Client Departures'!$A:$A,0))),"Unclassified")</f>
        <v>Yes</v>
      </c>
      <c r="I310" s="196">
        <v>45383</v>
      </c>
      <c r="J310" s="196">
        <v>45626</v>
      </c>
      <c r="K310" s="192">
        <f>INDEX('Revenue by Customer'!K:K,MATCH('Full Customer List'!$B310,'Revenue by Customer'!$A:$A,0))</f>
        <v>59.5</v>
      </c>
      <c r="L310" s="192">
        <f>INDEX('Revenue by Customer'!L:L,MATCH('Full Customer List'!$B310,'Revenue by Customer'!$A:$A,0))</f>
        <v>85</v>
      </c>
      <c r="M310" s="192">
        <f>INDEX('Revenue by Customer'!M:M,MATCH('Full Customer List'!$B310,'Revenue by Customer'!$A:$A,0))</f>
        <v>85</v>
      </c>
      <c r="N310" s="192" t="str">
        <f>INDEX('Revenue by Customer'!N:N,MATCH('Full Customer List'!$B310,'Revenue by Customer'!$A:$A,0))</f>
        <v/>
      </c>
      <c r="O310" s="192" t="str">
        <f>INDEX('Revenue by Customer'!O:O,MATCH('Full Customer List'!$B310,'Revenue by Customer'!$A:$A,0))</f>
        <v/>
      </c>
      <c r="P310" s="192" t="str">
        <f>INDEX('Revenue by Customer'!P:P,MATCH('Full Customer List'!$B310,'Revenue by Customer'!$A:$A,0))</f>
        <v/>
      </c>
      <c r="Q310" s="192" t="str">
        <f>INDEX('Revenue by Customer'!Q:Q,MATCH('Full Customer List'!$B310,'Revenue by Customer'!$A:$A,0))</f>
        <v/>
      </c>
      <c r="R310" s="192" t="str">
        <f>INDEX('Revenue by Customer'!R:R,MATCH('Full Customer List'!$B310,'Revenue by Customer'!$A:$A,0))</f>
        <v/>
      </c>
      <c r="S310" s="192" t="str">
        <f>INDEX('Revenue by Customer'!S:S,MATCH('Full Customer List'!$B310,'Revenue by Customer'!$A:$A,0))</f>
        <v/>
      </c>
      <c r="T310" s="192" t="str">
        <f>INDEX('Revenue by Customer'!T:T,MATCH('Full Customer List'!$B310,'Revenue by Customer'!$A:$A,0))</f>
        <v/>
      </c>
      <c r="U310" s="192" t="str">
        <f>INDEX('Revenue by Customer'!U:U,MATCH('Full Customer List'!$B310,'Revenue by Customer'!$A:$A,0))</f>
        <v/>
      </c>
      <c r="V310" s="192" t="str">
        <f>INDEX('Revenue by Customer'!V:V,MATCH('Full Customer List'!$B310,'Revenue by Customer'!$A:$A,0))</f>
        <v/>
      </c>
      <c r="W310" s="192" t="str">
        <f>INDEX('Revenue by Customer'!W:W,MATCH('Full Customer List'!$B310,'Revenue by Customer'!$A:$A,0))</f>
        <v/>
      </c>
      <c r="X310" s="192" t="str">
        <f>INDEX('Revenue by Customer'!X:X,MATCH('Full Customer List'!$B310,'Revenue by Customer'!$A:$A,0))</f>
        <v/>
      </c>
      <c r="Y310" s="192" t="str">
        <f>INDEX('Revenue by Customer'!Y:Y,MATCH('Full Customer List'!$B310,'Revenue by Customer'!$A:$A,0))</f>
        <v/>
      </c>
      <c r="Z310" s="192" t="str">
        <f>INDEX('Revenue by Customer'!Z:Z,MATCH('Full Customer List'!$B310,'Revenue by Customer'!$A:$A,0))</f>
        <v/>
      </c>
      <c r="AA310" s="192" t="str">
        <f>INDEX('Revenue by Customer'!AA:AA,MATCH('Full Customer List'!$B310,'Revenue by Customer'!$A:$A,0))</f>
        <v/>
      </c>
      <c r="AB310" s="192" t="str">
        <f>INDEX('Revenue by Customer'!AB:AB,MATCH('Full Customer List'!$B310,'Revenue by Customer'!$A:$A,0))</f>
        <v/>
      </c>
      <c r="AC310" s="192" t="str">
        <f>INDEX('Revenue by Customer'!AC:AC,MATCH('Full Customer List'!$B310,'Revenue by Customer'!$A:$A,0))</f>
        <v/>
      </c>
    </row>
    <row r="311" spans="2:29" ht="12" customHeight="1">
      <c r="B311" s="173" t="s">
        <v>965</v>
      </c>
      <c r="C311" s="173" t="str">
        <f>INDEX('Customer List'!$B:$B,MATCH('Full Customer List'!$B311,'Customer List'!$A:$A,0))</f>
        <v>Former client</v>
      </c>
      <c r="D311" s="173" t="str">
        <f>INDEX('Customer List'!$C:$C,MATCH('Full Customer List'!$B311,'Customer List'!$A:$A,0))</f>
        <v>Short-term rental (departed)</v>
      </c>
      <c r="E311" s="173" t="str">
        <f>INDEX('Customer List Mapping'!$C:$C,MATCH('Full Customer List'!D311,'Customer List Mapping'!$B:$B,0))</f>
        <v>Short-Term Rental</v>
      </c>
      <c r="F311" s="192" t="str">
        <f>INDEX('Customer List'!$K:$K,MATCH('Full Customer List'!$B311,'Customer List'!$A:$A,0))</f>
        <v/>
      </c>
      <c r="G311" s="192">
        <f>INDEX('Revenue by Customer'!$I:$I,MATCH('Full Customer List'!$B311,'Revenue by Customer'!$A:$A,0))</f>
        <v>210</v>
      </c>
      <c r="H311" s="257" t="str">
        <f>IFERROR(IF(C311="Active","",INDEX('Client Departures'!$G:$G,MATCH('Full Customer List'!$B311,'Client Departures'!$A:$A,0))),"Unclassified")</f>
        <v>Yes</v>
      </c>
      <c r="I311" s="196">
        <v>45261</v>
      </c>
      <c r="J311" s="196">
        <v>45657</v>
      </c>
      <c r="K311" s="192">
        <f>INDEX('Revenue by Customer'!K:K,MATCH('Full Customer List'!$B311,'Revenue by Customer'!$A:$A,0))</f>
        <v>210</v>
      </c>
      <c r="L311" s="192" t="str">
        <f>INDEX('Revenue by Customer'!L:L,MATCH('Full Customer List'!$B311,'Revenue by Customer'!$A:$A,0))</f>
        <v/>
      </c>
      <c r="M311" s="192" t="str">
        <f>INDEX('Revenue by Customer'!M:M,MATCH('Full Customer List'!$B311,'Revenue by Customer'!$A:$A,0))</f>
        <v/>
      </c>
      <c r="N311" s="192" t="str">
        <f>INDEX('Revenue by Customer'!N:N,MATCH('Full Customer List'!$B311,'Revenue by Customer'!$A:$A,0))</f>
        <v/>
      </c>
      <c r="O311" s="192" t="str">
        <f>INDEX('Revenue by Customer'!O:O,MATCH('Full Customer List'!$B311,'Revenue by Customer'!$A:$A,0))</f>
        <v/>
      </c>
      <c r="P311" s="192" t="str">
        <f>INDEX('Revenue by Customer'!P:P,MATCH('Full Customer List'!$B311,'Revenue by Customer'!$A:$A,0))</f>
        <v/>
      </c>
      <c r="Q311" s="192" t="str">
        <f>INDEX('Revenue by Customer'!Q:Q,MATCH('Full Customer List'!$B311,'Revenue by Customer'!$A:$A,0))</f>
        <v/>
      </c>
      <c r="R311" s="192" t="str">
        <f>INDEX('Revenue by Customer'!R:R,MATCH('Full Customer List'!$B311,'Revenue by Customer'!$A:$A,0))</f>
        <v/>
      </c>
      <c r="S311" s="192" t="str">
        <f>INDEX('Revenue by Customer'!S:S,MATCH('Full Customer List'!$B311,'Revenue by Customer'!$A:$A,0))</f>
        <v/>
      </c>
      <c r="T311" s="192" t="str">
        <f>INDEX('Revenue by Customer'!T:T,MATCH('Full Customer List'!$B311,'Revenue by Customer'!$A:$A,0))</f>
        <v/>
      </c>
      <c r="U311" s="192" t="str">
        <f>INDEX('Revenue by Customer'!U:U,MATCH('Full Customer List'!$B311,'Revenue by Customer'!$A:$A,0))</f>
        <v/>
      </c>
      <c r="V311" s="192" t="str">
        <f>INDEX('Revenue by Customer'!V:V,MATCH('Full Customer List'!$B311,'Revenue by Customer'!$A:$A,0))</f>
        <v/>
      </c>
      <c r="W311" s="192" t="str">
        <f>INDEX('Revenue by Customer'!W:W,MATCH('Full Customer List'!$B311,'Revenue by Customer'!$A:$A,0))</f>
        <v/>
      </c>
      <c r="X311" s="192" t="str">
        <f>INDEX('Revenue by Customer'!X:X,MATCH('Full Customer List'!$B311,'Revenue by Customer'!$A:$A,0))</f>
        <v/>
      </c>
      <c r="Y311" s="192" t="str">
        <f>INDEX('Revenue by Customer'!Y:Y,MATCH('Full Customer List'!$B311,'Revenue by Customer'!$A:$A,0))</f>
        <v/>
      </c>
      <c r="Z311" s="192" t="str">
        <f>INDEX('Revenue by Customer'!Z:Z,MATCH('Full Customer List'!$B311,'Revenue by Customer'!$A:$A,0))</f>
        <v/>
      </c>
      <c r="AA311" s="192" t="str">
        <f>INDEX('Revenue by Customer'!AA:AA,MATCH('Full Customer List'!$B311,'Revenue by Customer'!$A:$A,0))</f>
        <v/>
      </c>
      <c r="AB311" s="192" t="str">
        <f>INDEX('Revenue by Customer'!AB:AB,MATCH('Full Customer List'!$B311,'Revenue by Customer'!$A:$A,0))</f>
        <v/>
      </c>
      <c r="AC311" s="192" t="str">
        <f>INDEX('Revenue by Customer'!AC:AC,MATCH('Full Customer List'!$B311,'Revenue by Customer'!$A:$A,0))</f>
        <v/>
      </c>
    </row>
    <row r="312" spans="2:29" ht="12" customHeight="1">
      <c r="B312" s="173" t="s">
        <v>966</v>
      </c>
      <c r="C312" s="173" t="str">
        <f>INDEX('Customer List'!$B:$B,MATCH('Full Customer List'!$B312,'Customer List'!$A:$A,0))</f>
        <v>Former client</v>
      </c>
      <c r="D312" s="173" t="str">
        <f>INDEX('Customer List'!$C:$C,MATCH('Full Customer List'!$B312,'Customer List'!$A:$A,0))</f>
        <v>Short-term rental (departed)</v>
      </c>
      <c r="E312" s="173" t="str">
        <f>INDEX('Customer List Mapping'!$C:$C,MATCH('Full Customer List'!D312,'Customer List Mapping'!$B:$B,0))</f>
        <v>Short-Term Rental</v>
      </c>
      <c r="F312" s="192" t="str">
        <f>INDEX('Customer List'!$K:$K,MATCH('Full Customer List'!$B312,'Customer List'!$A:$A,0))</f>
        <v/>
      </c>
      <c r="G312" s="192">
        <f>INDEX('Revenue by Customer'!$I:$I,MATCH('Full Customer List'!$B312,'Revenue by Customer'!$A:$A,0))</f>
        <v>85</v>
      </c>
      <c r="H312" s="257" t="str">
        <f>IFERROR(IF(C312="Active","",INDEX('Client Departures'!$G:$G,MATCH('Full Customer List'!$B312,'Client Departures'!$A:$A,0))),"Unclassified")</f>
        <v>No</v>
      </c>
      <c r="I312" s="196">
        <v>45689</v>
      </c>
      <c r="J312" s="196">
        <v>45716</v>
      </c>
      <c r="K312" s="192" t="str">
        <f>INDEX('Revenue by Customer'!K:K,MATCH('Full Customer List'!$B312,'Revenue by Customer'!$A:$A,0))</f>
        <v/>
      </c>
      <c r="L312" s="192">
        <f>INDEX('Revenue by Customer'!L:L,MATCH('Full Customer List'!$B312,'Revenue by Customer'!$A:$A,0))</f>
        <v>85</v>
      </c>
      <c r="M312" s="192" t="str">
        <f>INDEX('Revenue by Customer'!M:M,MATCH('Full Customer List'!$B312,'Revenue by Customer'!$A:$A,0))</f>
        <v/>
      </c>
      <c r="N312" s="192" t="str">
        <f>INDEX('Revenue by Customer'!N:N,MATCH('Full Customer List'!$B312,'Revenue by Customer'!$A:$A,0))</f>
        <v/>
      </c>
      <c r="O312" s="192" t="str">
        <f>INDEX('Revenue by Customer'!O:O,MATCH('Full Customer List'!$B312,'Revenue by Customer'!$A:$A,0))</f>
        <v/>
      </c>
      <c r="P312" s="192" t="str">
        <f>INDEX('Revenue by Customer'!P:P,MATCH('Full Customer List'!$B312,'Revenue by Customer'!$A:$A,0))</f>
        <v/>
      </c>
      <c r="Q312" s="192" t="str">
        <f>INDEX('Revenue by Customer'!Q:Q,MATCH('Full Customer List'!$B312,'Revenue by Customer'!$A:$A,0))</f>
        <v/>
      </c>
      <c r="R312" s="192" t="str">
        <f>INDEX('Revenue by Customer'!R:R,MATCH('Full Customer List'!$B312,'Revenue by Customer'!$A:$A,0))</f>
        <v/>
      </c>
      <c r="S312" s="192" t="str">
        <f>INDEX('Revenue by Customer'!S:S,MATCH('Full Customer List'!$B312,'Revenue by Customer'!$A:$A,0))</f>
        <v/>
      </c>
      <c r="T312" s="192" t="str">
        <f>INDEX('Revenue by Customer'!T:T,MATCH('Full Customer List'!$B312,'Revenue by Customer'!$A:$A,0))</f>
        <v/>
      </c>
      <c r="U312" s="192" t="str">
        <f>INDEX('Revenue by Customer'!U:U,MATCH('Full Customer List'!$B312,'Revenue by Customer'!$A:$A,0))</f>
        <v/>
      </c>
      <c r="V312" s="192" t="str">
        <f>INDEX('Revenue by Customer'!V:V,MATCH('Full Customer List'!$B312,'Revenue by Customer'!$A:$A,0))</f>
        <v/>
      </c>
      <c r="W312" s="192" t="str">
        <f>INDEX('Revenue by Customer'!W:W,MATCH('Full Customer List'!$B312,'Revenue by Customer'!$A:$A,0))</f>
        <v/>
      </c>
      <c r="X312" s="192" t="str">
        <f>INDEX('Revenue by Customer'!X:X,MATCH('Full Customer List'!$B312,'Revenue by Customer'!$A:$A,0))</f>
        <v/>
      </c>
      <c r="Y312" s="192" t="str">
        <f>INDEX('Revenue by Customer'!Y:Y,MATCH('Full Customer List'!$B312,'Revenue by Customer'!$A:$A,0))</f>
        <v/>
      </c>
      <c r="Z312" s="192" t="str">
        <f>INDEX('Revenue by Customer'!Z:Z,MATCH('Full Customer List'!$B312,'Revenue by Customer'!$A:$A,0))</f>
        <v/>
      </c>
      <c r="AA312" s="192" t="str">
        <f>INDEX('Revenue by Customer'!AA:AA,MATCH('Full Customer List'!$B312,'Revenue by Customer'!$A:$A,0))</f>
        <v/>
      </c>
      <c r="AB312" s="192" t="str">
        <f>INDEX('Revenue by Customer'!AB:AB,MATCH('Full Customer List'!$B312,'Revenue by Customer'!$A:$A,0))</f>
        <v/>
      </c>
      <c r="AC312" s="192" t="str">
        <f>INDEX('Revenue by Customer'!AC:AC,MATCH('Full Customer List'!$B312,'Revenue by Customer'!$A:$A,0))</f>
        <v/>
      </c>
    </row>
    <row r="313" spans="2:29" ht="12" customHeight="1">
      <c r="B313" s="173" t="s">
        <v>967</v>
      </c>
      <c r="C313" s="173" t="str">
        <f>INDEX('Customer List'!$B:$B,MATCH('Full Customer List'!$B313,'Customer List'!$A:$A,0))</f>
        <v>Former client</v>
      </c>
      <c r="D313" s="173" t="str">
        <f>INDEX('Customer List'!$C:$C,MATCH('Full Customer List'!$B313,'Customer List'!$A:$A,0))</f>
        <v>Small business (departed)</v>
      </c>
      <c r="E313" s="173" t="str">
        <f>INDEX('Customer List Mapping'!$C:$C,MATCH('Full Customer List'!D313,'Customer List Mapping'!$B:$B,0))</f>
        <v>Small Business</v>
      </c>
      <c r="F313" s="192" t="str">
        <f>INDEX('Customer List'!$K:$K,MATCH('Full Customer List'!$B313,'Customer List'!$A:$A,0))</f>
        <v/>
      </c>
      <c r="G313" s="192">
        <f>INDEX('Revenue by Customer'!$I:$I,MATCH('Full Customer List'!$B313,'Revenue by Customer'!$A:$A,0))</f>
        <v>15</v>
      </c>
      <c r="H313" s="257" t="str">
        <f>IFERROR(IF(C313="Active","",INDEX('Client Departures'!$G:$G,MATCH('Full Customer List'!$B313,'Client Departures'!$A:$A,0))),"Unclassified")</f>
        <v>Yes</v>
      </c>
      <c r="I313" s="196">
        <v>44470</v>
      </c>
      <c r="J313" s="196">
        <v>45657</v>
      </c>
      <c r="K313" s="192">
        <f>INDEX('Revenue by Customer'!K:K,MATCH('Full Customer List'!$B313,'Revenue by Customer'!$A:$A,0))</f>
        <v>15</v>
      </c>
      <c r="L313" s="192" t="str">
        <f>INDEX('Revenue by Customer'!L:L,MATCH('Full Customer List'!$B313,'Revenue by Customer'!$A:$A,0))</f>
        <v/>
      </c>
      <c r="M313" s="192" t="str">
        <f>INDEX('Revenue by Customer'!M:M,MATCH('Full Customer List'!$B313,'Revenue by Customer'!$A:$A,0))</f>
        <v/>
      </c>
      <c r="N313" s="192" t="str">
        <f>INDEX('Revenue by Customer'!N:N,MATCH('Full Customer List'!$B313,'Revenue by Customer'!$A:$A,0))</f>
        <v/>
      </c>
      <c r="O313" s="192" t="str">
        <f>INDEX('Revenue by Customer'!O:O,MATCH('Full Customer List'!$B313,'Revenue by Customer'!$A:$A,0))</f>
        <v/>
      </c>
      <c r="P313" s="192" t="str">
        <f>INDEX('Revenue by Customer'!P:P,MATCH('Full Customer List'!$B313,'Revenue by Customer'!$A:$A,0))</f>
        <v/>
      </c>
      <c r="Q313" s="192" t="str">
        <f>INDEX('Revenue by Customer'!Q:Q,MATCH('Full Customer List'!$B313,'Revenue by Customer'!$A:$A,0))</f>
        <v/>
      </c>
      <c r="R313" s="192" t="str">
        <f>INDEX('Revenue by Customer'!R:R,MATCH('Full Customer List'!$B313,'Revenue by Customer'!$A:$A,0))</f>
        <v/>
      </c>
      <c r="S313" s="192" t="str">
        <f>INDEX('Revenue by Customer'!S:S,MATCH('Full Customer List'!$B313,'Revenue by Customer'!$A:$A,0))</f>
        <v/>
      </c>
      <c r="T313" s="192" t="str">
        <f>INDEX('Revenue by Customer'!T:T,MATCH('Full Customer List'!$B313,'Revenue by Customer'!$A:$A,0))</f>
        <v/>
      </c>
      <c r="U313" s="192" t="str">
        <f>INDEX('Revenue by Customer'!U:U,MATCH('Full Customer List'!$B313,'Revenue by Customer'!$A:$A,0))</f>
        <v/>
      </c>
      <c r="V313" s="192" t="str">
        <f>INDEX('Revenue by Customer'!V:V,MATCH('Full Customer List'!$B313,'Revenue by Customer'!$A:$A,0))</f>
        <v/>
      </c>
      <c r="W313" s="192" t="str">
        <f>INDEX('Revenue by Customer'!W:W,MATCH('Full Customer List'!$B313,'Revenue by Customer'!$A:$A,0))</f>
        <v/>
      </c>
      <c r="X313" s="192" t="str">
        <f>INDEX('Revenue by Customer'!X:X,MATCH('Full Customer List'!$B313,'Revenue by Customer'!$A:$A,0))</f>
        <v/>
      </c>
      <c r="Y313" s="192" t="str">
        <f>INDEX('Revenue by Customer'!Y:Y,MATCH('Full Customer List'!$B313,'Revenue by Customer'!$A:$A,0))</f>
        <v/>
      </c>
      <c r="Z313" s="192" t="str">
        <f>INDEX('Revenue by Customer'!Z:Z,MATCH('Full Customer List'!$B313,'Revenue by Customer'!$A:$A,0))</f>
        <v/>
      </c>
      <c r="AA313" s="192" t="str">
        <f>INDEX('Revenue by Customer'!AA:AA,MATCH('Full Customer List'!$B313,'Revenue by Customer'!$A:$A,0))</f>
        <v/>
      </c>
      <c r="AB313" s="192" t="str">
        <f>INDEX('Revenue by Customer'!AB:AB,MATCH('Full Customer List'!$B313,'Revenue by Customer'!$A:$A,0))</f>
        <v/>
      </c>
      <c r="AC313" s="192" t="str">
        <f>INDEX('Revenue by Customer'!AC:AC,MATCH('Full Customer List'!$B313,'Revenue by Customer'!$A:$A,0))</f>
        <v/>
      </c>
    </row>
    <row r="314" spans="2:29">
      <c r="B314" s="222" t="s">
        <v>1543</v>
      </c>
      <c r="C314" s="222" t="s">
        <v>502</v>
      </c>
      <c r="D314" s="222" t="s">
        <v>503</v>
      </c>
      <c r="E314" s="222" t="s">
        <v>1306</v>
      </c>
      <c r="G314" s="82">
        <v>1902</v>
      </c>
      <c r="H314" s="257" t="str">
        <f>IFERROR(IF(C314="Active","",INDEX('Client Departures'!$G:$G,MATCH('Full Customer List'!$B314,'Client Departures'!$A:$A,0))),"Unclassified")</f>
        <v/>
      </c>
      <c r="I314" s="249">
        <v>46235</v>
      </c>
    </row>
    <row r="315" spans="2:29">
      <c r="B315" s="222" t="s">
        <v>1544</v>
      </c>
      <c r="C315" s="222" t="s">
        <v>502</v>
      </c>
      <c r="D315" s="222" t="s">
        <v>503</v>
      </c>
      <c r="E315" s="222" t="s">
        <v>1306</v>
      </c>
      <c r="G315" s="82">
        <v>1410</v>
      </c>
      <c r="H315" s="257" t="str">
        <f>IFERROR(IF(C315="Active","",INDEX('Client Departures'!$G:$G,MATCH('Full Customer List'!$B315,'Client Departures'!$A:$A,0))),"Unclassified")</f>
        <v/>
      </c>
      <c r="I315" s="249">
        <v>46235</v>
      </c>
    </row>
    <row r="316" spans="2:29">
      <c r="B316" s="222" t="s">
        <v>1545</v>
      </c>
      <c r="C316" s="222" t="s">
        <v>502</v>
      </c>
      <c r="D316" s="222" t="s">
        <v>503</v>
      </c>
      <c r="E316" s="222" t="s">
        <v>1306</v>
      </c>
      <c r="G316" s="82">
        <v>1566</v>
      </c>
      <c r="H316" s="257" t="str">
        <f>IFERROR(IF(C316="Active","",INDEX('Client Departures'!$G:$G,MATCH('Full Customer List'!$B316,'Client Departures'!$A:$A,0))),"Unclassified")</f>
        <v/>
      </c>
      <c r="I316" s="249">
        <v>46235</v>
      </c>
    </row>
    <row r="317" spans="2:29">
      <c r="B317" s="222" t="s">
        <v>1546</v>
      </c>
      <c r="C317" s="222" t="s">
        <v>502</v>
      </c>
      <c r="D317" s="222" t="s">
        <v>503</v>
      </c>
      <c r="E317" s="222" t="s">
        <v>1306</v>
      </c>
      <c r="F317" s="222">
        <v>14</v>
      </c>
      <c r="G317" s="82">
        <v>850</v>
      </c>
      <c r="H317" s="257" t="str">
        <f>IFERROR(IF(C317="Active","",INDEX('Client Departures'!$G:$G,MATCH('Full Customer List'!$B317,'Client Departures'!$A:$A,0))),"Unclassified")</f>
        <v/>
      </c>
      <c r="I317" s="249">
        <v>46266</v>
      </c>
    </row>
    <row r="318" spans="2:29">
      <c r="B318" s="222" t="s">
        <v>1547</v>
      </c>
      <c r="C318" s="222" t="s">
        <v>502</v>
      </c>
      <c r="D318" s="222" t="s">
        <v>503</v>
      </c>
      <c r="E318" s="222" t="s">
        <v>1306</v>
      </c>
      <c r="F318" s="222">
        <v>2</v>
      </c>
      <c r="G318" s="82">
        <v>145</v>
      </c>
      <c r="H318" s="257" t="str">
        <f>IFERROR(IF(C318="Active","",INDEX('Client Departures'!$G:$G,MATCH('Full Customer List'!$B318,'Client Departures'!$A:$A,0))),"Unclassified")</f>
        <v/>
      </c>
      <c r="I318" s="249">
        <v>46266</v>
      </c>
    </row>
    <row r="319" spans="2:29">
      <c r="B319" s="222" t="s">
        <v>1548</v>
      </c>
      <c r="C319" s="222" t="s">
        <v>502</v>
      </c>
      <c r="D319" s="222" t="s">
        <v>503</v>
      </c>
      <c r="E319" s="222" t="s">
        <v>1306</v>
      </c>
      <c r="F319" s="222">
        <v>15</v>
      </c>
      <c r="G319" s="82">
        <v>910</v>
      </c>
      <c r="H319" s="257" t="str">
        <f>IFERROR(IF(C319="Active","",INDEX('Client Departures'!$G:$G,MATCH('Full Customer List'!$B319,'Client Departures'!$A:$A,0))),"Unclassified")</f>
        <v/>
      </c>
      <c r="I319" s="249">
        <v>46266</v>
      </c>
    </row>
    <row r="320" spans="2:29">
      <c r="B320" s="222" t="s">
        <v>1549</v>
      </c>
      <c r="C320" s="222" t="s">
        <v>502</v>
      </c>
      <c r="D320" s="222" t="s">
        <v>503</v>
      </c>
      <c r="E320" s="222" t="s">
        <v>1306</v>
      </c>
      <c r="F320" s="222">
        <v>55</v>
      </c>
      <c r="G320" s="82">
        <v>3990</v>
      </c>
      <c r="H320" s="257" t="str">
        <f>IFERROR(IF(C320="Active","",INDEX('Client Departures'!$G:$G,MATCH('Full Customer List'!$B320,'Client Departures'!$A:$A,0))),"Unclassified")</f>
        <v/>
      </c>
      <c r="I320" s="249">
        <v>46266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topLeftCell="A40" zoomScale="115" zoomScaleNormal="115" workbookViewId="0">
      <selection activeCell="G78" sqref="G78"/>
    </sheetView>
  </sheetViews>
  <sheetFormatPr defaultColWidth="9" defaultRowHeight="15.75"/>
  <cols>
    <col min="1" max="1" width="24.28515625" style="147" customWidth="1"/>
    <col min="2" max="2" width="15.85546875" style="147" customWidth="1"/>
    <col min="3" max="3" width="24.28515625" style="147" customWidth="1"/>
    <col min="4" max="4" width="20" style="147" customWidth="1"/>
    <col min="5" max="5" width="18" style="147" customWidth="1"/>
    <col min="6" max="6" width="21.140625" style="147" customWidth="1"/>
    <col min="7" max="7" width="15.85546875" style="147" customWidth="1"/>
    <col min="8" max="8" width="50" style="147" customWidth="1"/>
    <col min="9" max="16384" width="9" style="147"/>
  </cols>
  <sheetData>
    <row r="1" spans="1:8">
      <c r="A1" s="147" t="s">
        <v>1238</v>
      </c>
    </row>
    <row r="2" spans="1:8">
      <c r="A2" s="147" t="s">
        <v>1239</v>
      </c>
    </row>
    <row r="3" spans="1:8">
      <c r="A3" s="147" t="s">
        <v>1240</v>
      </c>
    </row>
    <row r="4" spans="1:8">
      <c r="A4" s="147" t="s">
        <v>1241</v>
      </c>
    </row>
    <row r="6" spans="1:8">
      <c r="A6" s="147" t="s">
        <v>1242</v>
      </c>
    </row>
    <row r="7" spans="1:8">
      <c r="A7" s="147" t="s">
        <v>1243</v>
      </c>
    </row>
    <row r="8" spans="1:8">
      <c r="A8" s="147" t="s">
        <v>1244</v>
      </c>
    </row>
    <row r="9" spans="1:8">
      <c r="A9" s="147" t="s">
        <v>1245</v>
      </c>
    </row>
    <row r="11" spans="1:8">
      <c r="A11" s="147" t="s">
        <v>1246</v>
      </c>
    </row>
    <row r="12" spans="1:8">
      <c r="A12" s="147" t="s">
        <v>1247</v>
      </c>
      <c r="B12" s="147" t="s">
        <v>1248</v>
      </c>
      <c r="C12" s="147" t="s">
        <v>1249</v>
      </c>
      <c r="D12" s="147" t="s">
        <v>1250</v>
      </c>
      <c r="E12" s="147" t="s">
        <v>1251</v>
      </c>
      <c r="F12" s="147" t="s">
        <v>1252</v>
      </c>
      <c r="G12" s="147" t="s">
        <v>1253</v>
      </c>
      <c r="H12" s="147" t="s">
        <v>1254</v>
      </c>
    </row>
    <row r="13" spans="1:8">
      <c r="A13" s="147">
        <v>2023</v>
      </c>
      <c r="B13" s="148">
        <v>20</v>
      </c>
      <c r="C13" s="148">
        <v>9179</v>
      </c>
      <c r="D13" s="147">
        <v>10</v>
      </c>
      <c r="E13" s="172">
        <v>0.5</v>
      </c>
      <c r="F13" s="147" t="s">
        <v>343</v>
      </c>
      <c r="G13" s="147" t="s">
        <v>343</v>
      </c>
      <c r="H13" s="147" t="s">
        <v>1255</v>
      </c>
    </row>
    <row r="14" spans="1:8">
      <c r="A14" s="147">
        <v>2024</v>
      </c>
      <c r="B14" s="148">
        <v>34</v>
      </c>
      <c r="C14" s="148">
        <v>22411</v>
      </c>
      <c r="D14" s="147">
        <v>28</v>
      </c>
      <c r="E14" s="172">
        <v>0.82352941176470584</v>
      </c>
      <c r="F14" s="148">
        <v>95046.620833333334</v>
      </c>
      <c r="G14" s="147">
        <v>0.23578955047016617</v>
      </c>
      <c r="H14" s="147" t="s">
        <v>343</v>
      </c>
    </row>
    <row r="15" spans="1:8">
      <c r="A15" s="147">
        <v>2025</v>
      </c>
      <c r="B15" s="148">
        <v>51</v>
      </c>
      <c r="C15" s="148">
        <v>29766</v>
      </c>
      <c r="D15" s="147">
        <v>30</v>
      </c>
      <c r="E15" s="172">
        <v>0.58823529411764708</v>
      </c>
      <c r="F15" s="148">
        <v>156242.21583333335</v>
      </c>
      <c r="G15" s="147">
        <v>0.19051189104839616</v>
      </c>
      <c r="H15" s="147" t="s">
        <v>343</v>
      </c>
    </row>
    <row r="16" spans="1:8">
      <c r="A16" s="147">
        <v>2026</v>
      </c>
      <c r="B16" s="148">
        <v>50</v>
      </c>
      <c r="C16" s="148">
        <v>31809</v>
      </c>
      <c r="D16" s="147">
        <v>40</v>
      </c>
      <c r="E16" s="172">
        <v>0.8</v>
      </c>
      <c r="F16" s="148">
        <v>238228.3314285714</v>
      </c>
      <c r="G16" s="147">
        <v>0.22889684849286729</v>
      </c>
      <c r="H16" s="147" t="s">
        <v>1256</v>
      </c>
    </row>
    <row r="17" spans="1:8">
      <c r="A17" s="147" t="s">
        <v>454</v>
      </c>
      <c r="B17" s="148">
        <v>155</v>
      </c>
      <c r="C17" s="148">
        <v>93165</v>
      </c>
      <c r="D17" s="147">
        <v>108</v>
      </c>
      <c r="E17" s="172">
        <v>0.6967741935483871</v>
      </c>
      <c r="F17" s="147" t="s">
        <v>343</v>
      </c>
      <c r="G17" s="147" t="s">
        <v>343</v>
      </c>
      <c r="H17" s="147" t="s">
        <v>343</v>
      </c>
    </row>
    <row r="19" spans="1:8">
      <c r="A19" s="147" t="s">
        <v>1257</v>
      </c>
      <c r="B19" s="148">
        <v>3</v>
      </c>
      <c r="C19" s="148">
        <v>4513</v>
      </c>
      <c r="D19" s="147" t="s">
        <v>343</v>
      </c>
      <c r="E19" s="147" t="s">
        <v>343</v>
      </c>
      <c r="F19" s="147" t="s">
        <v>343</v>
      </c>
      <c r="G19" s="147" t="s">
        <v>343</v>
      </c>
      <c r="H19" s="147" t="s">
        <v>1258</v>
      </c>
    </row>
    <row r="21" spans="1:8">
      <c r="A21" s="147" t="s">
        <v>1259</v>
      </c>
    </row>
    <row r="22" spans="1:8">
      <c r="A22" s="147" t="s">
        <v>1260</v>
      </c>
    </row>
    <row r="24" spans="1:8">
      <c r="A24" s="147" t="s">
        <v>1261</v>
      </c>
    </row>
    <row r="26" spans="1:8">
      <c r="A26" s="147" t="s">
        <v>1262</v>
      </c>
    </row>
    <row r="27" spans="1:8">
      <c r="A27" s="147" t="s">
        <v>1263</v>
      </c>
      <c r="B27" s="147" t="s">
        <v>1264</v>
      </c>
      <c r="C27" s="147" t="s">
        <v>1265</v>
      </c>
      <c r="D27" s="147" t="s">
        <v>1266</v>
      </c>
      <c r="E27" s="147" t="s">
        <v>1250</v>
      </c>
    </row>
    <row r="28" spans="1:8">
      <c r="A28" s="147" t="s">
        <v>1267</v>
      </c>
      <c r="B28" s="148">
        <v>33</v>
      </c>
      <c r="C28" s="148">
        <v>27480</v>
      </c>
      <c r="D28" s="147">
        <v>0.19075144508670519</v>
      </c>
      <c r="E28" s="172">
        <v>28</v>
      </c>
    </row>
    <row r="29" spans="1:8">
      <c r="A29" s="147" t="s">
        <v>1268</v>
      </c>
      <c r="B29" s="148">
        <v>33</v>
      </c>
      <c r="C29" s="148">
        <v>24312.75</v>
      </c>
      <c r="D29" s="147">
        <v>0.19075144508670519</v>
      </c>
      <c r="E29" s="172">
        <v>27</v>
      </c>
    </row>
    <row r="30" spans="1:8">
      <c r="A30" s="147" t="s">
        <v>1269</v>
      </c>
      <c r="B30" s="148">
        <v>25</v>
      </c>
      <c r="C30" s="148">
        <v>10399</v>
      </c>
      <c r="D30" s="147">
        <v>0.14450867052023122</v>
      </c>
      <c r="E30" s="172">
        <v>21</v>
      </c>
    </row>
    <row r="31" spans="1:8">
      <c r="A31" s="147" t="s">
        <v>1270</v>
      </c>
      <c r="B31" s="148">
        <v>24</v>
      </c>
      <c r="C31" s="148">
        <v>10405.25</v>
      </c>
      <c r="D31" s="147">
        <v>0.13872832369942195</v>
      </c>
      <c r="E31" s="172">
        <v>22</v>
      </c>
    </row>
    <row r="32" spans="1:8">
      <c r="A32" s="147" t="s">
        <v>1271</v>
      </c>
      <c r="B32" s="148">
        <v>18</v>
      </c>
      <c r="C32" s="148">
        <v>12892</v>
      </c>
      <c r="D32" s="147">
        <v>0.10404624277456648</v>
      </c>
      <c r="E32" s="172">
        <v>2</v>
      </c>
    </row>
    <row r="33" spans="1:5">
      <c r="A33" s="147" t="s">
        <v>1272</v>
      </c>
      <c r="B33" s="148">
        <v>15</v>
      </c>
      <c r="C33" s="148">
        <v>8020</v>
      </c>
      <c r="D33" s="147">
        <v>8.6705202312138727E-2</v>
      </c>
      <c r="E33" s="172">
        <v>0</v>
      </c>
    </row>
    <row r="34" spans="1:5">
      <c r="A34" s="147" t="s">
        <v>1273</v>
      </c>
      <c r="B34" s="148">
        <v>11</v>
      </c>
      <c r="C34" s="148">
        <v>3773</v>
      </c>
      <c r="D34" s="147">
        <v>6.358381502890173E-2</v>
      </c>
      <c r="E34" s="172">
        <v>3</v>
      </c>
    </row>
    <row r="35" spans="1:5">
      <c r="A35" s="147" t="s">
        <v>1274</v>
      </c>
      <c r="B35" s="148">
        <v>6</v>
      </c>
      <c r="C35" s="148">
        <v>1868</v>
      </c>
      <c r="D35" s="147">
        <v>3.4682080924855488E-2</v>
      </c>
      <c r="E35" s="172">
        <v>1</v>
      </c>
    </row>
    <row r="36" spans="1:5">
      <c r="A36" s="147" t="s">
        <v>1275</v>
      </c>
      <c r="B36" s="148">
        <v>5</v>
      </c>
      <c r="C36" s="148">
        <v>1710</v>
      </c>
      <c r="D36" s="147">
        <v>2.8901734104046242E-2</v>
      </c>
      <c r="E36" s="172">
        <v>4</v>
      </c>
    </row>
    <row r="37" spans="1:5">
      <c r="A37" s="147" t="s">
        <v>1276</v>
      </c>
      <c r="B37" s="148">
        <v>1</v>
      </c>
      <c r="C37" s="148">
        <v>675</v>
      </c>
      <c r="D37" s="147">
        <v>5.7803468208092483E-3</v>
      </c>
      <c r="E37" s="172">
        <v>1</v>
      </c>
    </row>
    <row r="38" spans="1:5">
      <c r="A38" s="147" t="s">
        <v>1277</v>
      </c>
      <c r="B38" s="148">
        <v>1</v>
      </c>
      <c r="C38" s="148">
        <v>1500</v>
      </c>
      <c r="D38" s="147">
        <v>5.7803468208092483E-3</v>
      </c>
      <c r="E38" s="172">
        <v>0</v>
      </c>
    </row>
    <row r="39" spans="1:5">
      <c r="A39" s="147" t="s">
        <v>1278</v>
      </c>
      <c r="B39" s="148">
        <v>1</v>
      </c>
      <c r="C39" s="148">
        <v>2663</v>
      </c>
      <c r="D39" s="147">
        <v>5.7803468208092483E-3</v>
      </c>
      <c r="E39" s="172">
        <v>1</v>
      </c>
    </row>
    <row r="40" spans="1:5">
      <c r="A40" s="147" t="s">
        <v>454</v>
      </c>
      <c r="B40" s="148">
        <v>173</v>
      </c>
      <c r="C40" s="148">
        <v>105698</v>
      </c>
      <c r="D40" s="147">
        <v>1</v>
      </c>
      <c r="E40" s="172">
        <v>110</v>
      </c>
    </row>
    <row r="42" spans="1:5">
      <c r="A42" s="147" t="s">
        <v>1279</v>
      </c>
    </row>
    <row r="43" spans="1:5">
      <c r="A43" s="147" t="s">
        <v>1280</v>
      </c>
    </row>
    <row r="44" spans="1:5">
      <c r="A44" s="147" t="s">
        <v>1281</v>
      </c>
    </row>
    <row r="46" spans="1:5">
      <c r="A46" s="147" t="s">
        <v>1282</v>
      </c>
    </row>
    <row r="47" spans="1:5">
      <c r="A47" s="147" t="s">
        <v>1283</v>
      </c>
      <c r="B47" s="147" t="s">
        <v>1248</v>
      </c>
      <c r="C47" s="147" t="s">
        <v>1249</v>
      </c>
      <c r="D47" s="147" t="s">
        <v>1284</v>
      </c>
    </row>
    <row r="48" spans="1:5">
      <c r="A48" s="147" t="s">
        <v>1285</v>
      </c>
      <c r="B48" s="148">
        <v>18</v>
      </c>
      <c r="C48" s="148">
        <v>2287</v>
      </c>
      <c r="D48" s="147">
        <v>2.1637117069386366E-2</v>
      </c>
    </row>
    <row r="49" spans="1:8">
      <c r="A49" s="147" t="s">
        <v>1286</v>
      </c>
      <c r="B49" s="148">
        <v>93</v>
      </c>
      <c r="C49" s="148">
        <v>33419</v>
      </c>
      <c r="D49" s="147">
        <v>0.31617438362126055</v>
      </c>
    </row>
    <row r="50" spans="1:8">
      <c r="A50" s="147" t="s">
        <v>1287</v>
      </c>
      <c r="B50" s="148">
        <v>38</v>
      </c>
      <c r="C50" s="148">
        <v>24331</v>
      </c>
      <c r="D50" s="147">
        <v>0.23019357036083937</v>
      </c>
    </row>
    <row r="51" spans="1:8">
      <c r="A51" s="147" t="s">
        <v>1288</v>
      </c>
      <c r="B51" s="148">
        <v>17</v>
      </c>
      <c r="C51" s="148">
        <v>25867</v>
      </c>
      <c r="D51" s="147">
        <v>0.24472553879922043</v>
      </c>
    </row>
    <row r="52" spans="1:8">
      <c r="A52" s="147" t="s">
        <v>1289</v>
      </c>
      <c r="B52" s="148">
        <v>7</v>
      </c>
      <c r="C52" s="148">
        <v>19794</v>
      </c>
      <c r="D52" s="147">
        <v>0.18726939014929328</v>
      </c>
    </row>
    <row r="54" spans="1:8">
      <c r="A54" s="147" t="s">
        <v>1290</v>
      </c>
    </row>
    <row r="55" spans="1:8">
      <c r="A55" s="147" t="s">
        <v>1291</v>
      </c>
      <c r="B55" s="147" t="s">
        <v>1292</v>
      </c>
      <c r="C55" s="147" t="s">
        <v>1293</v>
      </c>
      <c r="D55" s="147" t="s">
        <v>1264</v>
      </c>
    </row>
    <row r="56" spans="1:8">
      <c r="A56" s="147" t="s">
        <v>1294</v>
      </c>
      <c r="B56" s="148">
        <v>12</v>
      </c>
      <c r="C56" s="148">
        <v>19.027027027027028</v>
      </c>
      <c r="D56" s="147">
        <v>111</v>
      </c>
    </row>
    <row r="57" spans="1:8">
      <c r="A57" s="147" t="s">
        <v>1295</v>
      </c>
      <c r="B57" s="148">
        <v>16</v>
      </c>
      <c r="C57" s="148">
        <v>18.79032258064516</v>
      </c>
      <c r="D57" s="147">
        <v>62</v>
      </c>
    </row>
    <row r="59" spans="1:8">
      <c r="A59" s="147" t="s">
        <v>1296</v>
      </c>
    </row>
    <row r="60" spans="1:8">
      <c r="A60" s="147" t="s">
        <v>1297</v>
      </c>
    </row>
    <row r="61" spans="1:8">
      <c r="A61" s="147" t="s">
        <v>471</v>
      </c>
      <c r="B61" s="147" t="s">
        <v>1190</v>
      </c>
      <c r="C61" s="147" t="s">
        <v>476</v>
      </c>
      <c r="D61" s="147" t="s">
        <v>478</v>
      </c>
      <c r="E61" s="147" t="s">
        <v>477</v>
      </c>
      <c r="F61" s="147" t="s">
        <v>1283</v>
      </c>
      <c r="G61" s="147" t="s">
        <v>1298</v>
      </c>
      <c r="H61" s="147" t="s">
        <v>1263</v>
      </c>
    </row>
    <row r="62" spans="1:8">
      <c r="A62" s="147" t="s">
        <v>626</v>
      </c>
      <c r="B62" s="147" t="s">
        <v>504</v>
      </c>
      <c r="C62" s="147" t="s">
        <v>200</v>
      </c>
      <c r="D62" s="147" t="s">
        <v>627</v>
      </c>
      <c r="E62" s="172">
        <v>19</v>
      </c>
      <c r="F62" s="148">
        <v>2663</v>
      </c>
      <c r="G62" s="147" t="s">
        <v>509</v>
      </c>
      <c r="H62" s="147" t="s">
        <v>1278</v>
      </c>
    </row>
    <row r="63" spans="1:8">
      <c r="A63" s="147" t="s">
        <v>755</v>
      </c>
      <c r="B63" s="147" t="s">
        <v>504</v>
      </c>
      <c r="C63" s="147" t="s">
        <v>245</v>
      </c>
      <c r="D63" s="147" t="s">
        <v>627</v>
      </c>
      <c r="E63" s="172">
        <v>4</v>
      </c>
      <c r="F63" s="148">
        <v>1500</v>
      </c>
      <c r="G63" s="147" t="s">
        <v>510</v>
      </c>
      <c r="H63" s="147" t="s">
        <v>1277</v>
      </c>
    </row>
    <row r="64" spans="1:8">
      <c r="A64" s="147" t="s">
        <v>636</v>
      </c>
      <c r="B64" s="147" t="s">
        <v>1299</v>
      </c>
      <c r="C64" s="147" t="s">
        <v>639</v>
      </c>
      <c r="D64" s="147" t="s">
        <v>627</v>
      </c>
      <c r="E64" s="172">
        <v>63</v>
      </c>
      <c r="F64" s="148">
        <v>1330</v>
      </c>
      <c r="G64" s="147" t="s">
        <v>510</v>
      </c>
      <c r="H64" s="147" t="s">
        <v>1272</v>
      </c>
    </row>
    <row r="65" spans="1:8">
      <c r="A65" s="147" t="s">
        <v>693</v>
      </c>
      <c r="B65" s="147" t="s">
        <v>1299</v>
      </c>
      <c r="C65" s="147" t="s">
        <v>695</v>
      </c>
      <c r="D65" s="147" t="s">
        <v>627</v>
      </c>
      <c r="E65" s="172">
        <v>45</v>
      </c>
      <c r="F65" s="148">
        <v>850</v>
      </c>
      <c r="G65" s="147" t="s">
        <v>510</v>
      </c>
      <c r="H65" s="147" t="s">
        <v>1272</v>
      </c>
    </row>
    <row r="66" spans="1:8">
      <c r="A66" s="147" t="s">
        <v>704</v>
      </c>
      <c r="B66" s="147" t="s">
        <v>1299</v>
      </c>
      <c r="C66" s="147" t="s">
        <v>639</v>
      </c>
      <c r="D66" s="147" t="s">
        <v>627</v>
      </c>
      <c r="E66" s="172">
        <v>63</v>
      </c>
      <c r="F66" s="148">
        <v>750</v>
      </c>
      <c r="G66" s="147" t="s">
        <v>510</v>
      </c>
      <c r="H66" s="147" t="s">
        <v>1272</v>
      </c>
    </row>
    <row r="67" spans="1:8">
      <c r="A67" s="147" t="s">
        <v>735</v>
      </c>
      <c r="B67" s="147" t="s">
        <v>1299</v>
      </c>
      <c r="C67" s="147" t="s">
        <v>737</v>
      </c>
      <c r="D67" s="147" t="s">
        <v>627</v>
      </c>
      <c r="E67" s="172">
        <v>52</v>
      </c>
      <c r="F67" s="148">
        <v>600</v>
      </c>
      <c r="G67" s="147" t="s">
        <v>510</v>
      </c>
      <c r="H67" s="147" t="s">
        <v>1272</v>
      </c>
    </row>
    <row r="68" spans="1:8">
      <c r="A68" s="147" t="s">
        <v>745</v>
      </c>
      <c r="B68" s="147" t="s">
        <v>1299</v>
      </c>
      <c r="C68" s="147" t="s">
        <v>747</v>
      </c>
      <c r="D68" s="147" t="s">
        <v>627</v>
      </c>
      <c r="E68" s="172">
        <v>57</v>
      </c>
      <c r="F68" s="148">
        <v>535</v>
      </c>
      <c r="G68" s="147" t="s">
        <v>510</v>
      </c>
      <c r="H68" s="147" t="s">
        <v>1272</v>
      </c>
    </row>
    <row r="69" spans="1:8">
      <c r="A69" s="147" t="s">
        <v>763</v>
      </c>
      <c r="B69" s="147" t="s">
        <v>1299</v>
      </c>
      <c r="C69" s="147" t="s">
        <v>764</v>
      </c>
      <c r="D69" s="147" t="s">
        <v>627</v>
      </c>
      <c r="E69" s="172">
        <v>36</v>
      </c>
      <c r="F69" s="148">
        <v>485</v>
      </c>
      <c r="G69" s="147" t="s">
        <v>510</v>
      </c>
      <c r="H69" s="147" t="s">
        <v>1272</v>
      </c>
    </row>
    <row r="70" spans="1:8">
      <c r="A70" s="147" t="s">
        <v>767</v>
      </c>
      <c r="B70" s="147" t="s">
        <v>1299</v>
      </c>
      <c r="C70" s="147" t="s">
        <v>737</v>
      </c>
      <c r="D70" s="147" t="s">
        <v>627</v>
      </c>
      <c r="E70" s="172">
        <v>52</v>
      </c>
      <c r="F70" s="148">
        <v>460</v>
      </c>
      <c r="G70" s="147" t="s">
        <v>510</v>
      </c>
      <c r="H70" s="147" t="s">
        <v>1272</v>
      </c>
    </row>
    <row r="71" spans="1:8">
      <c r="A71" s="147" t="s">
        <v>780</v>
      </c>
      <c r="B71" s="147" t="s">
        <v>1299</v>
      </c>
      <c r="C71" s="147" t="s">
        <v>782</v>
      </c>
      <c r="D71" s="147" t="s">
        <v>627</v>
      </c>
      <c r="E71" s="172">
        <v>43</v>
      </c>
      <c r="F71" s="148">
        <v>455</v>
      </c>
      <c r="G71" s="147" t="s">
        <v>510</v>
      </c>
      <c r="H71" s="147" t="s">
        <v>1272</v>
      </c>
    </row>
    <row r="72" spans="1:8">
      <c r="A72" s="147" t="s">
        <v>795</v>
      </c>
      <c r="B72" s="147" t="s">
        <v>1299</v>
      </c>
      <c r="C72" s="147" t="s">
        <v>129</v>
      </c>
      <c r="D72" s="147" t="s">
        <v>627</v>
      </c>
      <c r="E72" s="172">
        <v>24</v>
      </c>
      <c r="F72" s="148">
        <v>410</v>
      </c>
      <c r="G72" s="147" t="s">
        <v>510</v>
      </c>
      <c r="H72" s="147" t="s">
        <v>1272</v>
      </c>
    </row>
    <row r="73" spans="1:8">
      <c r="A73" s="147" t="s">
        <v>801</v>
      </c>
      <c r="B73" s="147" t="s">
        <v>1299</v>
      </c>
      <c r="C73" s="147" t="s">
        <v>762</v>
      </c>
      <c r="D73" s="147" t="s">
        <v>627</v>
      </c>
      <c r="E73" s="172">
        <v>47</v>
      </c>
      <c r="F73" s="148">
        <v>405</v>
      </c>
      <c r="G73" s="147" t="s">
        <v>510</v>
      </c>
      <c r="H73" s="147" t="s">
        <v>1272</v>
      </c>
    </row>
    <row r="74" spans="1:8">
      <c r="A74" s="147" t="s">
        <v>806</v>
      </c>
      <c r="B74" s="147" t="s">
        <v>1299</v>
      </c>
      <c r="C74" s="147" t="s">
        <v>639</v>
      </c>
      <c r="D74" s="147" t="s">
        <v>627</v>
      </c>
      <c r="E74" s="172">
        <v>63</v>
      </c>
      <c r="F74" s="148">
        <v>400</v>
      </c>
      <c r="G74" s="147" t="s">
        <v>510</v>
      </c>
      <c r="H74" s="147" t="s">
        <v>1272</v>
      </c>
    </row>
    <row r="75" spans="1:8">
      <c r="A75" s="147" t="s">
        <v>811</v>
      </c>
      <c r="B75" s="147" t="s">
        <v>1299</v>
      </c>
      <c r="C75" s="147" t="s">
        <v>813</v>
      </c>
      <c r="D75" s="147" t="s">
        <v>627</v>
      </c>
      <c r="E75" s="172">
        <v>58</v>
      </c>
      <c r="F75" s="148">
        <v>385</v>
      </c>
      <c r="G75" s="147" t="s">
        <v>510</v>
      </c>
      <c r="H75" s="147" t="s">
        <v>1272</v>
      </c>
    </row>
    <row r="76" spans="1:8">
      <c r="A76" s="147" t="s">
        <v>816</v>
      </c>
      <c r="B76" s="147" t="s">
        <v>1299</v>
      </c>
      <c r="C76" s="147" t="s">
        <v>602</v>
      </c>
      <c r="D76" s="147" t="s">
        <v>627</v>
      </c>
      <c r="E76" s="172">
        <v>35</v>
      </c>
      <c r="F76" s="148">
        <v>385</v>
      </c>
      <c r="G76" s="147" t="s">
        <v>510</v>
      </c>
      <c r="H76" s="147" t="s">
        <v>1272</v>
      </c>
    </row>
    <row r="77" spans="1:8">
      <c r="A77" s="147" t="s">
        <v>773</v>
      </c>
      <c r="B77" s="147" t="s">
        <v>504</v>
      </c>
      <c r="C77" s="147" t="s">
        <v>129</v>
      </c>
      <c r="D77" s="147" t="s">
        <v>627</v>
      </c>
      <c r="E77" s="172">
        <v>24</v>
      </c>
      <c r="F77" s="148">
        <v>350</v>
      </c>
      <c r="G77" s="147" t="s">
        <v>509</v>
      </c>
      <c r="H77" s="147" t="s">
        <v>1267</v>
      </c>
    </row>
    <row r="78" spans="1:8">
      <c r="A78" s="147" t="s">
        <v>844</v>
      </c>
      <c r="B78" s="147" t="s">
        <v>1299</v>
      </c>
      <c r="C78" s="147" t="s">
        <v>762</v>
      </c>
      <c r="D78" s="147" t="s">
        <v>627</v>
      </c>
      <c r="E78" s="172">
        <v>47</v>
      </c>
      <c r="F78" s="148">
        <v>285</v>
      </c>
      <c r="G78" s="147" t="s">
        <v>510</v>
      </c>
      <c r="H78" s="147" t="s">
        <v>1272</v>
      </c>
    </row>
    <row r="79" spans="1:8">
      <c r="A79" s="147" t="s">
        <v>849</v>
      </c>
      <c r="B79" s="147" t="s">
        <v>1299</v>
      </c>
      <c r="C79" s="147" t="s">
        <v>639</v>
      </c>
      <c r="D79" s="147" t="s">
        <v>627</v>
      </c>
      <c r="E79" s="172">
        <v>63</v>
      </c>
      <c r="F79" s="148">
        <v>285</v>
      </c>
      <c r="G79" s="147" t="s">
        <v>510</v>
      </c>
      <c r="H79" s="147" t="s">
        <v>1272</v>
      </c>
    </row>
    <row r="80" spans="1:8">
      <c r="A80" s="147" t="s">
        <v>837</v>
      </c>
      <c r="B80" s="147" t="s">
        <v>504</v>
      </c>
      <c r="C80" s="147" t="s">
        <v>243</v>
      </c>
      <c r="D80" s="147" t="s">
        <v>248</v>
      </c>
      <c r="E80" s="172">
        <v>5</v>
      </c>
      <c r="F80" s="148">
        <v>623</v>
      </c>
      <c r="G80" s="147" t="s">
        <v>509</v>
      </c>
      <c r="H80" s="147" t="s">
        <v>1268</v>
      </c>
    </row>
    <row r="81" spans="1:8">
      <c r="A81" s="147" t="s">
        <v>822</v>
      </c>
      <c r="B81" s="147" t="s">
        <v>504</v>
      </c>
      <c r="C81" s="147" t="s">
        <v>131</v>
      </c>
      <c r="D81" s="147" t="s">
        <v>248</v>
      </c>
      <c r="E81" s="172">
        <v>21</v>
      </c>
      <c r="F81" s="148">
        <v>400</v>
      </c>
      <c r="G81" s="147" t="s">
        <v>509</v>
      </c>
      <c r="H81" s="147" t="s">
        <v>1267</v>
      </c>
    </row>
    <row r="82" spans="1:8">
      <c r="A82" s="147" t="s">
        <v>823</v>
      </c>
      <c r="B82" s="147" t="s">
        <v>504</v>
      </c>
      <c r="C82" s="147" t="s">
        <v>207</v>
      </c>
      <c r="D82" s="147" t="s">
        <v>248</v>
      </c>
      <c r="E82" s="172">
        <v>11</v>
      </c>
      <c r="F82" s="148">
        <v>400</v>
      </c>
      <c r="G82" s="147" t="s">
        <v>509</v>
      </c>
      <c r="H82" s="147" t="s">
        <v>1267</v>
      </c>
    </row>
    <row r="83" spans="1:8">
      <c r="A83" s="147" t="s">
        <v>815</v>
      </c>
      <c r="B83" s="147" t="s">
        <v>504</v>
      </c>
      <c r="C83" s="147" t="s">
        <v>123</v>
      </c>
      <c r="D83" s="147" t="s">
        <v>248</v>
      </c>
      <c r="E83" s="172">
        <v>29</v>
      </c>
      <c r="F83" s="148">
        <v>358</v>
      </c>
      <c r="G83" s="147" t="s">
        <v>509</v>
      </c>
      <c r="H83" s="147" t="s">
        <v>1268</v>
      </c>
    </row>
    <row r="84" spans="1:8">
      <c r="A84" s="147" t="s">
        <v>728</v>
      </c>
      <c r="B84" s="147" t="s">
        <v>504</v>
      </c>
      <c r="C84" s="147" t="s">
        <v>130</v>
      </c>
      <c r="D84" s="147" t="s">
        <v>247</v>
      </c>
      <c r="E84" s="172">
        <v>21</v>
      </c>
      <c r="F84" s="148">
        <v>775</v>
      </c>
      <c r="G84" s="147" t="s">
        <v>509</v>
      </c>
      <c r="H84" s="147" t="s">
        <v>1270</v>
      </c>
    </row>
    <row r="85" spans="1:8">
      <c r="A85" s="147" t="s">
        <v>888</v>
      </c>
      <c r="B85" s="147" t="s">
        <v>504</v>
      </c>
      <c r="C85" s="147" t="s">
        <v>245</v>
      </c>
      <c r="D85" s="147" t="s">
        <v>247</v>
      </c>
      <c r="E85" s="172">
        <v>2</v>
      </c>
      <c r="F85" s="148">
        <v>758</v>
      </c>
      <c r="G85" s="147" t="s">
        <v>510</v>
      </c>
      <c r="H85" s="147" t="s">
        <v>1274</v>
      </c>
    </row>
    <row r="86" spans="1:8">
      <c r="A86" s="147" t="s">
        <v>868</v>
      </c>
      <c r="B86" s="147" t="s">
        <v>504</v>
      </c>
      <c r="C86" s="147" t="s">
        <v>244</v>
      </c>
      <c r="D86" s="147" t="s">
        <v>247</v>
      </c>
      <c r="E86" s="172">
        <v>3</v>
      </c>
      <c r="F86" s="148">
        <v>670</v>
      </c>
      <c r="G86" s="147" t="s">
        <v>510</v>
      </c>
      <c r="H86" s="147" t="s">
        <v>1267</v>
      </c>
    </row>
    <row r="87" spans="1:8">
      <c r="A87" s="147" t="s">
        <v>854</v>
      </c>
      <c r="B87" s="147" t="s">
        <v>504</v>
      </c>
      <c r="C87" s="147" t="s">
        <v>211</v>
      </c>
      <c r="D87" s="147" t="s">
        <v>247</v>
      </c>
      <c r="E87" s="172">
        <v>6</v>
      </c>
      <c r="F87" s="148">
        <v>595</v>
      </c>
      <c r="G87" s="147" t="s">
        <v>509</v>
      </c>
      <c r="H87" s="147" t="s">
        <v>1270</v>
      </c>
    </row>
    <row r="88" spans="1:8">
      <c r="A88" s="147" t="s">
        <v>845</v>
      </c>
      <c r="B88" s="147" t="s">
        <v>504</v>
      </c>
      <c r="C88" s="147" t="s">
        <v>211</v>
      </c>
      <c r="D88" s="147" t="s">
        <v>247</v>
      </c>
      <c r="E88" s="172">
        <v>6</v>
      </c>
      <c r="F88" s="148">
        <v>560</v>
      </c>
      <c r="G88" s="147" t="s">
        <v>509</v>
      </c>
      <c r="H88" s="147" t="s">
        <v>1267</v>
      </c>
    </row>
    <row r="89" spans="1:8">
      <c r="A89" s="147" t="s">
        <v>775</v>
      </c>
      <c r="B89" s="147" t="s">
        <v>504</v>
      </c>
      <c r="C89" s="147" t="s">
        <v>132</v>
      </c>
      <c r="D89" s="147" t="s">
        <v>247</v>
      </c>
      <c r="E89" s="172">
        <v>19</v>
      </c>
      <c r="F89" s="148">
        <v>500</v>
      </c>
      <c r="G89" s="147" t="s">
        <v>509</v>
      </c>
      <c r="H89" s="147" t="s">
        <v>1267</v>
      </c>
    </row>
    <row r="90" spans="1:8">
      <c r="A90" s="147" t="s">
        <v>859</v>
      </c>
      <c r="B90" s="147" t="s">
        <v>504</v>
      </c>
      <c r="C90" s="147" t="s">
        <v>242</v>
      </c>
      <c r="D90" s="147" t="s">
        <v>247</v>
      </c>
      <c r="E90" s="172">
        <v>5</v>
      </c>
      <c r="F90" s="148">
        <v>470</v>
      </c>
      <c r="G90" s="147" t="s">
        <v>509</v>
      </c>
      <c r="H90" s="147" t="s">
        <v>1268</v>
      </c>
    </row>
    <row r="91" spans="1:8">
      <c r="A91" s="147" t="s">
        <v>768</v>
      </c>
      <c r="B91" s="147" t="s">
        <v>504</v>
      </c>
      <c r="C91" s="147" t="s">
        <v>127</v>
      </c>
      <c r="D91" s="147" t="s">
        <v>247</v>
      </c>
      <c r="E91" s="172">
        <v>24</v>
      </c>
      <c r="F91" s="148">
        <v>466</v>
      </c>
      <c r="G91" s="147" t="s">
        <v>509</v>
      </c>
      <c r="H91" s="147" t="s">
        <v>1269</v>
      </c>
    </row>
    <row r="92" spans="1:8">
      <c r="A92" s="147" t="s">
        <v>821</v>
      </c>
      <c r="B92" s="147" t="s">
        <v>504</v>
      </c>
      <c r="C92" s="147" t="s">
        <v>205</v>
      </c>
      <c r="D92" s="147" t="s">
        <v>247</v>
      </c>
      <c r="E92" s="172">
        <v>12</v>
      </c>
      <c r="F92" s="148">
        <v>440</v>
      </c>
      <c r="G92" s="147" t="s">
        <v>509</v>
      </c>
      <c r="H92" s="147" t="s">
        <v>1268</v>
      </c>
    </row>
    <row r="93" spans="1:8">
      <c r="A93" s="147" t="s">
        <v>824</v>
      </c>
      <c r="B93" s="147" t="s">
        <v>1299</v>
      </c>
      <c r="C93" s="147" t="s">
        <v>205</v>
      </c>
      <c r="D93" s="147" t="s">
        <v>247</v>
      </c>
      <c r="E93" s="172">
        <v>12</v>
      </c>
      <c r="F93" s="148">
        <v>340</v>
      </c>
      <c r="G93" s="147" t="s">
        <v>509</v>
      </c>
      <c r="H93" s="147" t="s">
        <v>1268</v>
      </c>
    </row>
    <row r="94" spans="1:8">
      <c r="A94" s="147" t="s">
        <v>904</v>
      </c>
      <c r="B94" s="147" t="s">
        <v>504</v>
      </c>
      <c r="C94" s="147" t="s">
        <v>243</v>
      </c>
      <c r="D94" s="147" t="s">
        <v>247</v>
      </c>
      <c r="E94" s="172">
        <v>4</v>
      </c>
      <c r="F94" s="148">
        <v>238</v>
      </c>
      <c r="G94" s="147" t="s">
        <v>509</v>
      </c>
      <c r="H94" s="147" t="s">
        <v>1273</v>
      </c>
    </row>
    <row r="95" spans="1:8">
      <c r="A95" s="147" t="s">
        <v>885</v>
      </c>
      <c r="B95" s="147" t="s">
        <v>504</v>
      </c>
      <c r="C95" s="147" t="s">
        <v>127</v>
      </c>
      <c r="D95" s="147" t="s">
        <v>247</v>
      </c>
      <c r="E95" s="172">
        <v>24</v>
      </c>
      <c r="F95" s="148">
        <v>200</v>
      </c>
      <c r="G95" s="147" t="s">
        <v>509</v>
      </c>
      <c r="H95" s="147" t="s">
        <v>1269</v>
      </c>
    </row>
    <row r="96" spans="1:8">
      <c r="A96" s="147" t="s">
        <v>886</v>
      </c>
      <c r="B96" s="147" t="s">
        <v>504</v>
      </c>
      <c r="C96" s="147" t="s">
        <v>127</v>
      </c>
      <c r="D96" s="147" t="s">
        <v>247</v>
      </c>
      <c r="E96" s="172">
        <v>24</v>
      </c>
      <c r="F96" s="148">
        <v>200</v>
      </c>
      <c r="G96" s="147" t="s">
        <v>509</v>
      </c>
      <c r="H96" s="147" t="s">
        <v>1269</v>
      </c>
    </row>
    <row r="97" spans="1:8">
      <c r="A97" s="147" t="s">
        <v>922</v>
      </c>
      <c r="B97" s="147" t="s">
        <v>504</v>
      </c>
      <c r="C97" s="147" t="s">
        <v>242</v>
      </c>
      <c r="D97" s="147" t="s">
        <v>247</v>
      </c>
      <c r="E97" s="172">
        <v>5</v>
      </c>
      <c r="F97" s="148">
        <v>160</v>
      </c>
      <c r="G97" s="147" t="s">
        <v>509</v>
      </c>
      <c r="H97" s="147" t="s">
        <v>1268</v>
      </c>
    </row>
    <row r="98" spans="1:8">
      <c r="A98" s="147" t="s">
        <v>923</v>
      </c>
      <c r="B98" s="147" t="s">
        <v>504</v>
      </c>
      <c r="C98" s="147" t="s">
        <v>242</v>
      </c>
      <c r="D98" s="147" t="s">
        <v>247</v>
      </c>
      <c r="E98" s="172">
        <v>5</v>
      </c>
      <c r="F98" s="148">
        <v>160</v>
      </c>
      <c r="G98" s="147" t="s">
        <v>509</v>
      </c>
      <c r="H98" s="147" t="s">
        <v>1268</v>
      </c>
    </row>
    <row r="99" spans="1:8">
      <c r="A99" s="147" t="s">
        <v>566</v>
      </c>
      <c r="B99" s="147" t="s">
        <v>504</v>
      </c>
      <c r="C99" s="147" t="s">
        <v>207</v>
      </c>
      <c r="D99" s="147" t="s">
        <v>246</v>
      </c>
      <c r="E99" s="172">
        <v>9</v>
      </c>
      <c r="F99" s="148">
        <v>3020</v>
      </c>
      <c r="G99" s="147" t="s">
        <v>509</v>
      </c>
      <c r="H99" s="147" t="s">
        <v>1268</v>
      </c>
    </row>
    <row r="100" spans="1:8">
      <c r="A100" s="147" t="s">
        <v>855</v>
      </c>
      <c r="B100" s="147" t="s">
        <v>504</v>
      </c>
      <c r="C100" s="147" t="s">
        <v>242</v>
      </c>
      <c r="D100" s="147" t="s">
        <v>246</v>
      </c>
      <c r="E100" s="172">
        <v>4</v>
      </c>
      <c r="F100" s="148">
        <v>650</v>
      </c>
      <c r="G100" s="147" t="s">
        <v>509</v>
      </c>
      <c r="H100" s="147" t="s">
        <v>1268</v>
      </c>
    </row>
    <row r="101" spans="1:8">
      <c r="A101" s="147" t="s">
        <v>814</v>
      </c>
      <c r="B101" s="147" t="s">
        <v>504</v>
      </c>
      <c r="C101" s="147" t="s">
        <v>204</v>
      </c>
      <c r="D101" s="147" t="s">
        <v>246</v>
      </c>
      <c r="E101" s="172">
        <v>12</v>
      </c>
      <c r="F101" s="148">
        <v>520</v>
      </c>
      <c r="G101" s="147" t="s">
        <v>510</v>
      </c>
      <c r="H101" s="147" t="s">
        <v>1271</v>
      </c>
    </row>
    <row r="102" spans="1:8">
      <c r="A102" s="147" t="s">
        <v>832</v>
      </c>
      <c r="B102" s="147" t="s">
        <v>504</v>
      </c>
      <c r="C102" s="147" t="s">
        <v>207</v>
      </c>
      <c r="D102" s="147" t="s">
        <v>246</v>
      </c>
      <c r="E102" s="172">
        <v>9</v>
      </c>
      <c r="F102" s="148">
        <v>400</v>
      </c>
      <c r="G102" s="147" t="s">
        <v>509</v>
      </c>
      <c r="H102" s="147" t="s">
        <v>1268</v>
      </c>
    </row>
    <row r="103" spans="1:8">
      <c r="A103" s="147" t="s">
        <v>833</v>
      </c>
      <c r="B103" s="147" t="s">
        <v>504</v>
      </c>
      <c r="C103" s="147" t="s">
        <v>206</v>
      </c>
      <c r="D103" s="147" t="s">
        <v>245</v>
      </c>
      <c r="E103" s="172">
        <v>9</v>
      </c>
      <c r="F103" s="148">
        <v>400</v>
      </c>
      <c r="G103" s="147" t="s">
        <v>509</v>
      </c>
      <c r="H103" s="147" t="s">
        <v>1269</v>
      </c>
    </row>
    <row r="104" spans="1:8">
      <c r="A104" s="147" t="s">
        <v>843</v>
      </c>
      <c r="B104" s="147" t="s">
        <v>504</v>
      </c>
      <c r="C104" s="147" t="s">
        <v>128</v>
      </c>
      <c r="D104" s="147" t="s">
        <v>245</v>
      </c>
      <c r="E104" s="172">
        <v>21</v>
      </c>
      <c r="F104" s="148">
        <v>400</v>
      </c>
      <c r="G104" s="147" t="s">
        <v>509</v>
      </c>
      <c r="H104" s="147" t="s">
        <v>1269</v>
      </c>
    </row>
    <row r="105" spans="1:8">
      <c r="A105" s="147" t="s">
        <v>870</v>
      </c>
      <c r="B105" s="147" t="s">
        <v>1299</v>
      </c>
      <c r="C105" s="147" t="s">
        <v>639</v>
      </c>
      <c r="D105" s="147" t="s">
        <v>245</v>
      </c>
      <c r="E105" s="172">
        <v>59</v>
      </c>
      <c r="F105" s="148">
        <v>295</v>
      </c>
      <c r="G105" s="147" t="s">
        <v>509</v>
      </c>
      <c r="H105" s="147" t="s">
        <v>1270</v>
      </c>
    </row>
    <row r="106" spans="1:8">
      <c r="A106" s="147" t="s">
        <v>918</v>
      </c>
      <c r="B106" s="147" t="s">
        <v>1299</v>
      </c>
      <c r="C106" s="147" t="s">
        <v>919</v>
      </c>
      <c r="D106" s="147" t="s">
        <v>245</v>
      </c>
      <c r="E106" s="172">
        <v>47</v>
      </c>
      <c r="F106" s="148">
        <v>60</v>
      </c>
      <c r="G106" s="147" t="s">
        <v>509</v>
      </c>
      <c r="H106" s="147" t="s">
        <v>1270</v>
      </c>
    </row>
    <row r="107" spans="1:8">
      <c r="A107" s="147" t="s">
        <v>860</v>
      </c>
      <c r="B107" s="147" t="s">
        <v>504</v>
      </c>
      <c r="C107" s="147" t="s">
        <v>126</v>
      </c>
      <c r="D107" s="147" t="s">
        <v>244</v>
      </c>
      <c r="E107" s="172">
        <v>22</v>
      </c>
      <c r="F107" s="148">
        <v>400</v>
      </c>
      <c r="G107" s="147" t="s">
        <v>509</v>
      </c>
      <c r="H107" s="147" t="s">
        <v>1268</v>
      </c>
    </row>
    <row r="108" spans="1:8">
      <c r="A108" s="147" t="s">
        <v>876</v>
      </c>
      <c r="B108" s="147" t="s">
        <v>1299</v>
      </c>
      <c r="C108" s="147" t="s">
        <v>878</v>
      </c>
      <c r="D108" s="147" t="s">
        <v>244</v>
      </c>
      <c r="E108" s="172">
        <v>54</v>
      </c>
      <c r="F108" s="148">
        <v>305</v>
      </c>
      <c r="G108" s="147" t="s">
        <v>509</v>
      </c>
      <c r="H108" s="147" t="s">
        <v>1269</v>
      </c>
    </row>
    <row r="109" spans="1:8">
      <c r="A109" s="147" t="s">
        <v>712</v>
      </c>
      <c r="B109" s="147" t="s">
        <v>504</v>
      </c>
      <c r="C109" s="147" t="s">
        <v>210</v>
      </c>
      <c r="D109" s="147" t="s">
        <v>243</v>
      </c>
      <c r="E109" s="172">
        <v>3</v>
      </c>
      <c r="F109" s="148">
        <v>1948</v>
      </c>
      <c r="G109" s="147" t="s">
        <v>510</v>
      </c>
      <c r="H109" s="147" t="s">
        <v>1271</v>
      </c>
    </row>
    <row r="110" spans="1:8">
      <c r="A110" s="147" t="s">
        <v>871</v>
      </c>
      <c r="B110" s="147" t="s">
        <v>504</v>
      </c>
      <c r="C110" s="147" t="s">
        <v>204</v>
      </c>
      <c r="D110" s="147" t="s">
        <v>243</v>
      </c>
      <c r="E110" s="172">
        <v>9</v>
      </c>
      <c r="F110" s="148">
        <v>375</v>
      </c>
      <c r="G110" s="147" t="s">
        <v>510</v>
      </c>
      <c r="H110" s="147" t="s">
        <v>1275</v>
      </c>
    </row>
    <row r="111" spans="1:8">
      <c r="A111" s="147" t="s">
        <v>879</v>
      </c>
      <c r="B111" s="147" t="s">
        <v>1299</v>
      </c>
      <c r="C111" s="147" t="s">
        <v>737</v>
      </c>
      <c r="D111" s="147" t="s">
        <v>243</v>
      </c>
      <c r="E111" s="172">
        <v>46</v>
      </c>
      <c r="F111" s="148">
        <v>350</v>
      </c>
      <c r="G111" s="147" t="s">
        <v>509</v>
      </c>
      <c r="H111" s="147" t="s">
        <v>1270</v>
      </c>
    </row>
    <row r="112" spans="1:8">
      <c r="A112" s="147" t="s">
        <v>903</v>
      </c>
      <c r="B112" s="147" t="s">
        <v>504</v>
      </c>
      <c r="C112" s="147" t="s">
        <v>207</v>
      </c>
      <c r="D112" s="147" t="s">
        <v>243</v>
      </c>
      <c r="E112" s="172">
        <v>6</v>
      </c>
      <c r="F112" s="148">
        <v>105</v>
      </c>
      <c r="G112" s="147" t="s">
        <v>509</v>
      </c>
      <c r="H112" s="147" t="s">
        <v>1267</v>
      </c>
    </row>
    <row r="113" spans="1:8">
      <c r="A113" s="147" t="s">
        <v>661</v>
      </c>
      <c r="B113" s="147" t="s">
        <v>504</v>
      </c>
      <c r="C113" s="147" t="s">
        <v>625</v>
      </c>
      <c r="D113" s="147" t="s">
        <v>242</v>
      </c>
      <c r="E113" s="172">
        <v>42</v>
      </c>
      <c r="F113" s="148">
        <v>2404</v>
      </c>
      <c r="G113" s="147" t="s">
        <v>509</v>
      </c>
      <c r="H113" s="147" t="s">
        <v>1268</v>
      </c>
    </row>
    <row r="114" spans="1:8">
      <c r="A114" s="147" t="s">
        <v>858</v>
      </c>
      <c r="B114" s="147" t="s">
        <v>504</v>
      </c>
      <c r="C114" s="147" t="s">
        <v>202</v>
      </c>
      <c r="D114" s="147" t="s">
        <v>242</v>
      </c>
      <c r="E114" s="172">
        <v>10</v>
      </c>
      <c r="F114" s="148">
        <v>775</v>
      </c>
      <c r="G114" s="147" t="s">
        <v>509</v>
      </c>
      <c r="H114" s="147" t="s">
        <v>1270</v>
      </c>
    </row>
    <row r="115" spans="1:8">
      <c r="A115" s="147" t="s">
        <v>864</v>
      </c>
      <c r="B115" s="147" t="s">
        <v>504</v>
      </c>
      <c r="C115" s="147" t="s">
        <v>202</v>
      </c>
      <c r="D115" s="147" t="s">
        <v>242</v>
      </c>
      <c r="E115" s="172">
        <v>10</v>
      </c>
      <c r="F115" s="148">
        <v>670</v>
      </c>
      <c r="G115" s="147" t="s">
        <v>509</v>
      </c>
      <c r="H115" s="147" t="s">
        <v>1270</v>
      </c>
    </row>
    <row r="116" spans="1:8">
      <c r="A116" s="147" t="s">
        <v>862</v>
      </c>
      <c r="B116" s="147" t="s">
        <v>504</v>
      </c>
      <c r="C116" s="147" t="s">
        <v>124</v>
      </c>
      <c r="D116" s="147" t="s">
        <v>242</v>
      </c>
      <c r="E116" s="172">
        <v>22</v>
      </c>
      <c r="F116" s="148">
        <v>575</v>
      </c>
      <c r="G116" s="147" t="s">
        <v>510</v>
      </c>
      <c r="H116" s="147" t="s">
        <v>1271</v>
      </c>
    </row>
    <row r="117" spans="1:8">
      <c r="A117" s="147" t="s">
        <v>925</v>
      </c>
      <c r="B117" s="147" t="s">
        <v>504</v>
      </c>
      <c r="C117" s="147" t="s">
        <v>210</v>
      </c>
      <c r="D117" s="147" t="s">
        <v>242</v>
      </c>
      <c r="E117" s="172">
        <v>2</v>
      </c>
      <c r="F117" s="148">
        <v>500</v>
      </c>
      <c r="G117" s="147" t="s">
        <v>510</v>
      </c>
      <c r="H117" s="147" t="s">
        <v>1271</v>
      </c>
    </row>
    <row r="118" spans="1:8">
      <c r="A118" s="147" t="s">
        <v>825</v>
      </c>
      <c r="B118" s="147" t="s">
        <v>504</v>
      </c>
      <c r="C118" s="147" t="s">
        <v>129</v>
      </c>
      <c r="D118" s="147" t="s">
        <v>242</v>
      </c>
      <c r="E118" s="172">
        <v>17</v>
      </c>
      <c r="F118" s="148">
        <v>440</v>
      </c>
      <c r="G118" s="147" t="s">
        <v>509</v>
      </c>
      <c r="H118" s="147" t="s">
        <v>1269</v>
      </c>
    </row>
    <row r="119" spans="1:8">
      <c r="A119" s="147" t="s">
        <v>880</v>
      </c>
      <c r="B119" s="147" t="s">
        <v>504</v>
      </c>
      <c r="C119" s="147" t="s">
        <v>204</v>
      </c>
      <c r="D119" s="147" t="s">
        <v>242</v>
      </c>
      <c r="E119" s="172">
        <v>8</v>
      </c>
      <c r="F119" s="148">
        <v>400</v>
      </c>
      <c r="G119" s="147" t="s">
        <v>510</v>
      </c>
      <c r="H119" s="147" t="s">
        <v>1271</v>
      </c>
    </row>
    <row r="120" spans="1:8">
      <c r="A120" s="147" t="s">
        <v>898</v>
      </c>
      <c r="B120" s="147" t="s">
        <v>1299</v>
      </c>
      <c r="C120" s="147" t="s">
        <v>782</v>
      </c>
      <c r="D120" s="147" t="s">
        <v>242</v>
      </c>
      <c r="E120" s="172">
        <v>36</v>
      </c>
      <c r="F120" s="148">
        <v>305</v>
      </c>
      <c r="G120" s="147" t="s">
        <v>509</v>
      </c>
      <c r="H120" s="147" t="s">
        <v>1269</v>
      </c>
    </row>
    <row r="121" spans="1:8">
      <c r="A121" s="147" t="s">
        <v>902</v>
      </c>
      <c r="B121" s="147" t="s">
        <v>504</v>
      </c>
      <c r="C121" s="147" t="s">
        <v>129</v>
      </c>
      <c r="D121" s="147" t="s">
        <v>242</v>
      </c>
      <c r="E121" s="172">
        <v>17</v>
      </c>
      <c r="F121" s="148">
        <v>300</v>
      </c>
      <c r="G121" s="147" t="s">
        <v>509</v>
      </c>
      <c r="H121" s="147" t="s">
        <v>1267</v>
      </c>
    </row>
    <row r="122" spans="1:8">
      <c r="A122" s="147" t="s">
        <v>935</v>
      </c>
      <c r="B122" s="147" t="s">
        <v>504</v>
      </c>
      <c r="C122" s="147" t="s">
        <v>211</v>
      </c>
      <c r="D122" s="147" t="s">
        <v>242</v>
      </c>
      <c r="E122" s="172">
        <v>1</v>
      </c>
      <c r="F122" s="148">
        <v>200</v>
      </c>
      <c r="G122" s="147" t="s">
        <v>510</v>
      </c>
      <c r="H122" s="147" t="s">
        <v>1271</v>
      </c>
    </row>
    <row r="123" spans="1:8">
      <c r="A123" s="147" t="s">
        <v>914</v>
      </c>
      <c r="B123" s="147" t="s">
        <v>1299</v>
      </c>
      <c r="C123" s="147" t="s">
        <v>639</v>
      </c>
      <c r="D123" s="147" t="s">
        <v>242</v>
      </c>
      <c r="E123" s="172">
        <v>56</v>
      </c>
      <c r="F123" s="148">
        <v>185</v>
      </c>
      <c r="G123" s="147" t="s">
        <v>509</v>
      </c>
      <c r="H123" s="147" t="s">
        <v>1270</v>
      </c>
    </row>
    <row r="124" spans="1:8">
      <c r="A124" s="147" t="s">
        <v>926</v>
      </c>
      <c r="B124" s="147" t="s">
        <v>1299</v>
      </c>
      <c r="C124" s="147" t="s">
        <v>639</v>
      </c>
      <c r="D124" s="147" t="s">
        <v>242</v>
      </c>
      <c r="E124" s="172">
        <v>56</v>
      </c>
      <c r="F124" s="148">
        <v>147</v>
      </c>
      <c r="G124" s="147" t="s">
        <v>509</v>
      </c>
      <c r="H124" s="147" t="s">
        <v>1270</v>
      </c>
    </row>
    <row r="125" spans="1:8">
      <c r="A125" s="147" t="s">
        <v>731</v>
      </c>
      <c r="B125" s="147" t="s">
        <v>504</v>
      </c>
      <c r="C125" s="147" t="s">
        <v>208</v>
      </c>
      <c r="D125" s="147" t="s">
        <v>211</v>
      </c>
      <c r="E125" s="172">
        <v>3</v>
      </c>
      <c r="F125" s="148">
        <v>3580</v>
      </c>
      <c r="G125" s="147" t="s">
        <v>510</v>
      </c>
      <c r="H125" s="147" t="s">
        <v>1271</v>
      </c>
    </row>
    <row r="126" spans="1:8">
      <c r="A126" s="147" t="s">
        <v>753</v>
      </c>
      <c r="B126" s="147" t="s">
        <v>504</v>
      </c>
      <c r="C126" s="147" t="s">
        <v>205</v>
      </c>
      <c r="D126" s="147" t="s">
        <v>211</v>
      </c>
      <c r="E126" s="172">
        <v>6</v>
      </c>
      <c r="F126" s="148">
        <v>1440</v>
      </c>
      <c r="G126" s="147" t="s">
        <v>509</v>
      </c>
      <c r="H126" s="147" t="s">
        <v>1267</v>
      </c>
    </row>
    <row r="127" spans="1:8">
      <c r="A127" s="147" t="s">
        <v>874</v>
      </c>
      <c r="B127" s="147" t="s">
        <v>504</v>
      </c>
      <c r="C127" s="147" t="s">
        <v>204</v>
      </c>
      <c r="D127" s="147" t="s">
        <v>211</v>
      </c>
      <c r="E127" s="172">
        <v>7</v>
      </c>
      <c r="F127" s="148">
        <v>550</v>
      </c>
      <c r="G127" s="147" t="s">
        <v>509</v>
      </c>
      <c r="H127" s="147" t="s">
        <v>1267</v>
      </c>
    </row>
    <row r="128" spans="1:8">
      <c r="A128" s="147" t="s">
        <v>883</v>
      </c>
      <c r="B128" s="147" t="s">
        <v>504</v>
      </c>
      <c r="C128" s="147" t="s">
        <v>204</v>
      </c>
      <c r="D128" s="147" t="s">
        <v>211</v>
      </c>
      <c r="E128" s="172">
        <v>7</v>
      </c>
      <c r="F128" s="148">
        <v>550</v>
      </c>
      <c r="G128" s="147" t="s">
        <v>510</v>
      </c>
      <c r="H128" s="147" t="s">
        <v>1267</v>
      </c>
    </row>
    <row r="129" spans="1:8">
      <c r="A129" s="147" t="s">
        <v>691</v>
      </c>
      <c r="B129" s="147" t="s">
        <v>504</v>
      </c>
      <c r="C129" s="147" t="s">
        <v>133</v>
      </c>
      <c r="D129" s="147" t="s">
        <v>211</v>
      </c>
      <c r="E129" s="172">
        <v>12</v>
      </c>
      <c r="F129" s="148">
        <v>520</v>
      </c>
      <c r="G129" s="147" t="s">
        <v>510</v>
      </c>
      <c r="H129" s="147" t="s">
        <v>1271</v>
      </c>
    </row>
    <row r="130" spans="1:8">
      <c r="A130" s="147" t="s">
        <v>891</v>
      </c>
      <c r="B130" s="147" t="s">
        <v>504</v>
      </c>
      <c r="C130" s="147" t="s">
        <v>122</v>
      </c>
      <c r="D130" s="147" t="s">
        <v>211</v>
      </c>
      <c r="E130" s="172">
        <v>23</v>
      </c>
      <c r="F130" s="148">
        <v>328</v>
      </c>
      <c r="G130" s="147" t="s">
        <v>509</v>
      </c>
      <c r="H130" s="147" t="s">
        <v>1269</v>
      </c>
    </row>
    <row r="131" spans="1:8">
      <c r="A131" s="147" t="s">
        <v>927</v>
      </c>
      <c r="B131" s="147" t="s">
        <v>504</v>
      </c>
      <c r="C131" s="147" t="s">
        <v>209</v>
      </c>
      <c r="D131" s="147" t="s">
        <v>211</v>
      </c>
      <c r="E131" s="172">
        <v>2</v>
      </c>
      <c r="F131" s="148">
        <v>325</v>
      </c>
      <c r="G131" s="147" t="s">
        <v>510</v>
      </c>
      <c r="H131" s="147" t="s">
        <v>1267</v>
      </c>
    </row>
    <row r="132" spans="1:8">
      <c r="A132" s="147" t="s">
        <v>934</v>
      </c>
      <c r="B132" s="147" t="s">
        <v>504</v>
      </c>
      <c r="C132" s="147" t="s">
        <v>208</v>
      </c>
      <c r="D132" s="147" t="s">
        <v>211</v>
      </c>
      <c r="E132" s="172">
        <v>3</v>
      </c>
      <c r="F132" s="148">
        <v>85</v>
      </c>
      <c r="G132" s="147" t="s">
        <v>510</v>
      </c>
      <c r="H132" s="147" t="s">
        <v>1271</v>
      </c>
    </row>
    <row r="133" spans="1:8">
      <c r="A133" s="147" t="s">
        <v>887</v>
      </c>
      <c r="B133" s="147" t="s">
        <v>504</v>
      </c>
      <c r="C133" s="147" t="s">
        <v>122</v>
      </c>
      <c r="D133" s="147" t="s">
        <v>210</v>
      </c>
      <c r="E133" s="172">
        <v>22</v>
      </c>
      <c r="F133" s="148">
        <v>510</v>
      </c>
      <c r="G133" s="147" t="s">
        <v>509</v>
      </c>
      <c r="H133" s="147" t="s">
        <v>1269</v>
      </c>
    </row>
    <row r="134" spans="1:8">
      <c r="A134" s="147" t="s">
        <v>869</v>
      </c>
      <c r="B134" s="147" t="s">
        <v>504</v>
      </c>
      <c r="C134" s="147" t="s">
        <v>575</v>
      </c>
      <c r="D134" s="147" t="s">
        <v>209</v>
      </c>
      <c r="E134" s="172">
        <v>23</v>
      </c>
      <c r="F134" s="148">
        <v>1130</v>
      </c>
      <c r="G134" s="147" t="s">
        <v>509</v>
      </c>
      <c r="H134" s="147" t="s">
        <v>1267</v>
      </c>
    </row>
    <row r="135" spans="1:8">
      <c r="A135" s="147" t="s">
        <v>920</v>
      </c>
      <c r="B135" s="147" t="s">
        <v>504</v>
      </c>
      <c r="C135" s="147" t="s">
        <v>130</v>
      </c>
      <c r="D135" s="147" t="s">
        <v>209</v>
      </c>
      <c r="E135" s="172">
        <v>13</v>
      </c>
      <c r="F135" s="148">
        <v>450</v>
      </c>
      <c r="G135" s="147" t="s">
        <v>509</v>
      </c>
      <c r="H135" s="147" t="s">
        <v>1267</v>
      </c>
    </row>
    <row r="136" spans="1:8">
      <c r="A136" s="147" t="s">
        <v>924</v>
      </c>
      <c r="B136" s="147" t="s">
        <v>1299</v>
      </c>
      <c r="C136" s="147" t="s">
        <v>208</v>
      </c>
      <c r="D136" s="147" t="s">
        <v>209</v>
      </c>
      <c r="E136" s="172">
        <v>1</v>
      </c>
      <c r="F136" s="148">
        <v>400</v>
      </c>
      <c r="G136" s="147" t="s">
        <v>510</v>
      </c>
      <c r="H136" s="147" t="s">
        <v>1273</v>
      </c>
    </row>
    <row r="137" spans="1:8">
      <c r="A137" s="147" t="s">
        <v>915</v>
      </c>
      <c r="B137" s="147" t="s">
        <v>504</v>
      </c>
      <c r="C137" s="147" t="s">
        <v>207</v>
      </c>
      <c r="D137" s="147" t="s">
        <v>209</v>
      </c>
      <c r="E137" s="172">
        <v>2</v>
      </c>
      <c r="F137" s="148">
        <v>340</v>
      </c>
      <c r="G137" s="147" t="s">
        <v>510</v>
      </c>
      <c r="H137" s="147" t="s">
        <v>1268</v>
      </c>
    </row>
    <row r="138" spans="1:8">
      <c r="A138" s="147" t="s">
        <v>929</v>
      </c>
      <c r="B138" s="147" t="s">
        <v>504</v>
      </c>
      <c r="C138" s="147" t="s">
        <v>123</v>
      </c>
      <c r="D138" s="147" t="s">
        <v>208</v>
      </c>
      <c r="E138" s="172">
        <v>19</v>
      </c>
      <c r="F138" s="148">
        <v>400</v>
      </c>
      <c r="G138" s="147" t="s">
        <v>509</v>
      </c>
      <c r="H138" s="147" t="s">
        <v>1270</v>
      </c>
    </row>
    <row r="139" spans="1:8">
      <c r="A139" s="147" t="s">
        <v>932</v>
      </c>
      <c r="B139" s="147" t="s">
        <v>504</v>
      </c>
      <c r="C139" s="147" t="s">
        <v>130</v>
      </c>
      <c r="D139" s="147" t="s">
        <v>208</v>
      </c>
      <c r="E139" s="172">
        <v>12</v>
      </c>
      <c r="F139" s="148">
        <v>395</v>
      </c>
      <c r="G139" s="147" t="s">
        <v>509</v>
      </c>
      <c r="H139" s="147" t="s">
        <v>1275</v>
      </c>
    </row>
    <row r="140" spans="1:8">
      <c r="A140" s="147" t="s">
        <v>716</v>
      </c>
      <c r="B140" s="147" t="s">
        <v>504</v>
      </c>
      <c r="C140" s="147" t="s">
        <v>201</v>
      </c>
      <c r="D140" s="147" t="s">
        <v>207</v>
      </c>
      <c r="E140" s="172">
        <v>6</v>
      </c>
      <c r="F140" s="148">
        <v>2564</v>
      </c>
      <c r="G140" s="147" t="s">
        <v>509</v>
      </c>
      <c r="H140" s="147" t="s">
        <v>1268</v>
      </c>
    </row>
    <row r="141" spans="1:8">
      <c r="A141" s="147" t="s">
        <v>938</v>
      </c>
      <c r="B141" s="147" t="s">
        <v>1299</v>
      </c>
      <c r="C141" s="147" t="s">
        <v>639</v>
      </c>
      <c r="D141" s="147" t="s">
        <v>207</v>
      </c>
      <c r="E141" s="172">
        <v>51</v>
      </c>
      <c r="F141" s="148">
        <v>710</v>
      </c>
      <c r="G141" s="147" t="s">
        <v>509</v>
      </c>
      <c r="H141" s="147" t="s">
        <v>1267</v>
      </c>
    </row>
    <row r="142" spans="1:8">
      <c r="A142" s="147" t="s">
        <v>834</v>
      </c>
      <c r="B142" s="147" t="s">
        <v>504</v>
      </c>
      <c r="C142" s="147" t="s">
        <v>123</v>
      </c>
      <c r="D142" s="147" t="s">
        <v>207</v>
      </c>
      <c r="E142" s="172">
        <v>18</v>
      </c>
      <c r="F142" s="148">
        <v>420</v>
      </c>
      <c r="G142" s="147" t="s">
        <v>509</v>
      </c>
      <c r="H142" s="147" t="s">
        <v>1269</v>
      </c>
    </row>
    <row r="143" spans="1:8">
      <c r="A143" s="147" t="s">
        <v>936</v>
      </c>
      <c r="B143" s="147" t="s">
        <v>504</v>
      </c>
      <c r="C143" s="147" t="s">
        <v>124</v>
      </c>
      <c r="D143" s="147" t="s">
        <v>206</v>
      </c>
      <c r="E143" s="172">
        <v>16</v>
      </c>
      <c r="F143" s="148">
        <v>1375</v>
      </c>
      <c r="G143" s="147" t="s">
        <v>509</v>
      </c>
      <c r="H143" s="147" t="s">
        <v>1269</v>
      </c>
    </row>
    <row r="144" spans="1:8">
      <c r="A144" s="147" t="s">
        <v>939</v>
      </c>
      <c r="B144" s="147" t="s">
        <v>504</v>
      </c>
      <c r="C144" s="147" t="s">
        <v>131</v>
      </c>
      <c r="D144" s="147" t="s">
        <v>206</v>
      </c>
      <c r="E144" s="172">
        <v>9</v>
      </c>
      <c r="F144" s="148">
        <v>869</v>
      </c>
      <c r="G144" s="147" t="s">
        <v>509</v>
      </c>
      <c r="H144" s="147" t="s">
        <v>1270</v>
      </c>
    </row>
    <row r="145" spans="1:8">
      <c r="A145" s="147" t="s">
        <v>940</v>
      </c>
      <c r="B145" s="147" t="s">
        <v>504</v>
      </c>
      <c r="C145" s="147" t="s">
        <v>122</v>
      </c>
      <c r="D145" s="147" t="s">
        <v>206</v>
      </c>
      <c r="E145" s="172">
        <v>18</v>
      </c>
      <c r="F145" s="148">
        <v>430</v>
      </c>
      <c r="G145" s="147" t="s">
        <v>510</v>
      </c>
      <c r="H145" s="147" t="s">
        <v>1269</v>
      </c>
    </row>
    <row r="146" spans="1:8">
      <c r="A146" s="147" t="s">
        <v>942</v>
      </c>
      <c r="B146" s="147" t="s">
        <v>504</v>
      </c>
      <c r="C146" s="147" t="s">
        <v>203</v>
      </c>
      <c r="D146" s="147" t="s">
        <v>206</v>
      </c>
      <c r="E146" s="172">
        <v>3</v>
      </c>
      <c r="F146" s="148">
        <v>404</v>
      </c>
      <c r="G146" s="147" t="s">
        <v>509</v>
      </c>
      <c r="H146" s="147" t="s">
        <v>1271</v>
      </c>
    </row>
    <row r="147" spans="1:8">
      <c r="A147" s="147" t="s">
        <v>945</v>
      </c>
      <c r="B147" s="147" t="s">
        <v>504</v>
      </c>
      <c r="C147" s="147" t="s">
        <v>202</v>
      </c>
      <c r="D147" s="147" t="s">
        <v>206</v>
      </c>
      <c r="E147" s="172">
        <v>4</v>
      </c>
      <c r="F147" s="148">
        <v>380</v>
      </c>
      <c r="G147" s="147" t="s">
        <v>509</v>
      </c>
      <c r="H147" s="147" t="s">
        <v>1270</v>
      </c>
    </row>
    <row r="148" spans="1:8">
      <c r="A148" s="147" t="s">
        <v>941</v>
      </c>
      <c r="B148" s="147" t="s">
        <v>504</v>
      </c>
      <c r="C148" s="147" t="s">
        <v>200</v>
      </c>
      <c r="D148" s="147" t="s">
        <v>206</v>
      </c>
      <c r="E148" s="172">
        <v>6</v>
      </c>
      <c r="F148" s="148">
        <v>360</v>
      </c>
      <c r="G148" s="147" t="s">
        <v>509</v>
      </c>
      <c r="H148" s="147" t="s">
        <v>1268</v>
      </c>
    </row>
    <row r="149" spans="1:8">
      <c r="A149" s="147" t="s">
        <v>943</v>
      </c>
      <c r="B149" s="147" t="s">
        <v>1299</v>
      </c>
      <c r="C149" s="147" t="s">
        <v>944</v>
      </c>
      <c r="D149" s="147" t="s">
        <v>206</v>
      </c>
      <c r="E149" s="172">
        <v>51</v>
      </c>
      <c r="F149" s="148">
        <v>275</v>
      </c>
      <c r="G149" s="147" t="s">
        <v>509</v>
      </c>
      <c r="H149" s="147" t="s">
        <v>1270</v>
      </c>
    </row>
    <row r="150" spans="1:8">
      <c r="A150" s="147" t="s">
        <v>947</v>
      </c>
      <c r="B150" s="147" t="s">
        <v>504</v>
      </c>
      <c r="C150" s="147" t="s">
        <v>625</v>
      </c>
      <c r="D150" s="147" t="s">
        <v>205</v>
      </c>
      <c r="E150" s="172">
        <v>35</v>
      </c>
      <c r="F150" s="148">
        <v>345</v>
      </c>
      <c r="G150" s="147" t="s">
        <v>510</v>
      </c>
      <c r="H150" s="147" t="s">
        <v>1268</v>
      </c>
    </row>
    <row r="151" spans="1:8">
      <c r="A151" s="147" t="s">
        <v>950</v>
      </c>
      <c r="B151" s="147" t="s">
        <v>1299</v>
      </c>
      <c r="C151" s="147" t="s">
        <v>639</v>
      </c>
      <c r="D151" s="147" t="s">
        <v>205</v>
      </c>
      <c r="E151" s="172">
        <v>49</v>
      </c>
      <c r="F151" s="148">
        <v>300</v>
      </c>
      <c r="G151" s="147" t="s">
        <v>509</v>
      </c>
      <c r="H151" s="147" t="s">
        <v>1269</v>
      </c>
    </row>
    <row r="152" spans="1:8">
      <c r="A152" s="147" t="s">
        <v>958</v>
      </c>
      <c r="B152" s="147" t="s">
        <v>504</v>
      </c>
      <c r="C152" s="147" t="s">
        <v>122</v>
      </c>
      <c r="D152" s="147" t="s">
        <v>205</v>
      </c>
      <c r="E152" s="172">
        <v>17</v>
      </c>
      <c r="F152" s="148">
        <v>135</v>
      </c>
      <c r="G152" s="147" t="s">
        <v>510</v>
      </c>
      <c r="H152" s="147" t="s">
        <v>1268</v>
      </c>
    </row>
    <row r="153" spans="1:8">
      <c r="A153" s="147" t="s">
        <v>937</v>
      </c>
      <c r="B153" s="147" t="s">
        <v>504</v>
      </c>
      <c r="C153" s="147" t="s">
        <v>126</v>
      </c>
      <c r="D153" s="147" t="s">
        <v>204</v>
      </c>
      <c r="E153" s="172">
        <v>12</v>
      </c>
      <c r="F153" s="148">
        <v>1330</v>
      </c>
      <c r="G153" s="147" t="s">
        <v>509</v>
      </c>
      <c r="H153" s="147" t="s">
        <v>1267</v>
      </c>
    </row>
    <row r="154" spans="1:8">
      <c r="A154" s="147" t="s">
        <v>946</v>
      </c>
      <c r="B154" s="147" t="s">
        <v>504</v>
      </c>
      <c r="C154" s="147" t="s">
        <v>123</v>
      </c>
      <c r="D154" s="147" t="s">
        <v>204</v>
      </c>
      <c r="E154" s="172">
        <v>15</v>
      </c>
      <c r="F154" s="148">
        <v>400</v>
      </c>
      <c r="G154" s="147" t="s">
        <v>509</v>
      </c>
      <c r="H154" s="147" t="s">
        <v>1269</v>
      </c>
    </row>
    <row r="155" spans="1:8">
      <c r="A155" s="147" t="s">
        <v>948</v>
      </c>
      <c r="B155" s="147" t="s">
        <v>504</v>
      </c>
      <c r="C155" s="147" t="s">
        <v>126</v>
      </c>
      <c r="D155" s="147" t="s">
        <v>204</v>
      </c>
      <c r="E155" s="172">
        <v>12</v>
      </c>
      <c r="F155" s="148">
        <v>325</v>
      </c>
      <c r="G155" s="147" t="s">
        <v>509</v>
      </c>
      <c r="H155" s="147" t="s">
        <v>1267</v>
      </c>
    </row>
    <row r="156" spans="1:8">
      <c r="A156" s="147" t="s">
        <v>949</v>
      </c>
      <c r="B156" s="147" t="s">
        <v>504</v>
      </c>
      <c r="C156" s="147" t="s">
        <v>131</v>
      </c>
      <c r="D156" s="147" t="s">
        <v>203</v>
      </c>
      <c r="E156" s="172">
        <v>6</v>
      </c>
      <c r="F156" s="148">
        <v>395</v>
      </c>
      <c r="G156" s="147" t="s">
        <v>510</v>
      </c>
      <c r="H156" s="147" t="s">
        <v>1267</v>
      </c>
    </row>
    <row r="157" spans="1:8">
      <c r="A157" s="147" t="s">
        <v>951</v>
      </c>
      <c r="B157" s="147" t="s">
        <v>504</v>
      </c>
      <c r="C157" s="147" t="s">
        <v>125</v>
      </c>
      <c r="D157" s="147" t="s">
        <v>203</v>
      </c>
      <c r="E157" s="172">
        <v>12</v>
      </c>
      <c r="F157" s="148">
        <v>395</v>
      </c>
      <c r="G157" s="147" t="s">
        <v>509</v>
      </c>
      <c r="H157" s="147" t="s">
        <v>1270</v>
      </c>
    </row>
    <row r="158" spans="1:8">
      <c r="A158" s="147" t="s">
        <v>952</v>
      </c>
      <c r="B158" s="147" t="s">
        <v>504</v>
      </c>
      <c r="C158" s="147" t="s">
        <v>133</v>
      </c>
      <c r="D158" s="147" t="s">
        <v>203</v>
      </c>
      <c r="E158" s="172">
        <v>4</v>
      </c>
      <c r="F158" s="148">
        <v>395</v>
      </c>
      <c r="G158" s="147" t="s">
        <v>510</v>
      </c>
      <c r="H158" s="147" t="s">
        <v>1271</v>
      </c>
    </row>
    <row r="159" spans="1:8">
      <c r="A159" s="147" t="s">
        <v>954</v>
      </c>
      <c r="B159" s="147" t="s">
        <v>504</v>
      </c>
      <c r="C159" s="147" t="s">
        <v>125</v>
      </c>
      <c r="D159" s="147" t="s">
        <v>202</v>
      </c>
      <c r="E159" s="172">
        <v>11</v>
      </c>
      <c r="F159" s="148">
        <v>400</v>
      </c>
      <c r="G159" s="147" t="s">
        <v>509</v>
      </c>
      <c r="H159" s="147" t="s">
        <v>1268</v>
      </c>
    </row>
    <row r="160" spans="1:8">
      <c r="A160" s="147" t="s">
        <v>955</v>
      </c>
      <c r="B160" s="147" t="s">
        <v>1299</v>
      </c>
      <c r="C160" s="147" t="s">
        <v>133</v>
      </c>
      <c r="D160" s="147" t="s">
        <v>202</v>
      </c>
      <c r="E160" s="172">
        <v>3</v>
      </c>
      <c r="F160" s="148">
        <v>400</v>
      </c>
      <c r="G160" s="147" t="s">
        <v>510</v>
      </c>
      <c r="H160" s="147" t="s">
        <v>1274</v>
      </c>
    </row>
    <row r="161" spans="1:8">
      <c r="A161" s="147" t="s">
        <v>956</v>
      </c>
      <c r="B161" s="147" t="s">
        <v>504</v>
      </c>
      <c r="C161" s="147" t="s">
        <v>131</v>
      </c>
      <c r="D161" s="147" t="s">
        <v>202</v>
      </c>
      <c r="E161" s="172">
        <v>5</v>
      </c>
      <c r="F161" s="148">
        <v>395</v>
      </c>
      <c r="G161" s="147" t="s">
        <v>509</v>
      </c>
      <c r="H161" s="147" t="s">
        <v>1268</v>
      </c>
    </row>
    <row r="162" spans="1:8">
      <c r="A162" s="147" t="s">
        <v>966</v>
      </c>
      <c r="B162" s="147" t="s">
        <v>504</v>
      </c>
      <c r="C162" s="147" t="s">
        <v>201</v>
      </c>
      <c r="D162" s="147" t="s">
        <v>202</v>
      </c>
      <c r="E162" s="172">
        <v>1</v>
      </c>
      <c r="F162" s="148">
        <v>85</v>
      </c>
      <c r="G162" s="147" t="s">
        <v>510</v>
      </c>
      <c r="H162" s="147" t="s">
        <v>1274</v>
      </c>
    </row>
    <row r="163" spans="1:8">
      <c r="A163" s="147" t="s">
        <v>953</v>
      </c>
      <c r="B163" s="147" t="s">
        <v>1299</v>
      </c>
      <c r="C163" s="147" t="s">
        <v>577</v>
      </c>
      <c r="D163" s="147" t="s">
        <v>201</v>
      </c>
      <c r="E163" s="172">
        <v>24</v>
      </c>
      <c r="F163" s="148">
        <v>785</v>
      </c>
      <c r="G163" s="147" t="s">
        <v>509</v>
      </c>
      <c r="H163" s="147" t="s">
        <v>1270</v>
      </c>
    </row>
    <row r="164" spans="1:8">
      <c r="A164" s="147" t="s">
        <v>957</v>
      </c>
      <c r="B164" s="147" t="s">
        <v>1299</v>
      </c>
      <c r="C164" s="147" t="s">
        <v>132</v>
      </c>
      <c r="D164" s="147" t="s">
        <v>201</v>
      </c>
      <c r="E164" s="172">
        <v>3</v>
      </c>
      <c r="F164" s="148">
        <v>625</v>
      </c>
      <c r="G164" s="147" t="s">
        <v>510</v>
      </c>
      <c r="H164" s="147" t="s">
        <v>1268</v>
      </c>
    </row>
    <row r="165" spans="1:8">
      <c r="A165" s="147" t="s">
        <v>959</v>
      </c>
      <c r="B165" s="147" t="s">
        <v>504</v>
      </c>
      <c r="C165" s="147" t="s">
        <v>132</v>
      </c>
      <c r="D165" s="147" t="s">
        <v>201</v>
      </c>
      <c r="E165" s="172">
        <v>3</v>
      </c>
      <c r="F165" s="148">
        <v>531</v>
      </c>
      <c r="G165" s="147" t="s">
        <v>510</v>
      </c>
      <c r="H165" s="147" t="s">
        <v>1268</v>
      </c>
    </row>
    <row r="166" spans="1:8">
      <c r="A166" s="147" t="s">
        <v>960</v>
      </c>
      <c r="B166" s="147" t="s">
        <v>504</v>
      </c>
      <c r="C166" s="147" t="s">
        <v>123</v>
      </c>
      <c r="D166" s="147" t="s">
        <v>201</v>
      </c>
      <c r="E166" s="172">
        <v>12</v>
      </c>
      <c r="F166" s="148">
        <v>375</v>
      </c>
      <c r="G166" s="147" t="s">
        <v>510</v>
      </c>
      <c r="H166" s="147" t="s">
        <v>1270</v>
      </c>
    </row>
    <row r="167" spans="1:8">
      <c r="A167" s="147" t="s">
        <v>961</v>
      </c>
      <c r="B167" s="147" t="s">
        <v>504</v>
      </c>
      <c r="C167" s="147" t="s">
        <v>124</v>
      </c>
      <c r="D167" s="147" t="s">
        <v>201</v>
      </c>
      <c r="E167" s="172">
        <v>11</v>
      </c>
      <c r="F167" s="148">
        <v>375</v>
      </c>
      <c r="G167" s="147" t="s">
        <v>510</v>
      </c>
      <c r="H167" s="147" t="s">
        <v>1271</v>
      </c>
    </row>
    <row r="168" spans="1:8">
      <c r="A168" s="147" t="s">
        <v>962</v>
      </c>
      <c r="B168" s="147" t="s">
        <v>504</v>
      </c>
      <c r="C168" s="147" t="s">
        <v>133</v>
      </c>
      <c r="D168" s="147" t="s">
        <v>201</v>
      </c>
      <c r="E168" s="172">
        <v>2</v>
      </c>
      <c r="F168" s="148">
        <v>360</v>
      </c>
      <c r="G168" s="147" t="s">
        <v>510</v>
      </c>
      <c r="H168" s="147" t="s">
        <v>1271</v>
      </c>
    </row>
    <row r="169" spans="1:8">
      <c r="A169" s="147" t="s">
        <v>963</v>
      </c>
      <c r="B169" s="147" t="s">
        <v>1299</v>
      </c>
      <c r="C169" s="147" t="s">
        <v>132</v>
      </c>
      <c r="D169" s="147" t="s">
        <v>201</v>
      </c>
      <c r="E169" s="172">
        <v>3</v>
      </c>
      <c r="F169" s="148">
        <v>350</v>
      </c>
      <c r="G169" s="147" t="s">
        <v>510</v>
      </c>
      <c r="H169" s="147" t="s">
        <v>1268</v>
      </c>
    </row>
    <row r="170" spans="1:8">
      <c r="A170" s="147" t="s">
        <v>965</v>
      </c>
      <c r="B170" s="147" t="s">
        <v>504</v>
      </c>
      <c r="C170" s="147" t="s">
        <v>593</v>
      </c>
      <c r="D170" s="147" t="s">
        <v>200</v>
      </c>
      <c r="E170" s="172">
        <v>13</v>
      </c>
      <c r="F170" s="148">
        <v>570</v>
      </c>
      <c r="G170" s="147" t="s">
        <v>509</v>
      </c>
      <c r="H170" s="147" t="s">
        <v>1269</v>
      </c>
    </row>
    <row r="171" spans="1:8">
      <c r="A171" s="147" t="s">
        <v>967</v>
      </c>
      <c r="B171" s="147" t="s">
        <v>1299</v>
      </c>
      <c r="C171" s="147" t="s">
        <v>813</v>
      </c>
      <c r="D171" s="147" t="s">
        <v>200</v>
      </c>
      <c r="E171" s="172">
        <v>39</v>
      </c>
      <c r="F171" s="148">
        <v>420</v>
      </c>
      <c r="G171" s="147" t="s">
        <v>509</v>
      </c>
      <c r="H171" s="147" t="s">
        <v>1271</v>
      </c>
    </row>
    <row r="172" spans="1:8">
      <c r="A172" s="147" t="s">
        <v>964</v>
      </c>
      <c r="B172" s="147" t="s">
        <v>504</v>
      </c>
      <c r="C172" s="147" t="s">
        <v>125</v>
      </c>
      <c r="D172" s="147" t="s">
        <v>133</v>
      </c>
      <c r="E172" s="172">
        <v>8</v>
      </c>
      <c r="F172" s="148">
        <v>1960</v>
      </c>
      <c r="G172" s="147" t="s">
        <v>509</v>
      </c>
      <c r="H172" s="147" t="s">
        <v>1267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tabColor theme="4" tint="0.79998168889431442"/>
    <pageSetUpPr fitToPage="1"/>
  </sheetPr>
  <dimension ref="B1:AK320"/>
  <sheetViews>
    <sheetView showGridLines="0" view="pageBreakPreview" zoomScale="115" zoomScaleNormal="115" zoomScaleSheetLayoutView="115" workbookViewId="0"/>
  </sheetViews>
  <sheetFormatPr defaultRowHeight="12"/>
  <cols>
    <col min="1" max="1" width="1.7109375" style="173" customWidth="1"/>
    <col min="2" max="2" width="9.140625" style="173"/>
    <col min="3" max="3" width="11.28515625" style="173" customWidth="1"/>
    <col min="4" max="5" width="23.140625" style="173" bestFit="1" customWidth="1"/>
    <col min="6" max="8" width="9.28515625" style="173" bestFit="1" customWidth="1"/>
    <col min="9" max="9" width="10.85546875" style="173" bestFit="1" customWidth="1"/>
    <col min="10" max="10" width="10.7109375" style="173" bestFit="1" customWidth="1"/>
    <col min="11" max="11" width="11" style="173" bestFit="1" customWidth="1"/>
    <col min="12" max="12" width="10.7109375" style="173" bestFit="1" customWidth="1"/>
    <col min="13" max="13" width="11.140625" style="173" bestFit="1" customWidth="1"/>
    <col min="14" max="14" width="10.85546875" style="173" bestFit="1" customWidth="1"/>
    <col min="15" max="15" width="10.28515625" style="173" bestFit="1" customWidth="1"/>
    <col min="16" max="17" width="11" style="173" bestFit="1" customWidth="1"/>
    <col min="18" max="18" width="10.7109375" style="173" bestFit="1" customWidth="1"/>
    <col min="19" max="19" width="10.85546875" style="173" bestFit="1" customWidth="1"/>
    <col min="20" max="20" width="11" style="173" bestFit="1" customWidth="1"/>
    <col min="21" max="21" width="10.85546875" style="173" bestFit="1" customWidth="1"/>
    <col min="22" max="22" width="10.7109375" style="173" bestFit="1" customWidth="1"/>
    <col min="23" max="23" width="11" style="173" bestFit="1" customWidth="1"/>
    <col min="24" max="24" width="10.7109375" style="173" bestFit="1" customWidth="1"/>
    <col min="25" max="25" width="11.140625" style="173" bestFit="1" customWidth="1"/>
    <col min="26" max="26" width="10.85546875" style="173" bestFit="1" customWidth="1"/>
    <col min="27" max="27" width="10.28515625" style="173" bestFit="1" customWidth="1"/>
    <col min="28" max="16384" width="9.140625" style="173"/>
  </cols>
  <sheetData>
    <row r="1" spans="2:37">
      <c r="I1" s="254">
        <f t="shared" ref="I1:X1" si="0">EOMONTH(I6,0)</f>
        <v>45688</v>
      </c>
      <c r="J1" s="254">
        <f t="shared" si="0"/>
        <v>45716</v>
      </c>
      <c r="K1" s="254">
        <f t="shared" si="0"/>
        <v>45747</v>
      </c>
      <c r="L1" s="254">
        <f t="shared" si="0"/>
        <v>45777</v>
      </c>
      <c r="M1" s="254">
        <f t="shared" si="0"/>
        <v>45808</v>
      </c>
      <c r="N1" s="254">
        <f t="shared" si="0"/>
        <v>45838</v>
      </c>
      <c r="O1" s="254">
        <f t="shared" si="0"/>
        <v>45869</v>
      </c>
      <c r="P1" s="254">
        <f t="shared" si="0"/>
        <v>45900</v>
      </c>
      <c r="Q1" s="254">
        <f t="shared" si="0"/>
        <v>45930</v>
      </c>
      <c r="R1" s="254">
        <f t="shared" si="0"/>
        <v>45961</v>
      </c>
      <c r="S1" s="254">
        <f t="shared" si="0"/>
        <v>45991</v>
      </c>
      <c r="T1" s="254">
        <f t="shared" si="0"/>
        <v>46022</v>
      </c>
      <c r="U1" s="254">
        <f t="shared" si="0"/>
        <v>46053</v>
      </c>
      <c r="V1" s="254">
        <f t="shared" si="0"/>
        <v>46081</v>
      </c>
      <c r="W1" s="254">
        <f t="shared" si="0"/>
        <v>46112</v>
      </c>
      <c r="X1" s="254">
        <f t="shared" si="0"/>
        <v>46142</v>
      </c>
      <c r="Y1" s="254">
        <f>EOMONTH(Y6,0)</f>
        <v>46173</v>
      </c>
      <c r="Z1" s="254">
        <f>EOMONTH(Z6,0)</f>
        <v>46203</v>
      </c>
      <c r="AA1" s="254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1300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</row>
    <row r="5" spans="2:37">
      <c r="B5" s="203"/>
      <c r="C5" s="203"/>
      <c r="D5" s="74" t="s">
        <v>1190</v>
      </c>
      <c r="E5" s="205"/>
      <c r="F5" s="206"/>
      <c r="G5" s="74" t="s">
        <v>1318</v>
      </c>
      <c r="H5" s="205"/>
      <c r="I5" s="74" t="s">
        <v>1317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8" t="s">
        <v>471</v>
      </c>
      <c r="C6" s="204" t="s">
        <v>116</v>
      </c>
      <c r="D6" s="191" t="s">
        <v>1304</v>
      </c>
      <c r="E6" s="204" t="s">
        <v>1305</v>
      </c>
      <c r="F6" s="207" t="s">
        <v>1312</v>
      </c>
      <c r="G6" s="191" t="s">
        <v>1319</v>
      </c>
      <c r="H6" s="204" t="s">
        <v>1320</v>
      </c>
      <c r="I6" s="190">
        <v>45658</v>
      </c>
      <c r="J6" s="190">
        <v>45689</v>
      </c>
      <c r="K6" s="190">
        <v>45717</v>
      </c>
      <c r="L6" s="190">
        <v>45748</v>
      </c>
      <c r="M6" s="190">
        <v>45778</v>
      </c>
      <c r="N6" s="190">
        <v>45809</v>
      </c>
      <c r="O6" s="190">
        <v>45839</v>
      </c>
      <c r="P6" s="190">
        <v>45870</v>
      </c>
      <c r="Q6" s="190">
        <v>45901</v>
      </c>
      <c r="R6" s="190">
        <v>45931</v>
      </c>
      <c r="S6" s="190">
        <v>45962</v>
      </c>
      <c r="T6" s="190">
        <v>45992</v>
      </c>
      <c r="U6" s="190">
        <v>46023</v>
      </c>
      <c r="V6" s="190">
        <v>46054</v>
      </c>
      <c r="W6" s="190">
        <v>46082</v>
      </c>
      <c r="X6" s="190">
        <v>46113</v>
      </c>
      <c r="Y6" s="190">
        <v>46143</v>
      </c>
      <c r="Z6" s="190">
        <v>46174</v>
      </c>
      <c r="AA6" s="190">
        <v>46204</v>
      </c>
    </row>
    <row r="7" spans="2:37" ht="12" hidden="1" customHeight="1">
      <c r="B7" s="173" t="s">
        <v>501</v>
      </c>
      <c r="C7" s="173" t="s">
        <v>502</v>
      </c>
      <c r="D7" s="173" t="s">
        <v>503</v>
      </c>
      <c r="E7" s="173" t="s">
        <v>1306</v>
      </c>
      <c r="F7" s="192">
        <v>206</v>
      </c>
      <c r="G7" s="196">
        <v>45597</v>
      </c>
      <c r="H7" s="196"/>
      <c r="I7" s="192">
        <v>4290</v>
      </c>
      <c r="J7" s="192">
        <v>6665</v>
      </c>
      <c r="K7" s="192">
        <v>15</v>
      </c>
      <c r="L7" s="192">
        <v>4840</v>
      </c>
      <c r="M7" s="192">
        <v>4810</v>
      </c>
      <c r="N7" s="192">
        <v>4840</v>
      </c>
      <c r="O7" s="192">
        <v>5030</v>
      </c>
      <c r="P7" s="192">
        <v>5120</v>
      </c>
      <c r="Q7" s="192">
        <v>6282.5</v>
      </c>
      <c r="R7" s="192">
        <v>5310</v>
      </c>
      <c r="S7" s="192">
        <v>6845</v>
      </c>
      <c r="T7" s="192">
        <v>7910</v>
      </c>
      <c r="U7" s="192">
        <v>8715</v>
      </c>
      <c r="V7" s="192">
        <v>11895</v>
      </c>
      <c r="W7" s="192">
        <v>8670</v>
      </c>
      <c r="X7" s="192">
        <v>9380</v>
      </c>
      <c r="Y7" s="192">
        <v>8829.09</v>
      </c>
      <c r="Z7" s="192">
        <v>9260</v>
      </c>
      <c r="AA7" s="192">
        <v>9490</v>
      </c>
    </row>
    <row r="8" spans="2:37" ht="12" hidden="1" customHeight="1">
      <c r="B8" s="173" t="s">
        <v>517</v>
      </c>
      <c r="C8" s="173" t="s">
        <v>502</v>
      </c>
      <c r="D8" s="173" t="s">
        <v>503</v>
      </c>
      <c r="E8" s="173" t="s">
        <v>1306</v>
      </c>
      <c r="F8" s="192">
        <v>163</v>
      </c>
      <c r="G8" s="196">
        <v>45931</v>
      </c>
      <c r="H8" s="196"/>
      <c r="I8" s="192" t="s">
        <v>343</v>
      </c>
      <c r="J8" s="192" t="s">
        <v>343</v>
      </c>
      <c r="K8" s="192" t="s">
        <v>343</v>
      </c>
      <c r="L8" s="192" t="s">
        <v>343</v>
      </c>
      <c r="M8" s="192" t="s">
        <v>343</v>
      </c>
      <c r="N8" s="192" t="s">
        <v>343</v>
      </c>
      <c r="O8" s="192" t="s">
        <v>343</v>
      </c>
      <c r="P8" s="192" t="s">
        <v>343</v>
      </c>
      <c r="Q8" s="192" t="s">
        <v>343</v>
      </c>
      <c r="R8" s="192">
        <v>7884</v>
      </c>
      <c r="S8" s="192">
        <v>7301</v>
      </c>
      <c r="T8" s="192">
        <v>9160</v>
      </c>
      <c r="U8" s="192">
        <v>6887</v>
      </c>
      <c r="V8" s="192">
        <v>11121</v>
      </c>
      <c r="W8" s="192">
        <v>8269</v>
      </c>
      <c r="X8" s="192">
        <v>8209</v>
      </c>
      <c r="Y8" s="192">
        <v>8633</v>
      </c>
      <c r="Z8" s="192">
        <v>8633</v>
      </c>
      <c r="AA8" s="192">
        <v>8792</v>
      </c>
    </row>
    <row r="9" spans="2:37" ht="12" hidden="1" customHeight="1">
      <c r="B9" s="173" t="s">
        <v>524</v>
      </c>
      <c r="C9" s="173" t="s">
        <v>502</v>
      </c>
      <c r="D9" s="173" t="s">
        <v>503</v>
      </c>
      <c r="E9" s="173" t="s">
        <v>1306</v>
      </c>
      <c r="F9" s="192">
        <v>85</v>
      </c>
      <c r="G9" s="196">
        <v>44531</v>
      </c>
      <c r="H9" s="196"/>
      <c r="I9" s="192">
        <v>4835</v>
      </c>
      <c r="J9" s="192">
        <v>3850</v>
      </c>
      <c r="K9" s="192">
        <v>4200</v>
      </c>
      <c r="L9" s="192">
        <v>4400</v>
      </c>
      <c r="M9" s="192">
        <v>4450</v>
      </c>
      <c r="N9" s="192">
        <v>4850</v>
      </c>
      <c r="O9" s="192">
        <v>4800</v>
      </c>
      <c r="P9" s="192">
        <v>4900</v>
      </c>
      <c r="Q9" s="192">
        <v>4800</v>
      </c>
      <c r="R9" s="192">
        <v>4600</v>
      </c>
      <c r="S9" s="192">
        <v>4500</v>
      </c>
      <c r="T9" s="192">
        <v>4350</v>
      </c>
      <c r="U9" s="192">
        <v>3470</v>
      </c>
      <c r="V9" s="192">
        <v>5120</v>
      </c>
      <c r="W9" s="192">
        <v>3680</v>
      </c>
      <c r="X9" s="192">
        <v>3722</v>
      </c>
      <c r="Y9" s="192">
        <v>3722</v>
      </c>
      <c r="Z9" s="192">
        <v>3638</v>
      </c>
      <c r="AA9" s="192">
        <v>3890</v>
      </c>
    </row>
    <row r="10" spans="2:37" ht="12" hidden="1" customHeight="1">
      <c r="B10" s="173" t="s">
        <v>529</v>
      </c>
      <c r="C10" s="173" t="s">
        <v>502</v>
      </c>
      <c r="D10" s="173" t="s">
        <v>503</v>
      </c>
      <c r="E10" s="173" t="s">
        <v>1306</v>
      </c>
      <c r="F10" s="192">
        <v>99</v>
      </c>
      <c r="G10" s="196">
        <v>45717</v>
      </c>
      <c r="H10" s="196"/>
      <c r="I10" s="192" t="s">
        <v>343</v>
      </c>
      <c r="J10" s="192" t="s">
        <v>343</v>
      </c>
      <c r="K10" s="192">
        <v>6672</v>
      </c>
      <c r="L10" s="192">
        <v>3572</v>
      </c>
      <c r="M10" s="192">
        <v>6728</v>
      </c>
      <c r="N10" s="192">
        <v>3684</v>
      </c>
      <c r="O10" s="192">
        <v>3796</v>
      </c>
      <c r="P10" s="192">
        <v>3852</v>
      </c>
      <c r="Q10" s="192">
        <v>3908</v>
      </c>
      <c r="R10" s="192">
        <v>4188</v>
      </c>
      <c r="S10" s="192">
        <v>4132</v>
      </c>
      <c r="T10" s="192">
        <v>4412</v>
      </c>
      <c r="U10" s="192">
        <v>4636</v>
      </c>
      <c r="V10" s="192">
        <v>5891</v>
      </c>
      <c r="W10" s="192">
        <v>3381</v>
      </c>
      <c r="X10" s="192">
        <v>3625</v>
      </c>
      <c r="Y10" s="192">
        <v>3736</v>
      </c>
      <c r="Z10" s="192">
        <v>3736</v>
      </c>
      <c r="AA10" s="192">
        <v>3847</v>
      </c>
    </row>
    <row r="11" spans="2:37" ht="12" hidden="1" customHeight="1">
      <c r="B11" s="173" t="s">
        <v>533</v>
      </c>
      <c r="C11" s="173" t="s">
        <v>502</v>
      </c>
      <c r="D11" s="173" t="s">
        <v>503</v>
      </c>
      <c r="E11" s="173" t="s">
        <v>1306</v>
      </c>
      <c r="F11" s="192">
        <v>73</v>
      </c>
      <c r="G11" s="196">
        <v>44713</v>
      </c>
      <c r="H11" s="196"/>
      <c r="I11" s="192">
        <v>4020</v>
      </c>
      <c r="J11" s="192">
        <v>3060</v>
      </c>
      <c r="K11" s="192">
        <v>3240</v>
      </c>
      <c r="L11" s="192">
        <v>3120</v>
      </c>
      <c r="M11" s="192">
        <v>3240</v>
      </c>
      <c r="N11" s="192">
        <v>3120</v>
      </c>
      <c r="O11" s="192">
        <v>3480</v>
      </c>
      <c r="P11" s="192">
        <v>3480</v>
      </c>
      <c r="Q11" s="192">
        <v>3780</v>
      </c>
      <c r="R11" s="192">
        <v>3840</v>
      </c>
      <c r="S11" s="192">
        <v>3900</v>
      </c>
      <c r="T11" s="192">
        <v>4020</v>
      </c>
      <c r="U11" s="192">
        <v>4020</v>
      </c>
      <c r="V11" s="192">
        <v>5280</v>
      </c>
      <c r="W11" s="192">
        <v>4155</v>
      </c>
      <c r="X11" s="192">
        <v>3900</v>
      </c>
      <c r="Y11" s="192">
        <v>4200</v>
      </c>
      <c r="Z11" s="192">
        <v>3400</v>
      </c>
      <c r="AA11" s="192">
        <v>3353</v>
      </c>
    </row>
    <row r="12" spans="2:37" ht="12" hidden="1" customHeight="1">
      <c r="B12" s="173" t="s">
        <v>539</v>
      </c>
      <c r="C12" s="173" t="s">
        <v>502</v>
      </c>
      <c r="D12" s="173" t="s">
        <v>503</v>
      </c>
      <c r="E12" s="173" t="s">
        <v>1306</v>
      </c>
      <c r="F12" s="192">
        <v>54</v>
      </c>
      <c r="G12" s="196">
        <v>45444</v>
      </c>
      <c r="H12" s="196"/>
      <c r="I12" s="192">
        <v>3221</v>
      </c>
      <c r="J12" s="192">
        <v>3920</v>
      </c>
      <c r="K12" s="192">
        <v>3290</v>
      </c>
      <c r="L12" s="192">
        <v>3384</v>
      </c>
      <c r="M12" s="192">
        <v>3572</v>
      </c>
      <c r="N12" s="192">
        <v>3216</v>
      </c>
      <c r="O12" s="192">
        <v>3298</v>
      </c>
      <c r="P12" s="192">
        <v>3216</v>
      </c>
      <c r="Q12" s="192">
        <v>3462</v>
      </c>
      <c r="R12" s="192">
        <v>3626</v>
      </c>
      <c r="S12" s="192">
        <v>4036</v>
      </c>
      <c r="T12" s="192">
        <v>4061</v>
      </c>
      <c r="U12" s="192">
        <v>4036</v>
      </c>
      <c r="V12" s="192">
        <v>4921</v>
      </c>
      <c r="W12" s="192">
        <v>4133</v>
      </c>
      <c r="X12" s="192">
        <v>3805</v>
      </c>
      <c r="Y12" s="192">
        <v>3872</v>
      </c>
      <c r="Z12" s="192">
        <v>3272</v>
      </c>
      <c r="AA12" s="192">
        <v>3318</v>
      </c>
    </row>
    <row r="13" spans="2:37" ht="12" hidden="1" customHeight="1">
      <c r="B13" s="173" t="s">
        <v>542</v>
      </c>
      <c r="C13" s="173" t="s">
        <v>502</v>
      </c>
      <c r="D13" s="173" t="s">
        <v>503</v>
      </c>
      <c r="E13" s="173" t="s">
        <v>1306</v>
      </c>
      <c r="F13" s="192">
        <v>81</v>
      </c>
      <c r="G13" s="196">
        <v>45717</v>
      </c>
      <c r="H13" s="196"/>
      <c r="I13" s="192" t="s">
        <v>343</v>
      </c>
      <c r="J13" s="192" t="s">
        <v>343</v>
      </c>
      <c r="K13" s="192">
        <v>3040</v>
      </c>
      <c r="L13" s="192">
        <v>2445</v>
      </c>
      <c r="M13" s="192">
        <v>2090</v>
      </c>
      <c r="N13" s="192">
        <v>2090</v>
      </c>
      <c r="O13" s="192">
        <v>1980</v>
      </c>
      <c r="P13" s="192">
        <v>1870</v>
      </c>
      <c r="Q13" s="192">
        <v>2090</v>
      </c>
      <c r="R13" s="192">
        <v>2180</v>
      </c>
      <c r="S13" s="192">
        <v>2289</v>
      </c>
      <c r="T13" s="192">
        <v>2071</v>
      </c>
      <c r="U13" s="192">
        <v>2071</v>
      </c>
      <c r="V13" s="192">
        <v>3100</v>
      </c>
      <c r="W13" s="192">
        <v>2124</v>
      </c>
      <c r="X13" s="192">
        <v>2124</v>
      </c>
      <c r="Y13" s="192">
        <v>6260</v>
      </c>
      <c r="Z13" s="192">
        <v>6254</v>
      </c>
      <c r="AA13" s="192">
        <v>6557</v>
      </c>
    </row>
    <row r="14" spans="2:37" ht="12" hidden="1" customHeight="1">
      <c r="B14" s="173" t="s">
        <v>544</v>
      </c>
      <c r="C14" s="173" t="s">
        <v>502</v>
      </c>
      <c r="D14" s="173" t="s">
        <v>503</v>
      </c>
      <c r="E14" s="173" t="s">
        <v>1306</v>
      </c>
      <c r="F14" s="192">
        <v>33</v>
      </c>
      <c r="G14" s="196">
        <v>45323</v>
      </c>
      <c r="H14" s="196"/>
      <c r="I14" s="192">
        <v>2370</v>
      </c>
      <c r="J14" s="192">
        <v>2399</v>
      </c>
      <c r="K14" s="192">
        <v>2399</v>
      </c>
      <c r="L14" s="192">
        <v>2399</v>
      </c>
      <c r="M14" s="192">
        <v>1906</v>
      </c>
      <c r="N14" s="192">
        <v>2447</v>
      </c>
      <c r="O14" s="192">
        <v>2420</v>
      </c>
      <c r="P14" s="192">
        <v>2514</v>
      </c>
      <c r="Q14" s="192">
        <v>2467</v>
      </c>
      <c r="R14" s="192">
        <v>2634</v>
      </c>
      <c r="S14" s="192">
        <v>2618</v>
      </c>
      <c r="T14" s="192">
        <v>2694</v>
      </c>
      <c r="U14" s="192">
        <v>2694</v>
      </c>
      <c r="V14" s="192">
        <v>3802</v>
      </c>
      <c r="W14" s="192">
        <v>2708</v>
      </c>
      <c r="X14" s="192">
        <v>2834</v>
      </c>
      <c r="Y14" s="192">
        <v>2606</v>
      </c>
      <c r="Z14" s="192">
        <v>2839</v>
      </c>
      <c r="AA14" s="192">
        <v>2813</v>
      </c>
    </row>
    <row r="15" spans="2:37" ht="12" hidden="1" customHeight="1">
      <c r="B15" s="173" t="s">
        <v>547</v>
      </c>
      <c r="C15" s="173" t="s">
        <v>502</v>
      </c>
      <c r="D15" s="173" t="s">
        <v>503</v>
      </c>
      <c r="E15" s="173" t="s">
        <v>1306</v>
      </c>
      <c r="F15" s="192">
        <v>36</v>
      </c>
      <c r="G15" s="196">
        <v>44713</v>
      </c>
      <c r="H15" s="196"/>
      <c r="I15" s="192">
        <v>3206</v>
      </c>
      <c r="J15" s="192">
        <v>2201</v>
      </c>
      <c r="K15" s="192">
        <v>2485</v>
      </c>
      <c r="L15" s="192">
        <v>2201</v>
      </c>
      <c r="M15" s="192">
        <v>2130</v>
      </c>
      <c r="N15" s="192">
        <v>2514</v>
      </c>
      <c r="O15" s="192">
        <v>2534</v>
      </c>
      <c r="P15" s="192">
        <v>2645</v>
      </c>
      <c r="Q15" s="192">
        <v>2574</v>
      </c>
      <c r="R15" s="192">
        <v>2880</v>
      </c>
      <c r="S15" s="192">
        <v>2880</v>
      </c>
      <c r="T15" s="192">
        <v>2880</v>
      </c>
      <c r="U15" s="192">
        <v>2329.52</v>
      </c>
      <c r="V15" s="192">
        <v>2941.11</v>
      </c>
      <c r="W15" s="192">
        <v>2730</v>
      </c>
      <c r="X15" s="192">
        <v>2655</v>
      </c>
      <c r="Y15" s="192">
        <v>2861</v>
      </c>
      <c r="Z15" s="192">
        <v>2800</v>
      </c>
      <c r="AA15" s="192">
        <v>2465.35</v>
      </c>
    </row>
    <row r="16" spans="2:37" ht="12" hidden="1" customHeight="1">
      <c r="B16" s="173" t="s">
        <v>549</v>
      </c>
      <c r="C16" s="173" t="s">
        <v>502</v>
      </c>
      <c r="D16" s="173" t="s">
        <v>503</v>
      </c>
      <c r="E16" s="173" t="s">
        <v>1306</v>
      </c>
      <c r="F16" s="192">
        <v>38</v>
      </c>
      <c r="G16" s="196">
        <v>45413</v>
      </c>
      <c r="H16" s="196"/>
      <c r="I16" s="192">
        <v>2388.75</v>
      </c>
      <c r="J16" s="192">
        <v>1850</v>
      </c>
      <c r="K16" s="192">
        <v>1385</v>
      </c>
      <c r="L16" s="192">
        <v>1370</v>
      </c>
      <c r="M16" s="192">
        <v>1240</v>
      </c>
      <c r="N16" s="192">
        <v>1175</v>
      </c>
      <c r="O16" s="192">
        <v>1305</v>
      </c>
      <c r="P16" s="192">
        <v>1370</v>
      </c>
      <c r="Q16" s="192">
        <v>1435</v>
      </c>
      <c r="R16" s="192">
        <v>1370</v>
      </c>
      <c r="S16" s="192">
        <v>1530</v>
      </c>
      <c r="T16" s="192">
        <v>1500</v>
      </c>
      <c r="U16" s="192">
        <v>3800</v>
      </c>
      <c r="V16" s="192">
        <v>4895</v>
      </c>
      <c r="W16" s="192">
        <v>3450</v>
      </c>
      <c r="X16" s="192">
        <v>3650</v>
      </c>
      <c r="Y16" s="192">
        <v>3200</v>
      </c>
      <c r="Z16" s="192">
        <v>3050</v>
      </c>
      <c r="AA16" s="192">
        <v>2975</v>
      </c>
    </row>
    <row r="17" spans="2:27" ht="12" hidden="1" customHeight="1">
      <c r="B17" s="173" t="s">
        <v>552</v>
      </c>
      <c r="C17" s="173" t="s">
        <v>502</v>
      </c>
      <c r="D17" s="173" t="s">
        <v>503</v>
      </c>
      <c r="E17" s="173" t="s">
        <v>1306</v>
      </c>
      <c r="F17" s="192">
        <v>61</v>
      </c>
      <c r="G17" s="196">
        <v>45200</v>
      </c>
      <c r="H17" s="196"/>
      <c r="I17" s="192">
        <v>1650</v>
      </c>
      <c r="J17" s="192">
        <v>2085</v>
      </c>
      <c r="K17" s="192">
        <v>1650</v>
      </c>
      <c r="L17" s="192">
        <v>1800</v>
      </c>
      <c r="M17" s="192">
        <v>1875</v>
      </c>
      <c r="N17" s="192">
        <v>1917</v>
      </c>
      <c r="O17" s="192">
        <v>1501</v>
      </c>
      <c r="P17" s="192">
        <v>2010</v>
      </c>
      <c r="Q17" s="192">
        <v>2010</v>
      </c>
      <c r="R17" s="192">
        <v>2020</v>
      </c>
      <c r="S17" s="192">
        <v>2148</v>
      </c>
      <c r="T17" s="192">
        <v>2404</v>
      </c>
      <c r="U17" s="192">
        <v>2468</v>
      </c>
      <c r="V17" s="192">
        <v>2922</v>
      </c>
      <c r="W17" s="192">
        <v>2468</v>
      </c>
      <c r="X17" s="192">
        <v>2532</v>
      </c>
      <c r="Y17" s="192">
        <v>2824</v>
      </c>
      <c r="Z17" s="192">
        <v>2843</v>
      </c>
      <c r="AA17" s="192">
        <v>2978</v>
      </c>
    </row>
    <row r="18" spans="2:27" ht="12" hidden="1" customHeight="1">
      <c r="B18" s="173" t="s">
        <v>556</v>
      </c>
      <c r="C18" s="173" t="s">
        <v>502</v>
      </c>
      <c r="D18" s="173" t="s">
        <v>503</v>
      </c>
      <c r="E18" s="173" t="s">
        <v>1306</v>
      </c>
      <c r="F18" s="192">
        <v>27</v>
      </c>
      <c r="G18" s="196">
        <v>45383</v>
      </c>
      <c r="H18" s="196"/>
      <c r="I18" s="192">
        <v>2252</v>
      </c>
      <c r="J18" s="192">
        <v>3817</v>
      </c>
      <c r="K18" s="192">
        <v>1738</v>
      </c>
      <c r="L18" s="192">
        <v>2380</v>
      </c>
      <c r="M18" s="192">
        <v>2285</v>
      </c>
      <c r="N18" s="192">
        <v>2190</v>
      </c>
      <c r="O18" s="192">
        <v>2285</v>
      </c>
      <c r="P18" s="192">
        <v>2285</v>
      </c>
      <c r="Q18" s="192">
        <v>2285</v>
      </c>
      <c r="R18" s="192">
        <v>2285</v>
      </c>
      <c r="S18" s="192">
        <v>2362</v>
      </c>
      <c r="T18" s="192">
        <v>2362</v>
      </c>
      <c r="U18" s="192">
        <v>2449</v>
      </c>
      <c r="V18" s="192">
        <v>2654</v>
      </c>
      <c r="W18" s="192">
        <v>2362</v>
      </c>
      <c r="X18" s="192">
        <v>2609</v>
      </c>
      <c r="Y18" s="192">
        <v>2202.62</v>
      </c>
      <c r="Z18" s="192">
        <v>2502</v>
      </c>
      <c r="AA18" s="192">
        <v>2594</v>
      </c>
    </row>
    <row r="19" spans="2:27" ht="12" hidden="1" customHeight="1">
      <c r="B19" s="173" t="s">
        <v>557</v>
      </c>
      <c r="C19" s="173" t="s">
        <v>502</v>
      </c>
      <c r="D19" s="173" t="s">
        <v>503</v>
      </c>
      <c r="E19" s="173" t="s">
        <v>1306</v>
      </c>
      <c r="F19" s="192">
        <v>21</v>
      </c>
      <c r="G19" s="196">
        <v>45474</v>
      </c>
      <c r="H19" s="196"/>
      <c r="I19" s="192">
        <v>2775</v>
      </c>
      <c r="J19" s="192">
        <v>3645</v>
      </c>
      <c r="K19" s="192">
        <v>2265</v>
      </c>
      <c r="L19" s="192">
        <v>5125</v>
      </c>
      <c r="M19" s="192">
        <v>2550</v>
      </c>
      <c r="N19" s="192">
        <v>1432.5</v>
      </c>
      <c r="O19" s="192">
        <v>2579</v>
      </c>
      <c r="P19" s="192">
        <v>2378</v>
      </c>
      <c r="Q19" s="192">
        <v>2378</v>
      </c>
      <c r="R19" s="192">
        <v>2378</v>
      </c>
      <c r="S19" s="192">
        <v>2311</v>
      </c>
      <c r="T19" s="192">
        <v>2311</v>
      </c>
      <c r="U19" s="192">
        <v>2445</v>
      </c>
      <c r="V19" s="192">
        <v>3149</v>
      </c>
      <c r="W19" s="192">
        <v>3023</v>
      </c>
      <c r="X19" s="192">
        <v>2393</v>
      </c>
      <c r="Y19" s="192">
        <v>2378</v>
      </c>
      <c r="Z19" s="192">
        <v>1877</v>
      </c>
      <c r="AA19" s="192">
        <v>1852</v>
      </c>
    </row>
    <row r="20" spans="2:27" ht="12" hidden="1" customHeight="1">
      <c r="B20" s="173" t="s">
        <v>559</v>
      </c>
      <c r="C20" s="173" t="s">
        <v>502</v>
      </c>
      <c r="D20" s="173" t="s">
        <v>503</v>
      </c>
      <c r="E20" s="173" t="s">
        <v>1306</v>
      </c>
      <c r="F20" s="192">
        <v>25</v>
      </c>
      <c r="G20" s="196">
        <v>45292</v>
      </c>
      <c r="H20" s="196"/>
      <c r="I20" s="192">
        <v>2000</v>
      </c>
      <c r="J20" s="192">
        <v>2225</v>
      </c>
      <c r="K20" s="192">
        <v>2095</v>
      </c>
      <c r="L20" s="192">
        <v>2285</v>
      </c>
      <c r="M20" s="192">
        <v>2356.25</v>
      </c>
      <c r="N20" s="192">
        <v>2380</v>
      </c>
      <c r="O20" s="192">
        <v>2193.75</v>
      </c>
      <c r="P20" s="192">
        <v>2275</v>
      </c>
      <c r="Q20" s="192">
        <v>2275</v>
      </c>
      <c r="R20" s="192">
        <v>2275</v>
      </c>
      <c r="S20" s="192">
        <v>2525</v>
      </c>
      <c r="T20" s="192">
        <v>2275</v>
      </c>
      <c r="U20" s="192">
        <v>2285</v>
      </c>
      <c r="V20" s="192">
        <v>2585</v>
      </c>
      <c r="W20" s="192">
        <v>2285</v>
      </c>
      <c r="X20" s="192">
        <v>2285</v>
      </c>
      <c r="Y20" s="192">
        <v>2285</v>
      </c>
      <c r="Z20" s="192">
        <v>2285</v>
      </c>
      <c r="AA20" s="192">
        <v>2285</v>
      </c>
    </row>
    <row r="21" spans="2:27" ht="12" hidden="1" customHeight="1">
      <c r="B21" s="173" t="s">
        <v>564</v>
      </c>
      <c r="C21" s="173" t="s">
        <v>502</v>
      </c>
      <c r="D21" s="173" t="s">
        <v>503</v>
      </c>
      <c r="E21" s="173" t="s">
        <v>1306</v>
      </c>
      <c r="F21" s="192">
        <v>60</v>
      </c>
      <c r="G21" s="196">
        <v>45778</v>
      </c>
      <c r="H21" s="196"/>
      <c r="I21" s="192" t="s">
        <v>343</v>
      </c>
      <c r="J21" s="192" t="s">
        <v>343</v>
      </c>
      <c r="K21" s="192" t="s">
        <v>343</v>
      </c>
      <c r="L21" s="192" t="s">
        <v>343</v>
      </c>
      <c r="M21" s="192">
        <v>2925</v>
      </c>
      <c r="N21" s="192">
        <v>1675</v>
      </c>
      <c r="O21" s="192">
        <v>1864</v>
      </c>
      <c r="P21" s="192">
        <v>1927</v>
      </c>
      <c r="Q21" s="192">
        <v>1990</v>
      </c>
      <c r="R21" s="192">
        <v>2053</v>
      </c>
      <c r="S21" s="192">
        <v>2179</v>
      </c>
      <c r="T21" s="192">
        <v>1801</v>
      </c>
      <c r="U21" s="192">
        <v>2656</v>
      </c>
      <c r="V21" s="192">
        <v>1612</v>
      </c>
      <c r="W21" s="192">
        <v>2431</v>
      </c>
      <c r="X21" s="192">
        <v>2557</v>
      </c>
      <c r="Y21" s="192">
        <v>2460</v>
      </c>
      <c r="Z21" s="192">
        <v>2732</v>
      </c>
      <c r="AA21" s="192">
        <v>2742</v>
      </c>
    </row>
    <row r="22" spans="2:27" ht="12" hidden="1" customHeight="1">
      <c r="B22" s="173" t="s">
        <v>566</v>
      </c>
      <c r="C22" s="173" t="s">
        <v>567</v>
      </c>
      <c r="D22" s="173" t="s">
        <v>503</v>
      </c>
      <c r="E22" s="173" t="s">
        <v>1306</v>
      </c>
      <c r="F22" s="192">
        <v>73</v>
      </c>
      <c r="G22" s="196">
        <v>45870</v>
      </c>
      <c r="H22" s="196">
        <v>46142</v>
      </c>
      <c r="I22" s="192" t="s">
        <v>343</v>
      </c>
      <c r="J22" s="192" t="s">
        <v>343</v>
      </c>
      <c r="K22" s="192" t="s">
        <v>343</v>
      </c>
      <c r="L22" s="192" t="s">
        <v>343</v>
      </c>
      <c r="M22" s="192" t="s">
        <v>343</v>
      </c>
      <c r="N22" s="192" t="s">
        <v>343</v>
      </c>
      <c r="O22" s="192" t="s">
        <v>343</v>
      </c>
      <c r="P22" s="192">
        <v>2800</v>
      </c>
      <c r="Q22" s="192">
        <v>2800</v>
      </c>
      <c r="R22" s="192">
        <v>3699.5</v>
      </c>
      <c r="S22" s="192">
        <v>2540</v>
      </c>
      <c r="T22" s="192">
        <v>2540</v>
      </c>
      <c r="U22" s="192">
        <v>2620</v>
      </c>
      <c r="V22" s="192">
        <v>3180</v>
      </c>
      <c r="W22" s="192">
        <v>2820</v>
      </c>
      <c r="X22" s="192">
        <v>3020</v>
      </c>
      <c r="Y22" s="192" t="s">
        <v>343</v>
      </c>
      <c r="Z22" s="192" t="s">
        <v>343</v>
      </c>
      <c r="AA22" s="192" t="s">
        <v>343</v>
      </c>
    </row>
    <row r="23" spans="2:27" ht="12" hidden="1" customHeight="1">
      <c r="B23" s="173" t="s">
        <v>572</v>
      </c>
      <c r="C23" s="173" t="s">
        <v>502</v>
      </c>
      <c r="D23" s="173" t="s">
        <v>503</v>
      </c>
      <c r="E23" s="173" t="s">
        <v>1306</v>
      </c>
      <c r="F23" s="192">
        <v>42</v>
      </c>
      <c r="G23" s="196">
        <v>45839</v>
      </c>
      <c r="H23" s="196"/>
      <c r="I23" s="192" t="s">
        <v>343</v>
      </c>
      <c r="J23" s="192" t="s">
        <v>343</v>
      </c>
      <c r="K23" s="192" t="s">
        <v>343</v>
      </c>
      <c r="L23" s="192" t="s">
        <v>343</v>
      </c>
      <c r="M23" s="192" t="s">
        <v>343</v>
      </c>
      <c r="N23" s="192" t="s">
        <v>343</v>
      </c>
      <c r="O23" s="192">
        <v>3840</v>
      </c>
      <c r="P23" s="192">
        <v>2025</v>
      </c>
      <c r="Q23" s="192">
        <v>1970</v>
      </c>
      <c r="R23" s="192">
        <v>2025</v>
      </c>
      <c r="S23" s="192">
        <v>1970</v>
      </c>
      <c r="T23" s="192">
        <v>2080</v>
      </c>
      <c r="U23" s="192">
        <v>1970</v>
      </c>
      <c r="V23" s="192">
        <v>2235</v>
      </c>
      <c r="W23" s="192">
        <v>2135</v>
      </c>
      <c r="X23" s="192">
        <v>2135</v>
      </c>
      <c r="Y23" s="192">
        <v>2410</v>
      </c>
      <c r="Z23" s="192">
        <v>2355</v>
      </c>
      <c r="AA23" s="192">
        <v>2242</v>
      </c>
    </row>
    <row r="24" spans="2:27" ht="12" hidden="1" customHeight="1">
      <c r="B24" s="173" t="s">
        <v>574</v>
      </c>
      <c r="C24" s="173" t="s">
        <v>502</v>
      </c>
      <c r="D24" s="173" t="s">
        <v>503</v>
      </c>
      <c r="E24" s="173" t="s">
        <v>1306</v>
      </c>
      <c r="F24" s="192">
        <v>47</v>
      </c>
      <c r="G24" s="196">
        <v>45231</v>
      </c>
      <c r="H24" s="196"/>
      <c r="I24" s="192">
        <v>733</v>
      </c>
      <c r="J24" s="192">
        <v>869</v>
      </c>
      <c r="K24" s="192">
        <v>869</v>
      </c>
      <c r="L24" s="192">
        <v>926</v>
      </c>
      <c r="M24" s="192">
        <v>1055</v>
      </c>
      <c r="N24" s="192">
        <v>1189</v>
      </c>
      <c r="O24" s="192">
        <v>1457</v>
      </c>
      <c r="P24" s="192">
        <v>1524</v>
      </c>
      <c r="Q24" s="192">
        <v>1524</v>
      </c>
      <c r="R24" s="192">
        <v>1524</v>
      </c>
      <c r="S24" s="192">
        <v>1658</v>
      </c>
      <c r="T24" s="192">
        <v>1658</v>
      </c>
      <c r="U24" s="192">
        <v>1658</v>
      </c>
      <c r="V24" s="192">
        <v>2197</v>
      </c>
      <c r="W24" s="192">
        <v>1993</v>
      </c>
      <c r="X24" s="192">
        <v>2003</v>
      </c>
      <c r="Y24" s="192">
        <v>2333</v>
      </c>
      <c r="Z24" s="192">
        <v>4666</v>
      </c>
      <c r="AA24" s="192">
        <v>2789</v>
      </c>
    </row>
    <row r="25" spans="2:27" ht="12" hidden="1" customHeight="1">
      <c r="B25" s="173" t="s">
        <v>576</v>
      </c>
      <c r="C25" s="173" t="s">
        <v>502</v>
      </c>
      <c r="D25" s="173" t="s">
        <v>503</v>
      </c>
      <c r="E25" s="173" t="s">
        <v>1306</v>
      </c>
      <c r="F25" s="192">
        <v>26</v>
      </c>
      <c r="G25" s="196">
        <v>44958</v>
      </c>
      <c r="H25" s="196"/>
      <c r="I25" s="192">
        <v>1767</v>
      </c>
      <c r="J25" s="192">
        <v>1415</v>
      </c>
      <c r="K25" s="192">
        <v>1325</v>
      </c>
      <c r="L25" s="192">
        <v>1325</v>
      </c>
      <c r="M25" s="192">
        <v>1400</v>
      </c>
      <c r="N25" s="192">
        <v>1400</v>
      </c>
      <c r="O25" s="192">
        <v>1475</v>
      </c>
      <c r="P25" s="192">
        <v>1625</v>
      </c>
      <c r="Q25" s="192">
        <v>1730</v>
      </c>
      <c r="R25" s="192">
        <v>2186</v>
      </c>
      <c r="S25" s="192">
        <v>2097</v>
      </c>
      <c r="T25" s="192">
        <v>2102</v>
      </c>
      <c r="U25" s="192">
        <v>2254</v>
      </c>
      <c r="V25" s="192">
        <v>2774</v>
      </c>
      <c r="W25" s="192">
        <v>2279</v>
      </c>
      <c r="X25" s="192">
        <v>1975</v>
      </c>
      <c r="Y25" s="192">
        <v>2042</v>
      </c>
      <c r="Z25" s="192">
        <v>2194</v>
      </c>
      <c r="AA25" s="192">
        <v>2051</v>
      </c>
    </row>
    <row r="26" spans="2:27" ht="12" hidden="1" customHeight="1">
      <c r="B26" s="173" t="s">
        <v>580</v>
      </c>
      <c r="C26" s="173" t="s">
        <v>502</v>
      </c>
      <c r="D26" s="173" t="s">
        <v>503</v>
      </c>
      <c r="E26" s="173" t="s">
        <v>1306</v>
      </c>
      <c r="F26" s="192">
        <v>26</v>
      </c>
      <c r="G26" s="196">
        <v>45658</v>
      </c>
      <c r="H26" s="196"/>
      <c r="I26" s="192">
        <v>2168</v>
      </c>
      <c r="J26" s="192">
        <v>1466</v>
      </c>
      <c r="K26" s="192">
        <v>1466</v>
      </c>
      <c r="L26" s="192">
        <v>1466</v>
      </c>
      <c r="M26" s="192">
        <v>1565</v>
      </c>
      <c r="N26" s="192">
        <v>1620</v>
      </c>
      <c r="O26" s="192">
        <v>1660</v>
      </c>
      <c r="P26" s="192">
        <v>1755</v>
      </c>
      <c r="Q26" s="192">
        <v>1660</v>
      </c>
      <c r="R26" s="192">
        <v>1993</v>
      </c>
      <c r="S26" s="192">
        <v>2211</v>
      </c>
      <c r="T26" s="192">
        <v>2320</v>
      </c>
      <c r="U26" s="192">
        <v>2211</v>
      </c>
      <c r="V26" s="192">
        <v>3246</v>
      </c>
      <c r="W26" s="192">
        <v>2429</v>
      </c>
      <c r="X26" s="192">
        <v>1630.2</v>
      </c>
      <c r="Y26" s="192">
        <v>1816</v>
      </c>
      <c r="Z26" s="192">
        <v>1724</v>
      </c>
      <c r="AA26" s="192">
        <v>1885</v>
      </c>
    </row>
    <row r="27" spans="2:27" ht="12" hidden="1" customHeight="1">
      <c r="B27" s="173" t="s">
        <v>582</v>
      </c>
      <c r="C27" s="173" t="s">
        <v>502</v>
      </c>
      <c r="D27" s="173" t="s">
        <v>503</v>
      </c>
      <c r="E27" s="173" t="s">
        <v>1306</v>
      </c>
      <c r="F27" s="192">
        <v>34</v>
      </c>
      <c r="G27" s="196">
        <v>45231</v>
      </c>
      <c r="H27" s="196"/>
      <c r="I27" s="192">
        <v>1350</v>
      </c>
      <c r="J27" s="192">
        <v>1620</v>
      </c>
      <c r="K27" s="192">
        <v>1425</v>
      </c>
      <c r="L27" s="192">
        <v>1575</v>
      </c>
      <c r="M27" s="192">
        <v>1650</v>
      </c>
      <c r="N27" s="192">
        <v>1725</v>
      </c>
      <c r="O27" s="192">
        <v>1800</v>
      </c>
      <c r="P27" s="192">
        <v>1800</v>
      </c>
      <c r="Q27" s="192">
        <v>1800</v>
      </c>
      <c r="R27" s="192">
        <v>1650</v>
      </c>
      <c r="S27" s="192">
        <v>1595</v>
      </c>
      <c r="T27" s="192">
        <v>1660</v>
      </c>
      <c r="U27" s="192">
        <v>1920</v>
      </c>
      <c r="V27" s="192">
        <v>2215</v>
      </c>
      <c r="W27" s="192">
        <v>3965</v>
      </c>
      <c r="X27" s="192">
        <v>1860</v>
      </c>
      <c r="Y27" s="192">
        <v>2135</v>
      </c>
      <c r="Z27" s="192">
        <v>2025</v>
      </c>
      <c r="AA27" s="192">
        <v>1640</v>
      </c>
    </row>
    <row r="28" spans="2:27" ht="12" hidden="1" customHeight="1">
      <c r="B28" s="173" t="s">
        <v>583</v>
      </c>
      <c r="C28" s="173" t="s">
        <v>502</v>
      </c>
      <c r="D28" s="173" t="s">
        <v>503</v>
      </c>
      <c r="E28" s="173" t="s">
        <v>1306</v>
      </c>
      <c r="F28" s="192">
        <v>28</v>
      </c>
      <c r="G28" s="196">
        <v>44958</v>
      </c>
      <c r="H28" s="196"/>
      <c r="I28" s="192">
        <v>2775</v>
      </c>
      <c r="J28" s="192">
        <v>3285</v>
      </c>
      <c r="K28" s="192">
        <v>2570</v>
      </c>
      <c r="L28" s="192">
        <v>2507</v>
      </c>
      <c r="M28" s="192">
        <v>2696</v>
      </c>
      <c r="N28" s="192">
        <v>2570</v>
      </c>
      <c r="O28" s="192">
        <v>2129</v>
      </c>
      <c r="P28" s="192">
        <v>2066</v>
      </c>
      <c r="Q28" s="192">
        <v>2129</v>
      </c>
      <c r="R28" s="192">
        <v>1814</v>
      </c>
      <c r="S28" s="192">
        <v>1814</v>
      </c>
      <c r="T28" s="192">
        <v>1814</v>
      </c>
      <c r="U28" s="192">
        <v>1940</v>
      </c>
      <c r="V28" s="192">
        <v>2541</v>
      </c>
      <c r="W28" s="192">
        <v>2013</v>
      </c>
      <c r="X28" s="192">
        <v>2013</v>
      </c>
      <c r="Y28" s="192">
        <v>2018</v>
      </c>
      <c r="Z28" s="192">
        <v>1951</v>
      </c>
      <c r="AA28" s="192">
        <v>1951</v>
      </c>
    </row>
    <row r="29" spans="2:27" ht="12" hidden="1" customHeight="1">
      <c r="B29" s="173" t="s">
        <v>587</v>
      </c>
      <c r="C29" s="173" t="s">
        <v>502</v>
      </c>
      <c r="D29" s="173" t="s">
        <v>503</v>
      </c>
      <c r="E29" s="173" t="s">
        <v>1306</v>
      </c>
      <c r="F29" s="192">
        <v>24</v>
      </c>
      <c r="G29" s="196">
        <v>45108</v>
      </c>
      <c r="H29" s="196"/>
      <c r="I29" s="192">
        <v>1335</v>
      </c>
      <c r="J29" s="192">
        <v>2234</v>
      </c>
      <c r="K29" s="192">
        <v>1424</v>
      </c>
      <c r="L29" s="192">
        <v>1424</v>
      </c>
      <c r="M29" s="192">
        <v>1424</v>
      </c>
      <c r="N29" s="192">
        <v>1513</v>
      </c>
      <c r="O29" s="192">
        <v>1545</v>
      </c>
      <c r="P29" s="192">
        <v>1715</v>
      </c>
      <c r="Q29" s="192">
        <v>1800</v>
      </c>
      <c r="R29" s="192">
        <v>1715</v>
      </c>
      <c r="S29" s="192">
        <v>1800</v>
      </c>
      <c r="T29" s="192">
        <v>1800</v>
      </c>
      <c r="U29" s="192">
        <v>2455</v>
      </c>
      <c r="V29" s="192">
        <v>2055</v>
      </c>
      <c r="W29" s="192">
        <v>2055</v>
      </c>
      <c r="X29" s="192">
        <v>2055</v>
      </c>
      <c r="Y29" s="192">
        <v>2055</v>
      </c>
      <c r="Z29" s="192">
        <v>2140</v>
      </c>
      <c r="AA29" s="192">
        <v>1958</v>
      </c>
    </row>
    <row r="30" spans="2:27" ht="12" hidden="1" customHeight="1">
      <c r="B30" s="173" t="s">
        <v>590</v>
      </c>
      <c r="C30" s="173" t="s">
        <v>502</v>
      </c>
      <c r="D30" s="173" t="s">
        <v>503</v>
      </c>
      <c r="E30" s="173" t="s">
        <v>1306</v>
      </c>
      <c r="F30" s="192">
        <v>30</v>
      </c>
      <c r="G30" s="196">
        <v>45778</v>
      </c>
      <c r="H30" s="196"/>
      <c r="I30" s="192" t="s">
        <v>343</v>
      </c>
      <c r="J30" s="192" t="s">
        <v>343</v>
      </c>
      <c r="K30" s="192" t="s">
        <v>343</v>
      </c>
      <c r="L30" s="192" t="s">
        <v>343</v>
      </c>
      <c r="M30" s="192">
        <v>2860</v>
      </c>
      <c r="N30" s="192">
        <v>1480</v>
      </c>
      <c r="O30" s="192">
        <v>1480</v>
      </c>
      <c r="P30" s="192">
        <v>1480</v>
      </c>
      <c r="Q30" s="192">
        <v>1480</v>
      </c>
      <c r="R30" s="192">
        <v>1480</v>
      </c>
      <c r="S30" s="192">
        <v>1867</v>
      </c>
      <c r="T30" s="192">
        <v>1576</v>
      </c>
      <c r="U30" s="192">
        <v>1627</v>
      </c>
      <c r="V30" s="192">
        <v>2086</v>
      </c>
      <c r="W30" s="192">
        <v>2098</v>
      </c>
      <c r="X30" s="192">
        <v>2098</v>
      </c>
      <c r="Y30" s="192">
        <v>2434</v>
      </c>
      <c r="Z30" s="192">
        <v>2434</v>
      </c>
      <c r="AA30" s="192">
        <v>2515</v>
      </c>
    </row>
    <row r="31" spans="2:27" ht="12" hidden="1" customHeight="1">
      <c r="B31" s="173" t="s">
        <v>591</v>
      </c>
      <c r="C31" s="173" t="s">
        <v>502</v>
      </c>
      <c r="D31" s="173" t="s">
        <v>503</v>
      </c>
      <c r="E31" s="173" t="s">
        <v>1306</v>
      </c>
      <c r="F31" s="192">
        <v>18</v>
      </c>
      <c r="G31" s="196">
        <v>45261</v>
      </c>
      <c r="H31" s="196"/>
      <c r="I31" s="192">
        <v>1729.5</v>
      </c>
      <c r="J31" s="192">
        <v>729.5</v>
      </c>
      <c r="K31" s="192">
        <v>695.5</v>
      </c>
      <c r="L31" s="192">
        <v>712.5</v>
      </c>
      <c r="M31" s="192">
        <v>704</v>
      </c>
      <c r="N31" s="192">
        <v>2043</v>
      </c>
      <c r="O31" s="192">
        <v>2043</v>
      </c>
      <c r="P31" s="192">
        <v>2125</v>
      </c>
      <c r="Q31" s="192">
        <v>2125</v>
      </c>
      <c r="R31" s="192">
        <v>1909</v>
      </c>
      <c r="S31" s="192">
        <v>2096</v>
      </c>
      <c r="T31" s="192">
        <v>2243</v>
      </c>
      <c r="U31" s="192">
        <v>1845</v>
      </c>
      <c r="V31" s="192">
        <v>1905</v>
      </c>
      <c r="W31" s="192">
        <v>2130</v>
      </c>
      <c r="X31" s="192">
        <v>1810</v>
      </c>
      <c r="Y31" s="192">
        <v>1905</v>
      </c>
      <c r="Z31" s="192">
        <v>1478</v>
      </c>
      <c r="AA31" s="192">
        <v>1406</v>
      </c>
    </row>
    <row r="32" spans="2:27" ht="12" hidden="1" customHeight="1">
      <c r="B32" s="173" t="s">
        <v>595</v>
      </c>
      <c r="C32" s="173" t="s">
        <v>502</v>
      </c>
      <c r="D32" s="173" t="s">
        <v>503</v>
      </c>
      <c r="E32" s="173" t="s">
        <v>1306</v>
      </c>
      <c r="F32" s="192">
        <v>55</v>
      </c>
      <c r="G32" s="196">
        <v>45992</v>
      </c>
      <c r="H32" s="196"/>
      <c r="I32" s="192" t="s">
        <v>343</v>
      </c>
      <c r="J32" s="192" t="s">
        <v>343</v>
      </c>
      <c r="K32" s="192" t="s">
        <v>343</v>
      </c>
      <c r="L32" s="192" t="s">
        <v>343</v>
      </c>
      <c r="M32" s="192" t="s">
        <v>343</v>
      </c>
      <c r="N32" s="192" t="s">
        <v>343</v>
      </c>
      <c r="O32" s="192" t="s">
        <v>343</v>
      </c>
      <c r="P32" s="192" t="s">
        <v>343</v>
      </c>
      <c r="Q32" s="192" t="s">
        <v>343</v>
      </c>
      <c r="R32" s="192" t="s">
        <v>343</v>
      </c>
      <c r="S32" s="192" t="s">
        <v>343</v>
      </c>
      <c r="T32" s="192">
        <v>3748</v>
      </c>
      <c r="U32" s="192">
        <v>2836</v>
      </c>
      <c r="V32" s="192">
        <v>2236</v>
      </c>
      <c r="W32" s="192">
        <v>2427</v>
      </c>
      <c r="X32" s="192">
        <v>3343</v>
      </c>
      <c r="Y32" s="192">
        <v>2212</v>
      </c>
      <c r="Z32" s="192">
        <v>2994</v>
      </c>
      <c r="AA32" s="192">
        <v>3148</v>
      </c>
    </row>
    <row r="33" spans="2:27" ht="12" hidden="1" customHeight="1">
      <c r="B33" s="173" t="s">
        <v>597</v>
      </c>
      <c r="C33" s="173" t="s">
        <v>502</v>
      </c>
      <c r="D33" s="173" t="s">
        <v>503</v>
      </c>
      <c r="E33" s="173" t="s">
        <v>1306</v>
      </c>
      <c r="F33" s="192">
        <v>34</v>
      </c>
      <c r="G33" s="196">
        <v>45566</v>
      </c>
      <c r="H33" s="196"/>
      <c r="I33" s="192">
        <v>519</v>
      </c>
      <c r="J33" s="192">
        <v>632</v>
      </c>
      <c r="K33" s="192">
        <v>869</v>
      </c>
      <c r="L33" s="192">
        <v>1106</v>
      </c>
      <c r="M33" s="192">
        <v>1106</v>
      </c>
      <c r="N33" s="192">
        <v>1363</v>
      </c>
      <c r="O33" s="192">
        <v>1442</v>
      </c>
      <c r="P33" s="192">
        <v>1600</v>
      </c>
      <c r="Q33" s="192">
        <v>1980</v>
      </c>
      <c r="R33" s="192">
        <v>1485</v>
      </c>
      <c r="S33" s="192">
        <v>1550</v>
      </c>
      <c r="T33" s="192">
        <v>1765</v>
      </c>
      <c r="U33" s="192">
        <v>1830</v>
      </c>
      <c r="V33" s="192">
        <v>2990</v>
      </c>
      <c r="W33" s="192">
        <v>1835</v>
      </c>
      <c r="X33" s="192">
        <v>2025</v>
      </c>
      <c r="Y33" s="192">
        <v>1845</v>
      </c>
      <c r="Z33" s="192">
        <v>1790</v>
      </c>
      <c r="AA33" s="192">
        <v>1845</v>
      </c>
    </row>
    <row r="34" spans="2:27" ht="12" hidden="1" customHeight="1">
      <c r="B34" s="173" t="s">
        <v>598</v>
      </c>
      <c r="C34" s="173" t="s">
        <v>502</v>
      </c>
      <c r="D34" s="173" t="s">
        <v>503</v>
      </c>
      <c r="E34" s="173" t="s">
        <v>1306</v>
      </c>
      <c r="F34" s="192">
        <v>90</v>
      </c>
      <c r="G34" s="196">
        <v>45108</v>
      </c>
      <c r="H34" s="196"/>
      <c r="I34" s="192">
        <v>1887.5</v>
      </c>
      <c r="J34" s="192">
        <v>1913</v>
      </c>
      <c r="K34" s="192">
        <v>1913</v>
      </c>
      <c r="L34" s="192">
        <v>1904.5</v>
      </c>
      <c r="M34" s="192">
        <v>1896</v>
      </c>
      <c r="N34" s="192">
        <v>1913</v>
      </c>
      <c r="O34" s="192">
        <v>1921.5</v>
      </c>
      <c r="P34" s="192">
        <v>1947</v>
      </c>
      <c r="Q34" s="192">
        <v>1921.5</v>
      </c>
      <c r="R34" s="192">
        <v>1930</v>
      </c>
      <c r="S34" s="192">
        <v>1904.5</v>
      </c>
      <c r="T34" s="192">
        <v>1938.5</v>
      </c>
      <c r="U34" s="192">
        <v>1930</v>
      </c>
      <c r="V34" s="192">
        <v>1930</v>
      </c>
      <c r="W34" s="192">
        <v>1930</v>
      </c>
      <c r="X34" s="192">
        <v>1938.5</v>
      </c>
      <c r="Y34" s="192">
        <v>1680</v>
      </c>
      <c r="Z34" s="192">
        <v>1700</v>
      </c>
      <c r="AA34" s="192">
        <v>1540</v>
      </c>
    </row>
    <row r="35" spans="2:27" ht="12" hidden="1" customHeight="1">
      <c r="B35" s="173" t="s">
        <v>601</v>
      </c>
      <c r="C35" s="173" t="s">
        <v>502</v>
      </c>
      <c r="D35" s="173" t="s">
        <v>503</v>
      </c>
      <c r="E35" s="173" t="s">
        <v>1306</v>
      </c>
      <c r="F35" s="192">
        <v>22</v>
      </c>
      <c r="G35" s="196">
        <v>45170</v>
      </c>
      <c r="H35" s="196"/>
      <c r="I35" s="192">
        <v>2030</v>
      </c>
      <c r="J35" s="192">
        <v>1659</v>
      </c>
      <c r="K35" s="192">
        <v>1817</v>
      </c>
      <c r="L35" s="192">
        <v>1738</v>
      </c>
      <c r="M35" s="192">
        <v>1738</v>
      </c>
      <c r="N35" s="192">
        <v>1738</v>
      </c>
      <c r="O35" s="192">
        <v>1738</v>
      </c>
      <c r="P35" s="192">
        <v>1738</v>
      </c>
      <c r="Q35" s="192">
        <v>1750</v>
      </c>
      <c r="R35" s="192">
        <v>1750</v>
      </c>
      <c r="S35" s="192">
        <v>1825</v>
      </c>
      <c r="T35" s="192">
        <v>1825</v>
      </c>
      <c r="U35" s="192">
        <v>1825</v>
      </c>
      <c r="V35" s="192">
        <v>2305</v>
      </c>
      <c r="W35" s="192">
        <v>1825</v>
      </c>
      <c r="X35" s="192">
        <v>1825</v>
      </c>
      <c r="Y35" s="192">
        <v>1825</v>
      </c>
      <c r="Z35" s="192">
        <v>1900</v>
      </c>
      <c r="AA35" s="192">
        <v>1750</v>
      </c>
    </row>
    <row r="36" spans="2:27" ht="12" hidden="1" customHeight="1">
      <c r="B36" s="173" t="s">
        <v>604</v>
      </c>
      <c r="C36" s="173" t="s">
        <v>502</v>
      </c>
      <c r="D36" s="173" t="s">
        <v>503</v>
      </c>
      <c r="E36" s="173" t="s">
        <v>1306</v>
      </c>
      <c r="F36" s="192">
        <v>32</v>
      </c>
      <c r="G36" s="196">
        <v>45566</v>
      </c>
      <c r="H36" s="196"/>
      <c r="I36" s="192">
        <v>752</v>
      </c>
      <c r="J36" s="192">
        <v>474</v>
      </c>
      <c r="K36" s="192">
        <v>869</v>
      </c>
      <c r="L36" s="192">
        <v>948</v>
      </c>
      <c r="M36" s="192">
        <v>1027</v>
      </c>
      <c r="N36" s="192">
        <v>1106</v>
      </c>
      <c r="O36" s="192">
        <v>1185</v>
      </c>
      <c r="P36" s="192">
        <v>1343</v>
      </c>
      <c r="Q36" s="192">
        <v>1422</v>
      </c>
      <c r="R36" s="192">
        <v>1358</v>
      </c>
      <c r="S36" s="192">
        <v>1580</v>
      </c>
      <c r="T36" s="192">
        <v>1654</v>
      </c>
      <c r="U36" s="192">
        <v>2267</v>
      </c>
      <c r="V36" s="192">
        <v>1728</v>
      </c>
      <c r="W36" s="192">
        <v>1950</v>
      </c>
      <c r="X36" s="192">
        <v>2098</v>
      </c>
      <c r="Y36" s="192">
        <v>2172</v>
      </c>
      <c r="Z36" s="192">
        <v>2255</v>
      </c>
      <c r="AA36" s="192">
        <v>2102</v>
      </c>
    </row>
    <row r="37" spans="2:27" ht="12" customHeight="1">
      <c r="B37" s="173" t="s">
        <v>778</v>
      </c>
      <c r="C37" s="173" t="s">
        <v>567</v>
      </c>
      <c r="D37" s="173" t="s">
        <v>637</v>
      </c>
      <c r="E37" s="173" t="s">
        <v>1307</v>
      </c>
      <c r="F37" s="192" t="s">
        <v>343</v>
      </c>
      <c r="G37" s="196">
        <v>44317</v>
      </c>
      <c r="H37" s="196">
        <v>46234</v>
      </c>
      <c r="I37" s="192">
        <v>495</v>
      </c>
      <c r="J37" s="192">
        <v>435</v>
      </c>
      <c r="K37" s="192">
        <v>435</v>
      </c>
      <c r="L37" s="192">
        <v>435</v>
      </c>
      <c r="M37" s="192">
        <v>435</v>
      </c>
      <c r="N37" s="192">
        <v>435</v>
      </c>
      <c r="O37" s="192">
        <v>435</v>
      </c>
      <c r="P37" s="192">
        <v>435</v>
      </c>
      <c r="Q37" s="192">
        <v>435</v>
      </c>
      <c r="R37" s="192">
        <v>435</v>
      </c>
      <c r="S37" s="192">
        <v>455</v>
      </c>
      <c r="T37" s="192">
        <v>455</v>
      </c>
      <c r="U37" s="192">
        <v>455</v>
      </c>
      <c r="V37" s="192">
        <v>455</v>
      </c>
      <c r="W37" s="192">
        <v>455</v>
      </c>
      <c r="X37" s="192">
        <v>455</v>
      </c>
      <c r="Y37" s="192">
        <v>455</v>
      </c>
      <c r="Z37" s="192">
        <v>455</v>
      </c>
      <c r="AA37" s="192">
        <v>455</v>
      </c>
    </row>
    <row r="38" spans="2:27" ht="12" customHeight="1">
      <c r="B38" s="173" t="s">
        <v>873</v>
      </c>
      <c r="C38" s="173" t="s">
        <v>567</v>
      </c>
      <c r="D38" s="256" t="s">
        <v>503</v>
      </c>
      <c r="E38" s="256" t="s">
        <v>1306</v>
      </c>
      <c r="F38" s="192">
        <v>20</v>
      </c>
      <c r="G38" s="196">
        <v>46143</v>
      </c>
      <c r="H38" s="196">
        <v>46234</v>
      </c>
      <c r="I38" s="192" t="s">
        <v>343</v>
      </c>
      <c r="J38" s="192" t="s">
        <v>343</v>
      </c>
      <c r="K38" s="192" t="s">
        <v>343</v>
      </c>
      <c r="L38" s="192" t="s">
        <v>343</v>
      </c>
      <c r="M38" s="192" t="s">
        <v>343</v>
      </c>
      <c r="N38" s="192" t="s">
        <v>343</v>
      </c>
      <c r="O38" s="192" t="s">
        <v>343</v>
      </c>
      <c r="P38" s="192" t="s">
        <v>343</v>
      </c>
      <c r="Q38" s="192" t="s">
        <v>343</v>
      </c>
      <c r="R38" s="192" t="s">
        <v>343</v>
      </c>
      <c r="S38" s="192" t="s">
        <v>343</v>
      </c>
      <c r="T38" s="192" t="s">
        <v>343</v>
      </c>
      <c r="U38" s="192" t="s">
        <v>343</v>
      </c>
      <c r="V38" s="192" t="s">
        <v>343</v>
      </c>
      <c r="W38" s="192" t="s">
        <v>343</v>
      </c>
      <c r="X38" s="192" t="s">
        <v>343</v>
      </c>
      <c r="Y38" s="192">
        <v>0</v>
      </c>
      <c r="Z38" s="192">
        <v>1097</v>
      </c>
      <c r="AA38" s="192">
        <v>1097</v>
      </c>
    </row>
    <row r="39" spans="2:27" ht="12" hidden="1" customHeight="1">
      <c r="B39" s="173" t="s">
        <v>609</v>
      </c>
      <c r="C39" s="173" t="s">
        <v>502</v>
      </c>
      <c r="D39" s="173" t="s">
        <v>503</v>
      </c>
      <c r="E39" s="173" t="s">
        <v>1306</v>
      </c>
      <c r="F39" s="192">
        <v>16</v>
      </c>
      <c r="G39" s="196">
        <v>45292</v>
      </c>
      <c r="H39" s="196"/>
      <c r="I39" s="192">
        <v>810</v>
      </c>
      <c r="J39" s="192">
        <v>600</v>
      </c>
      <c r="K39" s="192">
        <v>850</v>
      </c>
      <c r="L39" s="192">
        <v>2690</v>
      </c>
      <c r="M39" s="192">
        <v>2871.5</v>
      </c>
      <c r="N39" s="192">
        <v>2682.5</v>
      </c>
      <c r="O39" s="192">
        <v>2808</v>
      </c>
      <c r="P39" s="192">
        <v>2705</v>
      </c>
      <c r="Q39" s="192">
        <v>2705</v>
      </c>
      <c r="R39" s="192">
        <v>1023.5</v>
      </c>
      <c r="S39" s="192">
        <v>1150</v>
      </c>
      <c r="T39" s="192">
        <v>1350</v>
      </c>
      <c r="U39" s="192">
        <v>1801</v>
      </c>
      <c r="V39" s="192">
        <v>1364</v>
      </c>
      <c r="W39" s="192">
        <v>1578</v>
      </c>
      <c r="X39" s="192">
        <v>1535</v>
      </c>
      <c r="Y39" s="192">
        <v>1578</v>
      </c>
      <c r="Z39" s="192">
        <v>1632</v>
      </c>
      <c r="AA39" s="192">
        <v>1535</v>
      </c>
    </row>
    <row r="40" spans="2:27" ht="12" hidden="1" customHeight="1">
      <c r="B40" s="173" t="s">
        <v>610</v>
      </c>
      <c r="C40" s="173" t="s">
        <v>502</v>
      </c>
      <c r="D40" s="173" t="s">
        <v>503</v>
      </c>
      <c r="E40" s="173" t="s">
        <v>1306</v>
      </c>
      <c r="F40" s="192">
        <v>84</v>
      </c>
      <c r="G40" s="196">
        <v>45962</v>
      </c>
      <c r="H40" s="196"/>
      <c r="I40" s="192" t="s">
        <v>343</v>
      </c>
      <c r="J40" s="192" t="s">
        <v>343</v>
      </c>
      <c r="K40" s="192" t="s">
        <v>343</v>
      </c>
      <c r="L40" s="192" t="s">
        <v>343</v>
      </c>
      <c r="M40" s="192" t="s">
        <v>343</v>
      </c>
      <c r="N40" s="192" t="s">
        <v>343</v>
      </c>
      <c r="O40" s="192" t="s">
        <v>343</v>
      </c>
      <c r="P40" s="192" t="s">
        <v>343</v>
      </c>
      <c r="Q40" s="192" t="s">
        <v>343</v>
      </c>
      <c r="R40" s="192" t="s">
        <v>343</v>
      </c>
      <c r="S40" s="192" t="s">
        <v>343</v>
      </c>
      <c r="T40" s="192" t="s">
        <v>343</v>
      </c>
      <c r="U40" s="192" t="s">
        <v>343</v>
      </c>
      <c r="V40" s="192">
        <v>5420</v>
      </c>
      <c r="W40" s="192">
        <v>2795</v>
      </c>
      <c r="X40" s="192">
        <v>2865</v>
      </c>
      <c r="Y40" s="192">
        <v>2865</v>
      </c>
      <c r="Z40" s="192">
        <v>2935</v>
      </c>
      <c r="AA40" s="192">
        <v>3005</v>
      </c>
    </row>
    <row r="41" spans="2:27" ht="12" hidden="1" customHeight="1">
      <c r="B41" s="173" t="s">
        <v>611</v>
      </c>
      <c r="C41" s="173" t="s">
        <v>502</v>
      </c>
      <c r="D41" s="173" t="s">
        <v>503</v>
      </c>
      <c r="E41" s="173" t="s">
        <v>1306</v>
      </c>
      <c r="F41" s="192">
        <v>66</v>
      </c>
      <c r="G41" s="196">
        <v>45352</v>
      </c>
      <c r="H41" s="196"/>
      <c r="I41" s="192">
        <v>950</v>
      </c>
      <c r="J41" s="192">
        <v>950</v>
      </c>
      <c r="K41" s="192">
        <v>2055</v>
      </c>
      <c r="L41" s="192">
        <v>950</v>
      </c>
      <c r="M41" s="192">
        <v>2700</v>
      </c>
      <c r="N41" s="192">
        <v>950</v>
      </c>
      <c r="O41" s="192">
        <v>950</v>
      </c>
      <c r="P41" s="192">
        <v>950</v>
      </c>
      <c r="Q41" s="192">
        <v>950</v>
      </c>
      <c r="R41" s="192">
        <v>950</v>
      </c>
      <c r="S41" s="192">
        <v>2250</v>
      </c>
      <c r="T41" s="192">
        <v>1275</v>
      </c>
      <c r="U41" s="192">
        <v>1195</v>
      </c>
      <c r="V41" s="192">
        <v>2369</v>
      </c>
      <c r="W41" s="192">
        <v>1375</v>
      </c>
      <c r="X41" s="192">
        <v>1400</v>
      </c>
      <c r="Y41" s="192">
        <v>1475</v>
      </c>
      <c r="Z41" s="192">
        <v>3650</v>
      </c>
      <c r="AA41" s="192">
        <v>1550</v>
      </c>
    </row>
    <row r="42" spans="2:27" ht="12" hidden="1" customHeight="1">
      <c r="B42" s="173" t="s">
        <v>614</v>
      </c>
      <c r="C42" s="173" t="s">
        <v>502</v>
      </c>
      <c r="D42" s="173" t="s">
        <v>503</v>
      </c>
      <c r="E42" s="173" t="s">
        <v>1306</v>
      </c>
      <c r="F42" s="192">
        <v>39</v>
      </c>
      <c r="G42" s="196">
        <v>45901</v>
      </c>
      <c r="H42" s="196"/>
      <c r="I42" s="192" t="s">
        <v>343</v>
      </c>
      <c r="J42" s="192" t="s">
        <v>343</v>
      </c>
      <c r="K42" s="192" t="s">
        <v>343</v>
      </c>
      <c r="L42" s="192" t="s">
        <v>343</v>
      </c>
      <c r="M42" s="192" t="s">
        <v>343</v>
      </c>
      <c r="N42" s="192" t="s">
        <v>343</v>
      </c>
      <c r="O42" s="192" t="s">
        <v>343</v>
      </c>
      <c r="P42" s="192" t="s">
        <v>343</v>
      </c>
      <c r="Q42" s="192" t="s">
        <v>343</v>
      </c>
      <c r="R42" s="192" t="s">
        <v>343</v>
      </c>
      <c r="S42" s="192">
        <v>3730</v>
      </c>
      <c r="T42" s="192">
        <v>1915</v>
      </c>
      <c r="U42" s="192">
        <v>1805</v>
      </c>
      <c r="V42" s="192">
        <v>1960</v>
      </c>
      <c r="W42" s="192">
        <v>1780</v>
      </c>
      <c r="X42" s="192">
        <v>1695</v>
      </c>
      <c r="Y42" s="192">
        <v>1915</v>
      </c>
      <c r="Z42" s="192">
        <v>1860</v>
      </c>
      <c r="AA42" s="192">
        <v>1970</v>
      </c>
    </row>
    <row r="43" spans="2:27" ht="12" hidden="1" customHeight="1">
      <c r="B43" s="173" t="s">
        <v>616</v>
      </c>
      <c r="C43" s="173" t="s">
        <v>502</v>
      </c>
      <c r="D43" s="173" t="s">
        <v>503</v>
      </c>
      <c r="E43" s="173" t="s">
        <v>1306</v>
      </c>
      <c r="F43" s="192">
        <v>45</v>
      </c>
      <c r="G43" s="196">
        <v>46023</v>
      </c>
      <c r="H43" s="196"/>
      <c r="I43" s="192" t="s">
        <v>343</v>
      </c>
      <c r="J43" s="192" t="s">
        <v>343</v>
      </c>
      <c r="K43" s="192" t="s">
        <v>343</v>
      </c>
      <c r="L43" s="192" t="s">
        <v>343</v>
      </c>
      <c r="M43" s="192" t="s">
        <v>343</v>
      </c>
      <c r="N43" s="192" t="s">
        <v>343</v>
      </c>
      <c r="O43" s="192" t="s">
        <v>343</v>
      </c>
      <c r="P43" s="192" t="s">
        <v>343</v>
      </c>
      <c r="Q43" s="192" t="s">
        <v>343</v>
      </c>
      <c r="R43" s="192" t="s">
        <v>343</v>
      </c>
      <c r="S43" s="192" t="s">
        <v>343</v>
      </c>
      <c r="T43" s="192" t="s">
        <v>343</v>
      </c>
      <c r="U43" s="192">
        <v>4257</v>
      </c>
      <c r="V43" s="192">
        <v>2216</v>
      </c>
      <c r="W43" s="192">
        <v>2378</v>
      </c>
      <c r="X43" s="192">
        <v>2378</v>
      </c>
      <c r="Y43" s="192">
        <v>3271</v>
      </c>
      <c r="Z43" s="192">
        <v>3231</v>
      </c>
      <c r="AA43" s="192">
        <v>872</v>
      </c>
    </row>
    <row r="44" spans="2:27" ht="12" hidden="1" customHeight="1">
      <c r="B44" s="173" t="s">
        <v>619</v>
      </c>
      <c r="C44" s="173" t="s">
        <v>502</v>
      </c>
      <c r="D44" s="173" t="s">
        <v>503</v>
      </c>
      <c r="E44" s="173" t="s">
        <v>1306</v>
      </c>
      <c r="F44" s="192">
        <v>18</v>
      </c>
      <c r="G44" s="196">
        <v>45444</v>
      </c>
      <c r="H44" s="196"/>
      <c r="I44" s="192">
        <v>790</v>
      </c>
      <c r="J44" s="192">
        <v>1196</v>
      </c>
      <c r="K44" s="192">
        <v>1264</v>
      </c>
      <c r="L44" s="192">
        <v>948</v>
      </c>
      <c r="M44" s="192">
        <v>1264</v>
      </c>
      <c r="N44" s="192">
        <v>1370</v>
      </c>
      <c r="O44" s="192">
        <v>1445</v>
      </c>
      <c r="P44" s="192">
        <v>1280</v>
      </c>
      <c r="Q44" s="192">
        <v>1430</v>
      </c>
      <c r="R44" s="192">
        <v>1335</v>
      </c>
      <c r="S44" s="192">
        <v>1410</v>
      </c>
      <c r="T44" s="192">
        <v>1560</v>
      </c>
      <c r="U44" s="192">
        <v>1635</v>
      </c>
      <c r="V44" s="192">
        <v>1485</v>
      </c>
      <c r="W44" s="192">
        <v>1410</v>
      </c>
      <c r="X44" s="192">
        <v>1635</v>
      </c>
      <c r="Y44" s="192">
        <v>1635</v>
      </c>
      <c r="Z44" s="192">
        <v>1509</v>
      </c>
      <c r="AA44" s="192">
        <v>1509</v>
      </c>
    </row>
    <row r="45" spans="2:27" ht="12" hidden="1" customHeight="1">
      <c r="B45" s="173" t="s">
        <v>620</v>
      </c>
      <c r="C45" s="173" t="s">
        <v>502</v>
      </c>
      <c r="D45" s="173" t="s">
        <v>503</v>
      </c>
      <c r="E45" s="173" t="s">
        <v>1306</v>
      </c>
      <c r="F45" s="192">
        <v>48</v>
      </c>
      <c r="G45" s="196">
        <v>45992</v>
      </c>
      <c r="H45" s="196"/>
      <c r="I45" s="192" t="s">
        <v>343</v>
      </c>
      <c r="J45" s="192" t="s">
        <v>343</v>
      </c>
      <c r="K45" s="192" t="s">
        <v>343</v>
      </c>
      <c r="L45" s="192" t="s">
        <v>343</v>
      </c>
      <c r="M45" s="192" t="s">
        <v>343</v>
      </c>
      <c r="N45" s="192" t="s">
        <v>343</v>
      </c>
      <c r="O45" s="192" t="s">
        <v>343</v>
      </c>
      <c r="P45" s="192" t="s">
        <v>343</v>
      </c>
      <c r="Q45" s="192" t="s">
        <v>343</v>
      </c>
      <c r="R45" s="192" t="s">
        <v>343</v>
      </c>
      <c r="S45" s="192" t="s">
        <v>343</v>
      </c>
      <c r="T45" s="192">
        <v>1805</v>
      </c>
      <c r="U45" s="192">
        <v>2337.5500000000002</v>
      </c>
      <c r="V45" s="192">
        <v>2185.9</v>
      </c>
      <c r="W45" s="192">
        <v>1702</v>
      </c>
      <c r="X45" s="192">
        <v>2360</v>
      </c>
      <c r="Y45" s="192">
        <v>2516</v>
      </c>
      <c r="Z45" s="192">
        <v>2448.4499999999998</v>
      </c>
      <c r="AA45" s="192">
        <v>2464</v>
      </c>
    </row>
    <row r="46" spans="2:27" ht="12" hidden="1" customHeight="1">
      <c r="B46" s="173" t="s">
        <v>623</v>
      </c>
      <c r="C46" s="173" t="s">
        <v>502</v>
      </c>
      <c r="D46" s="173" t="s">
        <v>503</v>
      </c>
      <c r="E46" s="173" t="s">
        <v>1306</v>
      </c>
      <c r="F46" s="192">
        <v>20</v>
      </c>
      <c r="G46" s="196">
        <v>45352</v>
      </c>
      <c r="H46" s="196"/>
      <c r="I46" s="192" t="s">
        <v>343</v>
      </c>
      <c r="J46" s="192" t="s">
        <v>343</v>
      </c>
      <c r="K46" s="192" t="s">
        <v>343</v>
      </c>
      <c r="L46" s="192" t="s">
        <v>343</v>
      </c>
      <c r="M46" s="192">
        <v>2350</v>
      </c>
      <c r="N46" s="192">
        <v>2702.5</v>
      </c>
      <c r="O46" s="192">
        <v>1075</v>
      </c>
      <c r="P46" s="192">
        <v>1075</v>
      </c>
      <c r="Q46" s="192">
        <v>1150</v>
      </c>
      <c r="R46" s="192">
        <v>1150</v>
      </c>
      <c r="S46" s="192">
        <v>1150</v>
      </c>
      <c r="T46" s="192">
        <v>1150</v>
      </c>
      <c r="U46" s="192">
        <v>1425</v>
      </c>
      <c r="V46" s="192">
        <v>1785</v>
      </c>
      <c r="W46" s="192">
        <v>1500</v>
      </c>
      <c r="X46" s="192">
        <v>1500</v>
      </c>
      <c r="Y46" s="192">
        <v>1674</v>
      </c>
      <c r="Z46" s="192">
        <v>2038</v>
      </c>
      <c r="AA46" s="192">
        <v>2130</v>
      </c>
    </row>
    <row r="47" spans="2:27" ht="12" hidden="1" customHeight="1">
      <c r="B47" s="173" t="s">
        <v>624</v>
      </c>
      <c r="C47" s="173" t="s">
        <v>502</v>
      </c>
      <c r="D47" s="173" t="s">
        <v>503</v>
      </c>
      <c r="E47" s="173" t="s">
        <v>1306</v>
      </c>
      <c r="F47" s="192">
        <v>24</v>
      </c>
      <c r="G47" s="196">
        <v>44743</v>
      </c>
      <c r="H47" s="196"/>
      <c r="I47" s="192">
        <v>1222</v>
      </c>
      <c r="J47" s="192">
        <v>1025</v>
      </c>
      <c r="K47" s="192">
        <v>1175</v>
      </c>
      <c r="L47" s="192">
        <v>1325</v>
      </c>
      <c r="M47" s="192">
        <v>1325</v>
      </c>
      <c r="N47" s="192">
        <v>1400</v>
      </c>
      <c r="O47" s="192">
        <v>1400</v>
      </c>
      <c r="P47" s="192">
        <v>1400</v>
      </c>
      <c r="Q47" s="192">
        <v>1325</v>
      </c>
      <c r="R47" s="192">
        <v>1325</v>
      </c>
      <c r="S47" s="192">
        <v>1250</v>
      </c>
      <c r="T47" s="192">
        <v>1325</v>
      </c>
      <c r="U47" s="192">
        <v>1730</v>
      </c>
      <c r="V47" s="192">
        <v>1316</v>
      </c>
      <c r="W47" s="192">
        <v>1517</v>
      </c>
      <c r="X47" s="192">
        <v>1584</v>
      </c>
      <c r="Y47" s="192">
        <v>1584</v>
      </c>
      <c r="Z47" s="192">
        <v>1651</v>
      </c>
      <c r="AA47" s="192">
        <v>1718</v>
      </c>
    </row>
    <row r="48" spans="2:27" ht="12" hidden="1" customHeight="1">
      <c r="B48" s="173" t="s">
        <v>626</v>
      </c>
      <c r="C48" s="173" t="s">
        <v>567</v>
      </c>
      <c r="D48" s="173" t="s">
        <v>503</v>
      </c>
      <c r="E48" s="173" t="s">
        <v>1306</v>
      </c>
      <c r="F48" s="192">
        <v>26</v>
      </c>
      <c r="G48" s="196">
        <v>45658</v>
      </c>
      <c r="H48" s="196">
        <v>46234</v>
      </c>
      <c r="I48" s="192">
        <v>640</v>
      </c>
      <c r="J48" s="192">
        <v>340</v>
      </c>
      <c r="K48" s="192">
        <v>340</v>
      </c>
      <c r="L48" s="192">
        <v>400</v>
      </c>
      <c r="M48" s="192">
        <v>400</v>
      </c>
      <c r="N48" s="192">
        <v>625</v>
      </c>
      <c r="O48" s="192">
        <v>625</v>
      </c>
      <c r="P48" s="192">
        <v>625</v>
      </c>
      <c r="Q48" s="192">
        <v>625</v>
      </c>
      <c r="R48" s="192">
        <v>625</v>
      </c>
      <c r="S48" s="192">
        <v>625</v>
      </c>
      <c r="T48" s="192">
        <v>625</v>
      </c>
      <c r="U48" s="192">
        <v>1376</v>
      </c>
      <c r="V48" s="192">
        <v>1514</v>
      </c>
      <c r="W48" s="192">
        <v>1912</v>
      </c>
      <c r="X48" s="192">
        <v>1912</v>
      </c>
      <c r="Y48" s="192">
        <v>2441</v>
      </c>
      <c r="Z48" s="192">
        <v>2566</v>
      </c>
      <c r="AA48" s="192">
        <v>2663</v>
      </c>
    </row>
    <row r="49" spans="2:27" ht="12" hidden="1" customHeight="1">
      <c r="B49" s="173" t="s">
        <v>628</v>
      </c>
      <c r="C49" s="173" t="s">
        <v>502</v>
      </c>
      <c r="D49" s="173" t="s">
        <v>503</v>
      </c>
      <c r="E49" s="173" t="s">
        <v>1306</v>
      </c>
      <c r="F49" s="192">
        <v>26</v>
      </c>
      <c r="G49" s="196">
        <v>45658</v>
      </c>
      <c r="H49" s="196"/>
      <c r="I49" s="192">
        <v>1348.75</v>
      </c>
      <c r="J49" s="192">
        <v>688.75</v>
      </c>
      <c r="K49" s="192">
        <v>896.25</v>
      </c>
      <c r="L49" s="192">
        <v>1035</v>
      </c>
      <c r="M49" s="192">
        <v>1035</v>
      </c>
      <c r="N49" s="192">
        <v>1035</v>
      </c>
      <c r="O49" s="192">
        <v>1120</v>
      </c>
      <c r="P49" s="192">
        <v>1120</v>
      </c>
      <c r="Q49" s="192">
        <v>1120</v>
      </c>
      <c r="R49" s="192">
        <v>1290</v>
      </c>
      <c r="S49" s="192">
        <v>1375</v>
      </c>
      <c r="T49" s="192">
        <v>1604</v>
      </c>
      <c r="U49" s="192">
        <v>1402</v>
      </c>
      <c r="V49" s="192">
        <v>1567</v>
      </c>
      <c r="W49" s="192">
        <v>1554</v>
      </c>
      <c r="X49" s="192">
        <v>1326</v>
      </c>
      <c r="Y49" s="192">
        <v>1514</v>
      </c>
      <c r="Z49" s="192">
        <v>1728.99</v>
      </c>
      <c r="AA49" s="192">
        <v>1894</v>
      </c>
    </row>
    <row r="50" spans="2:27" ht="12" hidden="1" customHeight="1">
      <c r="B50" s="173" t="s">
        <v>630</v>
      </c>
      <c r="C50" s="173" t="s">
        <v>502</v>
      </c>
      <c r="D50" s="173" t="s">
        <v>503</v>
      </c>
      <c r="E50" s="173" t="s">
        <v>1306</v>
      </c>
      <c r="F50" s="192">
        <v>15</v>
      </c>
      <c r="G50" s="196">
        <v>45292</v>
      </c>
      <c r="H50" s="196"/>
      <c r="I50" s="192">
        <v>770</v>
      </c>
      <c r="J50" s="192">
        <v>620</v>
      </c>
      <c r="K50" s="192">
        <v>620</v>
      </c>
      <c r="L50" s="192">
        <v>620</v>
      </c>
      <c r="M50" s="192">
        <v>810</v>
      </c>
      <c r="N50" s="192">
        <v>905</v>
      </c>
      <c r="O50" s="192">
        <v>905</v>
      </c>
      <c r="P50" s="192">
        <v>1000</v>
      </c>
      <c r="Q50" s="192">
        <v>3848</v>
      </c>
      <c r="R50" s="192">
        <v>1040</v>
      </c>
      <c r="S50" s="192">
        <v>1040</v>
      </c>
      <c r="T50" s="192">
        <v>1040</v>
      </c>
      <c r="U50" s="192">
        <v>1586</v>
      </c>
      <c r="V50" s="192">
        <v>1271</v>
      </c>
      <c r="W50" s="192">
        <v>1271</v>
      </c>
      <c r="X50" s="192">
        <v>1363</v>
      </c>
      <c r="Y50" s="192">
        <v>1290</v>
      </c>
      <c r="Z50" s="192">
        <v>1290</v>
      </c>
      <c r="AA50" s="192">
        <v>1290</v>
      </c>
    </row>
    <row r="51" spans="2:27" ht="12" hidden="1" customHeight="1">
      <c r="B51" s="173" t="s">
        <v>632</v>
      </c>
      <c r="C51" s="173" t="s">
        <v>502</v>
      </c>
      <c r="D51" s="173" t="s">
        <v>503</v>
      </c>
      <c r="E51" s="173" t="s">
        <v>1306</v>
      </c>
      <c r="F51" s="192">
        <v>18</v>
      </c>
      <c r="G51" s="196">
        <v>45809</v>
      </c>
      <c r="H51" s="196"/>
      <c r="I51" s="192" t="s">
        <v>343</v>
      </c>
      <c r="J51" s="192" t="s">
        <v>343</v>
      </c>
      <c r="K51" s="192" t="s">
        <v>343</v>
      </c>
      <c r="L51" s="192" t="s">
        <v>343</v>
      </c>
      <c r="M51" s="192" t="s">
        <v>343</v>
      </c>
      <c r="N51" s="192">
        <v>3345</v>
      </c>
      <c r="O51" s="192">
        <v>1927.5</v>
      </c>
      <c r="P51" s="192">
        <v>1843.75</v>
      </c>
      <c r="Q51" s="192">
        <v>2000</v>
      </c>
      <c r="R51" s="192">
        <v>1905</v>
      </c>
      <c r="S51" s="192">
        <v>2000</v>
      </c>
      <c r="T51" s="192">
        <v>1715</v>
      </c>
      <c r="U51" s="192">
        <v>1620</v>
      </c>
      <c r="V51" s="192">
        <v>1620</v>
      </c>
      <c r="W51" s="192">
        <v>980</v>
      </c>
      <c r="X51" s="192">
        <v>880</v>
      </c>
      <c r="Y51" s="192">
        <v>835</v>
      </c>
      <c r="Z51" s="192">
        <v>935</v>
      </c>
      <c r="AA51" s="192">
        <v>935</v>
      </c>
    </row>
    <row r="52" spans="2:27" ht="12" hidden="1" customHeight="1">
      <c r="B52" s="173" t="s">
        <v>633</v>
      </c>
      <c r="C52" s="173" t="s">
        <v>502</v>
      </c>
      <c r="D52" s="173" t="s">
        <v>503</v>
      </c>
      <c r="E52" s="173" t="s">
        <v>1306</v>
      </c>
      <c r="F52" s="192">
        <v>120</v>
      </c>
      <c r="G52" s="196">
        <v>46143</v>
      </c>
      <c r="H52" s="196"/>
      <c r="I52" s="192" t="s">
        <v>343</v>
      </c>
      <c r="J52" s="192" t="s">
        <v>343</v>
      </c>
      <c r="K52" s="192" t="s">
        <v>343</v>
      </c>
      <c r="L52" s="192" t="s">
        <v>343</v>
      </c>
      <c r="M52" s="192" t="s">
        <v>343</v>
      </c>
      <c r="N52" s="192" t="s">
        <v>343</v>
      </c>
      <c r="O52" s="192" t="s">
        <v>343</v>
      </c>
      <c r="P52" s="192" t="s">
        <v>343</v>
      </c>
      <c r="Q52" s="192" t="s">
        <v>343</v>
      </c>
      <c r="R52" s="192" t="s">
        <v>343</v>
      </c>
      <c r="S52" s="192" t="s">
        <v>343</v>
      </c>
      <c r="T52" s="192" t="s">
        <v>343</v>
      </c>
      <c r="U52" s="192" t="s">
        <v>343</v>
      </c>
      <c r="V52" s="192" t="s">
        <v>343</v>
      </c>
      <c r="W52" s="192" t="s">
        <v>343</v>
      </c>
      <c r="X52" s="192" t="s">
        <v>343</v>
      </c>
      <c r="Y52" s="192">
        <v>7806</v>
      </c>
      <c r="Z52" s="192">
        <v>5163</v>
      </c>
      <c r="AA52" s="192">
        <v>4217</v>
      </c>
    </row>
    <row r="53" spans="2:27" ht="12" hidden="1" customHeight="1">
      <c r="B53" s="173" t="s">
        <v>634</v>
      </c>
      <c r="C53" s="173" t="s">
        <v>502</v>
      </c>
      <c r="D53" s="173" t="s">
        <v>503</v>
      </c>
      <c r="E53" s="173" t="s">
        <v>1306</v>
      </c>
      <c r="F53" s="192">
        <v>26</v>
      </c>
      <c r="G53" s="196">
        <v>45778</v>
      </c>
      <c r="H53" s="196"/>
      <c r="I53" s="192" t="s">
        <v>343</v>
      </c>
      <c r="J53" s="192" t="s">
        <v>343</v>
      </c>
      <c r="K53" s="192" t="s">
        <v>343</v>
      </c>
      <c r="L53" s="192" t="s">
        <v>343</v>
      </c>
      <c r="M53" s="192">
        <v>1907.5</v>
      </c>
      <c r="N53" s="192">
        <v>1257.5</v>
      </c>
      <c r="O53" s="192">
        <v>1257.5</v>
      </c>
      <c r="P53" s="192">
        <v>1335</v>
      </c>
      <c r="Q53" s="192">
        <v>1050</v>
      </c>
      <c r="R53" s="192">
        <v>1050</v>
      </c>
      <c r="S53" s="192">
        <v>1050</v>
      </c>
      <c r="T53" s="192">
        <v>1050</v>
      </c>
      <c r="U53" s="192">
        <v>1145</v>
      </c>
      <c r="V53" s="192">
        <v>1700</v>
      </c>
      <c r="W53" s="192">
        <v>1430</v>
      </c>
      <c r="X53" s="192">
        <v>1525</v>
      </c>
      <c r="Y53" s="192">
        <v>1490</v>
      </c>
      <c r="Z53" s="192">
        <v>1858</v>
      </c>
      <c r="AA53" s="192">
        <v>2134</v>
      </c>
    </row>
    <row r="54" spans="2:27" ht="12" hidden="1" customHeight="1">
      <c r="B54" s="173" t="s">
        <v>635</v>
      </c>
      <c r="C54" s="173" t="s">
        <v>502</v>
      </c>
      <c r="D54" s="173" t="s">
        <v>503</v>
      </c>
      <c r="E54" s="173" t="s">
        <v>1306</v>
      </c>
      <c r="F54" s="192">
        <v>22</v>
      </c>
      <c r="G54" s="196">
        <v>46023</v>
      </c>
      <c r="H54" s="196"/>
      <c r="I54" s="192" t="s">
        <v>343</v>
      </c>
      <c r="J54" s="192" t="s">
        <v>343</v>
      </c>
      <c r="K54" s="192" t="s">
        <v>343</v>
      </c>
      <c r="L54" s="192" t="s">
        <v>343</v>
      </c>
      <c r="M54" s="192" t="s">
        <v>343</v>
      </c>
      <c r="N54" s="192" t="s">
        <v>343</v>
      </c>
      <c r="O54" s="192" t="s">
        <v>343</v>
      </c>
      <c r="P54" s="192" t="s">
        <v>343</v>
      </c>
      <c r="Q54" s="192" t="s">
        <v>343</v>
      </c>
      <c r="R54" s="192" t="s">
        <v>343</v>
      </c>
      <c r="S54" s="192" t="s">
        <v>343</v>
      </c>
      <c r="T54" s="192" t="s">
        <v>343</v>
      </c>
      <c r="U54" s="192">
        <v>3268</v>
      </c>
      <c r="V54" s="192">
        <v>1759</v>
      </c>
      <c r="W54" s="192">
        <v>1759</v>
      </c>
      <c r="X54" s="192">
        <v>1838</v>
      </c>
      <c r="Y54" s="192">
        <v>2498</v>
      </c>
      <c r="Z54" s="192">
        <v>2498</v>
      </c>
      <c r="AA54" s="192">
        <v>2498</v>
      </c>
    </row>
    <row r="55" spans="2:27" ht="12" hidden="1" customHeight="1">
      <c r="B55" s="173" t="s">
        <v>636</v>
      </c>
      <c r="C55" s="173" t="s">
        <v>567</v>
      </c>
      <c r="D55" s="173" t="s">
        <v>637</v>
      </c>
      <c r="E55" s="173" t="s">
        <v>1307</v>
      </c>
      <c r="F55" s="192" t="s">
        <v>343</v>
      </c>
      <c r="G55" s="196">
        <v>44317</v>
      </c>
      <c r="H55" s="196">
        <v>46234</v>
      </c>
      <c r="I55" s="192">
        <v>1390</v>
      </c>
      <c r="J55" s="192">
        <v>1300</v>
      </c>
      <c r="K55" s="192">
        <v>1300</v>
      </c>
      <c r="L55" s="192">
        <v>1300</v>
      </c>
      <c r="M55" s="192">
        <v>1300</v>
      </c>
      <c r="N55" s="192">
        <v>1300</v>
      </c>
      <c r="O55" s="192">
        <v>1300</v>
      </c>
      <c r="P55" s="192">
        <v>1300</v>
      </c>
      <c r="Q55" s="192">
        <v>1300</v>
      </c>
      <c r="R55" s="192">
        <v>1300</v>
      </c>
      <c r="S55" s="192">
        <v>1300</v>
      </c>
      <c r="T55" s="192">
        <v>1300</v>
      </c>
      <c r="U55" s="192">
        <v>1330</v>
      </c>
      <c r="V55" s="192">
        <v>1375</v>
      </c>
      <c r="W55" s="192">
        <v>1345</v>
      </c>
      <c r="X55" s="192">
        <v>1330</v>
      </c>
      <c r="Y55" s="192">
        <v>1330</v>
      </c>
      <c r="Z55" s="192">
        <v>1330</v>
      </c>
      <c r="AA55" s="192">
        <v>1330</v>
      </c>
    </row>
    <row r="56" spans="2:27" ht="12" hidden="1" customHeight="1">
      <c r="B56" s="173" t="s">
        <v>644</v>
      </c>
      <c r="C56" s="173" t="s">
        <v>502</v>
      </c>
      <c r="D56" s="173" t="s">
        <v>503</v>
      </c>
      <c r="E56" s="173" t="s">
        <v>1306</v>
      </c>
      <c r="F56" s="192">
        <v>42</v>
      </c>
      <c r="G56" s="196">
        <v>45658</v>
      </c>
      <c r="H56" s="196"/>
      <c r="I56" s="192">
        <v>1195</v>
      </c>
      <c r="J56" s="192">
        <v>595</v>
      </c>
      <c r="K56" s="192">
        <v>595</v>
      </c>
      <c r="L56" s="192">
        <v>700</v>
      </c>
      <c r="M56" s="192">
        <v>700</v>
      </c>
      <c r="N56" s="192">
        <v>700</v>
      </c>
      <c r="O56" s="192">
        <v>700</v>
      </c>
      <c r="P56" s="192">
        <v>850</v>
      </c>
      <c r="Q56" s="192">
        <v>1075</v>
      </c>
      <c r="R56" s="192">
        <v>1075</v>
      </c>
      <c r="S56" s="192">
        <v>1075</v>
      </c>
      <c r="T56" s="192">
        <v>1150</v>
      </c>
      <c r="U56" s="192">
        <v>1182</v>
      </c>
      <c r="V56" s="192">
        <v>1512</v>
      </c>
      <c r="W56" s="192">
        <v>1115</v>
      </c>
      <c r="X56" s="192">
        <v>1249</v>
      </c>
      <c r="Y56" s="192">
        <v>1584</v>
      </c>
      <c r="Z56" s="192">
        <v>1881</v>
      </c>
      <c r="AA56" s="192">
        <v>2120</v>
      </c>
    </row>
    <row r="57" spans="2:27" ht="12" hidden="1" customHeight="1">
      <c r="B57" s="173" t="s">
        <v>646</v>
      </c>
      <c r="C57" s="173" t="s">
        <v>502</v>
      </c>
      <c r="D57" s="173" t="s">
        <v>503</v>
      </c>
      <c r="E57" s="173" t="s">
        <v>1306</v>
      </c>
      <c r="F57" s="192">
        <v>16</v>
      </c>
      <c r="G57" s="196">
        <v>45597</v>
      </c>
      <c r="H57" s="196"/>
      <c r="I57" s="192">
        <v>1168.75</v>
      </c>
      <c r="J57" s="192">
        <v>1450</v>
      </c>
      <c r="K57" s="192">
        <v>1450</v>
      </c>
      <c r="L57" s="192">
        <v>1300</v>
      </c>
      <c r="M57" s="192">
        <v>1525</v>
      </c>
      <c r="N57" s="192">
        <v>1525</v>
      </c>
      <c r="O57" s="192">
        <v>1300</v>
      </c>
      <c r="P57" s="192">
        <v>1300</v>
      </c>
      <c r="Q57" s="192">
        <v>1450</v>
      </c>
      <c r="R57" s="192">
        <v>1450</v>
      </c>
      <c r="S57" s="192">
        <v>1280</v>
      </c>
      <c r="T57" s="192">
        <v>1215</v>
      </c>
      <c r="U57" s="192">
        <v>1085</v>
      </c>
      <c r="V57" s="192">
        <v>1225</v>
      </c>
      <c r="W57" s="192">
        <v>1150</v>
      </c>
      <c r="X57" s="192">
        <v>1225</v>
      </c>
      <c r="Y57" s="192">
        <v>1225</v>
      </c>
      <c r="Z57" s="192">
        <v>1280</v>
      </c>
      <c r="AA57" s="192">
        <v>1150</v>
      </c>
    </row>
    <row r="58" spans="2:27" ht="12" hidden="1" customHeight="1">
      <c r="B58" s="173" t="s">
        <v>647</v>
      </c>
      <c r="C58" s="173" t="s">
        <v>502</v>
      </c>
      <c r="D58" s="173" t="s">
        <v>503</v>
      </c>
      <c r="E58" s="173" t="s">
        <v>1306</v>
      </c>
      <c r="F58" s="192">
        <v>26</v>
      </c>
      <c r="G58" s="196">
        <v>45992</v>
      </c>
      <c r="H58" s="196"/>
      <c r="I58" s="192" t="s">
        <v>343</v>
      </c>
      <c r="J58" s="192" t="s">
        <v>343</v>
      </c>
      <c r="K58" s="192" t="s">
        <v>343</v>
      </c>
      <c r="L58" s="192" t="s">
        <v>343</v>
      </c>
      <c r="M58" s="192" t="s">
        <v>343</v>
      </c>
      <c r="N58" s="192" t="s">
        <v>343</v>
      </c>
      <c r="O58" s="192" t="s">
        <v>343</v>
      </c>
      <c r="P58" s="192" t="s">
        <v>343</v>
      </c>
      <c r="Q58" s="192" t="s">
        <v>343</v>
      </c>
      <c r="R58" s="192" t="s">
        <v>343</v>
      </c>
      <c r="S58" s="192" t="s">
        <v>343</v>
      </c>
      <c r="T58" s="192">
        <v>2722</v>
      </c>
      <c r="U58" s="192">
        <v>1636</v>
      </c>
      <c r="V58" s="192">
        <v>1636</v>
      </c>
      <c r="W58" s="192">
        <v>1636</v>
      </c>
      <c r="X58" s="192">
        <v>1636</v>
      </c>
      <c r="Y58" s="192">
        <v>1636</v>
      </c>
      <c r="Z58" s="192">
        <v>1664</v>
      </c>
      <c r="AA58" s="192">
        <v>1828</v>
      </c>
    </row>
    <row r="59" spans="2:27" ht="12" hidden="1" customHeight="1">
      <c r="B59" s="173" t="s">
        <v>649</v>
      </c>
      <c r="C59" s="173" t="s">
        <v>502</v>
      </c>
      <c r="D59" s="173" t="s">
        <v>503</v>
      </c>
      <c r="E59" s="173" t="s">
        <v>1306</v>
      </c>
      <c r="F59" s="192">
        <v>32</v>
      </c>
      <c r="G59" s="196">
        <v>46023</v>
      </c>
      <c r="H59" s="196"/>
      <c r="I59" s="192" t="s">
        <v>343</v>
      </c>
      <c r="J59" s="192" t="s">
        <v>343</v>
      </c>
      <c r="K59" s="192" t="s">
        <v>343</v>
      </c>
      <c r="L59" s="192" t="s">
        <v>343</v>
      </c>
      <c r="M59" s="192" t="s">
        <v>343</v>
      </c>
      <c r="N59" s="192" t="s">
        <v>343</v>
      </c>
      <c r="O59" s="192" t="s">
        <v>343</v>
      </c>
      <c r="P59" s="192" t="s">
        <v>343</v>
      </c>
      <c r="Q59" s="192" t="s">
        <v>343</v>
      </c>
      <c r="R59" s="192" t="s">
        <v>343</v>
      </c>
      <c r="S59" s="192" t="s">
        <v>343</v>
      </c>
      <c r="T59" s="192" t="s">
        <v>343</v>
      </c>
      <c r="U59" s="192">
        <v>3220</v>
      </c>
      <c r="V59" s="192">
        <v>2085</v>
      </c>
      <c r="W59" s="192">
        <v>1660</v>
      </c>
      <c r="X59" s="192">
        <v>1855</v>
      </c>
      <c r="Y59" s="192">
        <v>1855</v>
      </c>
      <c r="Z59" s="192">
        <v>1855</v>
      </c>
      <c r="AA59" s="192">
        <v>1805</v>
      </c>
    </row>
    <row r="60" spans="2:27" ht="12" hidden="1" customHeight="1">
      <c r="B60" s="173" t="s">
        <v>650</v>
      </c>
      <c r="C60" s="173" t="s">
        <v>502</v>
      </c>
      <c r="D60" s="173" t="s">
        <v>503</v>
      </c>
      <c r="E60" s="173" t="s">
        <v>1306</v>
      </c>
      <c r="F60" s="192">
        <v>15</v>
      </c>
      <c r="G60" s="196">
        <v>45597</v>
      </c>
      <c r="H60" s="196"/>
      <c r="I60" s="192">
        <v>658.75</v>
      </c>
      <c r="J60" s="192">
        <v>910</v>
      </c>
      <c r="K60" s="192">
        <v>850</v>
      </c>
      <c r="L60" s="192">
        <v>850</v>
      </c>
      <c r="M60" s="192">
        <v>925</v>
      </c>
      <c r="N60" s="192">
        <v>925</v>
      </c>
      <c r="O60" s="192">
        <v>925</v>
      </c>
      <c r="P60" s="192">
        <v>925</v>
      </c>
      <c r="Q60" s="192">
        <v>1000</v>
      </c>
      <c r="R60" s="192">
        <v>1120</v>
      </c>
      <c r="S60" s="192">
        <v>1205</v>
      </c>
      <c r="T60" s="192">
        <v>1205</v>
      </c>
      <c r="U60" s="192">
        <v>1154</v>
      </c>
      <c r="V60" s="192">
        <v>1589</v>
      </c>
      <c r="W60" s="192">
        <v>1154</v>
      </c>
      <c r="X60" s="192">
        <v>1154</v>
      </c>
      <c r="Y60" s="192">
        <v>1154</v>
      </c>
      <c r="Z60" s="192">
        <v>1235</v>
      </c>
      <c r="AA60" s="192">
        <v>1235</v>
      </c>
    </row>
    <row r="61" spans="2:27" ht="12" hidden="1" customHeight="1">
      <c r="B61" s="173" t="s">
        <v>651</v>
      </c>
      <c r="C61" s="173" t="s">
        <v>502</v>
      </c>
      <c r="D61" s="173" t="s">
        <v>503</v>
      </c>
      <c r="E61" s="173" t="s">
        <v>1306</v>
      </c>
      <c r="F61" s="192">
        <v>16</v>
      </c>
      <c r="G61" s="196">
        <v>45292</v>
      </c>
      <c r="H61" s="196"/>
      <c r="I61" s="192">
        <v>1295</v>
      </c>
      <c r="J61" s="192">
        <v>950</v>
      </c>
      <c r="K61" s="192">
        <v>1025</v>
      </c>
      <c r="L61" s="192">
        <v>1025</v>
      </c>
      <c r="M61" s="192">
        <v>1025</v>
      </c>
      <c r="N61" s="192">
        <v>1100</v>
      </c>
      <c r="O61" s="192">
        <v>1100</v>
      </c>
      <c r="P61" s="192">
        <v>1100</v>
      </c>
      <c r="Q61" s="192">
        <v>1025</v>
      </c>
      <c r="R61" s="192">
        <v>1025</v>
      </c>
      <c r="S61" s="192">
        <v>1025</v>
      </c>
      <c r="T61" s="192">
        <v>1100</v>
      </c>
      <c r="U61" s="192">
        <v>1438</v>
      </c>
      <c r="V61" s="192">
        <v>1080</v>
      </c>
      <c r="W61" s="192">
        <v>1080</v>
      </c>
      <c r="X61" s="192">
        <v>1080</v>
      </c>
      <c r="Y61" s="192">
        <v>1147</v>
      </c>
      <c r="Z61" s="192">
        <v>1214</v>
      </c>
      <c r="AA61" s="192">
        <v>1147</v>
      </c>
    </row>
    <row r="62" spans="2:27" ht="12" hidden="1" customHeight="1">
      <c r="B62" s="173" t="s">
        <v>652</v>
      </c>
      <c r="C62" s="173" t="s">
        <v>502</v>
      </c>
      <c r="D62" s="173" t="s">
        <v>503</v>
      </c>
      <c r="E62" s="173" t="s">
        <v>1306</v>
      </c>
      <c r="F62" s="192">
        <v>44</v>
      </c>
      <c r="G62" s="196">
        <v>46113</v>
      </c>
      <c r="H62" s="196"/>
      <c r="I62" s="192" t="s">
        <v>343</v>
      </c>
      <c r="J62" s="192" t="s">
        <v>343</v>
      </c>
      <c r="K62" s="192" t="s">
        <v>343</v>
      </c>
      <c r="L62" s="192" t="s">
        <v>343</v>
      </c>
      <c r="M62" s="192" t="s">
        <v>343</v>
      </c>
      <c r="N62" s="192" t="s">
        <v>343</v>
      </c>
      <c r="O62" s="192" t="s">
        <v>343</v>
      </c>
      <c r="P62" s="192" t="s">
        <v>343</v>
      </c>
      <c r="Q62" s="192" t="s">
        <v>343</v>
      </c>
      <c r="R62" s="192" t="s">
        <v>343</v>
      </c>
      <c r="S62" s="192" t="s">
        <v>343</v>
      </c>
      <c r="T62" s="192" t="s">
        <v>343</v>
      </c>
      <c r="U62" s="192" t="s">
        <v>343</v>
      </c>
      <c r="V62" s="192" t="s">
        <v>343</v>
      </c>
      <c r="W62" s="192" t="s">
        <v>343</v>
      </c>
      <c r="X62" s="192">
        <v>5354</v>
      </c>
      <c r="Y62" s="192">
        <v>2561</v>
      </c>
      <c r="Z62" s="192">
        <v>2675</v>
      </c>
      <c r="AA62" s="192">
        <v>2675</v>
      </c>
    </row>
    <row r="63" spans="2:27" ht="12" hidden="1" customHeight="1">
      <c r="B63" s="173" t="s">
        <v>654</v>
      </c>
      <c r="C63" s="173" t="s">
        <v>502</v>
      </c>
      <c r="D63" s="173" t="s">
        <v>503</v>
      </c>
      <c r="E63" s="173" t="s">
        <v>1306</v>
      </c>
      <c r="F63" s="192">
        <v>13</v>
      </c>
      <c r="G63" s="196">
        <v>45597</v>
      </c>
      <c r="H63" s="196"/>
      <c r="I63" s="192">
        <v>410.75</v>
      </c>
      <c r="J63" s="192">
        <v>474</v>
      </c>
      <c r="K63" s="192">
        <v>474</v>
      </c>
      <c r="L63" s="192">
        <v>632</v>
      </c>
      <c r="M63" s="192">
        <v>632</v>
      </c>
      <c r="N63" s="192" t="s">
        <v>343</v>
      </c>
      <c r="O63" s="192">
        <v>700</v>
      </c>
      <c r="P63" s="192">
        <v>850</v>
      </c>
      <c r="Q63" s="192">
        <v>850</v>
      </c>
      <c r="R63" s="192">
        <v>850</v>
      </c>
      <c r="S63" s="192">
        <v>1075</v>
      </c>
      <c r="T63" s="192">
        <v>1075</v>
      </c>
      <c r="U63" s="192">
        <v>1225</v>
      </c>
      <c r="V63" s="192">
        <v>1230</v>
      </c>
      <c r="W63" s="192">
        <v>1220</v>
      </c>
      <c r="X63" s="192">
        <v>1075</v>
      </c>
      <c r="Y63" s="192">
        <v>1225</v>
      </c>
      <c r="Z63" s="192">
        <v>1225</v>
      </c>
      <c r="AA63" s="192">
        <v>1261</v>
      </c>
    </row>
    <row r="64" spans="2:27" ht="12" hidden="1" customHeight="1">
      <c r="B64" s="173" t="s">
        <v>655</v>
      </c>
      <c r="C64" s="173" t="s">
        <v>19</v>
      </c>
      <c r="D64" s="173" t="s">
        <v>503</v>
      </c>
      <c r="E64" s="173" t="s">
        <v>1306</v>
      </c>
      <c r="F64" s="192">
        <v>51</v>
      </c>
      <c r="G64" s="196">
        <v>46082</v>
      </c>
      <c r="H64" s="196"/>
      <c r="I64" s="192" t="s">
        <v>343</v>
      </c>
      <c r="J64" s="192" t="s">
        <v>343</v>
      </c>
      <c r="K64" s="192" t="s">
        <v>343</v>
      </c>
      <c r="L64" s="192" t="s">
        <v>343</v>
      </c>
      <c r="M64" s="192" t="s">
        <v>343</v>
      </c>
      <c r="N64" s="192" t="s">
        <v>343</v>
      </c>
      <c r="O64" s="192" t="s">
        <v>343</v>
      </c>
      <c r="P64" s="192" t="s">
        <v>343</v>
      </c>
      <c r="Q64" s="192" t="s">
        <v>343</v>
      </c>
      <c r="R64" s="192" t="s">
        <v>343</v>
      </c>
      <c r="S64" s="192" t="s">
        <v>343</v>
      </c>
      <c r="T64" s="192" t="s">
        <v>343</v>
      </c>
      <c r="U64" s="192" t="s">
        <v>343</v>
      </c>
      <c r="V64" s="192" t="s">
        <v>343</v>
      </c>
      <c r="W64" s="192">
        <v>4229</v>
      </c>
      <c r="X64" s="192">
        <v>2293</v>
      </c>
      <c r="Y64" s="192">
        <v>2349</v>
      </c>
      <c r="Z64" s="192">
        <v>2429</v>
      </c>
      <c r="AA64" s="192">
        <v>1757</v>
      </c>
    </row>
    <row r="65" spans="2:27" ht="12" hidden="1" customHeight="1">
      <c r="B65" s="173" t="s">
        <v>659</v>
      </c>
      <c r="C65" s="173" t="s">
        <v>502</v>
      </c>
      <c r="D65" s="173" t="s">
        <v>503</v>
      </c>
      <c r="E65" s="173" t="s">
        <v>1306</v>
      </c>
      <c r="F65" s="192">
        <v>22</v>
      </c>
      <c r="G65" s="196">
        <v>44986</v>
      </c>
      <c r="H65" s="196"/>
      <c r="I65" s="192">
        <v>985</v>
      </c>
      <c r="J65" s="192">
        <v>790</v>
      </c>
      <c r="K65" s="192">
        <v>825</v>
      </c>
      <c r="L65" s="192">
        <v>825</v>
      </c>
      <c r="M65" s="192">
        <v>825</v>
      </c>
      <c r="N65" s="192">
        <v>825</v>
      </c>
      <c r="O65" s="192">
        <v>900</v>
      </c>
      <c r="P65" s="192">
        <v>900</v>
      </c>
      <c r="Q65" s="192">
        <v>900</v>
      </c>
      <c r="R65" s="192">
        <v>975</v>
      </c>
      <c r="S65" s="192">
        <v>525</v>
      </c>
      <c r="T65" s="192">
        <v>900</v>
      </c>
      <c r="U65" s="192">
        <v>1050</v>
      </c>
      <c r="V65" s="192">
        <v>1185</v>
      </c>
      <c r="W65" s="192">
        <v>1034</v>
      </c>
      <c r="X65" s="192">
        <v>1188</v>
      </c>
      <c r="Y65" s="192">
        <v>1188</v>
      </c>
      <c r="Z65" s="192">
        <v>1316</v>
      </c>
      <c r="AA65" s="192">
        <v>1517</v>
      </c>
    </row>
    <row r="66" spans="2:27" ht="12" hidden="1" customHeight="1">
      <c r="B66" s="173" t="s">
        <v>661</v>
      </c>
      <c r="C66" s="173" t="s">
        <v>567</v>
      </c>
      <c r="D66" s="173" t="s">
        <v>662</v>
      </c>
      <c r="E66" s="173" t="s">
        <v>1308</v>
      </c>
      <c r="F66" s="192" t="s">
        <v>343</v>
      </c>
      <c r="G66" s="196">
        <v>44743</v>
      </c>
      <c r="H66" s="196">
        <v>46022</v>
      </c>
      <c r="I66" s="192">
        <v>2210</v>
      </c>
      <c r="J66" s="192">
        <v>3529.6</v>
      </c>
      <c r="K66" s="192">
        <v>2550</v>
      </c>
      <c r="L66" s="192">
        <v>2550</v>
      </c>
      <c r="M66" s="192">
        <v>2707.94</v>
      </c>
      <c r="N66" s="192">
        <v>2635</v>
      </c>
      <c r="O66" s="192">
        <v>2621.71</v>
      </c>
      <c r="P66" s="192">
        <v>2713.69</v>
      </c>
      <c r="Q66" s="192">
        <v>2404</v>
      </c>
      <c r="R66" s="192">
        <v>2404</v>
      </c>
      <c r="S66" s="192">
        <v>2404</v>
      </c>
      <c r="T66" s="192">
        <v>2404</v>
      </c>
      <c r="U66" s="192">
        <v>249.84</v>
      </c>
      <c r="V66" s="192" t="s">
        <v>343</v>
      </c>
      <c r="W66" s="192" t="s">
        <v>343</v>
      </c>
      <c r="X66" s="192" t="s">
        <v>343</v>
      </c>
      <c r="Y66" s="192" t="s">
        <v>343</v>
      </c>
      <c r="Z66" s="192" t="s">
        <v>343</v>
      </c>
      <c r="AA66" s="192" t="s">
        <v>343</v>
      </c>
    </row>
    <row r="67" spans="2:27" ht="12" hidden="1" customHeight="1">
      <c r="B67" s="173" t="s">
        <v>663</v>
      </c>
      <c r="C67" s="173" t="s">
        <v>502</v>
      </c>
      <c r="D67" s="173" t="s">
        <v>503</v>
      </c>
      <c r="E67" s="173" t="s">
        <v>1306</v>
      </c>
      <c r="F67" s="192">
        <v>19</v>
      </c>
      <c r="G67" s="196">
        <v>45901</v>
      </c>
      <c r="H67" s="196"/>
      <c r="I67" s="192" t="s">
        <v>343</v>
      </c>
      <c r="J67" s="192" t="s">
        <v>343</v>
      </c>
      <c r="K67" s="192" t="s">
        <v>343</v>
      </c>
      <c r="L67" s="192" t="s">
        <v>343</v>
      </c>
      <c r="M67" s="192" t="s">
        <v>343</v>
      </c>
      <c r="N67" s="192" t="s">
        <v>343</v>
      </c>
      <c r="O67" s="192" t="s">
        <v>343</v>
      </c>
      <c r="P67" s="192" t="s">
        <v>343</v>
      </c>
      <c r="Q67" s="192">
        <v>1920</v>
      </c>
      <c r="R67" s="192">
        <v>1140</v>
      </c>
      <c r="S67" s="192">
        <v>0</v>
      </c>
      <c r="T67" s="192">
        <v>945</v>
      </c>
      <c r="U67" s="192">
        <v>1075</v>
      </c>
      <c r="V67" s="192">
        <v>1150</v>
      </c>
      <c r="W67" s="192">
        <v>1075</v>
      </c>
      <c r="X67" s="192">
        <v>1140</v>
      </c>
      <c r="Y67" s="192">
        <v>1335</v>
      </c>
      <c r="Z67" s="192">
        <v>1335</v>
      </c>
      <c r="AA67" s="192">
        <v>1335</v>
      </c>
    </row>
    <row r="68" spans="2:27" ht="12" hidden="1" customHeight="1">
      <c r="B68" s="173" t="s">
        <v>664</v>
      </c>
      <c r="C68" s="173" t="s">
        <v>502</v>
      </c>
      <c r="D68" s="173" t="s">
        <v>503</v>
      </c>
      <c r="E68" s="173" t="s">
        <v>1306</v>
      </c>
      <c r="F68" s="192">
        <v>17</v>
      </c>
      <c r="G68" s="196">
        <v>45444</v>
      </c>
      <c r="H68" s="196"/>
      <c r="I68" s="192">
        <v>553</v>
      </c>
      <c r="J68" s="192">
        <v>628</v>
      </c>
      <c r="K68" s="192">
        <v>553</v>
      </c>
      <c r="L68" s="192">
        <v>553</v>
      </c>
      <c r="M68" s="192">
        <v>632</v>
      </c>
      <c r="N68" s="192">
        <v>700</v>
      </c>
      <c r="O68" s="192">
        <v>775</v>
      </c>
      <c r="P68" s="192">
        <v>775</v>
      </c>
      <c r="Q68" s="192">
        <v>775</v>
      </c>
      <c r="R68" s="192">
        <v>850</v>
      </c>
      <c r="S68" s="192">
        <v>1075</v>
      </c>
      <c r="T68" s="192">
        <v>1000</v>
      </c>
      <c r="U68" s="192">
        <v>1000</v>
      </c>
      <c r="V68" s="192">
        <v>1135</v>
      </c>
      <c r="W68" s="192">
        <v>1150</v>
      </c>
      <c r="X68" s="192">
        <v>1225</v>
      </c>
      <c r="Y68" s="192">
        <v>1225</v>
      </c>
      <c r="Z68" s="192">
        <v>1115</v>
      </c>
      <c r="AA68" s="192">
        <v>1048</v>
      </c>
    </row>
    <row r="69" spans="2:27" ht="12" hidden="1" customHeight="1">
      <c r="B69" s="173" t="s">
        <v>665</v>
      </c>
      <c r="C69" s="173" t="s">
        <v>502</v>
      </c>
      <c r="D69" s="173" t="s">
        <v>503</v>
      </c>
      <c r="E69" s="173" t="s">
        <v>1306</v>
      </c>
      <c r="F69" s="192">
        <v>21</v>
      </c>
      <c r="G69" s="196">
        <v>45689</v>
      </c>
      <c r="H69" s="196"/>
      <c r="I69" s="192" t="s">
        <v>343</v>
      </c>
      <c r="J69" s="192">
        <v>440</v>
      </c>
      <c r="K69" s="192">
        <v>550</v>
      </c>
      <c r="L69" s="192">
        <v>625</v>
      </c>
      <c r="M69" s="192">
        <v>625</v>
      </c>
      <c r="N69" s="192">
        <v>700</v>
      </c>
      <c r="O69" s="192">
        <v>700</v>
      </c>
      <c r="P69" s="192">
        <v>700</v>
      </c>
      <c r="Q69" s="192">
        <v>925</v>
      </c>
      <c r="R69" s="192">
        <v>1075</v>
      </c>
      <c r="S69" s="192">
        <v>1150</v>
      </c>
      <c r="T69" s="192">
        <v>1075</v>
      </c>
      <c r="U69" s="192">
        <v>1000</v>
      </c>
      <c r="V69" s="192">
        <v>1263</v>
      </c>
      <c r="W69" s="192">
        <v>905</v>
      </c>
      <c r="X69" s="192">
        <v>942</v>
      </c>
      <c r="Y69" s="192">
        <v>942</v>
      </c>
      <c r="Z69" s="192">
        <v>942</v>
      </c>
      <c r="AA69" s="192">
        <v>1150</v>
      </c>
    </row>
    <row r="70" spans="2:27" ht="12" hidden="1" customHeight="1">
      <c r="B70" s="173" t="s">
        <v>666</v>
      </c>
      <c r="C70" s="173" t="s">
        <v>502</v>
      </c>
      <c r="D70" s="173" t="s">
        <v>503</v>
      </c>
      <c r="E70" s="173" t="s">
        <v>1306</v>
      </c>
      <c r="F70" s="192">
        <v>11</v>
      </c>
      <c r="G70" s="196">
        <v>45658</v>
      </c>
      <c r="H70" s="196"/>
      <c r="I70" s="192">
        <v>876.9</v>
      </c>
      <c r="J70" s="192">
        <v>452.9</v>
      </c>
      <c r="K70" s="192">
        <v>540.04999999999995</v>
      </c>
      <c r="L70" s="192">
        <v>890</v>
      </c>
      <c r="M70" s="192">
        <v>1068</v>
      </c>
      <c r="N70" s="192">
        <v>1157</v>
      </c>
      <c r="O70" s="192">
        <v>1157</v>
      </c>
      <c r="P70" s="192">
        <v>1246</v>
      </c>
      <c r="Q70" s="192">
        <v>1157</v>
      </c>
      <c r="R70" s="192">
        <v>1157</v>
      </c>
      <c r="S70" s="192">
        <v>1157</v>
      </c>
      <c r="T70" s="192">
        <v>890</v>
      </c>
      <c r="U70" s="192">
        <v>806</v>
      </c>
      <c r="V70" s="192">
        <v>1076</v>
      </c>
      <c r="W70" s="192">
        <v>806</v>
      </c>
      <c r="X70" s="192">
        <v>893</v>
      </c>
      <c r="Y70" s="192">
        <v>893</v>
      </c>
      <c r="Z70" s="192">
        <v>893</v>
      </c>
      <c r="AA70" s="192">
        <v>980</v>
      </c>
    </row>
    <row r="71" spans="2:27" ht="12" hidden="1" customHeight="1">
      <c r="B71" s="173" t="s">
        <v>667</v>
      </c>
      <c r="C71" s="173" t="s">
        <v>502</v>
      </c>
      <c r="D71" s="173" t="s">
        <v>503</v>
      </c>
      <c r="E71" s="173" t="s">
        <v>1306</v>
      </c>
      <c r="F71" s="192">
        <v>17</v>
      </c>
      <c r="G71" s="196">
        <v>45901</v>
      </c>
      <c r="H71" s="196"/>
      <c r="I71" s="192" t="s">
        <v>343</v>
      </c>
      <c r="J71" s="192" t="s">
        <v>343</v>
      </c>
      <c r="K71" s="192" t="s">
        <v>343</v>
      </c>
      <c r="L71" s="192" t="s">
        <v>343</v>
      </c>
      <c r="M71" s="192" t="s">
        <v>343</v>
      </c>
      <c r="N71" s="192" t="s">
        <v>343</v>
      </c>
      <c r="O71" s="192" t="s">
        <v>343</v>
      </c>
      <c r="P71" s="192" t="s">
        <v>343</v>
      </c>
      <c r="Q71" s="192">
        <v>1300</v>
      </c>
      <c r="R71" s="192">
        <v>925</v>
      </c>
      <c r="S71" s="192">
        <v>925</v>
      </c>
      <c r="T71" s="192">
        <v>925</v>
      </c>
      <c r="U71" s="192">
        <v>1090</v>
      </c>
      <c r="V71" s="192">
        <v>1015</v>
      </c>
      <c r="W71" s="192">
        <v>1075</v>
      </c>
      <c r="X71" s="192">
        <v>1150</v>
      </c>
      <c r="Y71" s="192">
        <v>1150</v>
      </c>
      <c r="Z71" s="192">
        <v>1140</v>
      </c>
      <c r="AA71" s="192">
        <v>1140</v>
      </c>
    </row>
    <row r="72" spans="2:27" ht="12" hidden="1" customHeight="1">
      <c r="B72" s="173" t="s">
        <v>668</v>
      </c>
      <c r="C72" s="173" t="s">
        <v>502</v>
      </c>
      <c r="D72" s="173" t="s">
        <v>503</v>
      </c>
      <c r="E72" s="173" t="s">
        <v>1306</v>
      </c>
      <c r="F72" s="192">
        <v>32</v>
      </c>
      <c r="G72" s="196">
        <v>46082</v>
      </c>
      <c r="H72" s="196"/>
      <c r="I72" s="192" t="s">
        <v>343</v>
      </c>
      <c r="J72" s="192" t="s">
        <v>343</v>
      </c>
      <c r="K72" s="192" t="s">
        <v>343</v>
      </c>
      <c r="L72" s="192" t="s">
        <v>343</v>
      </c>
      <c r="M72" s="192" t="s">
        <v>343</v>
      </c>
      <c r="N72" s="192" t="s">
        <v>343</v>
      </c>
      <c r="O72" s="192" t="s">
        <v>343</v>
      </c>
      <c r="P72" s="192" t="s">
        <v>343</v>
      </c>
      <c r="Q72" s="192" t="s">
        <v>343</v>
      </c>
      <c r="R72" s="192" t="s">
        <v>343</v>
      </c>
      <c r="S72" s="192" t="s">
        <v>343</v>
      </c>
      <c r="T72" s="192" t="s">
        <v>343</v>
      </c>
      <c r="U72" s="192" t="s">
        <v>343</v>
      </c>
      <c r="V72" s="192" t="s">
        <v>343</v>
      </c>
      <c r="W72" s="192">
        <v>3937</v>
      </c>
      <c r="X72" s="192">
        <v>1860</v>
      </c>
      <c r="Y72" s="192">
        <v>1803</v>
      </c>
      <c r="Z72" s="192">
        <v>2268</v>
      </c>
      <c r="AA72" s="192">
        <v>1908</v>
      </c>
    </row>
    <row r="73" spans="2:27" ht="12" hidden="1" customHeight="1">
      <c r="B73" s="173" t="s">
        <v>671</v>
      </c>
      <c r="C73" s="173" t="s">
        <v>502</v>
      </c>
      <c r="D73" s="173" t="s">
        <v>637</v>
      </c>
      <c r="E73" s="173" t="s">
        <v>1307</v>
      </c>
      <c r="F73" s="192" t="s">
        <v>343</v>
      </c>
      <c r="G73" s="196">
        <v>44317</v>
      </c>
      <c r="H73" s="196"/>
      <c r="I73" s="192">
        <v>1040</v>
      </c>
      <c r="J73" s="192">
        <v>950</v>
      </c>
      <c r="K73" s="192">
        <v>950</v>
      </c>
      <c r="L73" s="192">
        <v>950</v>
      </c>
      <c r="M73" s="192">
        <v>950</v>
      </c>
      <c r="N73" s="192">
        <v>950</v>
      </c>
      <c r="O73" s="192">
        <v>950</v>
      </c>
      <c r="P73" s="192">
        <v>950</v>
      </c>
      <c r="Q73" s="192">
        <v>950</v>
      </c>
      <c r="R73" s="192">
        <v>950</v>
      </c>
      <c r="S73" s="192">
        <v>950</v>
      </c>
      <c r="T73" s="192">
        <v>950</v>
      </c>
      <c r="U73" s="192">
        <v>995</v>
      </c>
      <c r="V73" s="192">
        <v>995</v>
      </c>
      <c r="W73" s="192">
        <v>995</v>
      </c>
      <c r="X73" s="192">
        <v>995</v>
      </c>
      <c r="Y73" s="192">
        <v>995</v>
      </c>
      <c r="Z73" s="192">
        <v>995</v>
      </c>
      <c r="AA73" s="192">
        <v>995</v>
      </c>
    </row>
    <row r="74" spans="2:27" ht="12" hidden="1" customHeight="1">
      <c r="B74" s="173" t="s">
        <v>675</v>
      </c>
      <c r="C74" s="222" t="s">
        <v>567</v>
      </c>
      <c r="D74" s="173" t="s">
        <v>503</v>
      </c>
      <c r="E74" s="173" t="s">
        <v>1306</v>
      </c>
      <c r="F74" s="192">
        <v>37</v>
      </c>
      <c r="G74" s="196">
        <v>46054</v>
      </c>
      <c r="H74" s="196">
        <v>46265</v>
      </c>
      <c r="I74" s="192" t="s">
        <v>343</v>
      </c>
      <c r="J74" s="192" t="s">
        <v>343</v>
      </c>
      <c r="K74" s="192" t="s">
        <v>343</v>
      </c>
      <c r="L74" s="192" t="s">
        <v>343</v>
      </c>
      <c r="M74" s="192" t="s">
        <v>343</v>
      </c>
      <c r="N74" s="192" t="s">
        <v>343</v>
      </c>
      <c r="O74" s="192" t="s">
        <v>343</v>
      </c>
      <c r="P74" s="192" t="s">
        <v>343</v>
      </c>
      <c r="Q74" s="192" t="s">
        <v>343</v>
      </c>
      <c r="R74" s="192" t="s">
        <v>343</v>
      </c>
      <c r="S74" s="192" t="s">
        <v>343</v>
      </c>
      <c r="T74" s="192" t="s">
        <v>343</v>
      </c>
      <c r="U74" s="192" t="s">
        <v>343</v>
      </c>
      <c r="V74" s="192">
        <v>975</v>
      </c>
      <c r="W74" s="192">
        <v>2823</v>
      </c>
      <c r="X74" s="192">
        <v>1471</v>
      </c>
      <c r="Y74" s="192">
        <v>1944</v>
      </c>
      <c r="Z74" s="192">
        <v>2138</v>
      </c>
      <c r="AA74" s="192">
        <v>2164</v>
      </c>
    </row>
    <row r="75" spans="2:27" ht="12" hidden="1" customHeight="1">
      <c r="B75" s="173" t="s">
        <v>676</v>
      </c>
      <c r="C75" s="173" t="s">
        <v>502</v>
      </c>
      <c r="D75" s="173" t="s">
        <v>503</v>
      </c>
      <c r="E75" s="173" t="s">
        <v>1306</v>
      </c>
      <c r="F75" s="192">
        <v>19</v>
      </c>
      <c r="G75" s="196">
        <v>45200</v>
      </c>
      <c r="H75" s="196"/>
      <c r="I75" s="192">
        <v>699</v>
      </c>
      <c r="J75" s="192">
        <v>623</v>
      </c>
      <c r="K75" s="192">
        <v>623</v>
      </c>
      <c r="L75" s="192">
        <v>712</v>
      </c>
      <c r="M75" s="192">
        <v>801</v>
      </c>
      <c r="N75" s="192">
        <v>712</v>
      </c>
      <c r="O75" s="192">
        <v>801</v>
      </c>
      <c r="P75" s="192">
        <v>445</v>
      </c>
      <c r="Q75" s="192">
        <v>356</v>
      </c>
      <c r="R75" s="192">
        <v>590</v>
      </c>
      <c r="S75" s="192">
        <v>590</v>
      </c>
      <c r="T75" s="192">
        <v>680</v>
      </c>
      <c r="U75" s="192">
        <v>790</v>
      </c>
      <c r="V75" s="192">
        <v>1260</v>
      </c>
      <c r="W75" s="192">
        <v>1280</v>
      </c>
      <c r="X75" s="192">
        <v>1140</v>
      </c>
      <c r="Y75" s="192">
        <v>1377</v>
      </c>
      <c r="Z75" s="192">
        <v>1391</v>
      </c>
      <c r="AA75" s="192">
        <v>1614</v>
      </c>
    </row>
    <row r="76" spans="2:27" ht="12" hidden="1" customHeight="1">
      <c r="B76" s="173" t="s">
        <v>677</v>
      </c>
      <c r="C76" s="173" t="s">
        <v>502</v>
      </c>
      <c r="D76" s="173" t="s">
        <v>503</v>
      </c>
      <c r="E76" s="173" t="s">
        <v>1306</v>
      </c>
      <c r="F76" s="192">
        <v>28</v>
      </c>
      <c r="G76" s="196">
        <v>45870</v>
      </c>
      <c r="H76" s="196"/>
      <c r="I76" s="192" t="s">
        <v>343</v>
      </c>
      <c r="J76" s="192" t="s">
        <v>343</v>
      </c>
      <c r="K76" s="192" t="s">
        <v>343</v>
      </c>
      <c r="L76" s="192" t="s">
        <v>343</v>
      </c>
      <c r="M76" s="192" t="s">
        <v>343</v>
      </c>
      <c r="N76" s="192" t="s">
        <v>343</v>
      </c>
      <c r="O76" s="192" t="s">
        <v>343</v>
      </c>
      <c r="P76" s="192">
        <v>1360</v>
      </c>
      <c r="Q76" s="192">
        <v>675</v>
      </c>
      <c r="R76" s="192">
        <v>675</v>
      </c>
      <c r="S76" s="192">
        <v>780</v>
      </c>
      <c r="T76" s="192">
        <v>780</v>
      </c>
      <c r="U76" s="192">
        <v>780</v>
      </c>
      <c r="V76" s="192">
        <v>900</v>
      </c>
      <c r="W76" s="192">
        <v>780</v>
      </c>
      <c r="X76" s="192">
        <v>780</v>
      </c>
      <c r="Y76" s="192">
        <v>780</v>
      </c>
      <c r="Z76" s="192">
        <v>1030</v>
      </c>
      <c r="AA76" s="192">
        <v>1885</v>
      </c>
    </row>
    <row r="77" spans="2:27" ht="12" hidden="1" customHeight="1">
      <c r="B77" s="173" t="s">
        <v>678</v>
      </c>
      <c r="C77" s="173" t="s">
        <v>502</v>
      </c>
      <c r="D77" s="173" t="s">
        <v>503</v>
      </c>
      <c r="E77" s="173" t="s">
        <v>1306</v>
      </c>
      <c r="F77" s="192">
        <v>13</v>
      </c>
      <c r="G77" s="196">
        <v>45658</v>
      </c>
      <c r="H77" s="196"/>
      <c r="I77" s="192" t="s">
        <v>343</v>
      </c>
      <c r="J77" s="192" t="s">
        <v>343</v>
      </c>
      <c r="K77" s="192" t="s">
        <v>343</v>
      </c>
      <c r="L77" s="192" t="s">
        <v>343</v>
      </c>
      <c r="M77" s="192" t="s">
        <v>343</v>
      </c>
      <c r="N77" s="192" t="s">
        <v>343</v>
      </c>
      <c r="O77" s="192" t="s">
        <v>343</v>
      </c>
      <c r="P77" s="192" t="s">
        <v>343</v>
      </c>
      <c r="Q77" s="192" t="s">
        <v>343</v>
      </c>
      <c r="R77" s="192">
        <v>1600</v>
      </c>
      <c r="S77" s="192">
        <v>850</v>
      </c>
      <c r="T77" s="192">
        <v>1180</v>
      </c>
      <c r="U77" s="192">
        <v>925</v>
      </c>
      <c r="V77" s="192">
        <v>925</v>
      </c>
      <c r="W77" s="192">
        <v>1000</v>
      </c>
      <c r="X77" s="192">
        <v>1075</v>
      </c>
      <c r="Y77" s="192">
        <v>1150</v>
      </c>
      <c r="Z77" s="192">
        <v>1150</v>
      </c>
      <c r="AA77" s="192">
        <v>1075</v>
      </c>
    </row>
    <row r="78" spans="2:27" ht="12" hidden="1" customHeight="1">
      <c r="B78" s="173" t="s">
        <v>679</v>
      </c>
      <c r="C78" s="173" t="s">
        <v>502</v>
      </c>
      <c r="D78" s="173" t="s">
        <v>503</v>
      </c>
      <c r="E78" s="173" t="s">
        <v>1306</v>
      </c>
      <c r="F78" s="192">
        <v>14</v>
      </c>
      <c r="G78" s="196">
        <v>46054</v>
      </c>
      <c r="H78" s="196"/>
      <c r="I78" s="192" t="s">
        <v>343</v>
      </c>
      <c r="J78" s="192" t="s">
        <v>343</v>
      </c>
      <c r="K78" s="192" t="s">
        <v>343</v>
      </c>
      <c r="L78" s="192" t="s">
        <v>343</v>
      </c>
      <c r="M78" s="192" t="s">
        <v>343</v>
      </c>
      <c r="N78" s="192" t="s">
        <v>343</v>
      </c>
      <c r="O78" s="192" t="s">
        <v>343</v>
      </c>
      <c r="P78" s="192" t="s">
        <v>343</v>
      </c>
      <c r="Q78" s="192" t="s">
        <v>343</v>
      </c>
      <c r="R78" s="192" t="s">
        <v>343</v>
      </c>
      <c r="S78" s="192" t="s">
        <v>343</v>
      </c>
      <c r="T78" s="192" t="s">
        <v>343</v>
      </c>
      <c r="U78" s="192" t="s">
        <v>343</v>
      </c>
      <c r="V78" s="192">
        <v>2242</v>
      </c>
      <c r="W78" s="192">
        <v>1666</v>
      </c>
      <c r="X78" s="192">
        <v>1783</v>
      </c>
      <c r="Y78" s="192">
        <v>1696</v>
      </c>
      <c r="Z78" s="192">
        <v>1696</v>
      </c>
      <c r="AA78" s="192">
        <v>1696</v>
      </c>
    </row>
    <row r="79" spans="2:27" ht="12" hidden="1" customHeight="1">
      <c r="B79" s="173" t="s">
        <v>680</v>
      </c>
      <c r="C79" s="173" t="s">
        <v>502</v>
      </c>
      <c r="D79" s="173" t="s">
        <v>503</v>
      </c>
      <c r="E79" s="173" t="s">
        <v>1306</v>
      </c>
      <c r="F79" s="192">
        <v>9</v>
      </c>
      <c r="G79" s="196">
        <v>45261</v>
      </c>
      <c r="H79" s="196"/>
      <c r="I79" s="192">
        <v>1030</v>
      </c>
      <c r="J79" s="192">
        <v>820</v>
      </c>
      <c r="K79" s="192">
        <v>855</v>
      </c>
      <c r="L79" s="192">
        <v>785</v>
      </c>
      <c r="M79" s="192">
        <v>820</v>
      </c>
      <c r="N79" s="192">
        <v>820</v>
      </c>
      <c r="O79" s="192">
        <v>980</v>
      </c>
      <c r="P79" s="192">
        <v>980</v>
      </c>
      <c r="Q79" s="192">
        <v>1045</v>
      </c>
      <c r="R79" s="192">
        <v>940</v>
      </c>
      <c r="S79" s="192">
        <v>970</v>
      </c>
      <c r="T79" s="192">
        <v>865</v>
      </c>
      <c r="U79" s="192">
        <v>865</v>
      </c>
      <c r="V79" s="192">
        <v>1000</v>
      </c>
      <c r="W79" s="192">
        <v>760</v>
      </c>
      <c r="X79" s="192">
        <v>780</v>
      </c>
      <c r="Y79" s="192">
        <v>805</v>
      </c>
      <c r="Z79" s="192">
        <v>985</v>
      </c>
      <c r="AA79" s="192">
        <v>775</v>
      </c>
    </row>
    <row r="80" spans="2:27" ht="12" hidden="1" customHeight="1">
      <c r="B80" s="173" t="s">
        <v>681</v>
      </c>
      <c r="C80" s="173" t="s">
        <v>502</v>
      </c>
      <c r="D80" s="173" t="s">
        <v>503</v>
      </c>
      <c r="E80" s="173" t="s">
        <v>1306</v>
      </c>
      <c r="F80" s="192">
        <v>15</v>
      </c>
      <c r="G80" s="196">
        <v>45261</v>
      </c>
      <c r="H80" s="196"/>
      <c r="I80" s="192">
        <v>875</v>
      </c>
      <c r="J80" s="192">
        <v>725</v>
      </c>
      <c r="K80" s="192">
        <v>725</v>
      </c>
      <c r="L80" s="192">
        <v>725</v>
      </c>
      <c r="M80" s="192">
        <v>500</v>
      </c>
      <c r="N80" s="192">
        <v>500</v>
      </c>
      <c r="O80" s="192">
        <v>500</v>
      </c>
      <c r="P80" s="192">
        <v>575</v>
      </c>
      <c r="Q80" s="192">
        <v>425</v>
      </c>
      <c r="R80" s="192">
        <v>575</v>
      </c>
      <c r="S80" s="192">
        <v>650</v>
      </c>
      <c r="T80" s="192">
        <v>850</v>
      </c>
      <c r="U80" s="192">
        <v>850</v>
      </c>
      <c r="V80" s="192">
        <v>1315</v>
      </c>
      <c r="W80" s="192">
        <v>1075</v>
      </c>
      <c r="X80" s="192">
        <v>1150</v>
      </c>
      <c r="Y80" s="192">
        <v>1150</v>
      </c>
      <c r="Z80" s="192">
        <v>1075</v>
      </c>
      <c r="AA80" s="192">
        <v>1075</v>
      </c>
    </row>
    <row r="81" spans="2:27" ht="12" hidden="1" customHeight="1">
      <c r="B81" s="173" t="s">
        <v>682</v>
      </c>
      <c r="C81" s="173" t="s">
        <v>502</v>
      </c>
      <c r="D81" s="173" t="s">
        <v>683</v>
      </c>
      <c r="E81" s="173" t="s">
        <v>1183</v>
      </c>
      <c r="F81" s="192">
        <v>14</v>
      </c>
      <c r="G81" s="196">
        <v>45658</v>
      </c>
      <c r="H81" s="196"/>
      <c r="I81" s="192">
        <v>1472.5</v>
      </c>
      <c r="J81" s="192">
        <v>722.5</v>
      </c>
      <c r="K81" s="192">
        <v>722.5</v>
      </c>
      <c r="L81" s="192">
        <v>850</v>
      </c>
      <c r="M81" s="192">
        <v>850</v>
      </c>
      <c r="N81" s="192">
        <v>850</v>
      </c>
      <c r="O81" s="192">
        <v>850</v>
      </c>
      <c r="P81" s="192">
        <v>850</v>
      </c>
      <c r="Q81" s="192">
        <v>850</v>
      </c>
      <c r="R81" s="192">
        <v>850</v>
      </c>
      <c r="S81" s="192">
        <v>850</v>
      </c>
      <c r="T81" s="192">
        <v>925</v>
      </c>
      <c r="U81" s="192">
        <v>957</v>
      </c>
      <c r="V81" s="192">
        <v>1002</v>
      </c>
      <c r="W81" s="192">
        <v>957</v>
      </c>
      <c r="X81" s="192">
        <v>957</v>
      </c>
      <c r="Y81" s="192">
        <v>957</v>
      </c>
      <c r="Z81" s="192">
        <v>803</v>
      </c>
      <c r="AA81" s="192">
        <v>726</v>
      </c>
    </row>
    <row r="82" spans="2:27" ht="12" customHeight="1">
      <c r="B82" s="173" t="s">
        <v>608</v>
      </c>
      <c r="C82" s="173" t="s">
        <v>567</v>
      </c>
      <c r="D82" s="173" t="s">
        <v>503</v>
      </c>
      <c r="E82" s="173" t="s">
        <v>1306</v>
      </c>
      <c r="F82" s="192">
        <v>25</v>
      </c>
      <c r="G82" s="196">
        <v>45597</v>
      </c>
      <c r="H82" s="196">
        <v>46173</v>
      </c>
      <c r="I82" s="192">
        <v>2010</v>
      </c>
      <c r="J82" s="192">
        <v>1500</v>
      </c>
      <c r="K82" s="192">
        <v>1150</v>
      </c>
      <c r="L82" s="192">
        <v>1290</v>
      </c>
      <c r="M82" s="192">
        <v>1430</v>
      </c>
      <c r="N82" s="192">
        <v>1500</v>
      </c>
      <c r="O82" s="192">
        <v>1780</v>
      </c>
      <c r="P82" s="192">
        <v>1780</v>
      </c>
      <c r="Q82" s="192">
        <v>1570</v>
      </c>
      <c r="R82" s="192">
        <v>1710</v>
      </c>
      <c r="S82" s="192">
        <v>1654</v>
      </c>
      <c r="T82" s="192">
        <v>1728</v>
      </c>
      <c r="U82" s="192">
        <v>2006</v>
      </c>
      <c r="V82" s="192">
        <v>2915</v>
      </c>
      <c r="W82" s="192">
        <v>2406</v>
      </c>
      <c r="X82" s="192">
        <v>2406</v>
      </c>
      <c r="Y82" s="192">
        <v>2145</v>
      </c>
      <c r="Z82" s="192" t="s">
        <v>343</v>
      </c>
      <c r="AA82" s="192" t="s">
        <v>343</v>
      </c>
    </row>
    <row r="83" spans="2:27" ht="12" hidden="1" customHeight="1">
      <c r="B83" s="173" t="s">
        <v>689</v>
      </c>
      <c r="C83" s="173" t="s">
        <v>502</v>
      </c>
      <c r="D83" s="173" t="s">
        <v>503</v>
      </c>
      <c r="E83" s="173" t="s">
        <v>1306</v>
      </c>
      <c r="F83" s="192">
        <v>45</v>
      </c>
      <c r="G83" s="196">
        <v>45992</v>
      </c>
      <c r="H83" s="196"/>
      <c r="I83" s="192" t="s">
        <v>343</v>
      </c>
      <c r="J83" s="192" t="s">
        <v>343</v>
      </c>
      <c r="K83" s="192" t="s">
        <v>343</v>
      </c>
      <c r="L83" s="192" t="s">
        <v>343</v>
      </c>
      <c r="M83" s="192" t="s">
        <v>343</v>
      </c>
      <c r="N83" s="192" t="s">
        <v>343</v>
      </c>
      <c r="O83" s="192" t="s">
        <v>343</v>
      </c>
      <c r="P83" s="192" t="s">
        <v>343</v>
      </c>
      <c r="Q83" s="192" t="s">
        <v>343</v>
      </c>
      <c r="R83" s="192" t="s">
        <v>343</v>
      </c>
      <c r="S83" s="192" t="s">
        <v>343</v>
      </c>
      <c r="T83" s="192">
        <v>1580</v>
      </c>
      <c r="U83" s="192">
        <v>1230</v>
      </c>
      <c r="V83" s="192">
        <v>1230</v>
      </c>
      <c r="W83" s="192">
        <v>1260</v>
      </c>
      <c r="X83" s="192">
        <v>1230</v>
      </c>
      <c r="Y83" s="192">
        <v>1230</v>
      </c>
      <c r="Z83" s="192">
        <v>1290</v>
      </c>
      <c r="AA83" s="192">
        <v>1320</v>
      </c>
    </row>
    <row r="84" spans="2:27" ht="12" hidden="1" customHeight="1">
      <c r="B84" s="173" t="s">
        <v>690</v>
      </c>
      <c r="C84" s="173" t="s">
        <v>502</v>
      </c>
      <c r="D84" s="173" t="s">
        <v>503</v>
      </c>
      <c r="E84" s="173" t="s">
        <v>1306</v>
      </c>
      <c r="F84" s="192">
        <v>14</v>
      </c>
      <c r="G84" s="196">
        <v>45292</v>
      </c>
      <c r="H84" s="196"/>
      <c r="I84" s="192">
        <v>520</v>
      </c>
      <c r="J84" s="192">
        <v>520</v>
      </c>
      <c r="K84" s="192">
        <v>770</v>
      </c>
      <c r="L84" s="192">
        <v>520</v>
      </c>
      <c r="M84" s="192">
        <v>660</v>
      </c>
      <c r="N84" s="192">
        <v>730</v>
      </c>
      <c r="O84" s="192">
        <v>730</v>
      </c>
      <c r="P84" s="192">
        <v>870</v>
      </c>
      <c r="Q84" s="192">
        <v>660</v>
      </c>
      <c r="R84" s="192">
        <v>660</v>
      </c>
      <c r="S84" s="192">
        <v>775</v>
      </c>
      <c r="T84" s="192">
        <v>775</v>
      </c>
      <c r="U84" s="192">
        <v>726</v>
      </c>
      <c r="V84" s="192">
        <v>803</v>
      </c>
      <c r="W84" s="192">
        <v>803</v>
      </c>
      <c r="X84" s="192">
        <v>880</v>
      </c>
      <c r="Y84" s="192">
        <v>1115</v>
      </c>
      <c r="Z84" s="192">
        <v>1115</v>
      </c>
      <c r="AA84" s="192">
        <v>1115</v>
      </c>
    </row>
    <row r="85" spans="2:27" ht="12" hidden="1" customHeight="1">
      <c r="B85" s="173" t="s">
        <v>691</v>
      </c>
      <c r="C85" s="173" t="s">
        <v>567</v>
      </c>
      <c r="D85" s="173" t="s">
        <v>662</v>
      </c>
      <c r="E85" s="173" t="s">
        <v>1308</v>
      </c>
      <c r="F85" s="192" t="s">
        <v>343</v>
      </c>
      <c r="G85" s="196">
        <v>45627</v>
      </c>
      <c r="H85" s="196">
        <v>45991</v>
      </c>
      <c r="I85" s="192">
        <v>940</v>
      </c>
      <c r="J85" s="192">
        <v>450</v>
      </c>
      <c r="K85" s="192">
        <v>3098.55</v>
      </c>
      <c r="L85" s="192">
        <v>380</v>
      </c>
      <c r="M85" s="192">
        <v>1020</v>
      </c>
      <c r="N85" s="192">
        <v>1590</v>
      </c>
      <c r="O85" s="192">
        <v>1340</v>
      </c>
      <c r="P85" s="192">
        <v>1770</v>
      </c>
      <c r="Q85" s="192">
        <v>1745</v>
      </c>
      <c r="R85" s="192">
        <v>1720</v>
      </c>
      <c r="S85" s="192">
        <v>1270</v>
      </c>
      <c r="T85" s="192">
        <v>1250</v>
      </c>
      <c r="U85" s="192">
        <v>1250</v>
      </c>
      <c r="V85" s="192">
        <v>1060</v>
      </c>
      <c r="W85" s="192">
        <v>175</v>
      </c>
      <c r="X85" s="192" t="s">
        <v>343</v>
      </c>
      <c r="Y85" s="192" t="s">
        <v>343</v>
      </c>
      <c r="Z85" s="192" t="s">
        <v>343</v>
      </c>
      <c r="AA85" s="192" t="s">
        <v>343</v>
      </c>
    </row>
    <row r="86" spans="2:27" ht="12" hidden="1" customHeight="1">
      <c r="B86" s="173" t="s">
        <v>692</v>
      </c>
      <c r="C86" s="173" t="s">
        <v>502</v>
      </c>
      <c r="D86" s="173" t="s">
        <v>503</v>
      </c>
      <c r="E86" s="173" t="s">
        <v>1306</v>
      </c>
      <c r="F86" s="192">
        <v>13</v>
      </c>
      <c r="G86" s="196">
        <v>45292</v>
      </c>
      <c r="H86" s="196"/>
      <c r="I86" s="192">
        <v>525</v>
      </c>
      <c r="J86" s="192">
        <v>360</v>
      </c>
      <c r="K86" s="192">
        <v>610</v>
      </c>
      <c r="L86" s="192">
        <v>640</v>
      </c>
      <c r="M86" s="192">
        <v>640</v>
      </c>
      <c r="N86" s="192">
        <v>710</v>
      </c>
      <c r="O86" s="192">
        <v>710</v>
      </c>
      <c r="P86" s="192">
        <v>710</v>
      </c>
      <c r="Q86" s="192">
        <v>710</v>
      </c>
      <c r="R86" s="192">
        <v>710</v>
      </c>
      <c r="S86" s="192">
        <v>750</v>
      </c>
      <c r="T86" s="192">
        <v>750</v>
      </c>
      <c r="U86" s="192">
        <v>843</v>
      </c>
      <c r="V86" s="192">
        <v>1023</v>
      </c>
      <c r="W86" s="192">
        <v>843</v>
      </c>
      <c r="X86" s="192">
        <v>920</v>
      </c>
      <c r="Y86" s="192">
        <v>920</v>
      </c>
      <c r="Z86" s="192">
        <v>997</v>
      </c>
      <c r="AA86" s="192">
        <v>997</v>
      </c>
    </row>
    <row r="87" spans="2:27" ht="12" hidden="1" customHeight="1">
      <c r="B87" s="173" t="s">
        <v>693</v>
      </c>
      <c r="C87" s="173" t="s">
        <v>567</v>
      </c>
      <c r="D87" s="173" t="s">
        <v>637</v>
      </c>
      <c r="E87" s="173" t="s">
        <v>1307</v>
      </c>
      <c r="F87" s="192" t="s">
        <v>343</v>
      </c>
      <c r="G87" s="196">
        <v>44866</v>
      </c>
      <c r="H87" s="196">
        <v>46234</v>
      </c>
      <c r="I87" s="192">
        <v>895</v>
      </c>
      <c r="J87" s="192">
        <v>820</v>
      </c>
      <c r="K87" s="192">
        <v>820</v>
      </c>
      <c r="L87" s="192">
        <v>820</v>
      </c>
      <c r="M87" s="192">
        <v>820</v>
      </c>
      <c r="N87" s="192">
        <v>820</v>
      </c>
      <c r="O87" s="192">
        <v>820</v>
      </c>
      <c r="P87" s="192">
        <v>820</v>
      </c>
      <c r="Q87" s="192">
        <v>820</v>
      </c>
      <c r="R87" s="192">
        <v>820</v>
      </c>
      <c r="S87" s="192">
        <v>850</v>
      </c>
      <c r="T87" s="192">
        <v>850</v>
      </c>
      <c r="U87" s="192">
        <v>850</v>
      </c>
      <c r="V87" s="192">
        <v>865</v>
      </c>
      <c r="W87" s="192">
        <v>850</v>
      </c>
      <c r="X87" s="192">
        <v>850</v>
      </c>
      <c r="Y87" s="192">
        <v>850</v>
      </c>
      <c r="Z87" s="192">
        <v>850</v>
      </c>
      <c r="AA87" s="192">
        <v>850</v>
      </c>
    </row>
    <row r="88" spans="2:27" ht="12" hidden="1" customHeight="1">
      <c r="B88" s="173" t="s">
        <v>696</v>
      </c>
      <c r="C88" s="173" t="s">
        <v>502</v>
      </c>
      <c r="D88" s="173" t="s">
        <v>503</v>
      </c>
      <c r="E88" s="173" t="s">
        <v>1306</v>
      </c>
      <c r="F88" s="192">
        <v>11</v>
      </c>
      <c r="G88" s="196">
        <v>45047</v>
      </c>
      <c r="H88" s="196"/>
      <c r="I88" s="192">
        <v>907</v>
      </c>
      <c r="J88" s="192">
        <v>712</v>
      </c>
      <c r="K88" s="192">
        <v>623</v>
      </c>
      <c r="L88" s="192">
        <v>534</v>
      </c>
      <c r="M88" s="192">
        <v>610</v>
      </c>
      <c r="N88" s="192">
        <v>695</v>
      </c>
      <c r="O88" s="192">
        <v>695</v>
      </c>
      <c r="P88" s="192">
        <v>695</v>
      </c>
      <c r="Q88" s="192">
        <v>780</v>
      </c>
      <c r="R88" s="192">
        <v>780</v>
      </c>
      <c r="S88" s="192">
        <v>780</v>
      </c>
      <c r="T88" s="192" t="s">
        <v>343</v>
      </c>
      <c r="U88" s="192">
        <v>1020</v>
      </c>
      <c r="V88" s="192">
        <v>950</v>
      </c>
      <c r="W88" s="192">
        <v>950</v>
      </c>
      <c r="X88" s="192">
        <v>950</v>
      </c>
      <c r="Y88" s="192">
        <v>1067</v>
      </c>
      <c r="Z88" s="192">
        <v>1067</v>
      </c>
      <c r="AA88" s="192">
        <v>980</v>
      </c>
    </row>
    <row r="89" spans="2:27" ht="12" hidden="1" customHeight="1">
      <c r="B89" s="173" t="s">
        <v>698</v>
      </c>
      <c r="C89" s="173" t="s">
        <v>502</v>
      </c>
      <c r="D89" s="173" t="s">
        <v>503</v>
      </c>
      <c r="E89" s="173" t="s">
        <v>1306</v>
      </c>
      <c r="F89" s="192">
        <v>21</v>
      </c>
      <c r="G89" s="196">
        <v>45627</v>
      </c>
      <c r="H89" s="196"/>
      <c r="I89" s="192">
        <v>750</v>
      </c>
      <c r="J89" s="192">
        <v>1065</v>
      </c>
      <c r="K89" s="192">
        <v>750</v>
      </c>
      <c r="L89" s="192">
        <v>750</v>
      </c>
      <c r="M89" s="192">
        <v>750</v>
      </c>
      <c r="N89" s="192">
        <v>750</v>
      </c>
      <c r="O89" s="192">
        <v>750</v>
      </c>
      <c r="P89" s="192">
        <v>750</v>
      </c>
      <c r="Q89" s="192">
        <v>765</v>
      </c>
      <c r="R89" s="192">
        <v>750</v>
      </c>
      <c r="S89" s="192">
        <v>750</v>
      </c>
      <c r="T89" s="192">
        <v>750</v>
      </c>
      <c r="U89" s="192">
        <v>700</v>
      </c>
      <c r="V89" s="192">
        <v>1015</v>
      </c>
      <c r="W89" s="192">
        <v>665</v>
      </c>
      <c r="X89" s="192">
        <v>665</v>
      </c>
      <c r="Y89" s="192">
        <v>630</v>
      </c>
      <c r="Z89" s="192">
        <v>1098</v>
      </c>
      <c r="AA89" s="192">
        <v>1480.5</v>
      </c>
    </row>
    <row r="90" spans="2:27" ht="12" hidden="1" customHeight="1">
      <c r="B90" s="173" t="s">
        <v>699</v>
      </c>
      <c r="C90" s="173" t="s">
        <v>502</v>
      </c>
      <c r="D90" s="173" t="s">
        <v>503</v>
      </c>
      <c r="E90" s="173" t="s">
        <v>1306</v>
      </c>
      <c r="F90" s="192">
        <v>19</v>
      </c>
      <c r="G90" s="196">
        <v>45717</v>
      </c>
      <c r="H90" s="196"/>
      <c r="I90" s="192" t="s">
        <v>343</v>
      </c>
      <c r="J90" s="192" t="s">
        <v>343</v>
      </c>
      <c r="K90" s="192">
        <v>350</v>
      </c>
      <c r="L90" s="192">
        <v>150</v>
      </c>
      <c r="M90" s="192">
        <v>990</v>
      </c>
      <c r="N90" s="192">
        <v>570</v>
      </c>
      <c r="O90" s="192">
        <v>570</v>
      </c>
      <c r="P90" s="192">
        <v>570</v>
      </c>
      <c r="Q90" s="192">
        <v>640</v>
      </c>
      <c r="R90" s="192">
        <v>640</v>
      </c>
      <c r="S90" s="192">
        <v>675</v>
      </c>
      <c r="T90" s="192">
        <v>600</v>
      </c>
      <c r="U90" s="192">
        <v>600</v>
      </c>
      <c r="V90" s="192">
        <v>675</v>
      </c>
      <c r="W90" s="192">
        <v>780</v>
      </c>
      <c r="X90" s="192">
        <v>957</v>
      </c>
      <c r="Y90" s="192">
        <v>957</v>
      </c>
      <c r="Z90" s="192">
        <v>1111</v>
      </c>
      <c r="AA90" s="192">
        <v>1249</v>
      </c>
    </row>
    <row r="91" spans="2:27" ht="12" hidden="1" customHeight="1">
      <c r="B91" s="173" t="s">
        <v>700</v>
      </c>
      <c r="C91" s="173" t="s">
        <v>502</v>
      </c>
      <c r="D91" s="173" t="s">
        <v>503</v>
      </c>
      <c r="E91" s="173" t="s">
        <v>1306</v>
      </c>
      <c r="F91" s="192">
        <v>19</v>
      </c>
      <c r="G91" s="196">
        <v>45748</v>
      </c>
      <c r="H91" s="196"/>
      <c r="I91" s="192" t="s">
        <v>343</v>
      </c>
      <c r="J91" s="192" t="s">
        <v>343</v>
      </c>
      <c r="K91" s="192" t="s">
        <v>343</v>
      </c>
      <c r="L91" s="192">
        <v>640</v>
      </c>
      <c r="M91" s="192">
        <v>340</v>
      </c>
      <c r="N91" s="192">
        <v>403.75</v>
      </c>
      <c r="O91" s="192">
        <v>550</v>
      </c>
      <c r="P91" s="192">
        <v>625</v>
      </c>
      <c r="Q91" s="192">
        <v>700</v>
      </c>
      <c r="R91" s="192">
        <v>700</v>
      </c>
      <c r="S91" s="192">
        <v>700</v>
      </c>
      <c r="T91" s="192">
        <v>700</v>
      </c>
      <c r="U91" s="192">
        <v>820</v>
      </c>
      <c r="V91" s="192">
        <v>625</v>
      </c>
      <c r="W91" s="192">
        <v>700</v>
      </c>
      <c r="X91" s="192">
        <v>649</v>
      </c>
      <c r="Y91" s="192">
        <v>880</v>
      </c>
      <c r="Z91" s="192">
        <v>1034</v>
      </c>
      <c r="AA91" s="192">
        <v>1316</v>
      </c>
    </row>
    <row r="92" spans="2:27" ht="12" hidden="1" customHeight="1">
      <c r="B92" s="173" t="s">
        <v>701</v>
      </c>
      <c r="C92" s="173" t="s">
        <v>502</v>
      </c>
      <c r="D92" s="173" t="s">
        <v>503</v>
      </c>
      <c r="E92" s="173" t="s">
        <v>1306</v>
      </c>
      <c r="F92" s="192">
        <v>9</v>
      </c>
      <c r="G92" s="196">
        <v>45962</v>
      </c>
      <c r="H92" s="196"/>
      <c r="I92" s="192" t="s">
        <v>343</v>
      </c>
      <c r="J92" s="192" t="s">
        <v>343</v>
      </c>
      <c r="K92" s="192" t="s">
        <v>343</v>
      </c>
      <c r="L92" s="192" t="s">
        <v>343</v>
      </c>
      <c r="M92" s="192" t="s">
        <v>343</v>
      </c>
      <c r="N92" s="192" t="s">
        <v>343</v>
      </c>
      <c r="O92" s="192" t="s">
        <v>343</v>
      </c>
      <c r="P92" s="192" t="s">
        <v>343</v>
      </c>
      <c r="Q92" s="192" t="s">
        <v>343</v>
      </c>
      <c r="R92" s="192" t="s">
        <v>343</v>
      </c>
      <c r="S92" s="192">
        <v>1468.75</v>
      </c>
      <c r="T92" s="192">
        <v>1071.25</v>
      </c>
      <c r="U92" s="192">
        <v>866.25</v>
      </c>
      <c r="V92" s="192">
        <v>955</v>
      </c>
      <c r="W92" s="192">
        <v>955</v>
      </c>
      <c r="X92" s="192">
        <v>955</v>
      </c>
      <c r="Y92" s="192">
        <v>955</v>
      </c>
      <c r="Z92" s="192">
        <v>955</v>
      </c>
      <c r="AA92" s="192">
        <v>955</v>
      </c>
    </row>
    <row r="93" spans="2:27" ht="12" hidden="1" customHeight="1">
      <c r="B93" s="173" t="s">
        <v>702</v>
      </c>
      <c r="C93" s="173" t="s">
        <v>502</v>
      </c>
      <c r="D93" s="173" t="s">
        <v>503</v>
      </c>
      <c r="E93" s="173" t="s">
        <v>1306</v>
      </c>
      <c r="F93" s="192">
        <v>8</v>
      </c>
      <c r="G93" s="196">
        <v>45748</v>
      </c>
      <c r="H93" s="196"/>
      <c r="I93" s="192" t="s">
        <v>343</v>
      </c>
      <c r="J93" s="192" t="s">
        <v>343</v>
      </c>
      <c r="K93" s="192" t="s">
        <v>343</v>
      </c>
      <c r="L93" s="192">
        <v>903.75</v>
      </c>
      <c r="M93" s="192">
        <v>503.75</v>
      </c>
      <c r="N93" s="192">
        <v>503.75</v>
      </c>
      <c r="O93" s="192">
        <v>575</v>
      </c>
      <c r="P93" s="192">
        <v>575</v>
      </c>
      <c r="Q93" s="192">
        <v>575</v>
      </c>
      <c r="R93" s="192">
        <v>670</v>
      </c>
      <c r="S93" s="192">
        <v>575</v>
      </c>
      <c r="T93" s="192">
        <v>575</v>
      </c>
      <c r="U93" s="192">
        <v>860</v>
      </c>
      <c r="V93" s="192">
        <v>860</v>
      </c>
      <c r="W93" s="192">
        <v>860</v>
      </c>
      <c r="X93" s="192">
        <v>806</v>
      </c>
      <c r="Y93" s="192">
        <v>806</v>
      </c>
      <c r="Z93" s="192">
        <v>806</v>
      </c>
      <c r="AA93" s="192">
        <v>1154</v>
      </c>
    </row>
    <row r="94" spans="2:27" ht="12" hidden="1" customHeight="1">
      <c r="B94" s="173" t="s">
        <v>703</v>
      </c>
      <c r="C94" s="173" t="s">
        <v>502</v>
      </c>
      <c r="D94" s="173" t="s">
        <v>503</v>
      </c>
      <c r="E94" s="173" t="s">
        <v>1306</v>
      </c>
      <c r="F94" s="192">
        <v>11</v>
      </c>
      <c r="G94" s="196">
        <v>45839</v>
      </c>
      <c r="H94" s="196"/>
      <c r="I94" s="192" t="s">
        <v>343</v>
      </c>
      <c r="J94" s="192" t="s">
        <v>343</v>
      </c>
      <c r="K94" s="192" t="s">
        <v>343</v>
      </c>
      <c r="L94" s="192" t="s">
        <v>343</v>
      </c>
      <c r="M94" s="192" t="s">
        <v>343</v>
      </c>
      <c r="N94" s="192" t="s">
        <v>343</v>
      </c>
      <c r="O94" s="192">
        <v>740</v>
      </c>
      <c r="P94" s="192">
        <v>480</v>
      </c>
      <c r="Q94" s="192">
        <v>470</v>
      </c>
      <c r="R94" s="192">
        <v>470</v>
      </c>
      <c r="S94" s="192">
        <v>470</v>
      </c>
      <c r="T94" s="192">
        <v>470</v>
      </c>
      <c r="U94" s="192">
        <v>505</v>
      </c>
      <c r="V94" s="192">
        <v>565</v>
      </c>
      <c r="W94" s="192">
        <v>505</v>
      </c>
      <c r="X94" s="192">
        <v>1310</v>
      </c>
      <c r="Y94" s="192">
        <v>1310</v>
      </c>
      <c r="Z94" s="192">
        <v>1310</v>
      </c>
      <c r="AA94" s="192">
        <v>1232</v>
      </c>
    </row>
    <row r="95" spans="2:27" ht="12" hidden="1" customHeight="1">
      <c r="B95" s="173" t="s">
        <v>704</v>
      </c>
      <c r="C95" s="173" t="s">
        <v>567</v>
      </c>
      <c r="D95" s="173" t="s">
        <v>637</v>
      </c>
      <c r="E95" s="173" t="s">
        <v>1307</v>
      </c>
      <c r="F95" s="192" t="s">
        <v>343</v>
      </c>
      <c r="G95" s="196">
        <v>44317</v>
      </c>
      <c r="H95" s="196">
        <v>46234</v>
      </c>
      <c r="I95" s="192">
        <v>635</v>
      </c>
      <c r="J95" s="192">
        <v>575</v>
      </c>
      <c r="K95" s="192">
        <v>575</v>
      </c>
      <c r="L95" s="192">
        <v>725</v>
      </c>
      <c r="M95" s="192">
        <v>725</v>
      </c>
      <c r="N95" s="192">
        <v>725</v>
      </c>
      <c r="O95" s="192">
        <v>725</v>
      </c>
      <c r="P95" s="192">
        <v>725</v>
      </c>
      <c r="Q95" s="192">
        <v>725</v>
      </c>
      <c r="R95" s="192">
        <v>725</v>
      </c>
      <c r="S95" s="192">
        <v>725</v>
      </c>
      <c r="T95" s="192">
        <v>725</v>
      </c>
      <c r="U95" s="192">
        <v>725</v>
      </c>
      <c r="V95" s="192">
        <v>770</v>
      </c>
      <c r="W95" s="192">
        <v>725</v>
      </c>
      <c r="X95" s="192">
        <v>750</v>
      </c>
      <c r="Y95" s="192">
        <v>750</v>
      </c>
      <c r="Z95" s="192">
        <v>750</v>
      </c>
      <c r="AA95" s="192">
        <v>750</v>
      </c>
    </row>
    <row r="96" spans="2:27" ht="12" hidden="1" customHeight="1">
      <c r="B96" s="173" t="s">
        <v>706</v>
      </c>
      <c r="C96" s="173" t="s">
        <v>502</v>
      </c>
      <c r="D96" s="173" t="s">
        <v>503</v>
      </c>
      <c r="E96" s="173" t="s">
        <v>1306</v>
      </c>
      <c r="F96" s="192">
        <v>27</v>
      </c>
      <c r="G96" s="196">
        <v>46113</v>
      </c>
      <c r="H96" s="196"/>
      <c r="I96" s="192" t="s">
        <v>343</v>
      </c>
      <c r="J96" s="192" t="s">
        <v>343</v>
      </c>
      <c r="K96" s="192" t="s">
        <v>343</v>
      </c>
      <c r="L96" s="192" t="s">
        <v>343</v>
      </c>
      <c r="M96" s="192" t="s">
        <v>343</v>
      </c>
      <c r="N96" s="192" t="s">
        <v>343</v>
      </c>
      <c r="O96" s="192" t="s">
        <v>343</v>
      </c>
      <c r="P96" s="192" t="s">
        <v>343</v>
      </c>
      <c r="Q96" s="192" t="s">
        <v>343</v>
      </c>
      <c r="R96" s="192" t="s">
        <v>343</v>
      </c>
      <c r="S96" s="192" t="s">
        <v>343</v>
      </c>
      <c r="T96" s="192" t="s">
        <v>343</v>
      </c>
      <c r="U96" s="192" t="s">
        <v>343</v>
      </c>
      <c r="V96" s="192" t="s">
        <v>343</v>
      </c>
      <c r="W96" s="192" t="s">
        <v>343</v>
      </c>
      <c r="X96" s="192">
        <v>3326</v>
      </c>
      <c r="Y96" s="192">
        <v>1785</v>
      </c>
      <c r="Z96" s="192">
        <v>1785</v>
      </c>
      <c r="AA96" s="192">
        <v>1919</v>
      </c>
    </row>
    <row r="97" spans="2:27" ht="12" hidden="1" customHeight="1">
      <c r="B97" s="173" t="s">
        <v>707</v>
      </c>
      <c r="C97" s="173" t="s">
        <v>502</v>
      </c>
      <c r="D97" s="173" t="s">
        <v>503</v>
      </c>
      <c r="E97" s="173" t="s">
        <v>1306</v>
      </c>
      <c r="F97" s="192">
        <v>22</v>
      </c>
      <c r="G97" s="196">
        <v>45717</v>
      </c>
      <c r="H97" s="196"/>
      <c r="I97" s="192" t="s">
        <v>343</v>
      </c>
      <c r="J97" s="192" t="s">
        <v>343</v>
      </c>
      <c r="K97" s="192">
        <v>917.5</v>
      </c>
      <c r="L97" s="192">
        <v>531.25</v>
      </c>
      <c r="M97" s="192">
        <v>595</v>
      </c>
      <c r="N97" s="192">
        <v>625</v>
      </c>
      <c r="O97" s="192">
        <v>775</v>
      </c>
      <c r="P97" s="192">
        <v>775</v>
      </c>
      <c r="Q97" s="192">
        <v>850</v>
      </c>
      <c r="R97" s="192">
        <v>850</v>
      </c>
      <c r="S97" s="192">
        <v>775</v>
      </c>
      <c r="T97" s="192">
        <v>625</v>
      </c>
      <c r="U97" s="192">
        <v>550</v>
      </c>
      <c r="V97" s="192">
        <v>745</v>
      </c>
      <c r="W97" s="192">
        <v>418</v>
      </c>
      <c r="X97" s="192">
        <v>418</v>
      </c>
      <c r="Y97" s="192">
        <v>726</v>
      </c>
      <c r="Z97" s="192">
        <v>957</v>
      </c>
      <c r="AA97" s="192">
        <v>1115</v>
      </c>
    </row>
    <row r="98" spans="2:27" ht="12" hidden="1" customHeight="1">
      <c r="B98" s="173" t="s">
        <v>708</v>
      </c>
      <c r="C98" s="173" t="s">
        <v>502</v>
      </c>
      <c r="D98" s="173" t="s">
        <v>683</v>
      </c>
      <c r="E98" s="173" t="s">
        <v>1183</v>
      </c>
      <c r="F98" s="192" t="s">
        <v>343</v>
      </c>
      <c r="G98" s="196">
        <v>45292</v>
      </c>
      <c r="H98" s="196"/>
      <c r="I98" s="192">
        <v>475</v>
      </c>
      <c r="J98" s="192">
        <v>400</v>
      </c>
      <c r="K98" s="192">
        <v>400</v>
      </c>
      <c r="L98" s="192">
        <v>400</v>
      </c>
      <c r="M98" s="192">
        <v>400</v>
      </c>
      <c r="N98" s="192">
        <v>400</v>
      </c>
      <c r="O98" s="192">
        <v>400</v>
      </c>
      <c r="P98" s="192">
        <v>400</v>
      </c>
      <c r="Q98" s="192">
        <v>1225</v>
      </c>
      <c r="R98" s="192">
        <v>3090</v>
      </c>
      <c r="S98" s="192">
        <v>400</v>
      </c>
      <c r="T98" s="192">
        <v>400</v>
      </c>
      <c r="U98" s="192">
        <v>418</v>
      </c>
      <c r="V98" s="192">
        <v>583</v>
      </c>
      <c r="W98" s="192">
        <v>418</v>
      </c>
      <c r="X98" s="192">
        <v>418</v>
      </c>
      <c r="Y98" s="192">
        <v>418</v>
      </c>
      <c r="Z98" s="192">
        <v>418</v>
      </c>
      <c r="AA98" s="192">
        <v>418</v>
      </c>
    </row>
    <row r="99" spans="2:27" ht="12" hidden="1" customHeight="1">
      <c r="B99" s="173" t="s">
        <v>711</v>
      </c>
      <c r="C99" s="173" t="s">
        <v>502</v>
      </c>
      <c r="D99" s="173" t="s">
        <v>503</v>
      </c>
      <c r="E99" s="173" t="s">
        <v>1306</v>
      </c>
      <c r="F99" s="192">
        <v>5</v>
      </c>
      <c r="G99" s="196">
        <v>45323</v>
      </c>
      <c r="H99" s="196"/>
      <c r="I99" s="192">
        <v>460</v>
      </c>
      <c r="J99" s="192">
        <v>510</v>
      </c>
      <c r="K99" s="192">
        <v>510</v>
      </c>
      <c r="L99" s="192">
        <v>510</v>
      </c>
      <c r="M99" s="192">
        <v>850</v>
      </c>
      <c r="N99" s="192">
        <v>600</v>
      </c>
      <c r="O99" s="192">
        <v>600</v>
      </c>
      <c r="P99" s="192">
        <v>690</v>
      </c>
      <c r="Q99" s="192">
        <v>690</v>
      </c>
      <c r="R99" s="192">
        <v>780</v>
      </c>
      <c r="S99" s="192">
        <v>815</v>
      </c>
      <c r="T99" s="192">
        <v>815</v>
      </c>
      <c r="U99" s="192">
        <v>420</v>
      </c>
      <c r="V99" s="192">
        <v>909</v>
      </c>
      <c r="W99" s="192">
        <v>789</v>
      </c>
      <c r="X99" s="192">
        <v>595</v>
      </c>
      <c r="Y99" s="192">
        <v>692</v>
      </c>
      <c r="Z99" s="192">
        <v>692</v>
      </c>
      <c r="AA99" s="192">
        <v>692</v>
      </c>
    </row>
    <row r="100" spans="2:27" ht="12" hidden="1" customHeight="1">
      <c r="B100" s="173" t="s">
        <v>712</v>
      </c>
      <c r="C100" s="173" t="s">
        <v>567</v>
      </c>
      <c r="D100" s="173" t="s">
        <v>503</v>
      </c>
      <c r="E100" s="173" t="s">
        <v>1306</v>
      </c>
      <c r="F100" s="192">
        <v>90</v>
      </c>
      <c r="G100" s="196">
        <v>45962</v>
      </c>
      <c r="H100" s="196">
        <v>46053</v>
      </c>
      <c r="I100" s="192" t="s">
        <v>343</v>
      </c>
      <c r="J100" s="192" t="s">
        <v>343</v>
      </c>
      <c r="K100" s="192" t="s">
        <v>343</v>
      </c>
      <c r="L100" s="192" t="s">
        <v>343</v>
      </c>
      <c r="M100" s="192" t="s">
        <v>343</v>
      </c>
      <c r="N100" s="192" t="s">
        <v>343</v>
      </c>
      <c r="O100" s="192" t="s">
        <v>343</v>
      </c>
      <c r="P100" s="192" t="s">
        <v>343</v>
      </c>
      <c r="Q100" s="192" t="s">
        <v>343</v>
      </c>
      <c r="R100" s="192" t="s">
        <v>343</v>
      </c>
      <c r="S100" s="192">
        <v>3947.5</v>
      </c>
      <c r="T100" s="192">
        <v>2665</v>
      </c>
      <c r="U100" s="192">
        <v>1947.5</v>
      </c>
      <c r="V100" s="192">
        <v>0</v>
      </c>
      <c r="W100" s="192" t="s">
        <v>343</v>
      </c>
      <c r="X100" s="192" t="s">
        <v>343</v>
      </c>
      <c r="Y100" s="192" t="s">
        <v>343</v>
      </c>
      <c r="Z100" s="192" t="s">
        <v>343</v>
      </c>
      <c r="AA100" s="192" t="s">
        <v>343</v>
      </c>
    </row>
    <row r="101" spans="2:27" ht="12" hidden="1" customHeight="1">
      <c r="B101" s="173" t="s">
        <v>714</v>
      </c>
      <c r="C101" s="173" t="s">
        <v>502</v>
      </c>
      <c r="D101" s="173" t="s">
        <v>503</v>
      </c>
      <c r="E101" s="173" t="s">
        <v>1306</v>
      </c>
      <c r="F101" s="192">
        <v>12</v>
      </c>
      <c r="G101" s="196">
        <v>45261</v>
      </c>
      <c r="H101" s="196"/>
      <c r="I101" s="192">
        <v>675</v>
      </c>
      <c r="J101" s="192">
        <v>495</v>
      </c>
      <c r="K101" s="192">
        <v>495</v>
      </c>
      <c r="L101" s="192">
        <v>425</v>
      </c>
      <c r="M101" s="192">
        <v>425</v>
      </c>
      <c r="N101" s="192">
        <v>425</v>
      </c>
      <c r="O101" s="192">
        <v>425</v>
      </c>
      <c r="P101" s="192">
        <v>425</v>
      </c>
      <c r="Q101" s="192">
        <v>425</v>
      </c>
      <c r="R101" s="192">
        <v>425</v>
      </c>
      <c r="S101" s="192">
        <v>425</v>
      </c>
      <c r="T101" s="192">
        <v>450</v>
      </c>
      <c r="U101" s="192">
        <v>615</v>
      </c>
      <c r="V101" s="192">
        <v>450</v>
      </c>
      <c r="W101" s="192">
        <v>630</v>
      </c>
      <c r="X101" s="192">
        <v>630</v>
      </c>
      <c r="Y101" s="192">
        <v>1020</v>
      </c>
      <c r="Z101" s="192">
        <v>1440</v>
      </c>
      <c r="AA101" s="192">
        <v>1440</v>
      </c>
    </row>
    <row r="102" spans="2:27" ht="12" hidden="1" customHeight="1">
      <c r="B102" s="173" t="s">
        <v>715</v>
      </c>
      <c r="C102" s="173" t="s">
        <v>502</v>
      </c>
      <c r="D102" s="173" t="s">
        <v>503</v>
      </c>
      <c r="E102" s="173" t="s">
        <v>1306</v>
      </c>
      <c r="F102" s="192">
        <v>12</v>
      </c>
      <c r="G102" s="196">
        <v>45474</v>
      </c>
      <c r="H102" s="196"/>
      <c r="I102" s="192">
        <v>560</v>
      </c>
      <c r="J102" s="192">
        <v>560</v>
      </c>
      <c r="K102" s="192">
        <v>560</v>
      </c>
      <c r="L102" s="192">
        <v>560</v>
      </c>
      <c r="M102" s="192">
        <v>560</v>
      </c>
      <c r="N102" s="192">
        <v>560</v>
      </c>
      <c r="O102" s="192">
        <v>595</v>
      </c>
      <c r="P102" s="192">
        <v>595</v>
      </c>
      <c r="Q102" s="192">
        <v>595</v>
      </c>
      <c r="R102" s="192">
        <v>660</v>
      </c>
      <c r="S102" s="192">
        <v>660</v>
      </c>
      <c r="T102" s="192">
        <v>660</v>
      </c>
      <c r="U102" s="192">
        <v>725</v>
      </c>
      <c r="V102" s="192">
        <v>725</v>
      </c>
      <c r="W102" s="192">
        <v>725</v>
      </c>
      <c r="X102" s="192">
        <v>725</v>
      </c>
      <c r="Y102" s="192">
        <v>725</v>
      </c>
      <c r="Z102" s="192">
        <v>725</v>
      </c>
      <c r="AA102" s="192">
        <v>730</v>
      </c>
    </row>
    <row r="103" spans="2:27" ht="12" hidden="1" customHeight="1">
      <c r="B103" s="173" t="s">
        <v>716</v>
      </c>
      <c r="C103" s="173" t="s">
        <v>567</v>
      </c>
      <c r="D103" s="173" t="s">
        <v>503</v>
      </c>
      <c r="E103" s="173" t="s">
        <v>1306</v>
      </c>
      <c r="F103" s="192">
        <v>48</v>
      </c>
      <c r="G103" s="196">
        <v>45689</v>
      </c>
      <c r="H103" s="196">
        <v>45869</v>
      </c>
      <c r="I103" s="192" t="s">
        <v>343</v>
      </c>
      <c r="J103" s="192">
        <v>1620</v>
      </c>
      <c r="K103" s="192">
        <v>2380</v>
      </c>
      <c r="L103" s="192">
        <v>1800</v>
      </c>
      <c r="M103" s="192">
        <v>2100</v>
      </c>
      <c r="N103" s="192">
        <v>2563.5</v>
      </c>
      <c r="O103" s="192">
        <v>468.5</v>
      </c>
      <c r="P103" s="192" t="s">
        <v>343</v>
      </c>
      <c r="Q103" s="192" t="s">
        <v>343</v>
      </c>
      <c r="R103" s="192" t="s">
        <v>343</v>
      </c>
      <c r="S103" s="192" t="s">
        <v>343</v>
      </c>
      <c r="T103" s="192" t="s">
        <v>343</v>
      </c>
      <c r="U103" s="192" t="s">
        <v>343</v>
      </c>
      <c r="V103" s="192" t="s">
        <v>343</v>
      </c>
      <c r="W103" s="192" t="s">
        <v>343</v>
      </c>
      <c r="X103" s="192" t="s">
        <v>343</v>
      </c>
      <c r="Y103" s="192">
        <v>4145</v>
      </c>
      <c r="Z103" s="192">
        <v>2000</v>
      </c>
      <c r="AA103" s="192">
        <v>2000</v>
      </c>
    </row>
    <row r="104" spans="2:27" ht="12" hidden="1" customHeight="1">
      <c r="B104" s="173" t="s">
        <v>717</v>
      </c>
      <c r="C104" s="173" t="s">
        <v>502</v>
      </c>
      <c r="D104" s="173" t="s">
        <v>503</v>
      </c>
      <c r="E104" s="173" t="s">
        <v>1306</v>
      </c>
      <c r="F104" s="192">
        <v>12</v>
      </c>
      <c r="G104" s="196">
        <v>45505</v>
      </c>
      <c r="H104" s="196"/>
      <c r="I104" s="192">
        <v>395</v>
      </c>
      <c r="J104" s="192">
        <v>395</v>
      </c>
      <c r="K104" s="192">
        <v>395</v>
      </c>
      <c r="L104" s="192">
        <v>395</v>
      </c>
      <c r="M104" s="192">
        <v>395</v>
      </c>
      <c r="N104" s="192">
        <v>395</v>
      </c>
      <c r="O104" s="192">
        <v>395</v>
      </c>
      <c r="P104" s="192">
        <v>440</v>
      </c>
      <c r="Q104" s="192">
        <v>350</v>
      </c>
      <c r="R104" s="192">
        <v>350</v>
      </c>
      <c r="S104" s="192">
        <v>350</v>
      </c>
      <c r="T104" s="192">
        <v>425</v>
      </c>
      <c r="U104" s="192">
        <v>500</v>
      </c>
      <c r="V104" s="192">
        <v>1775</v>
      </c>
      <c r="W104" s="192">
        <v>800</v>
      </c>
      <c r="X104" s="192">
        <v>725</v>
      </c>
      <c r="Y104" s="192">
        <v>725</v>
      </c>
      <c r="Z104" s="192">
        <v>725</v>
      </c>
      <c r="AA104" s="192">
        <v>875</v>
      </c>
    </row>
    <row r="105" spans="2:27" ht="12" hidden="1" customHeight="1">
      <c r="B105" s="173" t="s">
        <v>718</v>
      </c>
      <c r="C105" s="173" t="s">
        <v>502</v>
      </c>
      <c r="D105" s="173" t="s">
        <v>503</v>
      </c>
      <c r="E105" s="173" t="s">
        <v>1306</v>
      </c>
      <c r="F105" s="192">
        <v>7</v>
      </c>
      <c r="G105" s="196">
        <v>45566</v>
      </c>
      <c r="H105" s="196"/>
      <c r="I105" s="192">
        <v>466</v>
      </c>
      <c r="J105" s="192">
        <v>466</v>
      </c>
      <c r="K105" s="192">
        <v>466</v>
      </c>
      <c r="L105" s="192">
        <v>387</v>
      </c>
      <c r="M105" s="192">
        <v>387</v>
      </c>
      <c r="N105" s="192">
        <v>387</v>
      </c>
      <c r="O105" s="192">
        <v>387</v>
      </c>
      <c r="P105" s="192">
        <v>387</v>
      </c>
      <c r="Q105" s="192">
        <v>387</v>
      </c>
      <c r="R105" s="192">
        <v>500</v>
      </c>
      <c r="S105" s="192">
        <v>560</v>
      </c>
      <c r="T105" s="192">
        <v>645</v>
      </c>
      <c r="U105" s="192">
        <v>900</v>
      </c>
      <c r="V105" s="192">
        <v>730</v>
      </c>
      <c r="W105" s="192">
        <v>730</v>
      </c>
      <c r="X105" s="192">
        <v>730</v>
      </c>
      <c r="Y105" s="192">
        <v>730</v>
      </c>
      <c r="Z105" s="192">
        <v>980</v>
      </c>
      <c r="AA105" s="192">
        <v>730</v>
      </c>
    </row>
    <row r="106" spans="2:27" ht="12" hidden="1" customHeight="1">
      <c r="B106" s="173" t="s">
        <v>719</v>
      </c>
      <c r="C106" s="173" t="s">
        <v>19</v>
      </c>
      <c r="D106" s="173" t="s">
        <v>503</v>
      </c>
      <c r="E106" s="173" t="s">
        <v>1306</v>
      </c>
      <c r="F106" s="192">
        <v>79</v>
      </c>
      <c r="G106" s="196">
        <v>46113</v>
      </c>
      <c r="H106" s="196"/>
      <c r="I106" s="192" t="s">
        <v>343</v>
      </c>
      <c r="J106" s="192" t="s">
        <v>343</v>
      </c>
      <c r="K106" s="192" t="s">
        <v>343</v>
      </c>
      <c r="L106" s="192" t="s">
        <v>343</v>
      </c>
      <c r="M106" s="192" t="s">
        <v>343</v>
      </c>
      <c r="N106" s="192" t="s">
        <v>343</v>
      </c>
      <c r="O106" s="192" t="s">
        <v>343</v>
      </c>
      <c r="P106" s="192" t="s">
        <v>343</v>
      </c>
      <c r="Q106" s="192" t="s">
        <v>343</v>
      </c>
      <c r="R106" s="192" t="s">
        <v>343</v>
      </c>
      <c r="S106" s="192" t="s">
        <v>343</v>
      </c>
      <c r="T106" s="192" t="s">
        <v>343</v>
      </c>
      <c r="U106" s="192" t="s">
        <v>343</v>
      </c>
      <c r="V106" s="192" t="s">
        <v>343</v>
      </c>
      <c r="W106" s="192" t="s">
        <v>343</v>
      </c>
      <c r="X106" s="192">
        <v>3160</v>
      </c>
      <c r="Y106" s="192">
        <v>1640</v>
      </c>
      <c r="Z106" s="192">
        <v>1580</v>
      </c>
      <c r="AA106" s="192">
        <v>1580</v>
      </c>
    </row>
    <row r="107" spans="2:27" ht="12" hidden="1" customHeight="1">
      <c r="B107" s="173" t="s">
        <v>722</v>
      </c>
      <c r="C107" s="173" t="s">
        <v>502</v>
      </c>
      <c r="D107" s="173" t="s">
        <v>503</v>
      </c>
      <c r="E107" s="173" t="s">
        <v>1306</v>
      </c>
      <c r="F107" s="192">
        <v>29</v>
      </c>
      <c r="G107" s="196">
        <v>46143</v>
      </c>
      <c r="H107" s="196"/>
      <c r="I107" s="192" t="s">
        <v>343</v>
      </c>
      <c r="J107" s="192" t="s">
        <v>343</v>
      </c>
      <c r="K107" s="192" t="s">
        <v>343</v>
      </c>
      <c r="L107" s="192" t="s">
        <v>343</v>
      </c>
      <c r="M107" s="192" t="s">
        <v>343</v>
      </c>
      <c r="N107" s="192" t="s">
        <v>343</v>
      </c>
      <c r="O107" s="192" t="s">
        <v>343</v>
      </c>
      <c r="P107" s="192" t="s">
        <v>343</v>
      </c>
      <c r="Q107" s="192" t="s">
        <v>343</v>
      </c>
      <c r="R107" s="192" t="s">
        <v>343</v>
      </c>
      <c r="S107" s="192" t="s">
        <v>343</v>
      </c>
      <c r="T107" s="192" t="s">
        <v>343</v>
      </c>
      <c r="U107" s="192" t="s">
        <v>343</v>
      </c>
      <c r="V107" s="192" t="s">
        <v>343</v>
      </c>
      <c r="W107" s="192" t="s">
        <v>343</v>
      </c>
      <c r="X107" s="192" t="s">
        <v>343</v>
      </c>
      <c r="Y107" s="192">
        <v>3903</v>
      </c>
      <c r="Z107" s="192">
        <v>2007</v>
      </c>
      <c r="AA107" s="192">
        <v>2007</v>
      </c>
    </row>
    <row r="108" spans="2:27" ht="12" hidden="1" customHeight="1">
      <c r="B108" s="173" t="s">
        <v>725</v>
      </c>
      <c r="C108" s="173" t="s">
        <v>502</v>
      </c>
      <c r="D108" s="173" t="s">
        <v>503</v>
      </c>
      <c r="E108" s="173" t="s">
        <v>1306</v>
      </c>
      <c r="F108" s="192">
        <v>6</v>
      </c>
      <c r="G108" s="196">
        <v>45383</v>
      </c>
      <c r="H108" s="196"/>
      <c r="I108" s="192">
        <v>711</v>
      </c>
      <c r="J108" s="192">
        <v>891</v>
      </c>
      <c r="K108" s="192">
        <v>711</v>
      </c>
      <c r="L108" s="192">
        <v>775</v>
      </c>
      <c r="M108" s="192">
        <v>550</v>
      </c>
      <c r="N108" s="192">
        <v>775</v>
      </c>
      <c r="O108" s="192">
        <v>775</v>
      </c>
      <c r="P108" s="192">
        <v>775</v>
      </c>
      <c r="Q108" s="192">
        <v>775</v>
      </c>
      <c r="R108" s="192">
        <v>700</v>
      </c>
      <c r="S108" s="192">
        <v>700</v>
      </c>
      <c r="T108" s="192">
        <v>700</v>
      </c>
      <c r="U108" s="192">
        <v>700</v>
      </c>
      <c r="V108" s="192">
        <v>550</v>
      </c>
      <c r="W108" s="192">
        <v>655</v>
      </c>
      <c r="X108" s="192">
        <v>572</v>
      </c>
      <c r="Y108" s="192">
        <v>572</v>
      </c>
      <c r="Z108" s="192">
        <v>572</v>
      </c>
      <c r="AA108" s="192">
        <v>572</v>
      </c>
    </row>
    <row r="109" spans="2:27" ht="12" hidden="1" customHeight="1">
      <c r="B109" s="173" t="s">
        <v>726</v>
      </c>
      <c r="C109" s="173" t="s">
        <v>502</v>
      </c>
      <c r="D109" s="173" t="s">
        <v>503</v>
      </c>
      <c r="E109" s="173" t="s">
        <v>1306</v>
      </c>
      <c r="F109" s="192">
        <v>6</v>
      </c>
      <c r="G109" s="196">
        <v>45292</v>
      </c>
      <c r="H109" s="196"/>
      <c r="I109" s="192">
        <v>710</v>
      </c>
      <c r="J109" s="192">
        <v>500</v>
      </c>
      <c r="K109" s="192">
        <v>500</v>
      </c>
      <c r="L109" s="192">
        <v>500</v>
      </c>
      <c r="M109" s="192">
        <v>575</v>
      </c>
      <c r="N109" s="192">
        <v>650</v>
      </c>
      <c r="O109" s="192">
        <v>650</v>
      </c>
      <c r="P109" s="192">
        <v>650</v>
      </c>
      <c r="Q109" s="192">
        <v>650</v>
      </c>
      <c r="R109" s="192">
        <v>650</v>
      </c>
      <c r="S109" s="192">
        <v>725</v>
      </c>
      <c r="T109" s="192">
        <v>575</v>
      </c>
      <c r="U109" s="192">
        <v>696</v>
      </c>
      <c r="V109" s="192">
        <v>904</v>
      </c>
      <c r="W109" s="192">
        <v>619</v>
      </c>
      <c r="X109" s="192">
        <v>619</v>
      </c>
      <c r="Y109" s="192">
        <v>619</v>
      </c>
      <c r="Z109" s="192">
        <v>619</v>
      </c>
      <c r="AA109" s="192">
        <v>465</v>
      </c>
    </row>
    <row r="110" spans="2:27" ht="12" hidden="1" customHeight="1">
      <c r="B110" s="173" t="s">
        <v>727</v>
      </c>
      <c r="C110" s="173" t="s">
        <v>502</v>
      </c>
      <c r="D110" s="173" t="s">
        <v>503</v>
      </c>
      <c r="E110" s="173" t="s">
        <v>1306</v>
      </c>
      <c r="F110" s="192">
        <v>8</v>
      </c>
      <c r="G110" s="196">
        <v>45536</v>
      </c>
      <c r="H110" s="196"/>
      <c r="I110" s="192">
        <v>474</v>
      </c>
      <c r="J110" s="192">
        <v>545</v>
      </c>
      <c r="K110" s="192">
        <v>395</v>
      </c>
      <c r="L110" s="192">
        <v>474</v>
      </c>
      <c r="M110" s="192">
        <v>474</v>
      </c>
      <c r="N110" s="192">
        <v>553</v>
      </c>
      <c r="O110" s="192">
        <v>553</v>
      </c>
      <c r="P110" s="192">
        <v>553</v>
      </c>
      <c r="Q110" s="192">
        <v>575</v>
      </c>
      <c r="R110" s="192">
        <v>500</v>
      </c>
      <c r="S110" s="192">
        <v>575</v>
      </c>
      <c r="T110" s="192">
        <v>500</v>
      </c>
      <c r="U110" s="192">
        <v>725</v>
      </c>
      <c r="V110" s="192">
        <v>845</v>
      </c>
      <c r="W110" s="192">
        <v>650</v>
      </c>
      <c r="X110" s="192">
        <v>650</v>
      </c>
      <c r="Y110" s="192">
        <v>575</v>
      </c>
      <c r="Z110" s="192">
        <v>650</v>
      </c>
      <c r="AA110" s="192">
        <v>725</v>
      </c>
    </row>
    <row r="111" spans="2:27" ht="12" hidden="1" customHeight="1">
      <c r="B111" s="173" t="s">
        <v>728</v>
      </c>
      <c r="C111" s="173" t="s">
        <v>567</v>
      </c>
      <c r="D111" s="173" t="s">
        <v>503</v>
      </c>
      <c r="E111" s="173" t="s">
        <v>1306</v>
      </c>
      <c r="F111" s="192">
        <v>0</v>
      </c>
      <c r="G111" s="196">
        <v>45444</v>
      </c>
      <c r="H111" s="196">
        <v>46173</v>
      </c>
      <c r="I111" s="192">
        <v>385</v>
      </c>
      <c r="J111" s="192">
        <v>325</v>
      </c>
      <c r="K111" s="192">
        <v>325</v>
      </c>
      <c r="L111" s="192">
        <v>325</v>
      </c>
      <c r="M111" s="192">
        <v>325</v>
      </c>
      <c r="N111" s="192">
        <v>325</v>
      </c>
      <c r="O111" s="192">
        <v>490</v>
      </c>
      <c r="P111" s="192">
        <v>490</v>
      </c>
      <c r="Q111" s="192">
        <v>665</v>
      </c>
      <c r="R111" s="192">
        <v>665</v>
      </c>
      <c r="S111" s="192">
        <v>775</v>
      </c>
      <c r="T111" s="192">
        <v>775</v>
      </c>
      <c r="U111" s="192">
        <v>940</v>
      </c>
      <c r="V111" s="192">
        <v>775</v>
      </c>
      <c r="W111" s="192">
        <v>775</v>
      </c>
      <c r="X111" s="192">
        <v>775</v>
      </c>
      <c r="Y111" s="192">
        <v>775</v>
      </c>
      <c r="Z111" s="192" t="s">
        <v>343</v>
      </c>
      <c r="AA111" s="192" t="s">
        <v>343</v>
      </c>
    </row>
    <row r="112" spans="2:27" ht="12" hidden="1" customHeight="1">
      <c r="B112" s="173" t="s">
        <v>729</v>
      </c>
      <c r="C112" s="222" t="s">
        <v>567</v>
      </c>
      <c r="D112" s="173" t="s">
        <v>503</v>
      </c>
      <c r="E112" s="173" t="s">
        <v>1306</v>
      </c>
      <c r="F112" s="192">
        <v>6</v>
      </c>
      <c r="G112" s="196">
        <v>44986</v>
      </c>
      <c r="H112" s="196">
        <v>46265</v>
      </c>
      <c r="I112" s="192">
        <v>595</v>
      </c>
      <c r="J112" s="192">
        <v>445</v>
      </c>
      <c r="K112" s="192">
        <v>575</v>
      </c>
      <c r="L112" s="192">
        <v>385</v>
      </c>
      <c r="M112" s="192">
        <v>730</v>
      </c>
      <c r="N112" s="192">
        <v>575</v>
      </c>
      <c r="O112" s="192">
        <v>385</v>
      </c>
      <c r="P112" s="192">
        <v>480</v>
      </c>
      <c r="Q112" s="192">
        <v>480</v>
      </c>
      <c r="R112" s="192">
        <v>480</v>
      </c>
      <c r="S112" s="192">
        <v>480</v>
      </c>
      <c r="T112" s="192">
        <v>575</v>
      </c>
      <c r="U112" s="192">
        <v>670</v>
      </c>
      <c r="V112" s="192">
        <v>775</v>
      </c>
      <c r="W112" s="192">
        <v>692</v>
      </c>
      <c r="X112" s="192">
        <v>789</v>
      </c>
      <c r="Y112" s="192">
        <v>789</v>
      </c>
      <c r="Z112" s="192">
        <v>692</v>
      </c>
      <c r="AA112" s="192">
        <v>498</v>
      </c>
    </row>
    <row r="113" spans="2:27" ht="12" hidden="1" customHeight="1">
      <c r="B113" s="173" t="s">
        <v>730</v>
      </c>
      <c r="C113" s="173" t="s">
        <v>502</v>
      </c>
      <c r="D113" s="173" t="s">
        <v>503</v>
      </c>
      <c r="E113" s="173" t="s">
        <v>1306</v>
      </c>
      <c r="F113" s="192">
        <v>8</v>
      </c>
      <c r="G113" s="196">
        <v>45717</v>
      </c>
      <c r="H113" s="196"/>
      <c r="I113" s="192" t="s">
        <v>343</v>
      </c>
      <c r="J113" s="192" t="s">
        <v>343</v>
      </c>
      <c r="K113" s="192">
        <v>640</v>
      </c>
      <c r="L113" s="192">
        <v>340</v>
      </c>
      <c r="M113" s="192">
        <v>340</v>
      </c>
      <c r="N113" s="192">
        <v>400</v>
      </c>
      <c r="O113" s="192">
        <v>400</v>
      </c>
      <c r="P113" s="192">
        <v>400</v>
      </c>
      <c r="Q113" s="192">
        <v>400</v>
      </c>
      <c r="R113" s="192">
        <v>400</v>
      </c>
      <c r="S113" s="192">
        <v>400</v>
      </c>
      <c r="T113" s="192">
        <v>400</v>
      </c>
      <c r="U113" s="192">
        <v>400</v>
      </c>
      <c r="V113" s="192">
        <v>1536.5</v>
      </c>
      <c r="W113" s="192">
        <v>495</v>
      </c>
      <c r="X113" s="192">
        <v>868.5</v>
      </c>
      <c r="Y113" s="192">
        <v>572</v>
      </c>
      <c r="Z113" s="192">
        <v>649</v>
      </c>
      <c r="AA113" s="192">
        <v>726</v>
      </c>
    </row>
    <row r="114" spans="2:27" ht="12" hidden="1" customHeight="1">
      <c r="B114" s="173" t="s">
        <v>731</v>
      </c>
      <c r="C114" s="173" t="s">
        <v>567</v>
      </c>
      <c r="D114" s="173" t="s">
        <v>662</v>
      </c>
      <c r="E114" s="173" t="s">
        <v>1308</v>
      </c>
      <c r="F114" s="192" t="s">
        <v>343</v>
      </c>
      <c r="G114" s="196">
        <v>45901</v>
      </c>
      <c r="H114" s="196">
        <v>45991</v>
      </c>
      <c r="I114" s="192" t="s">
        <v>343</v>
      </c>
      <c r="J114" s="192" t="s">
        <v>343</v>
      </c>
      <c r="K114" s="192" t="s">
        <v>343</v>
      </c>
      <c r="L114" s="192" t="s">
        <v>343</v>
      </c>
      <c r="M114" s="192" t="s">
        <v>343</v>
      </c>
      <c r="N114" s="192" t="s">
        <v>343</v>
      </c>
      <c r="O114" s="192" t="s">
        <v>343</v>
      </c>
      <c r="P114" s="192" t="s">
        <v>343</v>
      </c>
      <c r="Q114" s="192">
        <v>415</v>
      </c>
      <c r="R114" s="192">
        <v>3580</v>
      </c>
      <c r="S114" s="192">
        <v>3205</v>
      </c>
      <c r="T114" s="192" t="s">
        <v>343</v>
      </c>
      <c r="U114" s="192" t="s">
        <v>343</v>
      </c>
      <c r="V114" s="192" t="s">
        <v>343</v>
      </c>
      <c r="W114" s="192" t="s">
        <v>343</v>
      </c>
      <c r="X114" s="192" t="s">
        <v>343</v>
      </c>
      <c r="Y114" s="192" t="s">
        <v>343</v>
      </c>
      <c r="Z114" s="192" t="s">
        <v>343</v>
      </c>
      <c r="AA114" s="192" t="s">
        <v>343</v>
      </c>
    </row>
    <row r="115" spans="2:27" ht="12" customHeight="1">
      <c r="B115" s="173" t="s">
        <v>606</v>
      </c>
      <c r="C115" s="173" t="s">
        <v>567</v>
      </c>
      <c r="D115" s="173" t="s">
        <v>503</v>
      </c>
      <c r="E115" s="173" t="s">
        <v>1306</v>
      </c>
      <c r="F115" s="192">
        <v>32</v>
      </c>
      <c r="G115" s="196">
        <v>45108</v>
      </c>
      <c r="H115" s="196">
        <v>46142</v>
      </c>
      <c r="I115" s="192">
        <v>2453</v>
      </c>
      <c r="J115" s="192">
        <v>1958</v>
      </c>
      <c r="K115" s="192">
        <v>1958</v>
      </c>
      <c r="L115" s="192">
        <v>1869</v>
      </c>
      <c r="M115" s="192">
        <v>1869</v>
      </c>
      <c r="N115" s="192">
        <v>1869</v>
      </c>
      <c r="O115" s="192">
        <v>1885</v>
      </c>
      <c r="P115" s="192">
        <v>1970</v>
      </c>
      <c r="Q115" s="192">
        <v>1970</v>
      </c>
      <c r="R115" s="192">
        <v>2179</v>
      </c>
      <c r="S115" s="192">
        <v>2179</v>
      </c>
      <c r="T115" s="192">
        <v>2179</v>
      </c>
      <c r="U115" s="192">
        <v>2410</v>
      </c>
      <c r="V115" s="192">
        <v>3070</v>
      </c>
      <c r="W115" s="192">
        <v>2444</v>
      </c>
      <c r="X115" s="192">
        <v>2692</v>
      </c>
      <c r="Y115" s="192">
        <v>0</v>
      </c>
      <c r="Z115" s="192" t="s">
        <v>343</v>
      </c>
      <c r="AA115" s="192" t="s">
        <v>343</v>
      </c>
    </row>
    <row r="116" spans="2:27" ht="12" hidden="1" customHeight="1">
      <c r="B116" s="173" t="s">
        <v>734</v>
      </c>
      <c r="C116" s="173" t="s">
        <v>502</v>
      </c>
      <c r="D116" s="173" t="s">
        <v>683</v>
      </c>
      <c r="E116" s="173" t="s">
        <v>1183</v>
      </c>
      <c r="F116" s="192" t="s">
        <v>343</v>
      </c>
      <c r="G116" s="196">
        <v>45413</v>
      </c>
      <c r="H116" s="196"/>
      <c r="I116" s="192">
        <v>395</v>
      </c>
      <c r="J116" s="192">
        <v>395</v>
      </c>
      <c r="K116" s="192">
        <v>395</v>
      </c>
      <c r="L116" s="192">
        <v>395</v>
      </c>
      <c r="M116" s="192">
        <v>474</v>
      </c>
      <c r="N116" s="192">
        <v>560</v>
      </c>
      <c r="O116" s="192">
        <v>560</v>
      </c>
      <c r="P116" s="192">
        <v>560</v>
      </c>
      <c r="Q116" s="192">
        <v>560</v>
      </c>
      <c r="R116" s="192">
        <v>560</v>
      </c>
      <c r="S116" s="192">
        <v>560</v>
      </c>
      <c r="T116" s="192">
        <v>560</v>
      </c>
      <c r="U116" s="192">
        <v>560</v>
      </c>
      <c r="V116" s="192">
        <v>560</v>
      </c>
      <c r="W116" s="192">
        <v>560</v>
      </c>
      <c r="X116" s="192">
        <v>558.91</v>
      </c>
      <c r="Y116" s="192">
        <v>560</v>
      </c>
      <c r="Z116" s="192">
        <v>724</v>
      </c>
      <c r="AA116" s="192">
        <v>724</v>
      </c>
    </row>
    <row r="117" spans="2:27" ht="12" hidden="1" customHeight="1">
      <c r="B117" s="173" t="s">
        <v>735</v>
      </c>
      <c r="C117" s="173" t="s">
        <v>567</v>
      </c>
      <c r="D117" s="173" t="s">
        <v>637</v>
      </c>
      <c r="E117" s="173" t="s">
        <v>1307</v>
      </c>
      <c r="F117" s="192" t="s">
        <v>343</v>
      </c>
      <c r="G117" s="196">
        <v>44652</v>
      </c>
      <c r="H117" s="196">
        <v>46234</v>
      </c>
      <c r="I117" s="192">
        <v>550</v>
      </c>
      <c r="J117" s="192">
        <v>550</v>
      </c>
      <c r="K117" s="192">
        <v>550</v>
      </c>
      <c r="L117" s="192">
        <v>580</v>
      </c>
      <c r="M117" s="192">
        <v>580</v>
      </c>
      <c r="N117" s="192">
        <v>580</v>
      </c>
      <c r="O117" s="192">
        <v>580</v>
      </c>
      <c r="P117" s="192">
        <v>580</v>
      </c>
      <c r="Q117" s="192">
        <v>580</v>
      </c>
      <c r="R117" s="192">
        <v>580</v>
      </c>
      <c r="S117" s="192">
        <v>580</v>
      </c>
      <c r="T117" s="192">
        <v>580</v>
      </c>
      <c r="U117" s="192">
        <v>580</v>
      </c>
      <c r="V117" s="192">
        <v>580</v>
      </c>
      <c r="W117" s="192">
        <v>580</v>
      </c>
      <c r="X117" s="192">
        <v>600</v>
      </c>
      <c r="Y117" s="192">
        <v>600</v>
      </c>
      <c r="Z117" s="192">
        <v>600</v>
      </c>
      <c r="AA117" s="192">
        <v>600</v>
      </c>
    </row>
    <row r="118" spans="2:27" ht="12" hidden="1" customHeight="1">
      <c r="B118" s="173" t="s">
        <v>738</v>
      </c>
      <c r="C118" s="173" t="s">
        <v>502</v>
      </c>
      <c r="D118" s="173" t="s">
        <v>503</v>
      </c>
      <c r="E118" s="173" t="s">
        <v>1306</v>
      </c>
      <c r="F118" s="192">
        <v>8</v>
      </c>
      <c r="G118" s="196">
        <v>45444</v>
      </c>
      <c r="H118" s="196"/>
      <c r="I118" s="192">
        <v>525</v>
      </c>
      <c r="J118" s="192">
        <v>420</v>
      </c>
      <c r="K118" s="192">
        <v>420</v>
      </c>
      <c r="L118" s="192">
        <v>420</v>
      </c>
      <c r="M118" s="192">
        <v>420</v>
      </c>
      <c r="N118" s="192">
        <v>445</v>
      </c>
      <c r="O118" s="192">
        <v>445</v>
      </c>
      <c r="P118" s="192">
        <v>445</v>
      </c>
      <c r="Q118" s="192">
        <v>445</v>
      </c>
      <c r="R118" s="192">
        <v>1210</v>
      </c>
      <c r="S118" s="192">
        <v>445</v>
      </c>
      <c r="T118" s="192">
        <v>445</v>
      </c>
      <c r="U118" s="192">
        <v>535</v>
      </c>
      <c r="V118" s="192">
        <v>445</v>
      </c>
      <c r="W118" s="192">
        <v>1210</v>
      </c>
      <c r="X118" s="192">
        <v>445</v>
      </c>
      <c r="Y118" s="192">
        <v>445</v>
      </c>
      <c r="Z118" s="192">
        <v>447</v>
      </c>
      <c r="AA118" s="192">
        <v>447</v>
      </c>
    </row>
    <row r="119" spans="2:27" ht="12" hidden="1" customHeight="1">
      <c r="B119" s="173" t="s">
        <v>739</v>
      </c>
      <c r="C119" s="173" t="s">
        <v>502</v>
      </c>
      <c r="D119" s="173" t="s">
        <v>503</v>
      </c>
      <c r="E119" s="173" t="s">
        <v>1306</v>
      </c>
      <c r="F119" s="192">
        <v>8</v>
      </c>
      <c r="G119" s="196">
        <v>46023</v>
      </c>
      <c r="H119" s="196"/>
      <c r="I119" s="192" t="s">
        <v>343</v>
      </c>
      <c r="J119" s="192" t="s">
        <v>343</v>
      </c>
      <c r="K119" s="192" t="s">
        <v>343</v>
      </c>
      <c r="L119" s="192" t="s">
        <v>343</v>
      </c>
      <c r="M119" s="192" t="s">
        <v>343</v>
      </c>
      <c r="N119" s="192" t="s">
        <v>343</v>
      </c>
      <c r="O119" s="192" t="s">
        <v>343</v>
      </c>
      <c r="P119" s="192" t="s">
        <v>343</v>
      </c>
      <c r="Q119" s="192" t="s">
        <v>343</v>
      </c>
      <c r="R119" s="192" t="s">
        <v>343</v>
      </c>
      <c r="S119" s="192" t="s">
        <v>343</v>
      </c>
      <c r="T119" s="192" t="s">
        <v>343</v>
      </c>
      <c r="U119" s="192">
        <v>1783.75</v>
      </c>
      <c r="V119" s="192">
        <v>1108.75</v>
      </c>
      <c r="W119" s="192">
        <v>163.75</v>
      </c>
      <c r="X119" s="192">
        <v>910</v>
      </c>
      <c r="Y119" s="192">
        <v>910</v>
      </c>
      <c r="Z119" s="192">
        <v>910</v>
      </c>
      <c r="AA119" s="192">
        <v>910</v>
      </c>
    </row>
    <row r="120" spans="2:27" ht="12" hidden="1" customHeight="1">
      <c r="B120" s="173" t="s">
        <v>740</v>
      </c>
      <c r="C120" s="173" t="s">
        <v>502</v>
      </c>
      <c r="D120" s="173" t="s">
        <v>503</v>
      </c>
      <c r="E120" s="173" t="s">
        <v>1306</v>
      </c>
      <c r="F120" s="192">
        <v>8</v>
      </c>
      <c r="G120" s="196">
        <v>45717</v>
      </c>
      <c r="H120" s="196"/>
      <c r="I120" s="192" t="s">
        <v>343</v>
      </c>
      <c r="J120" s="192" t="s">
        <v>343</v>
      </c>
      <c r="K120" s="192">
        <v>350</v>
      </c>
      <c r="L120" s="192">
        <v>150</v>
      </c>
      <c r="M120" s="192">
        <v>360</v>
      </c>
      <c r="N120" s="192">
        <v>280</v>
      </c>
      <c r="O120" s="192">
        <v>430</v>
      </c>
      <c r="P120" s="192">
        <v>430</v>
      </c>
      <c r="Q120" s="192">
        <v>430</v>
      </c>
      <c r="R120" s="192">
        <v>430</v>
      </c>
      <c r="S120" s="192">
        <v>525</v>
      </c>
      <c r="T120" s="192">
        <v>525</v>
      </c>
      <c r="U120" s="192">
        <v>525</v>
      </c>
      <c r="V120" s="192">
        <v>630</v>
      </c>
      <c r="W120" s="192">
        <v>525</v>
      </c>
      <c r="X120" s="192">
        <v>649</v>
      </c>
      <c r="Y120" s="192">
        <v>649</v>
      </c>
      <c r="Z120" s="192">
        <v>649</v>
      </c>
      <c r="AA120" s="192">
        <v>649</v>
      </c>
    </row>
    <row r="121" spans="2:27" ht="12" hidden="1" customHeight="1">
      <c r="B121" s="173" t="s">
        <v>741</v>
      </c>
      <c r="C121" s="173" t="s">
        <v>502</v>
      </c>
      <c r="D121" s="173" t="s">
        <v>503</v>
      </c>
      <c r="E121" s="173" t="s">
        <v>1306</v>
      </c>
      <c r="F121" s="192">
        <v>3</v>
      </c>
      <c r="G121" s="196">
        <v>45474</v>
      </c>
      <c r="H121" s="196"/>
      <c r="I121" s="192">
        <v>570</v>
      </c>
      <c r="J121" s="192">
        <v>810</v>
      </c>
      <c r="K121" s="192">
        <v>570</v>
      </c>
      <c r="L121" s="192">
        <v>570</v>
      </c>
      <c r="M121" s="192">
        <v>570</v>
      </c>
      <c r="N121" s="192">
        <v>570</v>
      </c>
      <c r="O121" s="192">
        <v>555</v>
      </c>
      <c r="P121" s="192">
        <v>555</v>
      </c>
      <c r="Q121" s="192">
        <v>555</v>
      </c>
      <c r="R121" s="192">
        <v>555</v>
      </c>
      <c r="S121" s="192">
        <v>555</v>
      </c>
      <c r="T121" s="192">
        <v>535</v>
      </c>
      <c r="U121" s="192">
        <v>535</v>
      </c>
      <c r="V121" s="192">
        <v>775</v>
      </c>
      <c r="W121" s="192">
        <v>535</v>
      </c>
      <c r="X121" s="192">
        <v>535</v>
      </c>
      <c r="Y121" s="192">
        <v>518</v>
      </c>
      <c r="Z121" s="192">
        <v>468</v>
      </c>
      <c r="AA121" s="192">
        <v>493</v>
      </c>
    </row>
    <row r="122" spans="2:27" ht="12" hidden="1" customHeight="1">
      <c r="B122" s="173" t="s">
        <v>742</v>
      </c>
      <c r="C122" s="173" t="s">
        <v>502</v>
      </c>
      <c r="D122" s="173" t="s">
        <v>503</v>
      </c>
      <c r="E122" s="173" t="s">
        <v>1306</v>
      </c>
      <c r="F122" s="192">
        <v>6</v>
      </c>
      <c r="G122" s="196">
        <v>45536</v>
      </c>
      <c r="H122" s="196"/>
      <c r="I122" s="192">
        <v>350</v>
      </c>
      <c r="J122" s="192">
        <v>440</v>
      </c>
      <c r="K122" s="192">
        <v>350</v>
      </c>
      <c r="L122" s="192">
        <v>350</v>
      </c>
      <c r="M122" s="192">
        <v>350</v>
      </c>
      <c r="N122" s="192">
        <v>350</v>
      </c>
      <c r="O122" s="192">
        <v>350</v>
      </c>
      <c r="P122" s="192">
        <v>350</v>
      </c>
      <c r="Q122" s="192">
        <v>510</v>
      </c>
      <c r="R122" s="192">
        <v>510</v>
      </c>
      <c r="S122" s="192">
        <v>510</v>
      </c>
      <c r="T122" s="192">
        <v>510</v>
      </c>
      <c r="U122" s="192">
        <v>530</v>
      </c>
      <c r="V122" s="192">
        <v>620</v>
      </c>
      <c r="W122" s="192">
        <v>530</v>
      </c>
      <c r="X122" s="192">
        <v>630</v>
      </c>
      <c r="Y122" s="192">
        <v>630</v>
      </c>
      <c r="Z122" s="192">
        <v>630</v>
      </c>
      <c r="AA122" s="192">
        <v>630</v>
      </c>
    </row>
    <row r="123" spans="2:27" ht="12" hidden="1" customHeight="1">
      <c r="B123" s="173" t="s">
        <v>743</v>
      </c>
      <c r="C123" s="173" t="s">
        <v>502</v>
      </c>
      <c r="D123" s="173" t="s">
        <v>503</v>
      </c>
      <c r="E123" s="173" t="s">
        <v>1306</v>
      </c>
      <c r="F123" s="192">
        <v>4</v>
      </c>
      <c r="G123" s="196">
        <v>45931</v>
      </c>
      <c r="H123" s="196"/>
      <c r="I123" s="192" t="s">
        <v>343</v>
      </c>
      <c r="J123" s="192" t="s">
        <v>343</v>
      </c>
      <c r="K123" s="192" t="s">
        <v>343</v>
      </c>
      <c r="L123" s="192" t="s">
        <v>343</v>
      </c>
      <c r="M123" s="192" t="s">
        <v>343</v>
      </c>
      <c r="N123" s="192" t="s">
        <v>343</v>
      </c>
      <c r="O123" s="192" t="s">
        <v>343</v>
      </c>
      <c r="P123" s="192" t="s">
        <v>343</v>
      </c>
      <c r="Q123" s="192" t="s">
        <v>343</v>
      </c>
      <c r="R123" s="192">
        <v>925</v>
      </c>
      <c r="S123" s="192">
        <v>736.25</v>
      </c>
      <c r="T123" s="192">
        <v>650</v>
      </c>
      <c r="U123" s="192">
        <v>650</v>
      </c>
      <c r="V123" s="192">
        <v>263.86</v>
      </c>
      <c r="W123" s="192">
        <v>650</v>
      </c>
      <c r="X123" s="192">
        <v>650</v>
      </c>
      <c r="Y123" s="192">
        <v>650</v>
      </c>
      <c r="Z123" s="192">
        <v>650</v>
      </c>
      <c r="AA123" s="192">
        <v>650</v>
      </c>
    </row>
    <row r="124" spans="2:27" ht="12" hidden="1" customHeight="1">
      <c r="B124" s="173" t="s">
        <v>744</v>
      </c>
      <c r="C124" s="173" t="s">
        <v>502</v>
      </c>
      <c r="D124" s="173" t="s">
        <v>503</v>
      </c>
      <c r="E124" s="173" t="s">
        <v>1306</v>
      </c>
      <c r="F124" s="192">
        <v>15</v>
      </c>
      <c r="G124" s="196">
        <v>45444</v>
      </c>
      <c r="H124" s="196"/>
      <c r="I124" s="192">
        <v>325</v>
      </c>
      <c r="J124" s="192">
        <v>325</v>
      </c>
      <c r="K124" s="192">
        <v>325</v>
      </c>
      <c r="L124" s="192">
        <v>325</v>
      </c>
      <c r="M124" s="192">
        <v>325</v>
      </c>
      <c r="N124" s="192">
        <v>325</v>
      </c>
      <c r="O124" s="192">
        <v>325</v>
      </c>
      <c r="P124" s="192">
        <v>600</v>
      </c>
      <c r="Q124" s="192">
        <v>600</v>
      </c>
      <c r="R124" s="192">
        <v>600</v>
      </c>
      <c r="S124" s="192">
        <v>600</v>
      </c>
      <c r="T124" s="192">
        <v>420</v>
      </c>
      <c r="U124" s="192">
        <v>600</v>
      </c>
      <c r="V124" s="192">
        <v>510</v>
      </c>
      <c r="W124" s="192">
        <v>600</v>
      </c>
      <c r="X124" s="192">
        <v>510</v>
      </c>
      <c r="Y124" s="192">
        <v>430</v>
      </c>
      <c r="Z124" s="192">
        <v>500</v>
      </c>
      <c r="AA124" s="192">
        <v>500</v>
      </c>
    </row>
    <row r="125" spans="2:27" ht="12" hidden="1" customHeight="1">
      <c r="B125" s="173" t="s">
        <v>745</v>
      </c>
      <c r="C125" s="173" t="s">
        <v>567</v>
      </c>
      <c r="D125" s="173" t="s">
        <v>637</v>
      </c>
      <c r="E125" s="173" t="s">
        <v>1307</v>
      </c>
      <c r="F125" s="192" t="s">
        <v>343</v>
      </c>
      <c r="G125" s="196">
        <v>44501</v>
      </c>
      <c r="H125" s="196">
        <v>46234</v>
      </c>
      <c r="I125" s="192">
        <v>560</v>
      </c>
      <c r="J125" s="192">
        <v>515</v>
      </c>
      <c r="K125" s="192">
        <v>515</v>
      </c>
      <c r="L125" s="192">
        <v>515</v>
      </c>
      <c r="M125" s="192">
        <v>515</v>
      </c>
      <c r="N125" s="192">
        <v>515</v>
      </c>
      <c r="O125" s="192">
        <v>515</v>
      </c>
      <c r="P125" s="192">
        <v>515</v>
      </c>
      <c r="Q125" s="192">
        <v>515</v>
      </c>
      <c r="R125" s="192">
        <v>515</v>
      </c>
      <c r="S125" s="192">
        <v>535</v>
      </c>
      <c r="T125" s="192">
        <v>535</v>
      </c>
      <c r="U125" s="192">
        <v>535</v>
      </c>
      <c r="V125" s="192">
        <v>550</v>
      </c>
      <c r="W125" s="192">
        <v>535</v>
      </c>
      <c r="X125" s="192">
        <v>535</v>
      </c>
      <c r="Y125" s="192">
        <v>535</v>
      </c>
      <c r="Z125" s="192">
        <v>535</v>
      </c>
      <c r="AA125" s="192">
        <v>535</v>
      </c>
    </row>
    <row r="126" spans="2:27" ht="12" hidden="1" customHeight="1">
      <c r="B126" s="173" t="s">
        <v>748</v>
      </c>
      <c r="C126" s="173" t="s">
        <v>502</v>
      </c>
      <c r="D126" s="173" t="s">
        <v>503</v>
      </c>
      <c r="E126" s="173" t="s">
        <v>1306</v>
      </c>
      <c r="F126" s="192">
        <v>4</v>
      </c>
      <c r="G126" s="196">
        <v>45170</v>
      </c>
      <c r="H126" s="196"/>
      <c r="I126" s="192">
        <v>575</v>
      </c>
      <c r="J126" s="192">
        <v>446</v>
      </c>
      <c r="K126" s="192">
        <v>515</v>
      </c>
      <c r="L126" s="192">
        <v>515</v>
      </c>
      <c r="M126" s="192">
        <v>515</v>
      </c>
      <c r="N126" s="192">
        <v>515</v>
      </c>
      <c r="O126" s="192">
        <v>515</v>
      </c>
      <c r="P126" s="192">
        <v>515</v>
      </c>
      <c r="Q126" s="192">
        <v>520</v>
      </c>
      <c r="R126" s="192">
        <v>520</v>
      </c>
      <c r="S126" s="192">
        <v>520</v>
      </c>
      <c r="T126" s="192">
        <v>520</v>
      </c>
      <c r="U126" s="192">
        <v>520</v>
      </c>
      <c r="V126" s="192">
        <v>565</v>
      </c>
      <c r="W126" s="192">
        <v>520</v>
      </c>
      <c r="X126" s="192">
        <v>520</v>
      </c>
      <c r="Y126" s="192">
        <v>520</v>
      </c>
      <c r="Z126" s="192">
        <v>520</v>
      </c>
      <c r="AA126" s="192">
        <v>520</v>
      </c>
    </row>
    <row r="127" spans="2:27" ht="12" hidden="1" customHeight="1">
      <c r="B127" s="173" t="s">
        <v>749</v>
      </c>
      <c r="C127" s="173" t="s">
        <v>502</v>
      </c>
      <c r="D127" s="173" t="s">
        <v>503</v>
      </c>
      <c r="E127" s="173" t="s">
        <v>1306</v>
      </c>
      <c r="F127" s="192">
        <v>17</v>
      </c>
      <c r="G127" s="196">
        <v>45962</v>
      </c>
      <c r="H127" s="196"/>
      <c r="I127" s="192" t="s">
        <v>343</v>
      </c>
      <c r="J127" s="192" t="s">
        <v>343</v>
      </c>
      <c r="K127" s="192" t="s">
        <v>343</v>
      </c>
      <c r="L127" s="192" t="s">
        <v>343</v>
      </c>
      <c r="M127" s="192" t="s">
        <v>343</v>
      </c>
      <c r="N127" s="192" t="s">
        <v>343</v>
      </c>
      <c r="O127" s="192" t="s">
        <v>343</v>
      </c>
      <c r="P127" s="192" t="s">
        <v>343</v>
      </c>
      <c r="Q127" s="192" t="s">
        <v>343</v>
      </c>
      <c r="R127" s="192" t="s">
        <v>343</v>
      </c>
      <c r="S127" s="192" t="s">
        <v>343</v>
      </c>
      <c r="T127" s="192">
        <v>950</v>
      </c>
      <c r="U127" s="192">
        <v>525</v>
      </c>
      <c r="V127" s="192">
        <v>560</v>
      </c>
      <c r="W127" s="192">
        <v>560</v>
      </c>
      <c r="X127" s="192">
        <v>560</v>
      </c>
      <c r="Y127" s="192">
        <v>1040</v>
      </c>
      <c r="Z127" s="192">
        <v>1040</v>
      </c>
      <c r="AA127" s="192">
        <v>1040</v>
      </c>
    </row>
    <row r="128" spans="2:27" ht="12" hidden="1" customHeight="1">
      <c r="B128" s="173" t="s">
        <v>750</v>
      </c>
      <c r="C128" s="173" t="s">
        <v>19</v>
      </c>
      <c r="D128" s="173" t="s">
        <v>503</v>
      </c>
      <c r="E128" s="173" t="s">
        <v>1306</v>
      </c>
      <c r="F128" s="192">
        <v>23</v>
      </c>
      <c r="G128" s="196">
        <v>46113</v>
      </c>
      <c r="H128" s="196"/>
      <c r="I128" s="192" t="s">
        <v>343</v>
      </c>
      <c r="J128" s="192" t="s">
        <v>343</v>
      </c>
      <c r="K128" s="192" t="s">
        <v>343</v>
      </c>
      <c r="L128" s="192" t="s">
        <v>343</v>
      </c>
      <c r="M128" s="192" t="s">
        <v>343</v>
      </c>
      <c r="N128" s="192" t="s">
        <v>343</v>
      </c>
      <c r="O128" s="192" t="s">
        <v>343</v>
      </c>
      <c r="P128" s="192" t="s">
        <v>343</v>
      </c>
      <c r="Q128" s="192" t="s">
        <v>343</v>
      </c>
      <c r="R128" s="192" t="s">
        <v>343</v>
      </c>
      <c r="S128" s="192" t="s">
        <v>343</v>
      </c>
      <c r="T128" s="192" t="s">
        <v>343</v>
      </c>
      <c r="U128" s="192" t="s">
        <v>343</v>
      </c>
      <c r="V128" s="192" t="s">
        <v>343</v>
      </c>
      <c r="W128" s="192" t="s">
        <v>343</v>
      </c>
      <c r="X128" s="192">
        <v>2273</v>
      </c>
      <c r="Y128" s="192">
        <v>1286</v>
      </c>
      <c r="Z128" s="192">
        <v>1295</v>
      </c>
      <c r="AA128" s="192">
        <v>1400</v>
      </c>
    </row>
    <row r="129" spans="2:27" ht="12" hidden="1" customHeight="1">
      <c r="B129" s="173" t="s">
        <v>751</v>
      </c>
      <c r="C129" s="173" t="s">
        <v>19</v>
      </c>
      <c r="D129" s="173" t="s">
        <v>503</v>
      </c>
      <c r="E129" s="173" t="s">
        <v>1306</v>
      </c>
      <c r="F129" s="192">
        <v>83</v>
      </c>
      <c r="G129" s="196">
        <v>46204</v>
      </c>
      <c r="H129" s="196"/>
      <c r="I129" s="192" t="s">
        <v>343</v>
      </c>
      <c r="J129" s="192" t="s">
        <v>343</v>
      </c>
      <c r="K129" s="192" t="s">
        <v>343</v>
      </c>
      <c r="L129" s="192" t="s">
        <v>343</v>
      </c>
      <c r="M129" s="192" t="s">
        <v>343</v>
      </c>
      <c r="N129" s="192" t="s">
        <v>343</v>
      </c>
      <c r="O129" s="192" t="s">
        <v>343</v>
      </c>
      <c r="P129" s="192" t="s">
        <v>343</v>
      </c>
      <c r="Q129" s="192" t="s">
        <v>343</v>
      </c>
      <c r="R129" s="192" t="s">
        <v>343</v>
      </c>
      <c r="S129" s="192" t="s">
        <v>343</v>
      </c>
      <c r="T129" s="192" t="s">
        <v>343</v>
      </c>
      <c r="U129" s="192" t="s">
        <v>343</v>
      </c>
      <c r="V129" s="192" t="s">
        <v>343</v>
      </c>
      <c r="W129" s="192" t="s">
        <v>343</v>
      </c>
      <c r="X129" s="192" t="s">
        <v>343</v>
      </c>
      <c r="Y129" s="192" t="s">
        <v>343</v>
      </c>
      <c r="Z129" s="192" t="s">
        <v>343</v>
      </c>
      <c r="AA129" s="192">
        <v>6252</v>
      </c>
    </row>
    <row r="130" spans="2:27" ht="12" hidden="1" customHeight="1">
      <c r="B130" s="173" t="s">
        <v>752</v>
      </c>
      <c r="C130" s="173" t="s">
        <v>502</v>
      </c>
      <c r="D130" s="173" t="s">
        <v>503</v>
      </c>
      <c r="E130" s="173" t="s">
        <v>1306</v>
      </c>
      <c r="F130" s="192">
        <v>47</v>
      </c>
      <c r="G130" s="196">
        <v>46143</v>
      </c>
      <c r="H130" s="196"/>
      <c r="I130" s="192" t="s">
        <v>343</v>
      </c>
      <c r="J130" s="192" t="s">
        <v>343</v>
      </c>
      <c r="K130" s="192" t="s">
        <v>343</v>
      </c>
      <c r="L130" s="192" t="s">
        <v>343</v>
      </c>
      <c r="M130" s="192" t="s">
        <v>343</v>
      </c>
      <c r="N130" s="192" t="s">
        <v>343</v>
      </c>
      <c r="O130" s="192" t="s">
        <v>343</v>
      </c>
      <c r="P130" s="192" t="s">
        <v>343</v>
      </c>
      <c r="Q130" s="192" t="s">
        <v>343</v>
      </c>
      <c r="R130" s="192" t="s">
        <v>343</v>
      </c>
      <c r="S130" s="192" t="s">
        <v>343</v>
      </c>
      <c r="T130" s="192" t="s">
        <v>343</v>
      </c>
      <c r="U130" s="192" t="s">
        <v>343</v>
      </c>
      <c r="V130" s="192" t="s">
        <v>343</v>
      </c>
      <c r="W130" s="192" t="s">
        <v>343</v>
      </c>
      <c r="X130" s="192" t="s">
        <v>343</v>
      </c>
      <c r="Y130" s="192">
        <v>1180</v>
      </c>
      <c r="Z130" s="192">
        <v>2676</v>
      </c>
      <c r="AA130" s="192">
        <v>2333</v>
      </c>
    </row>
    <row r="131" spans="2:27" ht="12" hidden="1" customHeight="1">
      <c r="B131" s="173" t="s">
        <v>753</v>
      </c>
      <c r="C131" s="173" t="s">
        <v>567</v>
      </c>
      <c r="D131" s="173" t="s">
        <v>662</v>
      </c>
      <c r="E131" s="173" t="s">
        <v>1308</v>
      </c>
      <c r="F131" s="192" t="s">
        <v>343</v>
      </c>
      <c r="G131" s="196">
        <v>45809</v>
      </c>
      <c r="H131" s="196">
        <v>45991</v>
      </c>
      <c r="I131" s="192" t="s">
        <v>343</v>
      </c>
      <c r="J131" s="192" t="s">
        <v>343</v>
      </c>
      <c r="K131" s="192" t="s">
        <v>343</v>
      </c>
      <c r="L131" s="192" t="s">
        <v>343</v>
      </c>
      <c r="M131" s="192" t="s">
        <v>343</v>
      </c>
      <c r="N131" s="192">
        <v>2089</v>
      </c>
      <c r="O131" s="192">
        <v>3029</v>
      </c>
      <c r="P131" s="192">
        <v>1440</v>
      </c>
      <c r="Q131" s="192">
        <v>1574</v>
      </c>
      <c r="R131" s="192">
        <v>1708</v>
      </c>
      <c r="S131" s="192">
        <v>1440</v>
      </c>
      <c r="T131" s="192" t="s">
        <v>343</v>
      </c>
      <c r="U131" s="192" t="s">
        <v>343</v>
      </c>
      <c r="V131" s="192" t="s">
        <v>343</v>
      </c>
      <c r="W131" s="192" t="s">
        <v>343</v>
      </c>
      <c r="X131" s="192" t="s">
        <v>343</v>
      </c>
      <c r="Y131" s="192" t="s">
        <v>343</v>
      </c>
      <c r="Z131" s="192" t="s">
        <v>343</v>
      </c>
      <c r="AA131" s="192" t="s">
        <v>343</v>
      </c>
    </row>
    <row r="132" spans="2:27" ht="12" hidden="1" customHeight="1">
      <c r="B132" s="173" t="s">
        <v>754</v>
      </c>
      <c r="C132" s="173" t="s">
        <v>502</v>
      </c>
      <c r="D132" s="173" t="s">
        <v>503</v>
      </c>
      <c r="E132" s="173" t="s">
        <v>1306</v>
      </c>
      <c r="F132" s="192">
        <v>5</v>
      </c>
      <c r="G132" s="196">
        <v>45870</v>
      </c>
      <c r="H132" s="196"/>
      <c r="I132" s="192" t="s">
        <v>343</v>
      </c>
      <c r="J132" s="192" t="s">
        <v>343</v>
      </c>
      <c r="K132" s="192" t="s">
        <v>343</v>
      </c>
      <c r="L132" s="192" t="s">
        <v>343</v>
      </c>
      <c r="M132" s="192" t="s">
        <v>343</v>
      </c>
      <c r="N132" s="192" t="s">
        <v>343</v>
      </c>
      <c r="O132" s="192" t="s">
        <v>343</v>
      </c>
      <c r="P132" s="192">
        <v>990</v>
      </c>
      <c r="Q132" s="192">
        <v>640</v>
      </c>
      <c r="R132" s="192">
        <v>640</v>
      </c>
      <c r="S132" s="192">
        <v>675</v>
      </c>
      <c r="T132" s="192">
        <v>675</v>
      </c>
      <c r="U132" s="192">
        <v>600</v>
      </c>
      <c r="V132" s="192">
        <v>705</v>
      </c>
      <c r="W132" s="192">
        <v>240</v>
      </c>
      <c r="X132" s="192">
        <v>240</v>
      </c>
      <c r="Y132" s="192">
        <v>200</v>
      </c>
      <c r="Z132" s="192">
        <v>200</v>
      </c>
      <c r="AA132" s="192">
        <v>200</v>
      </c>
    </row>
    <row r="133" spans="2:27" ht="12" hidden="1" customHeight="1">
      <c r="B133" s="173" t="s">
        <v>755</v>
      </c>
      <c r="C133" s="173" t="s">
        <v>567</v>
      </c>
      <c r="D133" s="173" t="s">
        <v>662</v>
      </c>
      <c r="E133" s="173" t="s">
        <v>1308</v>
      </c>
      <c r="F133" s="192" t="s">
        <v>343</v>
      </c>
      <c r="G133" s="196">
        <v>46113</v>
      </c>
      <c r="H133" s="196">
        <v>46234</v>
      </c>
      <c r="I133" s="192" t="s">
        <v>343</v>
      </c>
      <c r="J133" s="192" t="s">
        <v>343</v>
      </c>
      <c r="K133" s="192" t="s">
        <v>343</v>
      </c>
      <c r="L133" s="192" t="s">
        <v>343</v>
      </c>
      <c r="M133" s="192" t="s">
        <v>343</v>
      </c>
      <c r="N133" s="192" t="s">
        <v>343</v>
      </c>
      <c r="O133" s="192" t="s">
        <v>343</v>
      </c>
      <c r="P133" s="192" t="s">
        <v>343</v>
      </c>
      <c r="Q133" s="192" t="s">
        <v>343</v>
      </c>
      <c r="R133" s="192" t="s">
        <v>343</v>
      </c>
      <c r="S133" s="192" t="s">
        <v>343</v>
      </c>
      <c r="T133" s="192" t="s">
        <v>343</v>
      </c>
      <c r="U133" s="192" t="s">
        <v>343</v>
      </c>
      <c r="V133" s="192" t="s">
        <v>343</v>
      </c>
      <c r="W133" s="192" t="s">
        <v>343</v>
      </c>
      <c r="X133" s="192">
        <v>1500</v>
      </c>
      <c r="Y133" s="192">
        <v>1500</v>
      </c>
      <c r="Z133" s="192">
        <v>1500</v>
      </c>
      <c r="AA133" s="192">
        <v>1500</v>
      </c>
    </row>
    <row r="134" spans="2:27" ht="12" hidden="1" customHeight="1">
      <c r="B134" s="173" t="s">
        <v>756</v>
      </c>
      <c r="C134" s="173" t="s">
        <v>502</v>
      </c>
      <c r="D134" s="173" t="s">
        <v>503</v>
      </c>
      <c r="E134" s="173" t="s">
        <v>1306</v>
      </c>
      <c r="F134" s="192">
        <v>10</v>
      </c>
      <c r="G134" s="196">
        <v>45748</v>
      </c>
      <c r="H134" s="196"/>
      <c r="I134" s="192" t="s">
        <v>343</v>
      </c>
      <c r="J134" s="192" t="s">
        <v>343</v>
      </c>
      <c r="K134" s="192" t="s">
        <v>343</v>
      </c>
      <c r="L134" s="192">
        <v>778.75</v>
      </c>
      <c r="M134" s="192">
        <v>340</v>
      </c>
      <c r="N134" s="192">
        <v>340</v>
      </c>
      <c r="O134" s="192">
        <v>400</v>
      </c>
      <c r="P134" s="192">
        <v>400</v>
      </c>
      <c r="Q134" s="192">
        <v>625</v>
      </c>
      <c r="R134" s="192">
        <v>400</v>
      </c>
      <c r="S134" s="192">
        <v>475</v>
      </c>
      <c r="T134" s="192">
        <v>475</v>
      </c>
      <c r="U134" s="192">
        <v>475</v>
      </c>
      <c r="V134" s="192">
        <v>520</v>
      </c>
      <c r="W134" s="192">
        <v>475</v>
      </c>
      <c r="X134" s="192">
        <v>495</v>
      </c>
      <c r="Y134" s="192">
        <v>495</v>
      </c>
      <c r="Z134" s="192">
        <v>495</v>
      </c>
      <c r="AA134" s="192">
        <v>649</v>
      </c>
    </row>
    <row r="135" spans="2:27" ht="12" hidden="1" customHeight="1">
      <c r="B135" s="173" t="s">
        <v>758</v>
      </c>
      <c r="C135" s="173" t="s">
        <v>502</v>
      </c>
      <c r="D135" s="173" t="s">
        <v>503</v>
      </c>
      <c r="E135" s="173" t="s">
        <v>1306</v>
      </c>
      <c r="F135" s="192">
        <v>16</v>
      </c>
      <c r="G135" s="196">
        <v>45413</v>
      </c>
      <c r="H135" s="196"/>
      <c r="I135" s="192">
        <v>385</v>
      </c>
      <c r="J135" s="192">
        <v>325</v>
      </c>
      <c r="K135" s="192">
        <v>325</v>
      </c>
      <c r="L135" s="192">
        <v>325</v>
      </c>
      <c r="M135" s="192">
        <v>325</v>
      </c>
      <c r="N135" s="192">
        <v>360</v>
      </c>
      <c r="O135" s="192">
        <v>360</v>
      </c>
      <c r="P135" s="192">
        <v>360</v>
      </c>
      <c r="Q135" s="192">
        <v>360</v>
      </c>
      <c r="R135" s="192">
        <v>360</v>
      </c>
      <c r="S135" s="192">
        <v>375</v>
      </c>
      <c r="T135" s="192">
        <v>375</v>
      </c>
      <c r="U135" s="192">
        <v>450</v>
      </c>
      <c r="V135" s="192">
        <v>555</v>
      </c>
      <c r="W135" s="192">
        <v>675</v>
      </c>
      <c r="X135" s="192">
        <v>975</v>
      </c>
      <c r="Y135" s="192">
        <v>400</v>
      </c>
      <c r="Z135" s="192">
        <v>560</v>
      </c>
      <c r="AA135" s="192">
        <v>525</v>
      </c>
    </row>
    <row r="136" spans="2:27" ht="12" hidden="1" customHeight="1">
      <c r="B136" s="173" t="s">
        <v>759</v>
      </c>
      <c r="C136" s="173" t="s">
        <v>502</v>
      </c>
      <c r="D136" s="173" t="s">
        <v>503</v>
      </c>
      <c r="E136" s="173" t="s">
        <v>1306</v>
      </c>
      <c r="F136" s="192">
        <v>11</v>
      </c>
      <c r="G136" s="196">
        <v>45992</v>
      </c>
      <c r="H136" s="196"/>
      <c r="I136" s="192" t="s">
        <v>343</v>
      </c>
      <c r="J136" s="192" t="s">
        <v>343</v>
      </c>
      <c r="K136" s="192" t="s">
        <v>343</v>
      </c>
      <c r="L136" s="192" t="s">
        <v>343</v>
      </c>
      <c r="M136" s="192" t="s">
        <v>343</v>
      </c>
      <c r="N136" s="192" t="s">
        <v>343</v>
      </c>
      <c r="O136" s="192" t="s">
        <v>343</v>
      </c>
      <c r="P136" s="192" t="s">
        <v>343</v>
      </c>
      <c r="Q136" s="192" t="s">
        <v>343</v>
      </c>
      <c r="R136" s="192" t="s">
        <v>343</v>
      </c>
      <c r="S136" s="192" t="s">
        <v>343</v>
      </c>
      <c r="T136" s="192">
        <v>700</v>
      </c>
      <c r="U136" s="192">
        <v>600</v>
      </c>
      <c r="V136" s="192">
        <v>720</v>
      </c>
      <c r="W136" s="192">
        <v>720</v>
      </c>
      <c r="X136" s="192">
        <v>700</v>
      </c>
      <c r="Y136" s="192">
        <v>780</v>
      </c>
      <c r="Z136" s="192">
        <v>880</v>
      </c>
      <c r="AA136" s="192">
        <v>860</v>
      </c>
    </row>
    <row r="137" spans="2:27" ht="12" hidden="1" customHeight="1">
      <c r="B137" s="173" t="s">
        <v>760</v>
      </c>
      <c r="C137" s="173" t="s">
        <v>502</v>
      </c>
      <c r="D137" s="173" t="s">
        <v>503</v>
      </c>
      <c r="E137" s="173" t="s">
        <v>1306</v>
      </c>
      <c r="F137" s="192">
        <v>6</v>
      </c>
      <c r="G137" s="196">
        <v>45839</v>
      </c>
      <c r="H137" s="196"/>
      <c r="I137" s="192" t="s">
        <v>343</v>
      </c>
      <c r="J137" s="192" t="s">
        <v>343</v>
      </c>
      <c r="K137" s="192" t="s">
        <v>343</v>
      </c>
      <c r="L137" s="192" t="s">
        <v>343</v>
      </c>
      <c r="M137" s="192" t="s">
        <v>343</v>
      </c>
      <c r="N137" s="192" t="s">
        <v>343</v>
      </c>
      <c r="O137" s="192">
        <v>896.25</v>
      </c>
      <c r="P137" s="192">
        <v>331.5</v>
      </c>
      <c r="Q137" s="192">
        <v>331.5</v>
      </c>
      <c r="R137" s="192">
        <v>390</v>
      </c>
      <c r="S137" s="192">
        <v>390</v>
      </c>
      <c r="T137" s="192">
        <v>470</v>
      </c>
      <c r="U137" s="192">
        <v>470</v>
      </c>
      <c r="V137" s="192">
        <v>635</v>
      </c>
      <c r="W137" s="192">
        <v>470</v>
      </c>
      <c r="X137" s="192">
        <v>470</v>
      </c>
      <c r="Y137" s="192">
        <v>660</v>
      </c>
      <c r="Z137" s="192">
        <v>660</v>
      </c>
      <c r="AA137" s="192">
        <v>641.9</v>
      </c>
    </row>
    <row r="138" spans="2:27" ht="12" hidden="1" customHeight="1">
      <c r="B138" s="173" t="s">
        <v>761</v>
      </c>
      <c r="C138" s="173" t="s">
        <v>502</v>
      </c>
      <c r="D138" s="173" t="s">
        <v>683</v>
      </c>
      <c r="E138" s="173" t="s">
        <v>1183</v>
      </c>
      <c r="F138" s="192">
        <v>0</v>
      </c>
      <c r="G138" s="196">
        <v>44805</v>
      </c>
      <c r="H138" s="196"/>
      <c r="I138" s="192">
        <v>564</v>
      </c>
      <c r="J138" s="192">
        <v>395</v>
      </c>
      <c r="K138" s="192">
        <v>395</v>
      </c>
      <c r="L138" s="192">
        <v>395</v>
      </c>
      <c r="M138" s="192">
        <v>474</v>
      </c>
      <c r="N138" s="192">
        <v>474</v>
      </c>
      <c r="O138" s="192">
        <v>632</v>
      </c>
      <c r="P138" s="192">
        <v>316</v>
      </c>
      <c r="Q138" s="192">
        <v>500</v>
      </c>
      <c r="R138" s="192">
        <v>500</v>
      </c>
      <c r="S138" s="192">
        <v>500</v>
      </c>
      <c r="T138" s="192">
        <v>500</v>
      </c>
      <c r="U138" s="192">
        <v>500</v>
      </c>
      <c r="V138" s="192">
        <v>515</v>
      </c>
      <c r="W138" s="192">
        <v>500</v>
      </c>
      <c r="X138" s="192">
        <v>500</v>
      </c>
      <c r="Y138" s="192">
        <v>500</v>
      </c>
      <c r="Z138" s="192">
        <v>500</v>
      </c>
      <c r="AA138" s="192">
        <v>500</v>
      </c>
    </row>
    <row r="139" spans="2:27" ht="12" hidden="1" customHeight="1">
      <c r="B139" s="173" t="s">
        <v>763</v>
      </c>
      <c r="C139" s="173" t="s">
        <v>567</v>
      </c>
      <c r="D139" s="173" t="s">
        <v>637</v>
      </c>
      <c r="E139" s="173" t="s">
        <v>1307</v>
      </c>
      <c r="F139" s="192" t="s">
        <v>343</v>
      </c>
      <c r="G139" s="196">
        <v>45139</v>
      </c>
      <c r="H139" s="196">
        <v>46234</v>
      </c>
      <c r="I139" s="192">
        <v>485</v>
      </c>
      <c r="J139" s="192">
        <v>470</v>
      </c>
      <c r="K139" s="192">
        <v>470</v>
      </c>
      <c r="L139" s="192">
        <v>470</v>
      </c>
      <c r="M139" s="192">
        <v>470</v>
      </c>
      <c r="N139" s="192">
        <v>470</v>
      </c>
      <c r="O139" s="192">
        <v>470</v>
      </c>
      <c r="P139" s="192">
        <v>485</v>
      </c>
      <c r="Q139" s="192">
        <v>485</v>
      </c>
      <c r="R139" s="192">
        <v>485</v>
      </c>
      <c r="S139" s="192">
        <v>485</v>
      </c>
      <c r="T139" s="192">
        <v>485</v>
      </c>
      <c r="U139" s="192">
        <v>485</v>
      </c>
      <c r="V139" s="192">
        <v>485</v>
      </c>
      <c r="W139" s="192">
        <v>485</v>
      </c>
      <c r="X139" s="192">
        <v>485</v>
      </c>
      <c r="Y139" s="192">
        <v>485</v>
      </c>
      <c r="Z139" s="192">
        <v>485</v>
      </c>
      <c r="AA139" s="192">
        <v>485</v>
      </c>
    </row>
    <row r="140" spans="2:27" ht="12" hidden="1" customHeight="1">
      <c r="B140" s="173" t="s">
        <v>765</v>
      </c>
      <c r="C140" s="173" t="s">
        <v>502</v>
      </c>
      <c r="D140" s="173" t="s">
        <v>683</v>
      </c>
      <c r="E140" s="173" t="s">
        <v>1183</v>
      </c>
      <c r="F140" s="192" t="s">
        <v>343</v>
      </c>
      <c r="G140" s="196">
        <v>45778</v>
      </c>
      <c r="H140" s="196"/>
      <c r="I140" s="192" t="s">
        <v>343</v>
      </c>
      <c r="J140" s="192" t="s">
        <v>343</v>
      </c>
      <c r="K140" s="192" t="s">
        <v>343</v>
      </c>
      <c r="L140" s="192" t="s">
        <v>343</v>
      </c>
      <c r="M140" s="192">
        <v>640</v>
      </c>
      <c r="N140" s="192">
        <v>403.75</v>
      </c>
      <c r="O140" s="192">
        <v>403.75</v>
      </c>
      <c r="P140" s="192">
        <v>475</v>
      </c>
      <c r="Q140" s="192">
        <v>475</v>
      </c>
      <c r="R140" s="192">
        <v>475</v>
      </c>
      <c r="S140" s="192">
        <v>475</v>
      </c>
      <c r="T140" s="192">
        <v>475</v>
      </c>
      <c r="U140" s="192">
        <v>475</v>
      </c>
      <c r="V140" s="192">
        <v>475</v>
      </c>
      <c r="W140" s="192">
        <v>475</v>
      </c>
      <c r="X140" s="192">
        <v>475</v>
      </c>
      <c r="Y140" s="192">
        <v>495</v>
      </c>
      <c r="Z140" s="192">
        <v>495</v>
      </c>
      <c r="AA140" s="192">
        <v>495</v>
      </c>
    </row>
    <row r="141" spans="2:27" ht="12" hidden="1" customHeight="1">
      <c r="B141" s="173" t="s">
        <v>766</v>
      </c>
      <c r="C141" s="173" t="s">
        <v>502</v>
      </c>
      <c r="D141" s="173" t="s">
        <v>683</v>
      </c>
      <c r="E141" s="173" t="s">
        <v>1183</v>
      </c>
      <c r="F141" s="192" t="s">
        <v>343</v>
      </c>
      <c r="G141" s="196">
        <v>45474</v>
      </c>
      <c r="H141" s="196"/>
      <c r="I141" s="192">
        <v>395</v>
      </c>
      <c r="J141" s="192">
        <v>395</v>
      </c>
      <c r="K141" s="192">
        <v>395</v>
      </c>
      <c r="L141" s="192">
        <v>395</v>
      </c>
      <c r="M141" s="192">
        <v>395</v>
      </c>
      <c r="N141" s="192">
        <v>395</v>
      </c>
      <c r="O141" s="192">
        <v>400</v>
      </c>
      <c r="P141" s="192">
        <v>400</v>
      </c>
      <c r="Q141" s="192">
        <v>400</v>
      </c>
      <c r="R141" s="192">
        <v>1225</v>
      </c>
      <c r="S141" s="192">
        <v>400</v>
      </c>
      <c r="T141" s="192">
        <v>400</v>
      </c>
      <c r="U141" s="192">
        <v>400</v>
      </c>
      <c r="V141" s="192">
        <v>400</v>
      </c>
      <c r="W141" s="192">
        <v>400</v>
      </c>
      <c r="X141" s="192">
        <v>400</v>
      </c>
      <c r="Y141" s="192">
        <v>400</v>
      </c>
      <c r="Z141" s="192">
        <v>400</v>
      </c>
      <c r="AA141" s="192">
        <v>418</v>
      </c>
    </row>
    <row r="142" spans="2:27" ht="12" hidden="1" customHeight="1">
      <c r="B142" s="173" t="s">
        <v>767</v>
      </c>
      <c r="C142" s="173" t="s">
        <v>567</v>
      </c>
      <c r="D142" s="173" t="s">
        <v>637</v>
      </c>
      <c r="E142" s="173" t="s">
        <v>1307</v>
      </c>
      <c r="F142" s="192" t="s">
        <v>343</v>
      </c>
      <c r="G142" s="196">
        <v>44652</v>
      </c>
      <c r="H142" s="196">
        <v>46234</v>
      </c>
      <c r="I142" s="192">
        <v>500</v>
      </c>
      <c r="J142" s="192">
        <v>440</v>
      </c>
      <c r="K142" s="192">
        <v>440</v>
      </c>
      <c r="L142" s="192">
        <v>440</v>
      </c>
      <c r="M142" s="192">
        <v>440</v>
      </c>
      <c r="N142" s="192">
        <v>440</v>
      </c>
      <c r="O142" s="192">
        <v>460</v>
      </c>
      <c r="P142" s="192">
        <v>460</v>
      </c>
      <c r="Q142" s="192">
        <v>460</v>
      </c>
      <c r="R142" s="192">
        <v>460</v>
      </c>
      <c r="S142" s="192">
        <v>460</v>
      </c>
      <c r="T142" s="192">
        <v>460</v>
      </c>
      <c r="U142" s="192">
        <v>460</v>
      </c>
      <c r="V142" s="192">
        <v>520</v>
      </c>
      <c r="W142" s="192">
        <v>460</v>
      </c>
      <c r="X142" s="192">
        <v>460</v>
      </c>
      <c r="Y142" s="192">
        <v>460</v>
      </c>
      <c r="Z142" s="192">
        <v>460</v>
      </c>
      <c r="AA142" s="192">
        <v>460</v>
      </c>
    </row>
    <row r="143" spans="2:27" ht="12" hidden="1" customHeight="1">
      <c r="B143" s="173" t="s">
        <v>768</v>
      </c>
      <c r="C143" s="173" t="s">
        <v>567</v>
      </c>
      <c r="D143" s="173" t="s">
        <v>503</v>
      </c>
      <c r="E143" s="173" t="s">
        <v>1306</v>
      </c>
      <c r="F143" s="192">
        <v>0</v>
      </c>
      <c r="G143" s="196">
        <v>45444</v>
      </c>
      <c r="H143" s="196">
        <v>46173</v>
      </c>
      <c r="I143" s="192">
        <v>560</v>
      </c>
      <c r="J143" s="192">
        <v>680</v>
      </c>
      <c r="K143" s="192">
        <v>560</v>
      </c>
      <c r="L143" s="192">
        <v>560</v>
      </c>
      <c r="M143" s="192">
        <v>560</v>
      </c>
      <c r="N143" s="192">
        <v>588</v>
      </c>
      <c r="O143" s="192">
        <v>588</v>
      </c>
      <c r="P143" s="192">
        <v>588</v>
      </c>
      <c r="Q143" s="192">
        <v>588</v>
      </c>
      <c r="R143" s="192">
        <v>588</v>
      </c>
      <c r="S143" s="192">
        <v>588</v>
      </c>
      <c r="T143" s="192">
        <v>588</v>
      </c>
      <c r="U143" s="192">
        <v>588</v>
      </c>
      <c r="V143" s="192">
        <v>588</v>
      </c>
      <c r="W143" s="192">
        <v>649</v>
      </c>
      <c r="X143" s="192">
        <v>344</v>
      </c>
      <c r="Y143" s="192">
        <v>466</v>
      </c>
      <c r="Z143" s="192" t="s">
        <v>343</v>
      </c>
      <c r="AA143" s="192" t="s">
        <v>343</v>
      </c>
    </row>
    <row r="144" spans="2:27" ht="12" hidden="1" customHeight="1">
      <c r="B144" s="173" t="s">
        <v>770</v>
      </c>
      <c r="C144" s="173" t="s">
        <v>502</v>
      </c>
      <c r="D144" s="173" t="s">
        <v>683</v>
      </c>
      <c r="E144" s="173" t="s">
        <v>1183</v>
      </c>
      <c r="F144" s="192" t="s">
        <v>343</v>
      </c>
      <c r="G144" s="196">
        <v>45444</v>
      </c>
      <c r="H144" s="196"/>
      <c r="I144" s="192">
        <v>330</v>
      </c>
      <c r="J144" s="192">
        <v>300</v>
      </c>
      <c r="K144" s="192">
        <v>300</v>
      </c>
      <c r="L144" s="192">
        <v>300</v>
      </c>
      <c r="M144" s="192">
        <v>300</v>
      </c>
      <c r="N144" s="192">
        <v>325</v>
      </c>
      <c r="O144" s="192">
        <v>325</v>
      </c>
      <c r="P144" s="192">
        <v>325</v>
      </c>
      <c r="Q144" s="192">
        <v>325</v>
      </c>
      <c r="R144" s="192">
        <v>1090</v>
      </c>
      <c r="S144" s="192">
        <v>325</v>
      </c>
      <c r="T144" s="192">
        <v>325</v>
      </c>
      <c r="U144" s="192">
        <v>325</v>
      </c>
      <c r="V144" s="192">
        <v>355</v>
      </c>
      <c r="W144" s="192">
        <v>1090</v>
      </c>
      <c r="X144" s="192">
        <v>325</v>
      </c>
      <c r="Y144" s="192">
        <v>325</v>
      </c>
      <c r="Z144" s="192">
        <v>375</v>
      </c>
      <c r="AA144" s="192">
        <v>375</v>
      </c>
    </row>
    <row r="145" spans="2:27" ht="12" hidden="1" customHeight="1">
      <c r="B145" s="173" t="s">
        <v>772</v>
      </c>
      <c r="C145" s="173" t="s">
        <v>502</v>
      </c>
      <c r="D145" s="173" t="s">
        <v>683</v>
      </c>
      <c r="E145" s="173" t="s">
        <v>1183</v>
      </c>
      <c r="F145" s="192" t="s">
        <v>343</v>
      </c>
      <c r="G145" s="196">
        <v>45992</v>
      </c>
      <c r="H145" s="196"/>
      <c r="I145" s="192" t="s">
        <v>343</v>
      </c>
      <c r="J145" s="192" t="s">
        <v>343</v>
      </c>
      <c r="K145" s="192" t="s">
        <v>343</v>
      </c>
      <c r="L145" s="192" t="s">
        <v>343</v>
      </c>
      <c r="M145" s="192" t="s">
        <v>343</v>
      </c>
      <c r="N145" s="192" t="s">
        <v>343</v>
      </c>
      <c r="O145" s="192" t="s">
        <v>343</v>
      </c>
      <c r="P145" s="192" t="s">
        <v>343</v>
      </c>
      <c r="Q145" s="192" t="s">
        <v>343</v>
      </c>
      <c r="R145" s="192" t="s">
        <v>343</v>
      </c>
      <c r="S145" s="192" t="s">
        <v>343</v>
      </c>
      <c r="T145" s="192">
        <v>695</v>
      </c>
      <c r="U145" s="192">
        <v>616.25</v>
      </c>
      <c r="V145" s="192">
        <v>616.25</v>
      </c>
      <c r="W145" s="192">
        <v>725</v>
      </c>
      <c r="X145" s="192">
        <v>725</v>
      </c>
      <c r="Y145" s="192">
        <v>725</v>
      </c>
      <c r="Z145" s="192">
        <v>725</v>
      </c>
      <c r="AA145" s="192">
        <v>725</v>
      </c>
    </row>
    <row r="146" spans="2:27" ht="12" hidden="1" customHeight="1">
      <c r="B146" s="173" t="s">
        <v>773</v>
      </c>
      <c r="C146" s="173" t="s">
        <v>567</v>
      </c>
      <c r="D146" s="173" t="s">
        <v>503</v>
      </c>
      <c r="E146" s="173" t="s">
        <v>1306</v>
      </c>
      <c r="F146" s="192">
        <v>4</v>
      </c>
      <c r="G146" s="196">
        <v>45505</v>
      </c>
      <c r="H146" s="196">
        <v>46234</v>
      </c>
      <c r="I146" s="192">
        <v>553</v>
      </c>
      <c r="J146" s="192">
        <v>568</v>
      </c>
      <c r="K146" s="192">
        <v>553</v>
      </c>
      <c r="L146" s="192">
        <v>553</v>
      </c>
      <c r="M146" s="192">
        <v>553</v>
      </c>
      <c r="N146" s="192">
        <v>553</v>
      </c>
      <c r="O146" s="192">
        <v>553</v>
      </c>
      <c r="P146" s="192">
        <v>575</v>
      </c>
      <c r="Q146" s="192">
        <v>575</v>
      </c>
      <c r="R146" s="192">
        <v>575</v>
      </c>
      <c r="S146" s="192">
        <v>575</v>
      </c>
      <c r="T146" s="192">
        <v>575</v>
      </c>
      <c r="U146" s="192">
        <v>575</v>
      </c>
      <c r="V146" s="192">
        <v>350</v>
      </c>
      <c r="W146" s="192">
        <v>350</v>
      </c>
      <c r="X146" s="192">
        <v>350</v>
      </c>
      <c r="Y146" s="192">
        <v>350</v>
      </c>
      <c r="Z146" s="192">
        <v>350</v>
      </c>
      <c r="AA146" s="192">
        <v>350</v>
      </c>
    </row>
    <row r="147" spans="2:27" ht="12" hidden="1" customHeight="1">
      <c r="B147" s="173" t="s">
        <v>775</v>
      </c>
      <c r="C147" s="173" t="s">
        <v>567</v>
      </c>
      <c r="D147" s="173" t="s">
        <v>683</v>
      </c>
      <c r="E147" s="173" t="s">
        <v>1183</v>
      </c>
      <c r="F147" s="192" t="s">
        <v>343</v>
      </c>
      <c r="G147" s="196">
        <v>45597</v>
      </c>
      <c r="H147" s="196">
        <v>46173</v>
      </c>
      <c r="I147" s="192">
        <v>550</v>
      </c>
      <c r="J147" s="192">
        <v>450</v>
      </c>
      <c r="K147" s="192">
        <v>450</v>
      </c>
      <c r="L147" s="192">
        <v>450</v>
      </c>
      <c r="M147" s="192">
        <v>450</v>
      </c>
      <c r="N147" s="192">
        <v>450</v>
      </c>
      <c r="O147" s="192">
        <v>450</v>
      </c>
      <c r="P147" s="192">
        <v>450</v>
      </c>
      <c r="Q147" s="192">
        <v>500</v>
      </c>
      <c r="R147" s="192">
        <v>600</v>
      </c>
      <c r="S147" s="192">
        <v>600</v>
      </c>
      <c r="T147" s="192">
        <v>600</v>
      </c>
      <c r="U147" s="192">
        <v>645</v>
      </c>
      <c r="V147" s="192">
        <v>600</v>
      </c>
      <c r="W147" s="192">
        <v>500</v>
      </c>
      <c r="X147" s="192">
        <v>500</v>
      </c>
      <c r="Y147" s="192">
        <v>500</v>
      </c>
      <c r="Z147" s="192" t="s">
        <v>343</v>
      </c>
      <c r="AA147" s="192" t="s">
        <v>343</v>
      </c>
    </row>
    <row r="148" spans="2:27" ht="12" hidden="1" customHeight="1">
      <c r="B148" s="173" t="s">
        <v>776</v>
      </c>
      <c r="C148" s="173" t="s">
        <v>502</v>
      </c>
      <c r="D148" s="173" t="s">
        <v>503</v>
      </c>
      <c r="E148" s="173" t="s">
        <v>1306</v>
      </c>
      <c r="F148" s="192">
        <v>17</v>
      </c>
      <c r="G148" s="196">
        <v>46082</v>
      </c>
      <c r="H148" s="196"/>
      <c r="I148" s="192" t="s">
        <v>343</v>
      </c>
      <c r="J148" s="192" t="s">
        <v>343</v>
      </c>
      <c r="K148" s="192" t="s">
        <v>343</v>
      </c>
      <c r="L148" s="192" t="s">
        <v>343</v>
      </c>
      <c r="M148" s="192" t="s">
        <v>343</v>
      </c>
      <c r="N148" s="192" t="s">
        <v>343</v>
      </c>
      <c r="O148" s="192" t="s">
        <v>343</v>
      </c>
      <c r="P148" s="192" t="s">
        <v>343</v>
      </c>
      <c r="Q148" s="192" t="s">
        <v>343</v>
      </c>
      <c r="R148" s="192" t="s">
        <v>343</v>
      </c>
      <c r="S148" s="192" t="s">
        <v>343</v>
      </c>
      <c r="T148" s="192" t="s">
        <v>343</v>
      </c>
      <c r="U148" s="192" t="s">
        <v>343</v>
      </c>
      <c r="V148" s="192" t="s">
        <v>343</v>
      </c>
      <c r="W148" s="192">
        <v>1425</v>
      </c>
      <c r="X148" s="192">
        <v>705</v>
      </c>
      <c r="Y148" s="192">
        <v>947.4</v>
      </c>
      <c r="Z148" s="192">
        <v>1094</v>
      </c>
      <c r="AA148" s="192">
        <v>1317</v>
      </c>
    </row>
    <row r="149" spans="2:27" ht="12" hidden="1" customHeight="1">
      <c r="B149" s="173" t="s">
        <v>777</v>
      </c>
      <c r="C149" s="173" t="s">
        <v>502</v>
      </c>
      <c r="D149" s="173" t="s">
        <v>503</v>
      </c>
      <c r="E149" s="173" t="s">
        <v>1306</v>
      </c>
      <c r="F149" s="192">
        <v>4</v>
      </c>
      <c r="G149" s="196">
        <v>45748</v>
      </c>
      <c r="H149" s="196"/>
      <c r="I149" s="192" t="s">
        <v>343</v>
      </c>
      <c r="J149" s="192" t="s">
        <v>343</v>
      </c>
      <c r="K149" s="192" t="s">
        <v>343</v>
      </c>
      <c r="L149" s="192">
        <v>640</v>
      </c>
      <c r="M149" s="192">
        <v>340</v>
      </c>
      <c r="N149" s="192">
        <v>340</v>
      </c>
      <c r="O149" s="192">
        <v>400</v>
      </c>
      <c r="P149" s="192">
        <v>400</v>
      </c>
      <c r="Q149" s="192">
        <v>400</v>
      </c>
      <c r="R149" s="192">
        <v>400</v>
      </c>
      <c r="S149" s="192">
        <v>400</v>
      </c>
      <c r="T149" s="192">
        <v>400</v>
      </c>
      <c r="U149" s="192">
        <v>400</v>
      </c>
      <c r="V149" s="192">
        <v>550</v>
      </c>
      <c r="W149" s="192">
        <v>475</v>
      </c>
      <c r="X149" s="192">
        <v>495</v>
      </c>
      <c r="Y149" s="192">
        <v>495</v>
      </c>
      <c r="Z149" s="192">
        <v>495</v>
      </c>
      <c r="AA149" s="192">
        <v>495</v>
      </c>
    </row>
    <row r="150" spans="2:27" ht="12" customHeight="1">
      <c r="B150" s="173" t="s">
        <v>688</v>
      </c>
      <c r="C150" s="173" t="s">
        <v>567</v>
      </c>
      <c r="D150" s="173" t="s">
        <v>503</v>
      </c>
      <c r="E150" s="173" t="s">
        <v>1306</v>
      </c>
      <c r="F150" s="192">
        <v>13</v>
      </c>
      <c r="G150" s="196">
        <v>45627</v>
      </c>
      <c r="H150" s="196">
        <v>46112</v>
      </c>
      <c r="I150" s="192">
        <v>1150</v>
      </c>
      <c r="J150" s="192">
        <v>1630</v>
      </c>
      <c r="K150" s="192">
        <v>1000</v>
      </c>
      <c r="L150" s="192">
        <v>1000</v>
      </c>
      <c r="M150" s="192">
        <v>1500</v>
      </c>
      <c r="N150" s="192">
        <v>1075</v>
      </c>
      <c r="O150" s="192">
        <v>1075</v>
      </c>
      <c r="P150" s="192">
        <v>1075</v>
      </c>
      <c r="Q150" s="192">
        <v>1225</v>
      </c>
      <c r="R150" s="192">
        <v>1075</v>
      </c>
      <c r="S150" s="192">
        <v>1545</v>
      </c>
      <c r="T150" s="192">
        <v>1285</v>
      </c>
      <c r="U150" s="192">
        <v>1285</v>
      </c>
      <c r="V150" s="192">
        <v>1735</v>
      </c>
      <c r="W150" s="192">
        <v>1330</v>
      </c>
      <c r="X150" s="192">
        <v>0</v>
      </c>
      <c r="Y150" s="192" t="s">
        <v>343</v>
      </c>
      <c r="Z150" s="192" t="s">
        <v>343</v>
      </c>
      <c r="AA150" s="192" t="s">
        <v>343</v>
      </c>
    </row>
    <row r="151" spans="2:27" ht="12" hidden="1" customHeight="1">
      <c r="B151" s="173" t="s">
        <v>780</v>
      </c>
      <c r="C151" s="173" t="s">
        <v>567</v>
      </c>
      <c r="D151" s="173" t="s">
        <v>637</v>
      </c>
      <c r="E151" s="173" t="s">
        <v>1307</v>
      </c>
      <c r="F151" s="192" t="s">
        <v>343</v>
      </c>
      <c r="G151" s="196">
        <v>44927</v>
      </c>
      <c r="H151" s="196">
        <v>46234</v>
      </c>
      <c r="I151" s="192">
        <v>440</v>
      </c>
      <c r="J151" s="192">
        <v>455</v>
      </c>
      <c r="K151" s="192">
        <v>440</v>
      </c>
      <c r="L151" s="192">
        <v>440</v>
      </c>
      <c r="M151" s="192">
        <v>440</v>
      </c>
      <c r="N151" s="192">
        <v>440</v>
      </c>
      <c r="O151" s="192">
        <v>440</v>
      </c>
      <c r="P151" s="192">
        <v>440</v>
      </c>
      <c r="Q151" s="192">
        <v>440</v>
      </c>
      <c r="R151" s="192">
        <v>440</v>
      </c>
      <c r="S151" s="192">
        <v>440</v>
      </c>
      <c r="T151" s="192">
        <v>440</v>
      </c>
      <c r="U151" s="192">
        <v>455</v>
      </c>
      <c r="V151" s="192">
        <v>455</v>
      </c>
      <c r="W151" s="192">
        <v>455</v>
      </c>
      <c r="X151" s="192">
        <v>455</v>
      </c>
      <c r="Y151" s="192">
        <v>455</v>
      </c>
      <c r="Z151" s="192">
        <v>455</v>
      </c>
      <c r="AA151" s="192">
        <v>455</v>
      </c>
    </row>
    <row r="152" spans="2:27" ht="12" hidden="1" customHeight="1">
      <c r="B152" s="173" t="s">
        <v>783</v>
      </c>
      <c r="C152" s="173" t="s">
        <v>502</v>
      </c>
      <c r="D152" s="173" t="s">
        <v>683</v>
      </c>
      <c r="E152" s="173" t="s">
        <v>1183</v>
      </c>
      <c r="F152" s="192" t="s">
        <v>343</v>
      </c>
      <c r="G152" s="196">
        <v>45566</v>
      </c>
      <c r="H152" s="196"/>
      <c r="I152" s="192">
        <v>395</v>
      </c>
      <c r="J152" s="192">
        <v>785</v>
      </c>
      <c r="K152" s="192">
        <v>395</v>
      </c>
      <c r="L152" s="192">
        <v>395</v>
      </c>
      <c r="M152" s="192">
        <v>395</v>
      </c>
      <c r="N152" s="192">
        <v>395</v>
      </c>
      <c r="O152" s="192">
        <v>395</v>
      </c>
      <c r="P152" s="192">
        <v>395</v>
      </c>
      <c r="Q152" s="192">
        <v>395</v>
      </c>
      <c r="R152" s="192">
        <v>425</v>
      </c>
      <c r="S152" s="192">
        <v>425</v>
      </c>
      <c r="T152" s="192">
        <v>425</v>
      </c>
      <c r="U152" s="192">
        <v>425</v>
      </c>
      <c r="V152" s="192">
        <v>665</v>
      </c>
      <c r="W152" s="192">
        <v>425</v>
      </c>
      <c r="X152" s="192">
        <v>425</v>
      </c>
      <c r="Y152" s="192">
        <v>425</v>
      </c>
      <c r="Z152" s="192">
        <v>425</v>
      </c>
      <c r="AA152" s="192">
        <v>425</v>
      </c>
    </row>
    <row r="153" spans="2:27" ht="12" hidden="1" customHeight="1">
      <c r="B153" s="173" t="s">
        <v>784</v>
      </c>
      <c r="C153" s="173" t="s">
        <v>502</v>
      </c>
      <c r="D153" s="173" t="s">
        <v>683</v>
      </c>
      <c r="E153" s="173" t="s">
        <v>1183</v>
      </c>
      <c r="F153" s="192" t="s">
        <v>343</v>
      </c>
      <c r="G153" s="196">
        <v>45658</v>
      </c>
      <c r="H153" s="196"/>
      <c r="I153" s="192">
        <v>474</v>
      </c>
      <c r="J153" s="192">
        <v>568</v>
      </c>
      <c r="K153" s="192">
        <v>553</v>
      </c>
      <c r="L153" s="192">
        <v>553</v>
      </c>
      <c r="M153" s="192">
        <v>237</v>
      </c>
      <c r="N153" s="192">
        <v>400</v>
      </c>
      <c r="O153" s="192">
        <v>450</v>
      </c>
      <c r="P153" s="192">
        <v>450</v>
      </c>
      <c r="Q153" s="192">
        <v>450</v>
      </c>
      <c r="R153" s="192">
        <v>500</v>
      </c>
      <c r="S153" s="192">
        <v>450</v>
      </c>
      <c r="T153" s="192">
        <v>450</v>
      </c>
      <c r="U153" s="192">
        <v>450</v>
      </c>
      <c r="V153" s="192">
        <v>400</v>
      </c>
      <c r="W153" s="192">
        <v>400</v>
      </c>
      <c r="X153" s="192">
        <v>400</v>
      </c>
      <c r="Y153" s="192">
        <v>400</v>
      </c>
      <c r="Z153" s="192">
        <v>410</v>
      </c>
      <c r="AA153" s="192">
        <v>410</v>
      </c>
    </row>
    <row r="154" spans="2:27" ht="12" hidden="1" customHeight="1">
      <c r="B154" s="173" t="s">
        <v>785</v>
      </c>
      <c r="C154" s="173" t="s">
        <v>502</v>
      </c>
      <c r="D154" s="173" t="s">
        <v>503</v>
      </c>
      <c r="E154" s="173" t="s">
        <v>1306</v>
      </c>
      <c r="F154" s="192">
        <v>13</v>
      </c>
      <c r="G154" s="196">
        <v>46113</v>
      </c>
      <c r="H154" s="196"/>
      <c r="I154" s="192" t="s">
        <v>343</v>
      </c>
      <c r="J154" s="192" t="s">
        <v>343</v>
      </c>
      <c r="K154" s="192" t="s">
        <v>343</v>
      </c>
      <c r="L154" s="192" t="s">
        <v>343</v>
      </c>
      <c r="M154" s="192" t="s">
        <v>343</v>
      </c>
      <c r="N154" s="192" t="s">
        <v>343</v>
      </c>
      <c r="O154" s="192" t="s">
        <v>343</v>
      </c>
      <c r="P154" s="192" t="s">
        <v>343</v>
      </c>
      <c r="Q154" s="192" t="s">
        <v>343</v>
      </c>
      <c r="R154" s="192" t="s">
        <v>343</v>
      </c>
      <c r="S154" s="192" t="s">
        <v>343</v>
      </c>
      <c r="T154" s="192" t="s">
        <v>343</v>
      </c>
      <c r="U154" s="192" t="s">
        <v>343</v>
      </c>
      <c r="V154" s="192" t="s">
        <v>343</v>
      </c>
      <c r="W154" s="192" t="s">
        <v>343</v>
      </c>
      <c r="X154" s="192">
        <v>1360</v>
      </c>
      <c r="Y154" s="192">
        <v>1430</v>
      </c>
      <c r="Z154" s="192">
        <v>1430</v>
      </c>
      <c r="AA154" s="192">
        <v>935</v>
      </c>
    </row>
    <row r="155" spans="2:27" ht="12" hidden="1" customHeight="1">
      <c r="B155" s="173" t="s">
        <v>787</v>
      </c>
      <c r="C155" s="173" t="s">
        <v>502</v>
      </c>
      <c r="D155" s="173" t="s">
        <v>503</v>
      </c>
      <c r="E155" s="173" t="s">
        <v>1306</v>
      </c>
      <c r="F155" s="192">
        <v>5</v>
      </c>
      <c r="G155" s="196">
        <v>45870</v>
      </c>
      <c r="H155" s="196"/>
      <c r="I155" s="192" t="s">
        <v>343</v>
      </c>
      <c r="J155" s="192" t="s">
        <v>343</v>
      </c>
      <c r="K155" s="192" t="s">
        <v>343</v>
      </c>
      <c r="L155" s="192" t="s">
        <v>343</v>
      </c>
      <c r="M155" s="192" t="s">
        <v>343</v>
      </c>
      <c r="N155" s="192" t="s">
        <v>343</v>
      </c>
      <c r="O155" s="192" t="s">
        <v>343</v>
      </c>
      <c r="P155" s="192" t="s">
        <v>343</v>
      </c>
      <c r="Q155" s="192" t="s">
        <v>343</v>
      </c>
      <c r="R155" s="192" t="s">
        <v>343</v>
      </c>
      <c r="S155" s="192">
        <v>715</v>
      </c>
      <c r="T155" s="192">
        <v>490</v>
      </c>
      <c r="U155" s="192">
        <v>490</v>
      </c>
      <c r="V155" s="192">
        <v>520</v>
      </c>
      <c r="W155" s="192">
        <v>520</v>
      </c>
      <c r="X155" s="192">
        <v>625</v>
      </c>
      <c r="Y155" s="192">
        <v>625</v>
      </c>
      <c r="Z155" s="192">
        <v>539.86</v>
      </c>
      <c r="AA155" s="192">
        <v>625</v>
      </c>
    </row>
    <row r="156" spans="2:27" ht="12" hidden="1" customHeight="1">
      <c r="B156" s="173" t="s">
        <v>788</v>
      </c>
      <c r="C156" s="173" t="s">
        <v>502</v>
      </c>
      <c r="D156" s="173" t="s">
        <v>683</v>
      </c>
      <c r="E156" s="173" t="s">
        <v>1183</v>
      </c>
      <c r="F156" s="192" t="s">
        <v>343</v>
      </c>
      <c r="G156" s="196">
        <v>45870</v>
      </c>
      <c r="H156" s="196"/>
      <c r="I156" s="192" t="s">
        <v>343</v>
      </c>
      <c r="J156" s="192" t="s">
        <v>343</v>
      </c>
      <c r="K156" s="192" t="s">
        <v>343</v>
      </c>
      <c r="L156" s="192" t="s">
        <v>343</v>
      </c>
      <c r="M156" s="192" t="s">
        <v>343</v>
      </c>
      <c r="N156" s="192" t="s">
        <v>343</v>
      </c>
      <c r="O156" s="192" t="s">
        <v>343</v>
      </c>
      <c r="P156" s="192">
        <v>425</v>
      </c>
      <c r="Q156" s="192">
        <v>350</v>
      </c>
      <c r="R156" s="192">
        <v>350</v>
      </c>
      <c r="S156" s="192">
        <v>410</v>
      </c>
      <c r="T156" s="192">
        <v>410</v>
      </c>
      <c r="U156" s="192">
        <v>622.5</v>
      </c>
      <c r="V156" s="192">
        <v>500</v>
      </c>
      <c r="W156" s="192">
        <v>410</v>
      </c>
      <c r="X156" s="192">
        <v>410</v>
      </c>
      <c r="Y156" s="192">
        <v>410</v>
      </c>
      <c r="Z156" s="192">
        <v>410</v>
      </c>
      <c r="AA156" s="192">
        <v>410</v>
      </c>
    </row>
    <row r="157" spans="2:27" ht="12" customHeight="1">
      <c r="B157" s="173" t="s">
        <v>789</v>
      </c>
      <c r="C157" s="173" t="s">
        <v>567</v>
      </c>
      <c r="D157" s="173" t="s">
        <v>503</v>
      </c>
      <c r="E157" s="173" t="s">
        <v>1306</v>
      </c>
      <c r="F157" s="192">
        <v>14</v>
      </c>
      <c r="G157" s="196">
        <v>44896</v>
      </c>
      <c r="H157" s="196">
        <v>46112</v>
      </c>
      <c r="I157" s="192">
        <v>755</v>
      </c>
      <c r="J157" s="192">
        <v>560</v>
      </c>
      <c r="K157" s="192">
        <v>475</v>
      </c>
      <c r="L157" s="192">
        <v>475</v>
      </c>
      <c r="M157" s="192">
        <v>475</v>
      </c>
      <c r="N157" s="192">
        <v>475</v>
      </c>
      <c r="O157" s="192">
        <v>475</v>
      </c>
      <c r="P157" s="192">
        <v>560</v>
      </c>
      <c r="Q157" s="192">
        <v>560</v>
      </c>
      <c r="R157" s="192">
        <v>815</v>
      </c>
      <c r="S157" s="192">
        <v>560</v>
      </c>
      <c r="T157" s="192">
        <v>585</v>
      </c>
      <c r="U157" s="192">
        <v>670</v>
      </c>
      <c r="V157" s="192">
        <v>1045</v>
      </c>
      <c r="W157" s="192">
        <v>285</v>
      </c>
      <c r="X157" s="192" t="s">
        <v>343</v>
      </c>
      <c r="Y157" s="192" t="s">
        <v>343</v>
      </c>
      <c r="Z157" s="192" t="s">
        <v>343</v>
      </c>
      <c r="AA157" s="192" t="s">
        <v>343</v>
      </c>
    </row>
    <row r="158" spans="2:27" ht="12" hidden="1" customHeight="1">
      <c r="B158" s="173" t="s">
        <v>791</v>
      </c>
      <c r="C158" s="173" t="s">
        <v>502</v>
      </c>
      <c r="D158" s="173" t="s">
        <v>683</v>
      </c>
      <c r="E158" s="173" t="s">
        <v>1183</v>
      </c>
      <c r="F158" s="192">
        <v>0</v>
      </c>
      <c r="G158" s="196">
        <v>44866</v>
      </c>
      <c r="H158" s="196"/>
      <c r="I158" s="192">
        <v>400</v>
      </c>
      <c r="J158" s="192">
        <v>400</v>
      </c>
      <c r="K158" s="192">
        <v>470</v>
      </c>
      <c r="L158" s="192">
        <v>330</v>
      </c>
      <c r="M158" s="192">
        <v>400</v>
      </c>
      <c r="N158" s="192">
        <v>400</v>
      </c>
      <c r="O158" s="192">
        <v>400</v>
      </c>
      <c r="P158" s="192">
        <v>400</v>
      </c>
      <c r="Q158" s="192">
        <v>400</v>
      </c>
      <c r="R158" s="192">
        <v>400</v>
      </c>
      <c r="S158" s="192">
        <v>425</v>
      </c>
      <c r="T158" s="192">
        <v>425</v>
      </c>
      <c r="U158" s="192">
        <v>425</v>
      </c>
      <c r="V158" s="192">
        <v>425</v>
      </c>
      <c r="W158" s="192">
        <v>425</v>
      </c>
      <c r="X158" s="192">
        <v>425</v>
      </c>
      <c r="Y158" s="192">
        <v>425</v>
      </c>
      <c r="Z158" s="192">
        <v>425</v>
      </c>
      <c r="AA158" s="192">
        <v>425</v>
      </c>
    </row>
    <row r="159" spans="2:27" ht="12" hidden="1" customHeight="1">
      <c r="B159" s="173" t="s">
        <v>792</v>
      </c>
      <c r="C159" s="173" t="s">
        <v>502</v>
      </c>
      <c r="D159" s="173" t="s">
        <v>683</v>
      </c>
      <c r="E159" s="173" t="s">
        <v>1183</v>
      </c>
      <c r="F159" s="192">
        <v>11</v>
      </c>
      <c r="G159" s="196">
        <v>45231</v>
      </c>
      <c r="H159" s="196"/>
      <c r="I159" s="192">
        <v>400</v>
      </c>
      <c r="J159" s="192">
        <v>400</v>
      </c>
      <c r="K159" s="192">
        <v>400</v>
      </c>
      <c r="L159" s="192">
        <v>400</v>
      </c>
      <c r="M159" s="192">
        <v>400</v>
      </c>
      <c r="N159" s="192">
        <v>400</v>
      </c>
      <c r="O159" s="192">
        <v>400</v>
      </c>
      <c r="P159" s="192">
        <v>400</v>
      </c>
      <c r="Q159" s="192">
        <v>400</v>
      </c>
      <c r="R159" s="192">
        <v>400</v>
      </c>
      <c r="S159" s="192">
        <v>425</v>
      </c>
      <c r="T159" s="192">
        <v>425</v>
      </c>
      <c r="U159" s="192">
        <v>425</v>
      </c>
      <c r="V159" s="192">
        <v>425</v>
      </c>
      <c r="W159" s="192">
        <v>425</v>
      </c>
      <c r="X159" s="192">
        <v>425</v>
      </c>
      <c r="Y159" s="192">
        <v>425</v>
      </c>
      <c r="Z159" s="192">
        <v>425</v>
      </c>
      <c r="AA159" s="192">
        <v>425</v>
      </c>
    </row>
    <row r="160" spans="2:27" ht="12" hidden="1" customHeight="1">
      <c r="B160" s="173" t="s">
        <v>793</v>
      </c>
      <c r="C160" s="173" t="s">
        <v>502</v>
      </c>
      <c r="D160" s="173" t="s">
        <v>503</v>
      </c>
      <c r="E160" s="173" t="s">
        <v>1306</v>
      </c>
      <c r="F160" s="192">
        <v>2</v>
      </c>
      <c r="G160" s="196">
        <v>45444</v>
      </c>
      <c r="H160" s="196"/>
      <c r="I160" s="192">
        <v>395</v>
      </c>
      <c r="J160" s="192">
        <v>395</v>
      </c>
      <c r="K160" s="192">
        <v>395</v>
      </c>
      <c r="L160" s="192">
        <v>395</v>
      </c>
      <c r="M160" s="192">
        <v>395</v>
      </c>
      <c r="N160" s="192">
        <v>400</v>
      </c>
      <c r="O160" s="192">
        <v>400</v>
      </c>
      <c r="P160" s="192">
        <v>400</v>
      </c>
      <c r="Q160" s="192">
        <v>400</v>
      </c>
      <c r="R160" s="192">
        <v>400</v>
      </c>
      <c r="S160" s="192">
        <v>400</v>
      </c>
      <c r="T160" s="192">
        <v>400</v>
      </c>
      <c r="U160" s="192">
        <v>445</v>
      </c>
      <c r="V160" s="192">
        <v>400</v>
      </c>
      <c r="W160" s="192">
        <v>400</v>
      </c>
      <c r="X160" s="192">
        <v>400</v>
      </c>
      <c r="Y160" s="192">
        <v>400</v>
      </c>
      <c r="Z160" s="192">
        <v>478</v>
      </c>
      <c r="AA160" s="192">
        <v>478</v>
      </c>
    </row>
    <row r="161" spans="2:27" ht="12" hidden="1" customHeight="1">
      <c r="B161" s="173" t="s">
        <v>794</v>
      </c>
      <c r="C161" s="173" t="s">
        <v>502</v>
      </c>
      <c r="D161" s="173" t="s">
        <v>683</v>
      </c>
      <c r="E161" s="173" t="s">
        <v>1183</v>
      </c>
      <c r="F161" s="192" t="s">
        <v>343</v>
      </c>
      <c r="G161" s="196">
        <v>45839</v>
      </c>
      <c r="H161" s="196"/>
      <c r="I161" s="192" t="s">
        <v>343</v>
      </c>
      <c r="J161" s="192" t="s">
        <v>343</v>
      </c>
      <c r="K161" s="192" t="s">
        <v>343</v>
      </c>
      <c r="L161" s="192" t="s">
        <v>343</v>
      </c>
      <c r="M161" s="192" t="s">
        <v>343</v>
      </c>
      <c r="N161" s="192" t="s">
        <v>343</v>
      </c>
      <c r="O161" s="192">
        <v>640</v>
      </c>
      <c r="P161" s="192">
        <v>595</v>
      </c>
      <c r="Q161" s="192">
        <v>340</v>
      </c>
      <c r="R161" s="192">
        <v>400</v>
      </c>
      <c r="S161" s="192">
        <v>400</v>
      </c>
      <c r="T161" s="192">
        <v>400</v>
      </c>
      <c r="U161" s="192">
        <v>400</v>
      </c>
      <c r="V161" s="192">
        <v>430</v>
      </c>
      <c r="W161" s="192">
        <v>400</v>
      </c>
      <c r="X161" s="192">
        <v>400</v>
      </c>
      <c r="Y161" s="192">
        <v>400</v>
      </c>
      <c r="Z161" s="192">
        <v>400</v>
      </c>
      <c r="AA161" s="192">
        <v>418</v>
      </c>
    </row>
    <row r="162" spans="2:27" ht="12" hidden="1" customHeight="1">
      <c r="B162" s="173" t="s">
        <v>795</v>
      </c>
      <c r="C162" s="173" t="s">
        <v>567</v>
      </c>
      <c r="D162" s="173" t="s">
        <v>637</v>
      </c>
      <c r="E162" s="173" t="s">
        <v>1307</v>
      </c>
      <c r="F162" s="192" t="s">
        <v>343</v>
      </c>
      <c r="G162" s="196">
        <v>45292</v>
      </c>
      <c r="H162" s="196">
        <v>46234</v>
      </c>
      <c r="I162" s="192">
        <v>395</v>
      </c>
      <c r="J162" s="192">
        <v>395</v>
      </c>
      <c r="K162" s="192">
        <v>395</v>
      </c>
      <c r="L162" s="192">
        <v>395</v>
      </c>
      <c r="M162" s="192">
        <v>395</v>
      </c>
      <c r="N162" s="192">
        <v>395</v>
      </c>
      <c r="O162" s="192">
        <v>395</v>
      </c>
      <c r="P162" s="192">
        <v>410</v>
      </c>
      <c r="Q162" s="192">
        <v>410</v>
      </c>
      <c r="R162" s="192">
        <v>410</v>
      </c>
      <c r="S162" s="192">
        <v>410</v>
      </c>
      <c r="T162" s="192">
        <v>410</v>
      </c>
      <c r="U162" s="192">
        <v>410</v>
      </c>
      <c r="V162" s="192">
        <v>410</v>
      </c>
      <c r="W162" s="192">
        <v>410</v>
      </c>
      <c r="X162" s="192">
        <v>410</v>
      </c>
      <c r="Y162" s="192">
        <v>410</v>
      </c>
      <c r="Z162" s="192">
        <v>410</v>
      </c>
      <c r="AA162" s="192">
        <v>410</v>
      </c>
    </row>
    <row r="163" spans="2:27" ht="12" hidden="1" customHeight="1">
      <c r="B163" s="173" t="s">
        <v>797</v>
      </c>
      <c r="C163" s="173" t="s">
        <v>502</v>
      </c>
      <c r="D163" s="173" t="s">
        <v>503</v>
      </c>
      <c r="E163" s="173" t="s">
        <v>1306</v>
      </c>
      <c r="F163" s="192">
        <v>4</v>
      </c>
      <c r="G163" s="196">
        <v>45748</v>
      </c>
      <c r="H163" s="196"/>
      <c r="I163" s="192" t="s">
        <v>343</v>
      </c>
      <c r="J163" s="192" t="s">
        <v>343</v>
      </c>
      <c r="K163" s="192" t="s">
        <v>343</v>
      </c>
      <c r="L163" s="192">
        <v>640</v>
      </c>
      <c r="M163" s="192">
        <v>340</v>
      </c>
      <c r="N163" s="192">
        <v>340</v>
      </c>
      <c r="O163" s="192">
        <v>400</v>
      </c>
      <c r="P163" s="192">
        <v>400</v>
      </c>
      <c r="Q163" s="192">
        <v>400</v>
      </c>
      <c r="R163" s="192">
        <v>400</v>
      </c>
      <c r="S163" s="192">
        <v>400</v>
      </c>
      <c r="T163" s="192">
        <v>400</v>
      </c>
      <c r="U163" s="192">
        <v>400</v>
      </c>
      <c r="V163" s="192">
        <v>400</v>
      </c>
      <c r="W163" s="192">
        <v>445</v>
      </c>
      <c r="X163" s="192">
        <v>418</v>
      </c>
      <c r="Y163" s="192">
        <v>418</v>
      </c>
      <c r="Z163" s="192">
        <v>418</v>
      </c>
      <c r="AA163" s="192">
        <v>418</v>
      </c>
    </row>
    <row r="164" spans="2:27" ht="12" hidden="1" customHeight="1">
      <c r="B164" s="173" t="s">
        <v>798</v>
      </c>
      <c r="C164" s="173" t="s">
        <v>502</v>
      </c>
      <c r="D164" s="173" t="s">
        <v>683</v>
      </c>
      <c r="E164" s="173" t="s">
        <v>1183</v>
      </c>
      <c r="F164" s="192" t="s">
        <v>343</v>
      </c>
      <c r="G164" s="196">
        <v>44774</v>
      </c>
      <c r="H164" s="196"/>
      <c r="I164" s="192">
        <v>395</v>
      </c>
      <c r="J164" s="192">
        <v>455</v>
      </c>
      <c r="K164" s="192">
        <v>395</v>
      </c>
      <c r="L164" s="192">
        <v>395</v>
      </c>
      <c r="M164" s="192">
        <v>395</v>
      </c>
      <c r="N164" s="192">
        <v>395</v>
      </c>
      <c r="O164" s="192">
        <v>395</v>
      </c>
      <c r="P164" s="192">
        <v>400</v>
      </c>
      <c r="Q164" s="192">
        <v>400</v>
      </c>
      <c r="R164" s="192">
        <v>400</v>
      </c>
      <c r="S164" s="192">
        <v>400</v>
      </c>
      <c r="T164" s="192">
        <v>400</v>
      </c>
      <c r="U164" s="192">
        <v>400</v>
      </c>
      <c r="V164" s="192">
        <v>400</v>
      </c>
      <c r="W164" s="192">
        <v>400</v>
      </c>
      <c r="X164" s="192">
        <v>475</v>
      </c>
      <c r="Y164" s="192">
        <v>400</v>
      </c>
      <c r="Z164" s="192">
        <v>400</v>
      </c>
      <c r="AA164" s="192">
        <v>400</v>
      </c>
    </row>
    <row r="165" spans="2:27" ht="12" hidden="1" customHeight="1">
      <c r="B165" s="173" t="s">
        <v>800</v>
      </c>
      <c r="C165" s="173" t="s">
        <v>502</v>
      </c>
      <c r="D165" s="173" t="s">
        <v>683</v>
      </c>
      <c r="E165" s="173" t="s">
        <v>1183</v>
      </c>
      <c r="F165" s="192">
        <v>12</v>
      </c>
      <c r="G165" s="196">
        <v>45809</v>
      </c>
      <c r="H165" s="196"/>
      <c r="I165" s="192" t="s">
        <v>343</v>
      </c>
      <c r="J165" s="192" t="s">
        <v>343</v>
      </c>
      <c r="K165" s="192" t="s">
        <v>343</v>
      </c>
      <c r="L165" s="192" t="s">
        <v>343</v>
      </c>
      <c r="M165" s="192" t="s">
        <v>343</v>
      </c>
      <c r="N165" s="192">
        <v>400</v>
      </c>
      <c r="O165" s="192">
        <v>400</v>
      </c>
      <c r="P165" s="192">
        <v>400</v>
      </c>
      <c r="Q165" s="192">
        <v>400</v>
      </c>
      <c r="R165" s="192">
        <v>400</v>
      </c>
      <c r="S165" s="192">
        <v>400</v>
      </c>
      <c r="T165" s="192">
        <v>400</v>
      </c>
      <c r="U165" s="192">
        <v>400</v>
      </c>
      <c r="V165" s="192">
        <v>430</v>
      </c>
      <c r="W165" s="192">
        <v>400</v>
      </c>
      <c r="X165" s="192">
        <v>400</v>
      </c>
      <c r="Y165" s="192">
        <v>400</v>
      </c>
      <c r="Z165" s="192">
        <v>418</v>
      </c>
      <c r="AA165" s="192">
        <v>418</v>
      </c>
    </row>
    <row r="166" spans="2:27" ht="12" hidden="1" customHeight="1">
      <c r="B166" s="173" t="s">
        <v>801</v>
      </c>
      <c r="C166" s="173" t="s">
        <v>567</v>
      </c>
      <c r="D166" s="173" t="s">
        <v>637</v>
      </c>
      <c r="E166" s="173" t="s">
        <v>1307</v>
      </c>
      <c r="F166" s="192" t="s">
        <v>343</v>
      </c>
      <c r="G166" s="196">
        <v>44805</v>
      </c>
      <c r="H166" s="196">
        <v>46234</v>
      </c>
      <c r="I166" s="192">
        <v>395</v>
      </c>
      <c r="J166" s="192">
        <v>425</v>
      </c>
      <c r="K166" s="192">
        <v>395</v>
      </c>
      <c r="L166" s="192">
        <v>395</v>
      </c>
      <c r="M166" s="192">
        <v>395</v>
      </c>
      <c r="N166" s="192">
        <v>395</v>
      </c>
      <c r="O166" s="192">
        <v>395</v>
      </c>
      <c r="P166" s="192">
        <v>395</v>
      </c>
      <c r="Q166" s="192">
        <v>405</v>
      </c>
      <c r="R166" s="192">
        <v>405</v>
      </c>
      <c r="S166" s="192">
        <v>405</v>
      </c>
      <c r="T166" s="192">
        <v>405</v>
      </c>
      <c r="U166" s="192">
        <v>405</v>
      </c>
      <c r="V166" s="192">
        <v>420</v>
      </c>
      <c r="W166" s="192">
        <v>405</v>
      </c>
      <c r="X166" s="192">
        <v>405</v>
      </c>
      <c r="Y166" s="192">
        <v>405</v>
      </c>
      <c r="Z166" s="192">
        <v>405</v>
      </c>
      <c r="AA166" s="192">
        <v>405</v>
      </c>
    </row>
    <row r="167" spans="2:27" ht="12" hidden="1" customHeight="1">
      <c r="B167" s="173" t="s">
        <v>802</v>
      </c>
      <c r="C167" s="173" t="s">
        <v>502</v>
      </c>
      <c r="D167" s="173" t="s">
        <v>683</v>
      </c>
      <c r="E167" s="173" t="s">
        <v>1183</v>
      </c>
      <c r="F167" s="192" t="s">
        <v>343</v>
      </c>
      <c r="G167" s="196">
        <v>45778</v>
      </c>
      <c r="H167" s="196"/>
      <c r="I167" s="192" t="s">
        <v>343</v>
      </c>
      <c r="J167" s="192" t="s">
        <v>343</v>
      </c>
      <c r="K167" s="192" t="s">
        <v>343</v>
      </c>
      <c r="L167" s="192" t="s">
        <v>343</v>
      </c>
      <c r="M167" s="192">
        <v>340</v>
      </c>
      <c r="N167" s="192">
        <v>340</v>
      </c>
      <c r="O167" s="192">
        <v>340</v>
      </c>
      <c r="P167" s="192">
        <v>400</v>
      </c>
      <c r="Q167" s="192">
        <v>400</v>
      </c>
      <c r="R167" s="192">
        <v>400</v>
      </c>
      <c r="S167" s="192">
        <v>400</v>
      </c>
      <c r="T167" s="192">
        <v>400</v>
      </c>
      <c r="U167" s="192">
        <v>400</v>
      </c>
      <c r="V167" s="192">
        <v>400</v>
      </c>
      <c r="W167" s="192">
        <v>400</v>
      </c>
      <c r="X167" s="192">
        <v>400</v>
      </c>
      <c r="Y167" s="192">
        <v>418</v>
      </c>
      <c r="Z167" s="192">
        <v>418</v>
      </c>
      <c r="AA167" s="192">
        <v>418</v>
      </c>
    </row>
    <row r="168" spans="2:27" ht="12" hidden="1" customHeight="1">
      <c r="B168" s="173" t="s">
        <v>803</v>
      </c>
      <c r="C168" s="173" t="s">
        <v>502</v>
      </c>
      <c r="D168" s="173" t="s">
        <v>683</v>
      </c>
      <c r="E168" s="173" t="s">
        <v>1183</v>
      </c>
      <c r="F168" s="192" t="s">
        <v>343</v>
      </c>
      <c r="G168" s="196">
        <v>45261</v>
      </c>
      <c r="H168" s="196"/>
      <c r="I168" s="192">
        <v>415</v>
      </c>
      <c r="J168" s="192">
        <v>400</v>
      </c>
      <c r="K168" s="192">
        <v>400</v>
      </c>
      <c r="L168" s="192">
        <v>400</v>
      </c>
      <c r="M168" s="192">
        <v>400</v>
      </c>
      <c r="N168" s="192">
        <v>400</v>
      </c>
      <c r="O168" s="192">
        <v>400</v>
      </c>
      <c r="P168" s="192">
        <v>400</v>
      </c>
      <c r="Q168" s="192">
        <v>400</v>
      </c>
      <c r="R168" s="192">
        <v>400</v>
      </c>
      <c r="S168" s="192">
        <v>400</v>
      </c>
      <c r="T168" s="192">
        <v>400</v>
      </c>
      <c r="U168" s="192">
        <v>400</v>
      </c>
      <c r="V168" s="192">
        <v>430</v>
      </c>
      <c r="W168" s="192">
        <v>400</v>
      </c>
      <c r="X168" s="192">
        <v>400</v>
      </c>
      <c r="Y168" s="192">
        <v>400</v>
      </c>
      <c r="Z168" s="192">
        <v>400</v>
      </c>
      <c r="AA168" s="192">
        <v>400</v>
      </c>
    </row>
    <row r="169" spans="2:27" ht="12" customHeight="1">
      <c r="B169" s="173" t="s">
        <v>804</v>
      </c>
      <c r="C169" s="173" t="s">
        <v>567</v>
      </c>
      <c r="D169" s="173" t="s">
        <v>683</v>
      </c>
      <c r="E169" s="173" t="s">
        <v>1183</v>
      </c>
      <c r="F169" s="192" t="s">
        <v>343</v>
      </c>
      <c r="G169" s="196">
        <v>45748</v>
      </c>
      <c r="H169" s="196">
        <v>46112</v>
      </c>
      <c r="I169" s="192" t="s">
        <v>343</v>
      </c>
      <c r="J169" s="192" t="s">
        <v>343</v>
      </c>
      <c r="K169" s="192" t="s">
        <v>343</v>
      </c>
      <c r="L169" s="192">
        <v>878.75</v>
      </c>
      <c r="M169" s="192">
        <v>503.75</v>
      </c>
      <c r="N169" s="192">
        <v>503.75</v>
      </c>
      <c r="O169" s="192">
        <v>575</v>
      </c>
      <c r="P169" s="192">
        <v>575</v>
      </c>
      <c r="Q169" s="192">
        <v>575</v>
      </c>
      <c r="R169" s="192">
        <v>575</v>
      </c>
      <c r="S169" s="192">
        <v>575</v>
      </c>
      <c r="T169" s="192">
        <v>575</v>
      </c>
      <c r="U169" s="192">
        <v>575</v>
      </c>
      <c r="V169" s="192">
        <v>795</v>
      </c>
      <c r="W169" s="192">
        <v>575</v>
      </c>
      <c r="X169" s="192" t="s">
        <v>343</v>
      </c>
      <c r="Y169" s="192" t="s">
        <v>343</v>
      </c>
      <c r="Z169" s="192" t="s">
        <v>343</v>
      </c>
      <c r="AA169" s="192" t="s">
        <v>343</v>
      </c>
    </row>
    <row r="170" spans="2:27" ht="12" hidden="1" customHeight="1">
      <c r="B170" s="173" t="s">
        <v>805</v>
      </c>
      <c r="C170" s="173" t="s">
        <v>502</v>
      </c>
      <c r="D170" s="173" t="s">
        <v>503</v>
      </c>
      <c r="E170" s="173" t="s">
        <v>1306</v>
      </c>
      <c r="F170" s="192">
        <v>15</v>
      </c>
      <c r="G170" s="196">
        <v>46143</v>
      </c>
      <c r="H170" s="196"/>
      <c r="I170" s="192" t="s">
        <v>343</v>
      </c>
      <c r="J170" s="192" t="s">
        <v>343</v>
      </c>
      <c r="K170" s="192" t="s">
        <v>343</v>
      </c>
      <c r="L170" s="192" t="s">
        <v>343</v>
      </c>
      <c r="M170" s="192" t="s">
        <v>343</v>
      </c>
      <c r="N170" s="192" t="s">
        <v>343</v>
      </c>
      <c r="O170" s="192" t="s">
        <v>343</v>
      </c>
      <c r="P170" s="192" t="s">
        <v>343</v>
      </c>
      <c r="Q170" s="192" t="s">
        <v>343</v>
      </c>
      <c r="R170" s="192" t="s">
        <v>343</v>
      </c>
      <c r="S170" s="192" t="s">
        <v>343</v>
      </c>
      <c r="T170" s="192" t="s">
        <v>343</v>
      </c>
      <c r="U170" s="192" t="s">
        <v>343</v>
      </c>
      <c r="V170" s="192" t="s">
        <v>343</v>
      </c>
      <c r="W170" s="192" t="s">
        <v>343</v>
      </c>
      <c r="X170" s="192" t="s">
        <v>343</v>
      </c>
      <c r="Y170" s="192">
        <v>2696</v>
      </c>
      <c r="Z170" s="192">
        <v>974</v>
      </c>
      <c r="AA170" s="192">
        <v>1108</v>
      </c>
    </row>
    <row r="171" spans="2:27" ht="12" hidden="1" customHeight="1">
      <c r="B171" s="173" t="s">
        <v>806</v>
      </c>
      <c r="C171" s="173" t="s">
        <v>567</v>
      </c>
      <c r="D171" s="173" t="s">
        <v>637</v>
      </c>
      <c r="E171" s="173" t="s">
        <v>1307</v>
      </c>
      <c r="F171" s="192" t="s">
        <v>343</v>
      </c>
      <c r="G171" s="196">
        <v>44317</v>
      </c>
      <c r="H171" s="196">
        <v>46234</v>
      </c>
      <c r="I171" s="192">
        <v>385</v>
      </c>
      <c r="J171" s="192">
        <v>385</v>
      </c>
      <c r="K171" s="192">
        <v>385</v>
      </c>
      <c r="L171" s="192">
        <v>385</v>
      </c>
      <c r="M171" s="192">
        <v>385</v>
      </c>
      <c r="N171" s="192">
        <v>385</v>
      </c>
      <c r="O171" s="192">
        <v>385</v>
      </c>
      <c r="P171" s="192">
        <v>385</v>
      </c>
      <c r="Q171" s="192">
        <v>385</v>
      </c>
      <c r="R171" s="192">
        <v>385</v>
      </c>
      <c r="S171" s="192">
        <v>385</v>
      </c>
      <c r="T171" s="192">
        <v>385</v>
      </c>
      <c r="U171" s="192">
        <v>400</v>
      </c>
      <c r="V171" s="192">
        <v>400</v>
      </c>
      <c r="W171" s="192">
        <v>400</v>
      </c>
      <c r="X171" s="192">
        <v>400</v>
      </c>
      <c r="Y171" s="192">
        <v>400</v>
      </c>
      <c r="Z171" s="192">
        <v>400</v>
      </c>
      <c r="AA171" s="192">
        <v>400</v>
      </c>
    </row>
    <row r="172" spans="2:27" ht="12" hidden="1" customHeight="1">
      <c r="B172" s="173" t="s">
        <v>808</v>
      </c>
      <c r="C172" s="173" t="s">
        <v>502</v>
      </c>
      <c r="D172" s="173" t="s">
        <v>503</v>
      </c>
      <c r="E172" s="173" t="s">
        <v>1306</v>
      </c>
      <c r="F172" s="192">
        <v>10</v>
      </c>
      <c r="G172" s="196">
        <v>45809</v>
      </c>
      <c r="H172" s="196"/>
      <c r="I172" s="192" t="s">
        <v>343</v>
      </c>
      <c r="J172" s="192" t="s">
        <v>343</v>
      </c>
      <c r="K172" s="192" t="s">
        <v>343</v>
      </c>
      <c r="L172" s="192" t="s">
        <v>343</v>
      </c>
      <c r="M172" s="192" t="s">
        <v>343</v>
      </c>
      <c r="N172" s="192">
        <v>350</v>
      </c>
      <c r="O172" s="192">
        <v>360</v>
      </c>
      <c r="P172" s="192">
        <v>400</v>
      </c>
      <c r="Q172" s="192">
        <v>400</v>
      </c>
      <c r="R172" s="192">
        <v>420</v>
      </c>
      <c r="S172" s="192">
        <v>530</v>
      </c>
      <c r="T172" s="192">
        <v>625</v>
      </c>
      <c r="U172" s="192">
        <v>345</v>
      </c>
      <c r="V172" s="192">
        <v>300</v>
      </c>
      <c r="W172" s="192">
        <v>300</v>
      </c>
      <c r="X172" s="192">
        <v>300</v>
      </c>
      <c r="Y172" s="192">
        <v>360</v>
      </c>
      <c r="Z172" s="192">
        <v>360</v>
      </c>
      <c r="AA172" s="192">
        <v>369.9</v>
      </c>
    </row>
    <row r="173" spans="2:27" ht="12" hidden="1" customHeight="1">
      <c r="B173" s="173" t="s">
        <v>809</v>
      </c>
      <c r="C173" s="173" t="s">
        <v>502</v>
      </c>
      <c r="D173" s="173" t="s">
        <v>503</v>
      </c>
      <c r="E173" s="173" t="s">
        <v>1306</v>
      </c>
      <c r="F173" s="192">
        <v>2</v>
      </c>
      <c r="G173" s="196">
        <v>45839</v>
      </c>
      <c r="H173" s="196"/>
      <c r="I173" s="192" t="s">
        <v>343</v>
      </c>
      <c r="J173" s="192" t="s">
        <v>343</v>
      </c>
      <c r="K173" s="192" t="s">
        <v>343</v>
      </c>
      <c r="L173" s="192" t="s">
        <v>343</v>
      </c>
      <c r="M173" s="192" t="s">
        <v>343</v>
      </c>
      <c r="N173" s="192" t="s">
        <v>343</v>
      </c>
      <c r="O173" s="192">
        <v>340</v>
      </c>
      <c r="P173" s="192">
        <v>340</v>
      </c>
      <c r="Q173" s="192">
        <v>340</v>
      </c>
      <c r="R173" s="192">
        <v>400</v>
      </c>
      <c r="S173" s="192">
        <v>400</v>
      </c>
      <c r="T173" s="192">
        <v>400</v>
      </c>
      <c r="U173" s="192">
        <v>430</v>
      </c>
      <c r="V173" s="192">
        <v>400</v>
      </c>
      <c r="W173" s="192">
        <v>400</v>
      </c>
      <c r="X173" s="192">
        <v>400</v>
      </c>
      <c r="Y173" s="192">
        <v>400</v>
      </c>
      <c r="Z173" s="192">
        <v>400</v>
      </c>
      <c r="AA173" s="192">
        <v>358</v>
      </c>
    </row>
    <row r="174" spans="2:27" ht="12" hidden="1" customHeight="1">
      <c r="B174" s="173" t="s">
        <v>811</v>
      </c>
      <c r="C174" s="173" t="s">
        <v>567</v>
      </c>
      <c r="D174" s="173" t="s">
        <v>637</v>
      </c>
      <c r="E174" s="173" t="s">
        <v>1307</v>
      </c>
      <c r="F174" s="192" t="s">
        <v>343</v>
      </c>
      <c r="G174" s="196">
        <v>44470</v>
      </c>
      <c r="H174" s="196">
        <v>46234</v>
      </c>
      <c r="I174" s="192">
        <v>480</v>
      </c>
      <c r="J174" s="192">
        <v>375</v>
      </c>
      <c r="K174" s="192">
        <v>375</v>
      </c>
      <c r="L174" s="192">
        <v>375</v>
      </c>
      <c r="M174" s="192">
        <v>375</v>
      </c>
      <c r="N174" s="192">
        <v>375</v>
      </c>
      <c r="O174" s="192">
        <v>375</v>
      </c>
      <c r="P174" s="192">
        <v>375</v>
      </c>
      <c r="Q174" s="192">
        <v>375</v>
      </c>
      <c r="R174" s="192">
        <v>385</v>
      </c>
      <c r="S174" s="192">
        <v>385</v>
      </c>
      <c r="T174" s="192">
        <v>385</v>
      </c>
      <c r="U174" s="192">
        <v>385</v>
      </c>
      <c r="V174" s="192">
        <v>445</v>
      </c>
      <c r="W174" s="192">
        <v>385</v>
      </c>
      <c r="X174" s="192">
        <v>385</v>
      </c>
      <c r="Y174" s="192">
        <v>385</v>
      </c>
      <c r="Z174" s="192">
        <v>385</v>
      </c>
      <c r="AA174" s="192">
        <v>385</v>
      </c>
    </row>
    <row r="175" spans="2:27" ht="12" hidden="1" customHeight="1">
      <c r="B175" s="173" t="s">
        <v>814</v>
      </c>
      <c r="C175" s="173" t="s">
        <v>567</v>
      </c>
      <c r="D175" s="173" t="s">
        <v>503</v>
      </c>
      <c r="E175" s="173" t="s">
        <v>1306</v>
      </c>
      <c r="F175" s="192">
        <v>0</v>
      </c>
      <c r="G175" s="196">
        <v>45778</v>
      </c>
      <c r="H175" s="196">
        <v>46142</v>
      </c>
      <c r="I175" s="192" t="s">
        <v>343</v>
      </c>
      <c r="J175" s="192" t="s">
        <v>343</v>
      </c>
      <c r="K175" s="192" t="s">
        <v>343</v>
      </c>
      <c r="L175" s="192" t="s">
        <v>343</v>
      </c>
      <c r="M175" s="192">
        <v>820</v>
      </c>
      <c r="N175" s="192">
        <v>520</v>
      </c>
      <c r="O175" s="192">
        <v>520</v>
      </c>
      <c r="P175" s="192">
        <v>500</v>
      </c>
      <c r="Q175" s="192">
        <v>500</v>
      </c>
      <c r="R175" s="192">
        <v>490</v>
      </c>
      <c r="S175" s="192">
        <v>490</v>
      </c>
      <c r="T175" s="192">
        <v>520</v>
      </c>
      <c r="U175" s="192">
        <v>520</v>
      </c>
      <c r="V175" s="192">
        <v>580</v>
      </c>
      <c r="W175" s="192">
        <v>520</v>
      </c>
      <c r="X175" s="192">
        <v>520</v>
      </c>
      <c r="Y175" s="192" t="s">
        <v>343</v>
      </c>
      <c r="Z175" s="192" t="s">
        <v>343</v>
      </c>
      <c r="AA175" s="192" t="s">
        <v>343</v>
      </c>
    </row>
    <row r="176" spans="2:27" ht="12" hidden="1" customHeight="1">
      <c r="B176" s="173" t="s">
        <v>815</v>
      </c>
      <c r="C176" s="173" t="s">
        <v>567</v>
      </c>
      <c r="D176" s="173" t="s">
        <v>503</v>
      </c>
      <c r="E176" s="173" t="s">
        <v>1306</v>
      </c>
      <c r="F176" s="192">
        <v>0</v>
      </c>
      <c r="G176" s="196">
        <v>45323</v>
      </c>
      <c r="H176" s="196">
        <v>46203</v>
      </c>
      <c r="I176" s="192">
        <v>585</v>
      </c>
      <c r="J176" s="192">
        <v>475</v>
      </c>
      <c r="K176" s="192">
        <v>550</v>
      </c>
      <c r="L176" s="192">
        <v>550</v>
      </c>
      <c r="M176" s="192">
        <v>550</v>
      </c>
      <c r="N176" s="192">
        <v>550</v>
      </c>
      <c r="O176" s="192">
        <v>550</v>
      </c>
      <c r="P176" s="192">
        <v>550</v>
      </c>
      <c r="Q176" s="192">
        <v>400</v>
      </c>
      <c r="R176" s="192">
        <v>400</v>
      </c>
      <c r="S176" s="192">
        <v>400</v>
      </c>
      <c r="T176" s="192">
        <v>400</v>
      </c>
      <c r="U176" s="192">
        <v>685</v>
      </c>
      <c r="V176" s="192">
        <v>358</v>
      </c>
      <c r="W176" s="192">
        <v>358</v>
      </c>
      <c r="X176" s="192">
        <v>358</v>
      </c>
      <c r="Y176" s="192">
        <v>358</v>
      </c>
      <c r="Z176" s="192">
        <v>358</v>
      </c>
      <c r="AA176" s="192" t="s">
        <v>343</v>
      </c>
    </row>
    <row r="177" spans="2:27" ht="12" hidden="1" customHeight="1">
      <c r="B177" s="173" t="s">
        <v>816</v>
      </c>
      <c r="C177" s="173" t="s">
        <v>567</v>
      </c>
      <c r="D177" s="173" t="s">
        <v>637</v>
      </c>
      <c r="E177" s="173" t="s">
        <v>1307</v>
      </c>
      <c r="F177" s="192" t="s">
        <v>343</v>
      </c>
      <c r="G177" s="196">
        <v>45170</v>
      </c>
      <c r="H177" s="196">
        <v>46234</v>
      </c>
      <c r="I177" s="192">
        <v>375</v>
      </c>
      <c r="J177" s="192">
        <v>375</v>
      </c>
      <c r="K177" s="192">
        <v>375</v>
      </c>
      <c r="L177" s="192">
        <v>375</v>
      </c>
      <c r="M177" s="192">
        <v>375</v>
      </c>
      <c r="N177" s="192">
        <v>375</v>
      </c>
      <c r="O177" s="192">
        <v>375</v>
      </c>
      <c r="P177" s="192">
        <v>375</v>
      </c>
      <c r="Q177" s="192">
        <v>375</v>
      </c>
      <c r="R177" s="192">
        <v>385</v>
      </c>
      <c r="S177" s="192">
        <v>385</v>
      </c>
      <c r="T177" s="192">
        <v>385</v>
      </c>
      <c r="U177" s="192">
        <v>385</v>
      </c>
      <c r="V177" s="192">
        <v>385</v>
      </c>
      <c r="W177" s="192">
        <v>385</v>
      </c>
      <c r="X177" s="192">
        <v>385</v>
      </c>
      <c r="Y177" s="192">
        <v>385</v>
      </c>
      <c r="Z177" s="192">
        <v>385</v>
      </c>
      <c r="AA177" s="192">
        <v>385</v>
      </c>
    </row>
    <row r="178" spans="2:27" ht="12" hidden="1" customHeight="1">
      <c r="B178" s="173" t="s">
        <v>818</v>
      </c>
      <c r="C178" s="173" t="s">
        <v>502</v>
      </c>
      <c r="D178" s="173" t="s">
        <v>503</v>
      </c>
      <c r="E178" s="173" t="s">
        <v>1306</v>
      </c>
      <c r="F178" s="192">
        <v>3</v>
      </c>
      <c r="G178" s="196">
        <v>45413</v>
      </c>
      <c r="H178" s="196"/>
      <c r="I178" s="192">
        <v>400</v>
      </c>
      <c r="J178" s="192">
        <v>325</v>
      </c>
      <c r="K178" s="192">
        <v>325</v>
      </c>
      <c r="L178" s="192">
        <v>575</v>
      </c>
      <c r="M178" s="192">
        <v>325</v>
      </c>
      <c r="N178" s="192">
        <v>325</v>
      </c>
      <c r="O178" s="192">
        <v>430</v>
      </c>
      <c r="P178" s="192">
        <v>360</v>
      </c>
      <c r="Q178" s="192">
        <v>360</v>
      </c>
      <c r="R178" s="192">
        <v>360</v>
      </c>
      <c r="S178" s="192">
        <v>375</v>
      </c>
      <c r="T178" s="192">
        <v>375</v>
      </c>
      <c r="U178" s="192">
        <v>465</v>
      </c>
      <c r="V178" s="192">
        <v>375</v>
      </c>
      <c r="W178" s="192">
        <v>375</v>
      </c>
      <c r="X178" s="192">
        <v>375</v>
      </c>
      <c r="Y178" s="192">
        <v>375</v>
      </c>
      <c r="Z178" s="192">
        <v>375</v>
      </c>
      <c r="AA178" s="192">
        <v>418</v>
      </c>
    </row>
    <row r="179" spans="2:27" ht="12" hidden="1" customHeight="1">
      <c r="B179" s="173" t="s">
        <v>819</v>
      </c>
      <c r="C179" s="173" t="s">
        <v>502</v>
      </c>
      <c r="D179" s="173" t="s">
        <v>683</v>
      </c>
      <c r="E179" s="173" t="s">
        <v>1183</v>
      </c>
      <c r="F179" s="192">
        <v>0</v>
      </c>
      <c r="G179" s="196">
        <v>44958</v>
      </c>
      <c r="H179" s="196"/>
      <c r="I179" s="192">
        <v>500</v>
      </c>
      <c r="J179" s="192">
        <v>425</v>
      </c>
      <c r="K179" s="192">
        <v>300</v>
      </c>
      <c r="L179" s="192">
        <v>300</v>
      </c>
      <c r="M179" s="192">
        <v>400</v>
      </c>
      <c r="N179" s="192">
        <v>400</v>
      </c>
      <c r="O179" s="192">
        <v>400</v>
      </c>
      <c r="P179" s="192">
        <v>400</v>
      </c>
      <c r="Q179" s="192">
        <v>200</v>
      </c>
      <c r="R179" s="192">
        <v>350</v>
      </c>
      <c r="S179" s="192">
        <v>350</v>
      </c>
      <c r="T179" s="192">
        <v>350</v>
      </c>
      <c r="U179" s="192">
        <v>350</v>
      </c>
      <c r="V179" s="192">
        <v>485</v>
      </c>
      <c r="W179" s="192">
        <v>410</v>
      </c>
      <c r="X179" s="192">
        <v>410</v>
      </c>
      <c r="Y179" s="192">
        <v>410</v>
      </c>
      <c r="Z179" s="192">
        <v>410</v>
      </c>
      <c r="AA179" s="192">
        <v>410</v>
      </c>
    </row>
    <row r="180" spans="2:27" ht="12" hidden="1" customHeight="1">
      <c r="B180" s="173" t="s">
        <v>820</v>
      </c>
      <c r="C180" s="173" t="s">
        <v>502</v>
      </c>
      <c r="D180" s="173" t="s">
        <v>683</v>
      </c>
      <c r="E180" s="173" t="s">
        <v>1183</v>
      </c>
      <c r="F180" s="192">
        <v>2</v>
      </c>
      <c r="G180" s="196">
        <v>45931</v>
      </c>
      <c r="H180" s="196"/>
      <c r="I180" s="192" t="s">
        <v>343</v>
      </c>
      <c r="J180" s="192" t="s">
        <v>343</v>
      </c>
      <c r="K180" s="192" t="s">
        <v>343</v>
      </c>
      <c r="L180" s="192" t="s">
        <v>343</v>
      </c>
      <c r="M180" s="192" t="s">
        <v>343</v>
      </c>
      <c r="N180" s="192" t="s">
        <v>343</v>
      </c>
      <c r="O180" s="192" t="s">
        <v>343</v>
      </c>
      <c r="P180" s="192" t="s">
        <v>343</v>
      </c>
      <c r="Q180" s="192" t="s">
        <v>343</v>
      </c>
      <c r="R180" s="192">
        <v>700</v>
      </c>
      <c r="S180" s="192">
        <v>400</v>
      </c>
      <c r="T180" s="192">
        <v>420</v>
      </c>
      <c r="U180" s="192">
        <v>270</v>
      </c>
      <c r="V180" s="192">
        <v>525</v>
      </c>
      <c r="W180" s="192">
        <v>420</v>
      </c>
      <c r="X180" s="192">
        <v>420</v>
      </c>
      <c r="Y180" s="192">
        <v>420</v>
      </c>
      <c r="Z180" s="192">
        <v>420</v>
      </c>
      <c r="AA180" s="192">
        <v>420</v>
      </c>
    </row>
    <row r="181" spans="2:27" ht="12" hidden="1" customHeight="1">
      <c r="B181" s="173" t="s">
        <v>821</v>
      </c>
      <c r="C181" s="173" t="s">
        <v>567</v>
      </c>
      <c r="D181" s="173" t="s">
        <v>683</v>
      </c>
      <c r="E181" s="173" t="s">
        <v>1183</v>
      </c>
      <c r="F181" s="192" t="s">
        <v>343</v>
      </c>
      <c r="G181" s="196">
        <v>45809</v>
      </c>
      <c r="H181" s="196">
        <v>46173</v>
      </c>
      <c r="I181" s="192" t="s">
        <v>343</v>
      </c>
      <c r="J181" s="192" t="s">
        <v>343</v>
      </c>
      <c r="K181" s="192" t="s">
        <v>343</v>
      </c>
      <c r="L181" s="192" t="s">
        <v>343</v>
      </c>
      <c r="M181" s="192" t="s">
        <v>343</v>
      </c>
      <c r="N181" s="192">
        <v>660</v>
      </c>
      <c r="O181" s="192">
        <v>619.25</v>
      </c>
      <c r="P181" s="192">
        <v>360</v>
      </c>
      <c r="Q181" s="192">
        <v>420</v>
      </c>
      <c r="R181" s="192">
        <v>440</v>
      </c>
      <c r="S181" s="192">
        <v>440</v>
      </c>
      <c r="T181" s="192">
        <v>440</v>
      </c>
      <c r="U181" s="192">
        <v>440</v>
      </c>
      <c r="V181" s="192">
        <v>500</v>
      </c>
      <c r="W181" s="192">
        <v>440</v>
      </c>
      <c r="X181" s="192">
        <v>440</v>
      </c>
      <c r="Y181" s="192">
        <v>440</v>
      </c>
      <c r="Z181" s="192">
        <v>40</v>
      </c>
      <c r="AA181" s="192" t="s">
        <v>343</v>
      </c>
    </row>
    <row r="182" spans="2:27" ht="12" hidden="1" customHeight="1">
      <c r="B182" s="173" t="s">
        <v>822</v>
      </c>
      <c r="C182" s="173" t="s">
        <v>567</v>
      </c>
      <c r="D182" s="173" t="s">
        <v>683</v>
      </c>
      <c r="E182" s="173" t="s">
        <v>1183</v>
      </c>
      <c r="F182" s="192">
        <v>25</v>
      </c>
      <c r="G182" s="196">
        <v>45566</v>
      </c>
      <c r="H182" s="196">
        <v>46203</v>
      </c>
      <c r="I182" s="192">
        <v>395</v>
      </c>
      <c r="J182" s="192">
        <v>395</v>
      </c>
      <c r="K182" s="192">
        <v>395</v>
      </c>
      <c r="L182" s="192">
        <v>395</v>
      </c>
      <c r="M182" s="192">
        <v>395</v>
      </c>
      <c r="N182" s="192">
        <v>395</v>
      </c>
      <c r="O182" s="192">
        <v>395</v>
      </c>
      <c r="P182" s="192">
        <v>395</v>
      </c>
      <c r="Q182" s="192">
        <v>395</v>
      </c>
      <c r="R182" s="192">
        <v>400</v>
      </c>
      <c r="S182" s="192">
        <v>400</v>
      </c>
      <c r="T182" s="192">
        <v>400</v>
      </c>
      <c r="U182" s="192">
        <v>400</v>
      </c>
      <c r="V182" s="192">
        <v>400</v>
      </c>
      <c r="W182" s="192">
        <v>400</v>
      </c>
      <c r="X182" s="192">
        <v>400</v>
      </c>
      <c r="Y182" s="192">
        <v>400</v>
      </c>
      <c r="Z182" s="192">
        <v>400</v>
      </c>
      <c r="AA182" s="192" t="s">
        <v>343</v>
      </c>
    </row>
    <row r="183" spans="2:27" ht="12" hidden="1" customHeight="1">
      <c r="B183" s="173" t="s">
        <v>823</v>
      </c>
      <c r="C183" s="173" t="s">
        <v>567</v>
      </c>
      <c r="D183" s="173" t="s">
        <v>503</v>
      </c>
      <c r="E183" s="173" t="s">
        <v>1306</v>
      </c>
      <c r="F183" s="192">
        <v>4</v>
      </c>
      <c r="G183" s="196">
        <v>45839</v>
      </c>
      <c r="H183" s="196">
        <v>46203</v>
      </c>
      <c r="I183" s="192" t="s">
        <v>343</v>
      </c>
      <c r="J183" s="192" t="s">
        <v>343</v>
      </c>
      <c r="K183" s="192" t="s">
        <v>343</v>
      </c>
      <c r="L183" s="192" t="s">
        <v>343</v>
      </c>
      <c r="M183" s="192" t="s">
        <v>343</v>
      </c>
      <c r="N183" s="192" t="s">
        <v>343</v>
      </c>
      <c r="O183" s="192" t="s">
        <v>343</v>
      </c>
      <c r="P183" s="192">
        <v>490</v>
      </c>
      <c r="Q183" s="192">
        <v>340</v>
      </c>
      <c r="R183" s="192">
        <v>340</v>
      </c>
      <c r="S183" s="192">
        <v>400</v>
      </c>
      <c r="T183" s="192">
        <v>400</v>
      </c>
      <c r="U183" s="192">
        <v>400</v>
      </c>
      <c r="V183" s="192">
        <v>400</v>
      </c>
      <c r="W183" s="192">
        <v>400</v>
      </c>
      <c r="X183" s="192">
        <v>400</v>
      </c>
      <c r="Y183" s="192">
        <v>400</v>
      </c>
      <c r="Z183" s="192">
        <v>400</v>
      </c>
      <c r="AA183" s="192" t="s">
        <v>343</v>
      </c>
    </row>
    <row r="184" spans="2:27" ht="12" hidden="1" customHeight="1">
      <c r="B184" s="173" t="s">
        <v>824</v>
      </c>
      <c r="C184" s="173" t="s">
        <v>567</v>
      </c>
      <c r="D184" s="173" t="s">
        <v>637</v>
      </c>
      <c r="E184" s="173" t="s">
        <v>1307</v>
      </c>
      <c r="F184" s="192" t="s">
        <v>343</v>
      </c>
      <c r="G184" s="196">
        <v>45809</v>
      </c>
      <c r="H184" s="196">
        <v>46173</v>
      </c>
      <c r="I184" s="192" t="s">
        <v>343</v>
      </c>
      <c r="J184" s="192" t="s">
        <v>343</v>
      </c>
      <c r="K184" s="192" t="s">
        <v>343</v>
      </c>
      <c r="L184" s="192" t="s">
        <v>343</v>
      </c>
      <c r="M184" s="192" t="s">
        <v>343</v>
      </c>
      <c r="N184" s="192">
        <v>340</v>
      </c>
      <c r="O184" s="192">
        <v>340</v>
      </c>
      <c r="P184" s="192">
        <v>340</v>
      </c>
      <c r="Q184" s="192">
        <v>1285</v>
      </c>
      <c r="R184" s="192">
        <v>340</v>
      </c>
      <c r="S184" s="192">
        <v>340</v>
      </c>
      <c r="T184" s="192">
        <v>340</v>
      </c>
      <c r="U184" s="192">
        <v>340</v>
      </c>
      <c r="V184" s="192">
        <v>340</v>
      </c>
      <c r="W184" s="192">
        <v>340</v>
      </c>
      <c r="X184" s="192">
        <v>340</v>
      </c>
      <c r="Y184" s="192">
        <v>340</v>
      </c>
      <c r="Z184" s="192" t="s">
        <v>343</v>
      </c>
      <c r="AA184" s="192" t="s">
        <v>343</v>
      </c>
    </row>
    <row r="185" spans="2:27" ht="12" hidden="1" customHeight="1">
      <c r="B185" s="173" t="s">
        <v>825</v>
      </c>
      <c r="C185" s="173" t="s">
        <v>567</v>
      </c>
      <c r="D185" s="173" t="s">
        <v>662</v>
      </c>
      <c r="E185" s="173" t="s">
        <v>1308</v>
      </c>
      <c r="F185" s="192" t="s">
        <v>343</v>
      </c>
      <c r="G185" s="196">
        <v>45505</v>
      </c>
      <c r="H185" s="196">
        <v>46022</v>
      </c>
      <c r="I185" s="192">
        <v>515</v>
      </c>
      <c r="J185" s="192">
        <v>395</v>
      </c>
      <c r="K185" s="192">
        <v>395</v>
      </c>
      <c r="L185" s="192">
        <v>395</v>
      </c>
      <c r="M185" s="192">
        <v>395</v>
      </c>
      <c r="N185" s="192">
        <v>395</v>
      </c>
      <c r="O185" s="192">
        <v>395</v>
      </c>
      <c r="P185" s="192">
        <v>440</v>
      </c>
      <c r="Q185" s="192">
        <v>440</v>
      </c>
      <c r="R185" s="192">
        <v>440</v>
      </c>
      <c r="S185" s="192">
        <v>440</v>
      </c>
      <c r="T185" s="192">
        <v>440</v>
      </c>
      <c r="U185" s="192">
        <v>2025</v>
      </c>
      <c r="V185" s="192">
        <v>90</v>
      </c>
      <c r="W185" s="192" t="s">
        <v>343</v>
      </c>
      <c r="X185" s="192" t="s">
        <v>343</v>
      </c>
      <c r="Y185" s="192" t="s">
        <v>343</v>
      </c>
      <c r="Z185" s="192" t="s">
        <v>343</v>
      </c>
      <c r="AA185" s="192" t="s">
        <v>343</v>
      </c>
    </row>
    <row r="186" spans="2:27" ht="12" hidden="1" customHeight="1">
      <c r="B186" s="173" t="s">
        <v>826</v>
      </c>
      <c r="C186" s="173" t="s">
        <v>502</v>
      </c>
      <c r="D186" s="173" t="s">
        <v>503</v>
      </c>
      <c r="E186" s="173" t="s">
        <v>1306</v>
      </c>
      <c r="F186" s="192">
        <v>8</v>
      </c>
      <c r="G186" s="196">
        <v>46023</v>
      </c>
      <c r="H186" s="196"/>
      <c r="I186" s="192" t="s">
        <v>343</v>
      </c>
      <c r="J186" s="192" t="s">
        <v>343</v>
      </c>
      <c r="K186" s="192" t="s">
        <v>343</v>
      </c>
      <c r="L186" s="192" t="s">
        <v>343</v>
      </c>
      <c r="M186" s="192" t="s">
        <v>343</v>
      </c>
      <c r="N186" s="192" t="s">
        <v>343</v>
      </c>
      <c r="O186" s="192" t="s">
        <v>343</v>
      </c>
      <c r="P186" s="192" t="s">
        <v>343</v>
      </c>
      <c r="Q186" s="192" t="s">
        <v>343</v>
      </c>
      <c r="R186" s="192" t="s">
        <v>343</v>
      </c>
      <c r="S186" s="192" t="s">
        <v>343</v>
      </c>
      <c r="T186" s="192" t="s">
        <v>343</v>
      </c>
      <c r="U186" s="192">
        <v>701</v>
      </c>
      <c r="V186" s="192">
        <v>393</v>
      </c>
      <c r="W186" s="192">
        <v>393</v>
      </c>
      <c r="X186" s="192">
        <v>632</v>
      </c>
      <c r="Y186" s="192">
        <v>719</v>
      </c>
      <c r="Z186" s="192">
        <v>719</v>
      </c>
      <c r="AA186" s="192">
        <v>719</v>
      </c>
    </row>
    <row r="187" spans="2:27" ht="12" hidden="1" customHeight="1">
      <c r="B187" s="173" t="s">
        <v>827</v>
      </c>
      <c r="C187" s="173" t="s">
        <v>502</v>
      </c>
      <c r="D187" s="173" t="s">
        <v>637</v>
      </c>
      <c r="E187" s="173" t="s">
        <v>1307</v>
      </c>
      <c r="F187" s="192" t="s">
        <v>343</v>
      </c>
      <c r="G187" s="196">
        <v>44317</v>
      </c>
      <c r="H187" s="196"/>
      <c r="I187" s="192">
        <v>400</v>
      </c>
      <c r="J187" s="192">
        <v>355</v>
      </c>
      <c r="K187" s="192">
        <v>355</v>
      </c>
      <c r="L187" s="192">
        <v>355</v>
      </c>
      <c r="M187" s="192">
        <v>355</v>
      </c>
      <c r="N187" s="192">
        <v>355</v>
      </c>
      <c r="O187" s="192">
        <v>355</v>
      </c>
      <c r="P187" s="192">
        <v>355</v>
      </c>
      <c r="Q187" s="192">
        <v>370</v>
      </c>
      <c r="R187" s="192">
        <v>370</v>
      </c>
      <c r="S187" s="192">
        <v>325</v>
      </c>
      <c r="T187" s="192">
        <v>355</v>
      </c>
      <c r="U187" s="192">
        <v>355</v>
      </c>
      <c r="V187" s="192">
        <v>370</v>
      </c>
      <c r="W187" s="192">
        <v>355</v>
      </c>
      <c r="X187" s="192">
        <v>355</v>
      </c>
      <c r="Y187" s="192">
        <v>355</v>
      </c>
      <c r="Z187" s="192">
        <v>355</v>
      </c>
      <c r="AA187" s="192">
        <v>355</v>
      </c>
    </row>
    <row r="188" spans="2:27" ht="12" hidden="1" customHeight="1">
      <c r="B188" s="173" t="s">
        <v>829</v>
      </c>
      <c r="C188" s="173" t="s">
        <v>502</v>
      </c>
      <c r="D188" s="173" t="s">
        <v>503</v>
      </c>
      <c r="E188" s="173" t="s">
        <v>1306</v>
      </c>
      <c r="F188" s="192">
        <v>5</v>
      </c>
      <c r="G188" s="196">
        <v>45809</v>
      </c>
      <c r="H188" s="196"/>
      <c r="I188" s="192" t="s">
        <v>343</v>
      </c>
      <c r="J188" s="192" t="s">
        <v>343</v>
      </c>
      <c r="K188" s="192" t="s">
        <v>343</v>
      </c>
      <c r="L188" s="192" t="s">
        <v>343</v>
      </c>
      <c r="M188" s="192" t="s">
        <v>343</v>
      </c>
      <c r="N188" s="192">
        <v>350</v>
      </c>
      <c r="O188" s="192">
        <v>375</v>
      </c>
      <c r="P188" s="192">
        <v>415</v>
      </c>
      <c r="Q188" s="192">
        <v>565</v>
      </c>
      <c r="R188" s="192">
        <v>565</v>
      </c>
      <c r="S188" s="192">
        <v>240</v>
      </c>
      <c r="T188" s="192">
        <v>300</v>
      </c>
      <c r="U188" s="192">
        <v>300</v>
      </c>
      <c r="V188" s="192">
        <v>60</v>
      </c>
      <c r="W188" s="192">
        <v>360</v>
      </c>
      <c r="X188" s="192">
        <v>360</v>
      </c>
      <c r="Y188" s="192">
        <v>360</v>
      </c>
      <c r="Z188" s="192">
        <v>360</v>
      </c>
      <c r="AA188" s="192">
        <v>360</v>
      </c>
    </row>
    <row r="189" spans="2:27" ht="12" hidden="1" customHeight="1">
      <c r="B189" s="173" t="s">
        <v>830</v>
      </c>
      <c r="C189" s="173" t="s">
        <v>502</v>
      </c>
      <c r="D189" s="173" t="s">
        <v>503</v>
      </c>
      <c r="E189" s="173" t="s">
        <v>1306</v>
      </c>
      <c r="F189" s="192">
        <v>8</v>
      </c>
      <c r="G189" s="196">
        <v>46082</v>
      </c>
      <c r="H189" s="196"/>
      <c r="I189" s="192" t="s">
        <v>343</v>
      </c>
      <c r="J189" s="192" t="s">
        <v>343</v>
      </c>
      <c r="K189" s="192" t="s">
        <v>343</v>
      </c>
      <c r="L189" s="192" t="s">
        <v>343</v>
      </c>
      <c r="M189" s="192" t="s">
        <v>343</v>
      </c>
      <c r="N189" s="192" t="s">
        <v>343</v>
      </c>
      <c r="O189" s="192" t="s">
        <v>343</v>
      </c>
      <c r="P189" s="192" t="s">
        <v>343</v>
      </c>
      <c r="Q189" s="192" t="s">
        <v>343</v>
      </c>
      <c r="R189" s="192" t="s">
        <v>343</v>
      </c>
      <c r="S189" s="192" t="s">
        <v>343</v>
      </c>
      <c r="T189" s="192" t="s">
        <v>343</v>
      </c>
      <c r="U189" s="192" t="s">
        <v>343</v>
      </c>
      <c r="V189" s="192" t="s">
        <v>343</v>
      </c>
      <c r="W189" s="192">
        <v>854</v>
      </c>
      <c r="X189" s="192">
        <v>652</v>
      </c>
      <c r="Y189" s="192">
        <v>886</v>
      </c>
      <c r="Z189" s="192">
        <v>926</v>
      </c>
      <c r="AA189" s="192">
        <v>886</v>
      </c>
    </row>
    <row r="190" spans="2:27" ht="12" hidden="1" customHeight="1">
      <c r="B190" s="173" t="s">
        <v>831</v>
      </c>
      <c r="C190" s="173" t="s">
        <v>19</v>
      </c>
      <c r="D190" s="173" t="s">
        <v>503</v>
      </c>
      <c r="E190" s="173" t="s">
        <v>1306</v>
      </c>
      <c r="F190" s="192">
        <v>21</v>
      </c>
      <c r="G190" s="196">
        <v>46174</v>
      </c>
      <c r="H190" s="196"/>
      <c r="I190" s="192" t="s">
        <v>343</v>
      </c>
      <c r="J190" s="192" t="s">
        <v>343</v>
      </c>
      <c r="K190" s="192" t="s">
        <v>343</v>
      </c>
      <c r="L190" s="192" t="s">
        <v>343</v>
      </c>
      <c r="M190" s="192" t="s">
        <v>343</v>
      </c>
      <c r="N190" s="192" t="s">
        <v>343</v>
      </c>
      <c r="O190" s="192" t="s">
        <v>343</v>
      </c>
      <c r="P190" s="192" t="s">
        <v>343</v>
      </c>
      <c r="Q190" s="192" t="s">
        <v>343</v>
      </c>
      <c r="R190" s="192" t="s">
        <v>343</v>
      </c>
      <c r="S190" s="192" t="s">
        <v>343</v>
      </c>
      <c r="T190" s="192" t="s">
        <v>343</v>
      </c>
      <c r="U190" s="192" t="s">
        <v>343</v>
      </c>
      <c r="V190" s="192" t="s">
        <v>343</v>
      </c>
      <c r="W190" s="192" t="s">
        <v>343</v>
      </c>
      <c r="X190" s="192" t="s">
        <v>343</v>
      </c>
      <c r="Y190" s="192" t="s">
        <v>343</v>
      </c>
      <c r="Z190" s="192">
        <v>2656</v>
      </c>
      <c r="AA190" s="192">
        <v>1316</v>
      </c>
    </row>
    <row r="191" spans="2:27" ht="12" hidden="1" customHeight="1">
      <c r="B191" s="173" t="s">
        <v>832</v>
      </c>
      <c r="C191" s="173" t="s">
        <v>567</v>
      </c>
      <c r="D191" s="173" t="s">
        <v>683</v>
      </c>
      <c r="E191" s="173" t="s">
        <v>1183</v>
      </c>
      <c r="F191" s="192" t="s">
        <v>343</v>
      </c>
      <c r="G191" s="196">
        <v>45870</v>
      </c>
      <c r="H191" s="196">
        <v>46142</v>
      </c>
      <c r="I191" s="192" t="s">
        <v>343</v>
      </c>
      <c r="J191" s="192" t="s">
        <v>343</v>
      </c>
      <c r="K191" s="192" t="s">
        <v>343</v>
      </c>
      <c r="L191" s="192" t="s">
        <v>343</v>
      </c>
      <c r="M191" s="192" t="s">
        <v>343</v>
      </c>
      <c r="N191" s="192" t="s">
        <v>343</v>
      </c>
      <c r="O191" s="192" t="s">
        <v>343</v>
      </c>
      <c r="P191" s="192">
        <v>350</v>
      </c>
      <c r="Q191" s="192">
        <v>690</v>
      </c>
      <c r="R191" s="192">
        <v>350</v>
      </c>
      <c r="S191" s="192">
        <v>400</v>
      </c>
      <c r="T191" s="192">
        <v>400</v>
      </c>
      <c r="U191" s="192">
        <v>550</v>
      </c>
      <c r="V191" s="192">
        <v>400</v>
      </c>
      <c r="W191" s="192">
        <v>400</v>
      </c>
      <c r="X191" s="192">
        <v>400</v>
      </c>
      <c r="Y191" s="192">
        <v>0</v>
      </c>
      <c r="Z191" s="192" t="s">
        <v>343</v>
      </c>
      <c r="AA191" s="192" t="s">
        <v>343</v>
      </c>
    </row>
    <row r="192" spans="2:27" ht="12" hidden="1" customHeight="1">
      <c r="B192" s="173" t="s">
        <v>833</v>
      </c>
      <c r="C192" s="173" t="s">
        <v>567</v>
      </c>
      <c r="D192" s="173" t="s">
        <v>503</v>
      </c>
      <c r="E192" s="173" t="s">
        <v>1306</v>
      </c>
      <c r="F192" s="192">
        <v>4</v>
      </c>
      <c r="G192" s="196">
        <v>45748</v>
      </c>
      <c r="H192" s="196">
        <v>46112</v>
      </c>
      <c r="I192" s="192" t="s">
        <v>343</v>
      </c>
      <c r="J192" s="192" t="s">
        <v>343</v>
      </c>
      <c r="K192" s="192" t="s">
        <v>343</v>
      </c>
      <c r="L192" s="192">
        <v>350</v>
      </c>
      <c r="M192" s="192" t="s">
        <v>343</v>
      </c>
      <c r="N192" s="192" t="s">
        <v>343</v>
      </c>
      <c r="O192" s="192">
        <v>360</v>
      </c>
      <c r="P192" s="192">
        <v>420</v>
      </c>
      <c r="Q192" s="192">
        <v>420</v>
      </c>
      <c r="R192" s="192">
        <v>420</v>
      </c>
      <c r="S192" s="192">
        <v>380</v>
      </c>
      <c r="T192" s="192">
        <v>590</v>
      </c>
      <c r="U192" s="192">
        <v>610</v>
      </c>
      <c r="V192" s="192">
        <v>560</v>
      </c>
      <c r="W192" s="192">
        <v>400</v>
      </c>
      <c r="X192" s="192" t="s">
        <v>343</v>
      </c>
      <c r="Y192" s="192" t="s">
        <v>343</v>
      </c>
      <c r="Z192" s="192" t="s">
        <v>343</v>
      </c>
      <c r="AA192" s="192" t="s">
        <v>343</v>
      </c>
    </row>
    <row r="193" spans="2:27" ht="12" hidden="1" customHeight="1">
      <c r="B193" s="173" t="s">
        <v>834</v>
      </c>
      <c r="C193" s="173" t="s">
        <v>567</v>
      </c>
      <c r="D193" s="173" t="s">
        <v>503</v>
      </c>
      <c r="E193" s="173" t="s">
        <v>1306</v>
      </c>
      <c r="F193" s="192">
        <v>2</v>
      </c>
      <c r="G193" s="196">
        <v>45323</v>
      </c>
      <c r="H193" s="196">
        <v>45869</v>
      </c>
      <c r="I193" s="192">
        <v>570</v>
      </c>
      <c r="J193" s="192">
        <v>420</v>
      </c>
      <c r="K193" s="192">
        <v>420</v>
      </c>
      <c r="L193" s="192">
        <v>420</v>
      </c>
      <c r="M193" s="192">
        <v>420</v>
      </c>
      <c r="N193" s="192">
        <v>420</v>
      </c>
      <c r="O193" s="192">
        <v>420</v>
      </c>
      <c r="P193" s="192" t="s">
        <v>343</v>
      </c>
      <c r="Q193" s="192" t="s">
        <v>343</v>
      </c>
      <c r="R193" s="192" t="s">
        <v>343</v>
      </c>
      <c r="S193" s="192" t="s">
        <v>343</v>
      </c>
      <c r="T193" s="192" t="s">
        <v>343</v>
      </c>
      <c r="U193" s="192">
        <v>726</v>
      </c>
      <c r="V193" s="192">
        <v>438</v>
      </c>
      <c r="W193" s="192">
        <v>438</v>
      </c>
      <c r="X193" s="192">
        <v>418</v>
      </c>
      <c r="Y193" s="192">
        <v>918</v>
      </c>
      <c r="Z193" s="192">
        <v>418</v>
      </c>
      <c r="AA193" s="192">
        <v>418</v>
      </c>
    </row>
    <row r="194" spans="2:27" ht="12" hidden="1" customHeight="1">
      <c r="B194" s="173" t="s">
        <v>835</v>
      </c>
      <c r="C194" s="173" t="s">
        <v>502</v>
      </c>
      <c r="D194" s="173" t="s">
        <v>503</v>
      </c>
      <c r="E194" s="173" t="s">
        <v>1306</v>
      </c>
      <c r="F194" s="192">
        <v>22</v>
      </c>
      <c r="G194" s="196">
        <v>46143</v>
      </c>
      <c r="H194" s="196"/>
      <c r="I194" s="192" t="s">
        <v>343</v>
      </c>
      <c r="J194" s="192" t="s">
        <v>343</v>
      </c>
      <c r="K194" s="192" t="s">
        <v>343</v>
      </c>
      <c r="L194" s="192" t="s">
        <v>343</v>
      </c>
      <c r="M194" s="192" t="s">
        <v>343</v>
      </c>
      <c r="N194" s="192" t="s">
        <v>343</v>
      </c>
      <c r="O194" s="192" t="s">
        <v>343</v>
      </c>
      <c r="P194" s="192" t="s">
        <v>343</v>
      </c>
      <c r="Q194" s="192" t="s">
        <v>343</v>
      </c>
      <c r="R194" s="192" t="s">
        <v>343</v>
      </c>
      <c r="S194" s="192" t="s">
        <v>343</v>
      </c>
      <c r="T194" s="192" t="s">
        <v>343</v>
      </c>
      <c r="U194" s="192" t="s">
        <v>343</v>
      </c>
      <c r="V194" s="192" t="s">
        <v>343</v>
      </c>
      <c r="W194" s="192" t="s">
        <v>343</v>
      </c>
      <c r="X194" s="192" t="s">
        <v>343</v>
      </c>
      <c r="Y194" s="192">
        <v>2087</v>
      </c>
      <c r="Z194" s="192">
        <v>797</v>
      </c>
      <c r="AA194" s="192">
        <v>885</v>
      </c>
    </row>
    <row r="195" spans="2:27" ht="12" hidden="1" customHeight="1">
      <c r="B195" s="173" t="s">
        <v>836</v>
      </c>
      <c r="C195" s="173" t="s">
        <v>502</v>
      </c>
      <c r="D195" s="173" t="s">
        <v>503</v>
      </c>
      <c r="E195" s="173" t="s">
        <v>1306</v>
      </c>
      <c r="F195" s="192">
        <v>6</v>
      </c>
      <c r="G195" s="196">
        <v>45992</v>
      </c>
      <c r="H195" s="196"/>
      <c r="I195" s="192" t="s">
        <v>343</v>
      </c>
      <c r="J195" s="192" t="s">
        <v>343</v>
      </c>
      <c r="K195" s="192" t="s">
        <v>343</v>
      </c>
      <c r="L195" s="192" t="s">
        <v>343</v>
      </c>
      <c r="M195" s="192" t="s">
        <v>343</v>
      </c>
      <c r="N195" s="192" t="s">
        <v>343</v>
      </c>
      <c r="O195" s="192" t="s">
        <v>343</v>
      </c>
      <c r="P195" s="192" t="s">
        <v>343</v>
      </c>
      <c r="Q195" s="192" t="s">
        <v>343</v>
      </c>
      <c r="R195" s="192" t="s">
        <v>343</v>
      </c>
      <c r="S195" s="192" t="s">
        <v>343</v>
      </c>
      <c r="T195" s="192">
        <v>700</v>
      </c>
      <c r="U195" s="192">
        <v>570</v>
      </c>
      <c r="V195" s="192">
        <v>415</v>
      </c>
      <c r="W195" s="192">
        <v>400</v>
      </c>
      <c r="X195" s="192">
        <v>400</v>
      </c>
      <c r="Y195" s="192">
        <v>400</v>
      </c>
      <c r="Z195" s="192">
        <v>400</v>
      </c>
      <c r="AA195" s="192">
        <v>475</v>
      </c>
    </row>
    <row r="196" spans="2:27" ht="12" hidden="1" customHeight="1">
      <c r="B196" s="173" t="s">
        <v>837</v>
      </c>
      <c r="C196" s="173" t="s">
        <v>567</v>
      </c>
      <c r="D196" s="173" t="s">
        <v>503</v>
      </c>
      <c r="E196" s="173" t="s">
        <v>1306</v>
      </c>
      <c r="F196" s="192">
        <v>14</v>
      </c>
      <c r="G196" s="196">
        <v>46054</v>
      </c>
      <c r="H196" s="196">
        <v>46203</v>
      </c>
      <c r="I196" s="192" t="s">
        <v>343</v>
      </c>
      <c r="J196" s="192" t="s">
        <v>343</v>
      </c>
      <c r="K196" s="192" t="s">
        <v>343</v>
      </c>
      <c r="L196" s="192" t="s">
        <v>343</v>
      </c>
      <c r="M196" s="192" t="s">
        <v>343</v>
      </c>
      <c r="N196" s="192" t="s">
        <v>343</v>
      </c>
      <c r="O196" s="192" t="s">
        <v>343</v>
      </c>
      <c r="P196" s="192" t="s">
        <v>343</v>
      </c>
      <c r="Q196" s="192" t="s">
        <v>343</v>
      </c>
      <c r="R196" s="192" t="s">
        <v>343</v>
      </c>
      <c r="S196" s="192" t="s">
        <v>343</v>
      </c>
      <c r="T196" s="192" t="s">
        <v>343</v>
      </c>
      <c r="U196" s="192" t="s">
        <v>343</v>
      </c>
      <c r="V196" s="192">
        <v>1053</v>
      </c>
      <c r="W196" s="192">
        <v>798</v>
      </c>
      <c r="X196" s="192">
        <v>623</v>
      </c>
      <c r="Y196" s="192">
        <v>668</v>
      </c>
      <c r="Z196" s="192">
        <v>606</v>
      </c>
      <c r="AA196" s="192" t="s">
        <v>343</v>
      </c>
    </row>
    <row r="197" spans="2:27" ht="12" hidden="1" customHeight="1">
      <c r="B197" s="173" t="s">
        <v>839</v>
      </c>
      <c r="C197" s="173" t="s">
        <v>502</v>
      </c>
      <c r="D197" s="173" t="s">
        <v>503</v>
      </c>
      <c r="E197" s="173" t="s">
        <v>1306</v>
      </c>
      <c r="F197" s="192">
        <v>25</v>
      </c>
      <c r="G197" s="196">
        <v>46113</v>
      </c>
      <c r="H197" s="196"/>
      <c r="I197" s="192" t="s">
        <v>343</v>
      </c>
      <c r="J197" s="192" t="s">
        <v>343</v>
      </c>
      <c r="K197" s="192" t="s">
        <v>343</v>
      </c>
      <c r="L197" s="192" t="s">
        <v>343</v>
      </c>
      <c r="M197" s="192" t="s">
        <v>343</v>
      </c>
      <c r="N197" s="192" t="s">
        <v>343</v>
      </c>
      <c r="O197" s="192" t="s">
        <v>343</v>
      </c>
      <c r="P197" s="192" t="s">
        <v>343</v>
      </c>
      <c r="Q197" s="192" t="s">
        <v>343</v>
      </c>
      <c r="R197" s="192" t="s">
        <v>343</v>
      </c>
      <c r="S197" s="192" t="s">
        <v>343</v>
      </c>
      <c r="T197" s="192" t="s">
        <v>343</v>
      </c>
      <c r="U197" s="192" t="s">
        <v>343</v>
      </c>
      <c r="V197" s="192" t="s">
        <v>343</v>
      </c>
      <c r="W197" s="192" t="s">
        <v>343</v>
      </c>
      <c r="X197" s="192">
        <v>1380</v>
      </c>
      <c r="Y197" s="192">
        <v>780</v>
      </c>
      <c r="Z197" s="192">
        <v>750</v>
      </c>
      <c r="AA197" s="192">
        <v>750</v>
      </c>
    </row>
    <row r="198" spans="2:27" ht="12" hidden="1" customHeight="1">
      <c r="B198" s="173" t="s">
        <v>840</v>
      </c>
      <c r="C198" s="173" t="s">
        <v>502</v>
      </c>
      <c r="D198" s="173" t="s">
        <v>683</v>
      </c>
      <c r="E198" s="173" t="s">
        <v>1183</v>
      </c>
      <c r="F198" s="192" t="s">
        <v>343</v>
      </c>
      <c r="G198" s="196">
        <v>45383</v>
      </c>
      <c r="H198" s="196"/>
      <c r="I198" s="192">
        <v>320</v>
      </c>
      <c r="J198" s="192">
        <v>320</v>
      </c>
      <c r="K198" s="192">
        <v>320</v>
      </c>
      <c r="L198" s="192">
        <v>320</v>
      </c>
      <c r="M198" s="192">
        <v>320</v>
      </c>
      <c r="N198" s="192">
        <v>300</v>
      </c>
      <c r="O198" s="192">
        <v>300</v>
      </c>
      <c r="P198" s="192">
        <v>300</v>
      </c>
      <c r="Q198" s="192">
        <v>300</v>
      </c>
      <c r="R198" s="192">
        <v>300</v>
      </c>
      <c r="S198" s="192">
        <v>300</v>
      </c>
      <c r="T198" s="192">
        <v>300</v>
      </c>
      <c r="U198" s="192">
        <v>300</v>
      </c>
      <c r="V198" s="192">
        <v>300</v>
      </c>
      <c r="W198" s="192">
        <v>300</v>
      </c>
      <c r="X198" s="192">
        <v>300</v>
      </c>
      <c r="Y198" s="192">
        <v>300</v>
      </c>
      <c r="Z198" s="192">
        <v>310</v>
      </c>
      <c r="AA198" s="192">
        <v>310</v>
      </c>
    </row>
    <row r="199" spans="2:27" ht="12" hidden="1" customHeight="1">
      <c r="B199" s="173" t="s">
        <v>841</v>
      </c>
      <c r="C199" s="173" t="s">
        <v>502</v>
      </c>
      <c r="D199" s="173" t="s">
        <v>503</v>
      </c>
      <c r="E199" s="173" t="s">
        <v>1306</v>
      </c>
      <c r="F199" s="192">
        <v>2</v>
      </c>
      <c r="G199" s="196">
        <v>45901</v>
      </c>
      <c r="H199" s="196"/>
      <c r="I199" s="192" t="s">
        <v>343</v>
      </c>
      <c r="J199" s="192" t="s">
        <v>343</v>
      </c>
      <c r="K199" s="192" t="s">
        <v>343</v>
      </c>
      <c r="L199" s="192" t="s">
        <v>343</v>
      </c>
      <c r="M199" s="192" t="s">
        <v>343</v>
      </c>
      <c r="N199" s="192" t="s">
        <v>343</v>
      </c>
      <c r="O199" s="192" t="s">
        <v>343</v>
      </c>
      <c r="P199" s="192" t="s">
        <v>343</v>
      </c>
      <c r="Q199" s="192" t="s">
        <v>343</v>
      </c>
      <c r="R199" s="192">
        <v>440</v>
      </c>
      <c r="S199" s="192">
        <v>290</v>
      </c>
      <c r="T199" s="192">
        <v>290</v>
      </c>
      <c r="U199" s="192">
        <v>290</v>
      </c>
      <c r="V199" s="192">
        <v>305</v>
      </c>
      <c r="W199" s="192">
        <v>290</v>
      </c>
      <c r="X199" s="192">
        <v>440</v>
      </c>
      <c r="Y199" s="192">
        <v>440</v>
      </c>
      <c r="Z199" s="192">
        <v>341.37</v>
      </c>
      <c r="AA199" s="192">
        <v>440</v>
      </c>
    </row>
    <row r="200" spans="2:27" ht="12" hidden="1" customHeight="1">
      <c r="B200" s="173" t="s">
        <v>842</v>
      </c>
      <c r="C200" s="173" t="s">
        <v>502</v>
      </c>
      <c r="D200" s="173" t="s">
        <v>683</v>
      </c>
      <c r="E200" s="173" t="s">
        <v>1183</v>
      </c>
      <c r="F200" s="192" t="s">
        <v>343</v>
      </c>
      <c r="G200" s="196">
        <v>45962</v>
      </c>
      <c r="H200" s="196"/>
      <c r="I200" s="192" t="s">
        <v>343</v>
      </c>
      <c r="J200" s="192" t="s">
        <v>343</v>
      </c>
      <c r="K200" s="192" t="s">
        <v>343</v>
      </c>
      <c r="L200" s="192" t="s">
        <v>343</v>
      </c>
      <c r="M200" s="192" t="s">
        <v>343</v>
      </c>
      <c r="N200" s="192" t="s">
        <v>343</v>
      </c>
      <c r="O200" s="192" t="s">
        <v>343</v>
      </c>
      <c r="P200" s="192" t="s">
        <v>343</v>
      </c>
      <c r="Q200" s="192" t="s">
        <v>343</v>
      </c>
      <c r="R200" s="192" t="s">
        <v>343</v>
      </c>
      <c r="S200" s="192">
        <v>350</v>
      </c>
      <c r="T200" s="192">
        <v>350</v>
      </c>
      <c r="U200" s="192">
        <v>400</v>
      </c>
      <c r="V200" s="192">
        <v>400</v>
      </c>
      <c r="W200" s="192">
        <v>400</v>
      </c>
      <c r="X200" s="192">
        <v>400</v>
      </c>
      <c r="Y200" s="192">
        <v>400</v>
      </c>
      <c r="Z200" s="192">
        <v>400</v>
      </c>
      <c r="AA200" s="192">
        <v>400</v>
      </c>
    </row>
    <row r="201" spans="2:27" ht="12" hidden="1" customHeight="1">
      <c r="B201" s="173" t="s">
        <v>843</v>
      </c>
      <c r="C201" s="173" t="s">
        <v>567</v>
      </c>
      <c r="D201" s="173" t="s">
        <v>503</v>
      </c>
      <c r="E201" s="173" t="s">
        <v>1306</v>
      </c>
      <c r="F201" s="192">
        <v>4</v>
      </c>
      <c r="G201" s="196">
        <v>45474</v>
      </c>
      <c r="H201" s="196">
        <v>46112</v>
      </c>
      <c r="I201" s="192">
        <v>395</v>
      </c>
      <c r="J201" s="192">
        <v>395</v>
      </c>
      <c r="K201" s="192">
        <v>395</v>
      </c>
      <c r="L201" s="192">
        <v>395</v>
      </c>
      <c r="M201" s="192">
        <v>395</v>
      </c>
      <c r="N201" s="192">
        <v>395</v>
      </c>
      <c r="O201" s="192">
        <v>400</v>
      </c>
      <c r="P201" s="192">
        <v>400</v>
      </c>
      <c r="Q201" s="192">
        <v>400</v>
      </c>
      <c r="R201" s="192">
        <v>655</v>
      </c>
      <c r="S201" s="192">
        <v>400</v>
      </c>
      <c r="T201" s="192">
        <v>400</v>
      </c>
      <c r="U201" s="192">
        <v>400</v>
      </c>
      <c r="V201" s="192">
        <v>400</v>
      </c>
      <c r="W201" s="192">
        <v>400</v>
      </c>
      <c r="X201" s="192" t="s">
        <v>343</v>
      </c>
      <c r="Y201" s="192" t="s">
        <v>343</v>
      </c>
      <c r="Z201" s="192" t="s">
        <v>343</v>
      </c>
      <c r="AA201" s="192" t="s">
        <v>343</v>
      </c>
    </row>
    <row r="202" spans="2:27" ht="12" hidden="1" customHeight="1">
      <c r="B202" s="173" t="s">
        <v>844</v>
      </c>
      <c r="C202" s="173" t="s">
        <v>567</v>
      </c>
      <c r="D202" s="173" t="s">
        <v>637</v>
      </c>
      <c r="E202" s="173" t="s">
        <v>1307</v>
      </c>
      <c r="F202" s="192" t="s">
        <v>343</v>
      </c>
      <c r="G202" s="196">
        <v>44805</v>
      </c>
      <c r="H202" s="196">
        <v>46234</v>
      </c>
      <c r="I202" s="192">
        <v>335</v>
      </c>
      <c r="J202" s="192">
        <v>275</v>
      </c>
      <c r="K202" s="192">
        <v>275</v>
      </c>
      <c r="L202" s="192">
        <v>275</v>
      </c>
      <c r="M202" s="192">
        <v>275</v>
      </c>
      <c r="N202" s="192">
        <v>275</v>
      </c>
      <c r="O202" s="192">
        <v>275</v>
      </c>
      <c r="P202" s="192">
        <v>275</v>
      </c>
      <c r="Q202" s="192">
        <v>285</v>
      </c>
      <c r="R202" s="192">
        <v>285</v>
      </c>
      <c r="S202" s="192">
        <v>285</v>
      </c>
      <c r="T202" s="192">
        <v>285</v>
      </c>
      <c r="U202" s="192">
        <v>285</v>
      </c>
      <c r="V202" s="192">
        <v>315</v>
      </c>
      <c r="W202" s="192">
        <v>285</v>
      </c>
      <c r="X202" s="192">
        <v>285</v>
      </c>
      <c r="Y202" s="192">
        <v>285</v>
      </c>
      <c r="Z202" s="192">
        <v>285</v>
      </c>
      <c r="AA202" s="192">
        <v>285</v>
      </c>
    </row>
    <row r="203" spans="2:27" ht="12" hidden="1" customHeight="1">
      <c r="B203" s="173" t="s">
        <v>845</v>
      </c>
      <c r="C203" s="173" t="s">
        <v>567</v>
      </c>
      <c r="D203" s="173" t="s">
        <v>683</v>
      </c>
      <c r="E203" s="173" t="s">
        <v>1183</v>
      </c>
      <c r="F203" s="192" t="s">
        <v>343</v>
      </c>
      <c r="G203" s="196">
        <v>45992</v>
      </c>
      <c r="H203" s="196">
        <v>46173</v>
      </c>
      <c r="I203" s="192" t="s">
        <v>343</v>
      </c>
      <c r="J203" s="192" t="s">
        <v>343</v>
      </c>
      <c r="K203" s="192" t="s">
        <v>343</v>
      </c>
      <c r="L203" s="192" t="s">
        <v>343</v>
      </c>
      <c r="M203" s="192" t="s">
        <v>343</v>
      </c>
      <c r="N203" s="192" t="s">
        <v>343</v>
      </c>
      <c r="O203" s="192" t="s">
        <v>343</v>
      </c>
      <c r="P203" s="192" t="s">
        <v>343</v>
      </c>
      <c r="Q203" s="192" t="s">
        <v>343</v>
      </c>
      <c r="R203" s="192" t="s">
        <v>343</v>
      </c>
      <c r="S203" s="192" t="s">
        <v>343</v>
      </c>
      <c r="T203" s="192">
        <v>640</v>
      </c>
      <c r="U203" s="192">
        <v>425</v>
      </c>
      <c r="V203" s="192">
        <v>595</v>
      </c>
      <c r="W203" s="192">
        <v>700</v>
      </c>
      <c r="X203" s="192">
        <v>420</v>
      </c>
      <c r="Y203" s="192">
        <v>560</v>
      </c>
      <c r="Z203" s="192" t="s">
        <v>343</v>
      </c>
      <c r="AA203" s="192" t="s">
        <v>343</v>
      </c>
    </row>
    <row r="204" spans="2:27" ht="12" hidden="1" customHeight="1">
      <c r="B204" s="173" t="s">
        <v>846</v>
      </c>
      <c r="C204" s="173" t="s">
        <v>19</v>
      </c>
      <c r="D204" s="173" t="s">
        <v>503</v>
      </c>
      <c r="E204" s="173" t="s">
        <v>1306</v>
      </c>
      <c r="F204" s="192">
        <v>15</v>
      </c>
      <c r="G204" s="196">
        <v>46174</v>
      </c>
      <c r="H204" s="196"/>
      <c r="I204" s="192" t="s">
        <v>343</v>
      </c>
      <c r="J204" s="192" t="s">
        <v>343</v>
      </c>
      <c r="K204" s="192" t="s">
        <v>343</v>
      </c>
      <c r="L204" s="192" t="s">
        <v>343</v>
      </c>
      <c r="M204" s="192" t="s">
        <v>343</v>
      </c>
      <c r="N204" s="192" t="s">
        <v>343</v>
      </c>
      <c r="O204" s="192" t="s">
        <v>343</v>
      </c>
      <c r="P204" s="192" t="s">
        <v>343</v>
      </c>
      <c r="Q204" s="192" t="s">
        <v>343</v>
      </c>
      <c r="R204" s="192" t="s">
        <v>343</v>
      </c>
      <c r="S204" s="192" t="s">
        <v>343</v>
      </c>
      <c r="T204" s="192" t="s">
        <v>343</v>
      </c>
      <c r="U204" s="192" t="s">
        <v>343</v>
      </c>
      <c r="V204" s="192" t="s">
        <v>343</v>
      </c>
      <c r="W204" s="192" t="s">
        <v>343</v>
      </c>
      <c r="X204" s="192" t="s">
        <v>343</v>
      </c>
      <c r="Y204" s="192" t="s">
        <v>343</v>
      </c>
      <c r="Z204" s="192">
        <v>2360</v>
      </c>
      <c r="AA204" s="192">
        <v>965</v>
      </c>
    </row>
    <row r="205" spans="2:27" ht="12" hidden="1" customHeight="1">
      <c r="B205" s="173" t="s">
        <v>848</v>
      </c>
      <c r="C205" s="173" t="s">
        <v>502</v>
      </c>
      <c r="D205" s="173" t="s">
        <v>503</v>
      </c>
      <c r="E205" s="173" t="s">
        <v>1306</v>
      </c>
      <c r="F205" s="192">
        <v>10</v>
      </c>
      <c r="G205" s="196">
        <v>46054</v>
      </c>
      <c r="H205" s="196"/>
      <c r="I205" s="192" t="s">
        <v>343</v>
      </c>
      <c r="J205" s="192" t="s">
        <v>343</v>
      </c>
      <c r="K205" s="192" t="s">
        <v>343</v>
      </c>
      <c r="L205" s="192" t="s">
        <v>343</v>
      </c>
      <c r="M205" s="192" t="s">
        <v>343</v>
      </c>
      <c r="N205" s="192" t="s">
        <v>343</v>
      </c>
      <c r="O205" s="192" t="s">
        <v>343</v>
      </c>
      <c r="P205" s="192" t="s">
        <v>343</v>
      </c>
      <c r="Q205" s="192" t="s">
        <v>343</v>
      </c>
      <c r="R205" s="192" t="s">
        <v>343</v>
      </c>
      <c r="S205" s="192" t="s">
        <v>343</v>
      </c>
      <c r="T205" s="192" t="s">
        <v>343</v>
      </c>
      <c r="U205" s="192" t="s">
        <v>343</v>
      </c>
      <c r="V205" s="192">
        <v>668</v>
      </c>
      <c r="W205" s="192">
        <v>390</v>
      </c>
      <c r="X205" s="192">
        <v>464</v>
      </c>
      <c r="Y205" s="192">
        <v>544</v>
      </c>
      <c r="Z205" s="192">
        <v>606</v>
      </c>
      <c r="AA205" s="192">
        <v>606</v>
      </c>
    </row>
    <row r="206" spans="2:27" ht="12" hidden="1" customHeight="1">
      <c r="B206" s="173" t="s">
        <v>849</v>
      </c>
      <c r="C206" s="173" t="s">
        <v>567</v>
      </c>
      <c r="D206" s="173" t="s">
        <v>637</v>
      </c>
      <c r="E206" s="173" t="s">
        <v>1307</v>
      </c>
      <c r="F206" s="192" t="s">
        <v>343</v>
      </c>
      <c r="G206" s="196">
        <v>44317</v>
      </c>
      <c r="H206" s="196">
        <v>46234</v>
      </c>
      <c r="I206" s="192">
        <v>295</v>
      </c>
      <c r="J206" s="192">
        <v>250</v>
      </c>
      <c r="K206" s="192">
        <v>250</v>
      </c>
      <c r="L206" s="192">
        <v>250</v>
      </c>
      <c r="M206" s="192">
        <v>250</v>
      </c>
      <c r="N206" s="192">
        <v>250</v>
      </c>
      <c r="O206" s="192">
        <v>250</v>
      </c>
      <c r="P206" s="192">
        <v>250</v>
      </c>
      <c r="Q206" s="192">
        <v>250</v>
      </c>
      <c r="R206" s="192">
        <v>250</v>
      </c>
      <c r="S206" s="192">
        <v>250</v>
      </c>
      <c r="T206" s="192">
        <v>250</v>
      </c>
      <c r="U206" s="192">
        <v>285</v>
      </c>
      <c r="V206" s="192">
        <v>300</v>
      </c>
      <c r="W206" s="192">
        <v>285</v>
      </c>
      <c r="X206" s="192">
        <v>285</v>
      </c>
      <c r="Y206" s="192">
        <v>285</v>
      </c>
      <c r="Z206" s="192">
        <v>285</v>
      </c>
      <c r="AA206" s="192">
        <v>285</v>
      </c>
    </row>
    <row r="207" spans="2:27" ht="12" hidden="1" customHeight="1">
      <c r="B207" s="173" t="s">
        <v>851</v>
      </c>
      <c r="C207" s="173" t="s">
        <v>502</v>
      </c>
      <c r="D207" s="173" t="s">
        <v>503</v>
      </c>
      <c r="E207" s="173" t="s">
        <v>1306</v>
      </c>
      <c r="F207" s="192">
        <v>4</v>
      </c>
      <c r="G207" s="196">
        <v>45962</v>
      </c>
      <c r="H207" s="196"/>
      <c r="I207" s="192" t="s">
        <v>343</v>
      </c>
      <c r="J207" s="192" t="s">
        <v>343</v>
      </c>
      <c r="K207" s="192" t="s">
        <v>343</v>
      </c>
      <c r="L207" s="192" t="s">
        <v>343</v>
      </c>
      <c r="M207" s="192" t="s">
        <v>343</v>
      </c>
      <c r="N207" s="192" t="s">
        <v>343</v>
      </c>
      <c r="O207" s="192" t="s">
        <v>343</v>
      </c>
      <c r="P207" s="192" t="s">
        <v>343</v>
      </c>
      <c r="Q207" s="192" t="s">
        <v>343</v>
      </c>
      <c r="R207" s="192" t="s">
        <v>343</v>
      </c>
      <c r="S207" s="192">
        <v>400</v>
      </c>
      <c r="T207" s="192">
        <v>325</v>
      </c>
      <c r="U207" s="192">
        <v>325</v>
      </c>
      <c r="V207" s="192">
        <v>415</v>
      </c>
      <c r="W207" s="192">
        <v>250</v>
      </c>
      <c r="X207" s="192">
        <v>325</v>
      </c>
      <c r="Y207" s="192">
        <v>400</v>
      </c>
      <c r="Z207" s="192">
        <v>400</v>
      </c>
      <c r="AA207" s="192">
        <v>400</v>
      </c>
    </row>
    <row r="208" spans="2:27" ht="12" hidden="1" customHeight="1">
      <c r="B208" s="173" t="s">
        <v>852</v>
      </c>
      <c r="C208" s="173" t="s">
        <v>502</v>
      </c>
      <c r="D208" s="173" t="s">
        <v>503</v>
      </c>
      <c r="E208" s="173" t="s">
        <v>1306</v>
      </c>
      <c r="F208" s="192">
        <v>10</v>
      </c>
      <c r="G208" s="196">
        <v>45931</v>
      </c>
      <c r="H208" s="196"/>
      <c r="I208" s="192" t="s">
        <v>343</v>
      </c>
      <c r="J208" s="192" t="s">
        <v>343</v>
      </c>
      <c r="K208" s="192" t="s">
        <v>343</v>
      </c>
      <c r="L208" s="192" t="s">
        <v>343</v>
      </c>
      <c r="M208" s="192" t="s">
        <v>343</v>
      </c>
      <c r="N208" s="192" t="s">
        <v>343</v>
      </c>
      <c r="O208" s="192" t="s">
        <v>343</v>
      </c>
      <c r="P208" s="192" t="s">
        <v>343</v>
      </c>
      <c r="Q208" s="192" t="s">
        <v>343</v>
      </c>
      <c r="R208" s="192">
        <v>595</v>
      </c>
      <c r="S208" s="192" t="s">
        <v>343</v>
      </c>
      <c r="T208" s="192" t="s">
        <v>343</v>
      </c>
      <c r="U208" s="192">
        <v>565</v>
      </c>
      <c r="V208" s="192">
        <v>315</v>
      </c>
      <c r="W208" s="192">
        <v>350</v>
      </c>
      <c r="X208" s="192">
        <v>350</v>
      </c>
      <c r="Y208" s="192">
        <v>350</v>
      </c>
      <c r="Z208" s="192">
        <v>350</v>
      </c>
      <c r="AA208" s="192">
        <v>350</v>
      </c>
    </row>
    <row r="209" spans="2:27" ht="12" hidden="1" customHeight="1">
      <c r="B209" s="173" t="s">
        <v>853</v>
      </c>
      <c r="C209" s="173" t="s">
        <v>502</v>
      </c>
      <c r="D209" s="173" t="s">
        <v>503</v>
      </c>
      <c r="E209" s="173" t="s">
        <v>1306</v>
      </c>
      <c r="F209" s="192">
        <v>12</v>
      </c>
      <c r="G209" s="196">
        <v>46023</v>
      </c>
      <c r="H209" s="196"/>
      <c r="I209" s="192" t="s">
        <v>343</v>
      </c>
      <c r="J209" s="192" t="s">
        <v>343</v>
      </c>
      <c r="K209" s="192" t="s">
        <v>343</v>
      </c>
      <c r="L209" s="192" t="s">
        <v>343</v>
      </c>
      <c r="M209" s="192" t="s">
        <v>343</v>
      </c>
      <c r="N209" s="192" t="s">
        <v>343</v>
      </c>
      <c r="O209" s="192" t="s">
        <v>343</v>
      </c>
      <c r="P209" s="192" t="s">
        <v>343</v>
      </c>
      <c r="Q209" s="192" t="s">
        <v>343</v>
      </c>
      <c r="R209" s="192" t="s">
        <v>343</v>
      </c>
      <c r="S209" s="192" t="s">
        <v>343</v>
      </c>
      <c r="T209" s="192" t="s">
        <v>343</v>
      </c>
      <c r="U209" s="192">
        <v>630</v>
      </c>
      <c r="V209" s="192">
        <v>420</v>
      </c>
      <c r="W209" s="192">
        <v>455</v>
      </c>
      <c r="X209" s="192">
        <v>455</v>
      </c>
      <c r="Y209" s="192">
        <v>420</v>
      </c>
      <c r="Z209" s="192">
        <v>420</v>
      </c>
      <c r="AA209" s="192">
        <v>420</v>
      </c>
    </row>
    <row r="210" spans="2:27" ht="12" hidden="1" customHeight="1">
      <c r="B210" s="173" t="s">
        <v>854</v>
      </c>
      <c r="C210" s="173" t="s">
        <v>567</v>
      </c>
      <c r="D210" s="173" t="s">
        <v>503</v>
      </c>
      <c r="E210" s="173" t="s">
        <v>1306</v>
      </c>
      <c r="F210" s="192">
        <v>9</v>
      </c>
      <c r="G210" s="196">
        <v>45992</v>
      </c>
      <c r="H210" s="196">
        <v>46173</v>
      </c>
      <c r="I210" s="192" t="s">
        <v>343</v>
      </c>
      <c r="J210" s="192" t="s">
        <v>343</v>
      </c>
      <c r="K210" s="192" t="s">
        <v>343</v>
      </c>
      <c r="L210" s="192" t="s">
        <v>343</v>
      </c>
      <c r="M210" s="192" t="s">
        <v>343</v>
      </c>
      <c r="N210" s="192" t="s">
        <v>343</v>
      </c>
      <c r="O210" s="192" t="s">
        <v>343</v>
      </c>
      <c r="P210" s="192" t="s">
        <v>343</v>
      </c>
      <c r="Q210" s="192" t="s">
        <v>343</v>
      </c>
      <c r="R210" s="192" t="s">
        <v>343</v>
      </c>
      <c r="S210" s="192" t="s">
        <v>343</v>
      </c>
      <c r="T210" s="192">
        <v>973</v>
      </c>
      <c r="U210" s="192">
        <v>-183</v>
      </c>
      <c r="V210" s="192">
        <v>453</v>
      </c>
      <c r="W210" s="192">
        <v>690</v>
      </c>
      <c r="X210" s="192">
        <v>595</v>
      </c>
      <c r="Y210" s="192">
        <v>595</v>
      </c>
      <c r="Z210" s="192" t="s">
        <v>343</v>
      </c>
      <c r="AA210" s="192" t="s">
        <v>343</v>
      </c>
    </row>
    <row r="211" spans="2:27" ht="12" hidden="1" customHeight="1">
      <c r="B211" s="173" t="s">
        <v>855</v>
      </c>
      <c r="C211" s="173" t="s">
        <v>567</v>
      </c>
      <c r="D211" s="173" t="s">
        <v>503</v>
      </c>
      <c r="E211" s="173" t="s">
        <v>1306</v>
      </c>
      <c r="F211" s="192">
        <v>8</v>
      </c>
      <c r="G211" s="196">
        <v>46023</v>
      </c>
      <c r="H211" s="196">
        <v>46142</v>
      </c>
      <c r="I211" s="192" t="s">
        <v>343</v>
      </c>
      <c r="J211" s="192" t="s">
        <v>343</v>
      </c>
      <c r="K211" s="192" t="s">
        <v>343</v>
      </c>
      <c r="L211" s="192" t="s">
        <v>343</v>
      </c>
      <c r="M211" s="192" t="s">
        <v>343</v>
      </c>
      <c r="N211" s="192" t="s">
        <v>343</v>
      </c>
      <c r="O211" s="192" t="s">
        <v>343</v>
      </c>
      <c r="P211" s="192" t="s">
        <v>343</v>
      </c>
      <c r="Q211" s="192" t="s">
        <v>343</v>
      </c>
      <c r="R211" s="192" t="s">
        <v>343</v>
      </c>
      <c r="S211" s="192" t="s">
        <v>343</v>
      </c>
      <c r="T211" s="192" t="s">
        <v>343</v>
      </c>
      <c r="U211" s="192">
        <v>1345</v>
      </c>
      <c r="V211" s="192">
        <v>745</v>
      </c>
      <c r="W211" s="192">
        <v>295</v>
      </c>
      <c r="X211" s="192">
        <v>650</v>
      </c>
      <c r="Y211" s="192" t="s">
        <v>343</v>
      </c>
      <c r="Z211" s="192" t="s">
        <v>343</v>
      </c>
      <c r="AA211" s="192" t="s">
        <v>343</v>
      </c>
    </row>
    <row r="212" spans="2:27" ht="12" hidden="1" customHeight="1">
      <c r="B212" s="173" t="s">
        <v>858</v>
      </c>
      <c r="C212" s="173" t="s">
        <v>567</v>
      </c>
      <c r="D212" s="173" t="s">
        <v>662</v>
      </c>
      <c r="E212" s="173" t="s">
        <v>1308</v>
      </c>
      <c r="F212" s="192" t="s">
        <v>343</v>
      </c>
      <c r="G212" s="196">
        <v>45717</v>
      </c>
      <c r="H212" s="196">
        <v>46022</v>
      </c>
      <c r="I212" s="192" t="s">
        <v>343</v>
      </c>
      <c r="J212" s="192" t="s">
        <v>343</v>
      </c>
      <c r="K212" s="192">
        <v>460</v>
      </c>
      <c r="L212" s="192" t="s">
        <v>343</v>
      </c>
      <c r="M212" s="192" t="s">
        <v>343</v>
      </c>
      <c r="N212" s="192">
        <v>917.5</v>
      </c>
      <c r="O212" s="192">
        <v>467.5</v>
      </c>
      <c r="P212" s="192">
        <v>467.5</v>
      </c>
      <c r="Q212" s="192">
        <v>550</v>
      </c>
      <c r="R212" s="192">
        <v>550</v>
      </c>
      <c r="S212" s="192">
        <v>550</v>
      </c>
      <c r="T212" s="192">
        <v>775</v>
      </c>
      <c r="U212" s="192" t="s">
        <v>343</v>
      </c>
      <c r="V212" s="192" t="s">
        <v>343</v>
      </c>
      <c r="W212" s="192">
        <v>90</v>
      </c>
      <c r="X212" s="192" t="s">
        <v>343</v>
      </c>
      <c r="Y212" s="192" t="s">
        <v>343</v>
      </c>
      <c r="Z212" s="192" t="s">
        <v>343</v>
      </c>
      <c r="AA212" s="192" t="s">
        <v>343</v>
      </c>
    </row>
    <row r="213" spans="2:27" ht="12" hidden="1" customHeight="1">
      <c r="B213" s="173" t="s">
        <v>859</v>
      </c>
      <c r="C213" s="173" t="s">
        <v>567</v>
      </c>
      <c r="D213" s="173" t="s">
        <v>503</v>
      </c>
      <c r="E213" s="173" t="s">
        <v>1306</v>
      </c>
      <c r="F213" s="192">
        <v>5</v>
      </c>
      <c r="G213" s="196">
        <v>45658</v>
      </c>
      <c r="H213" s="196">
        <v>46173</v>
      </c>
      <c r="I213" s="192" t="s">
        <v>343</v>
      </c>
      <c r="J213" s="192" t="s">
        <v>343</v>
      </c>
      <c r="K213" s="192" t="s">
        <v>343</v>
      </c>
      <c r="L213" s="192" t="s">
        <v>343</v>
      </c>
      <c r="M213" s="192" t="s">
        <v>343</v>
      </c>
      <c r="N213" s="192" t="s">
        <v>343</v>
      </c>
      <c r="O213" s="192" t="s">
        <v>343</v>
      </c>
      <c r="P213" s="192" t="s">
        <v>343</v>
      </c>
      <c r="Q213" s="192" t="s">
        <v>343</v>
      </c>
      <c r="R213" s="192" t="s">
        <v>343</v>
      </c>
      <c r="S213" s="192" t="s">
        <v>343</v>
      </c>
      <c r="T213" s="192" t="s">
        <v>343</v>
      </c>
      <c r="U213" s="192">
        <v>1118</v>
      </c>
      <c r="V213" s="192">
        <v>470</v>
      </c>
      <c r="W213" s="192">
        <v>398</v>
      </c>
      <c r="X213" s="192">
        <v>470</v>
      </c>
      <c r="Y213" s="192">
        <v>470</v>
      </c>
      <c r="Z213" s="192" t="s">
        <v>343</v>
      </c>
      <c r="AA213" s="192" t="s">
        <v>343</v>
      </c>
    </row>
    <row r="214" spans="2:27" ht="12" hidden="1" customHeight="1">
      <c r="B214" s="173" t="s">
        <v>860</v>
      </c>
      <c r="C214" s="173" t="s">
        <v>567</v>
      </c>
      <c r="D214" s="173" t="s">
        <v>503</v>
      </c>
      <c r="E214" s="173" t="s">
        <v>1306</v>
      </c>
      <c r="F214" s="192">
        <v>4</v>
      </c>
      <c r="G214" s="196">
        <v>45413</v>
      </c>
      <c r="H214" s="196">
        <v>46081</v>
      </c>
      <c r="I214" s="192">
        <v>474</v>
      </c>
      <c r="J214" s="192">
        <v>474</v>
      </c>
      <c r="K214" s="192">
        <v>474</v>
      </c>
      <c r="L214" s="192">
        <v>474</v>
      </c>
      <c r="M214" s="192">
        <v>475</v>
      </c>
      <c r="N214" s="192">
        <v>400</v>
      </c>
      <c r="O214" s="192">
        <v>400</v>
      </c>
      <c r="P214" s="192">
        <v>400</v>
      </c>
      <c r="Q214" s="192">
        <v>400</v>
      </c>
      <c r="R214" s="192">
        <v>400</v>
      </c>
      <c r="S214" s="192">
        <v>400</v>
      </c>
      <c r="T214" s="192">
        <v>400</v>
      </c>
      <c r="U214" s="192">
        <v>400</v>
      </c>
      <c r="V214" s="192">
        <v>475</v>
      </c>
      <c r="W214" s="192" t="s">
        <v>343</v>
      </c>
      <c r="X214" s="192" t="s">
        <v>343</v>
      </c>
      <c r="Y214" s="192" t="s">
        <v>343</v>
      </c>
      <c r="Z214" s="192" t="s">
        <v>343</v>
      </c>
      <c r="AA214" s="192" t="s">
        <v>343</v>
      </c>
    </row>
    <row r="215" spans="2:27" ht="12" hidden="1" customHeight="1">
      <c r="B215" s="173" t="s">
        <v>861</v>
      </c>
      <c r="C215" s="173" t="s">
        <v>502</v>
      </c>
      <c r="D215" s="173" t="s">
        <v>503</v>
      </c>
      <c r="E215" s="173" t="s">
        <v>1306</v>
      </c>
      <c r="F215" s="192">
        <v>6</v>
      </c>
      <c r="G215" s="196">
        <v>46054</v>
      </c>
      <c r="H215" s="196"/>
      <c r="I215" s="192" t="s">
        <v>343</v>
      </c>
      <c r="J215" s="192" t="s">
        <v>343</v>
      </c>
      <c r="K215" s="192" t="s">
        <v>343</v>
      </c>
      <c r="L215" s="192" t="s">
        <v>343</v>
      </c>
      <c r="M215" s="192" t="s">
        <v>343</v>
      </c>
      <c r="N215" s="192" t="s">
        <v>343</v>
      </c>
      <c r="O215" s="192" t="s">
        <v>343</v>
      </c>
      <c r="P215" s="192" t="s">
        <v>343</v>
      </c>
      <c r="Q215" s="192" t="s">
        <v>343</v>
      </c>
      <c r="R215" s="192" t="s">
        <v>343</v>
      </c>
      <c r="S215" s="192" t="s">
        <v>343</v>
      </c>
      <c r="T215" s="192" t="s">
        <v>343</v>
      </c>
      <c r="U215" s="192" t="s">
        <v>343</v>
      </c>
      <c r="V215" s="192">
        <v>718</v>
      </c>
      <c r="W215" s="192">
        <v>408</v>
      </c>
      <c r="X215" s="192">
        <v>408</v>
      </c>
      <c r="Y215" s="192">
        <v>420</v>
      </c>
      <c r="Z215" s="192">
        <v>420</v>
      </c>
      <c r="AA215" s="192">
        <v>420</v>
      </c>
    </row>
    <row r="216" spans="2:27" ht="12" hidden="1" customHeight="1">
      <c r="B216" s="173" t="s">
        <v>862</v>
      </c>
      <c r="C216" s="173" t="s">
        <v>567</v>
      </c>
      <c r="D216" s="173" t="s">
        <v>662</v>
      </c>
      <c r="E216" s="173" t="s">
        <v>1308</v>
      </c>
      <c r="F216" s="192" t="s">
        <v>343</v>
      </c>
      <c r="G216" s="196">
        <v>45323</v>
      </c>
      <c r="H216" s="196">
        <v>46022</v>
      </c>
      <c r="I216" s="192">
        <v>930</v>
      </c>
      <c r="J216" s="192">
        <v>300</v>
      </c>
      <c r="K216" s="192">
        <v>640</v>
      </c>
      <c r="L216" s="192">
        <v>640</v>
      </c>
      <c r="M216" s="192">
        <v>640</v>
      </c>
      <c r="N216" s="192">
        <v>640</v>
      </c>
      <c r="O216" s="192">
        <v>890</v>
      </c>
      <c r="P216" s="192">
        <v>550</v>
      </c>
      <c r="Q216" s="192">
        <v>550</v>
      </c>
      <c r="R216" s="192">
        <v>550</v>
      </c>
      <c r="S216" s="192">
        <v>550</v>
      </c>
      <c r="T216" s="192">
        <v>575</v>
      </c>
      <c r="U216" s="192" t="s">
        <v>343</v>
      </c>
      <c r="V216" s="192" t="s">
        <v>343</v>
      </c>
      <c r="W216" s="192" t="s">
        <v>343</v>
      </c>
      <c r="X216" s="192" t="s">
        <v>343</v>
      </c>
      <c r="Y216" s="192" t="s">
        <v>343</v>
      </c>
      <c r="Z216" s="192" t="s">
        <v>343</v>
      </c>
      <c r="AA216" s="192" t="s">
        <v>343</v>
      </c>
    </row>
    <row r="217" spans="2:27" ht="12" hidden="1" customHeight="1">
      <c r="B217" s="173" t="s">
        <v>863</v>
      </c>
      <c r="C217" s="173" t="s">
        <v>502</v>
      </c>
      <c r="D217" s="173" t="s">
        <v>683</v>
      </c>
      <c r="E217" s="173" t="s">
        <v>1183</v>
      </c>
      <c r="F217" s="192">
        <v>5</v>
      </c>
      <c r="G217" s="196">
        <v>46054</v>
      </c>
      <c r="H217" s="196"/>
      <c r="I217" s="192" t="s">
        <v>343</v>
      </c>
      <c r="J217" s="192" t="s">
        <v>343</v>
      </c>
      <c r="K217" s="192" t="s">
        <v>343</v>
      </c>
      <c r="L217" s="192" t="s">
        <v>343</v>
      </c>
      <c r="M217" s="192" t="s">
        <v>343</v>
      </c>
      <c r="N217" s="192" t="s">
        <v>343</v>
      </c>
      <c r="O217" s="192" t="s">
        <v>343</v>
      </c>
      <c r="P217" s="192" t="s">
        <v>343</v>
      </c>
      <c r="Q217" s="192" t="s">
        <v>343</v>
      </c>
      <c r="R217" s="192" t="s">
        <v>343</v>
      </c>
      <c r="S217" s="192" t="s">
        <v>343</v>
      </c>
      <c r="T217" s="192" t="s">
        <v>343</v>
      </c>
      <c r="U217" s="192" t="s">
        <v>343</v>
      </c>
      <c r="V217" s="192">
        <v>661</v>
      </c>
      <c r="W217" s="192">
        <v>353</v>
      </c>
      <c r="X217" s="192">
        <v>353</v>
      </c>
      <c r="Y217" s="192">
        <v>418</v>
      </c>
      <c r="Z217" s="192">
        <v>418</v>
      </c>
      <c r="AA217" s="192">
        <v>418</v>
      </c>
    </row>
    <row r="218" spans="2:27" ht="12" hidden="1" customHeight="1">
      <c r="B218" s="173" t="s">
        <v>864</v>
      </c>
      <c r="C218" s="173" t="s">
        <v>567</v>
      </c>
      <c r="D218" s="173" t="s">
        <v>662</v>
      </c>
      <c r="E218" s="173" t="s">
        <v>1308</v>
      </c>
      <c r="F218" s="192" t="s">
        <v>343</v>
      </c>
      <c r="G218" s="196">
        <v>45717</v>
      </c>
      <c r="H218" s="196">
        <v>46022</v>
      </c>
      <c r="I218" s="192" t="s">
        <v>343</v>
      </c>
      <c r="J218" s="192" t="s">
        <v>343</v>
      </c>
      <c r="K218" s="192">
        <v>778.75</v>
      </c>
      <c r="L218" s="192">
        <v>488.75</v>
      </c>
      <c r="M218" s="192">
        <v>403.75</v>
      </c>
      <c r="N218" s="192">
        <v>575</v>
      </c>
      <c r="O218" s="192">
        <v>575</v>
      </c>
      <c r="P218" s="192">
        <v>480</v>
      </c>
      <c r="Q218" s="192">
        <v>480</v>
      </c>
      <c r="R218" s="192">
        <v>480</v>
      </c>
      <c r="S218" s="192">
        <v>480</v>
      </c>
      <c r="T218" s="192">
        <v>670</v>
      </c>
      <c r="U218" s="192" t="s">
        <v>343</v>
      </c>
      <c r="V218" s="192" t="s">
        <v>343</v>
      </c>
      <c r="W218" s="192" t="s">
        <v>343</v>
      </c>
      <c r="X218" s="192" t="s">
        <v>343</v>
      </c>
      <c r="Y218" s="192" t="s">
        <v>343</v>
      </c>
      <c r="Z218" s="192" t="s">
        <v>343</v>
      </c>
      <c r="AA218" s="192" t="s">
        <v>343</v>
      </c>
    </row>
    <row r="219" spans="2:27" ht="12" hidden="1" customHeight="1">
      <c r="B219" s="173" t="s">
        <v>865</v>
      </c>
      <c r="C219" s="173" t="s">
        <v>502</v>
      </c>
      <c r="D219" s="173" t="s">
        <v>503</v>
      </c>
      <c r="E219" s="173" t="s">
        <v>1306</v>
      </c>
      <c r="F219" s="192">
        <v>8</v>
      </c>
      <c r="G219" s="196">
        <v>46113</v>
      </c>
      <c r="H219" s="196"/>
      <c r="I219" s="192" t="s">
        <v>343</v>
      </c>
      <c r="J219" s="192" t="s">
        <v>343</v>
      </c>
      <c r="K219" s="192" t="s">
        <v>343</v>
      </c>
      <c r="L219" s="192" t="s">
        <v>343</v>
      </c>
      <c r="M219" s="192" t="s">
        <v>343</v>
      </c>
      <c r="N219" s="192" t="s">
        <v>343</v>
      </c>
      <c r="O219" s="192" t="s">
        <v>343</v>
      </c>
      <c r="P219" s="192" t="s">
        <v>343</v>
      </c>
      <c r="Q219" s="192" t="s">
        <v>343</v>
      </c>
      <c r="R219" s="192" t="s">
        <v>343</v>
      </c>
      <c r="S219" s="192" t="s">
        <v>343</v>
      </c>
      <c r="T219" s="192" t="s">
        <v>343</v>
      </c>
      <c r="U219" s="192" t="s">
        <v>343</v>
      </c>
      <c r="V219" s="192" t="s">
        <v>343</v>
      </c>
      <c r="W219" s="192" t="s">
        <v>343</v>
      </c>
      <c r="X219" s="192">
        <v>938</v>
      </c>
      <c r="Y219" s="192">
        <v>468</v>
      </c>
      <c r="Z219" s="192">
        <v>543</v>
      </c>
      <c r="AA219" s="192">
        <v>632</v>
      </c>
    </row>
    <row r="220" spans="2:27" ht="12" hidden="1" customHeight="1">
      <c r="B220" s="173" t="s">
        <v>866</v>
      </c>
      <c r="C220" s="173" t="s">
        <v>19</v>
      </c>
      <c r="D220" s="173" t="s">
        <v>503</v>
      </c>
      <c r="E220" s="173" t="s">
        <v>1306</v>
      </c>
      <c r="F220" s="192">
        <v>41</v>
      </c>
      <c r="G220" s="196">
        <v>46204</v>
      </c>
      <c r="H220" s="196"/>
      <c r="I220" s="192" t="s">
        <v>343</v>
      </c>
      <c r="J220" s="192" t="s">
        <v>343</v>
      </c>
      <c r="K220" s="192" t="s">
        <v>343</v>
      </c>
      <c r="L220" s="192" t="s">
        <v>343</v>
      </c>
      <c r="M220" s="192" t="s">
        <v>343</v>
      </c>
      <c r="N220" s="192" t="s">
        <v>343</v>
      </c>
      <c r="O220" s="192" t="s">
        <v>343</v>
      </c>
      <c r="P220" s="192" t="s">
        <v>343</v>
      </c>
      <c r="Q220" s="192" t="s">
        <v>343</v>
      </c>
      <c r="R220" s="192" t="s">
        <v>343</v>
      </c>
      <c r="S220" s="192" t="s">
        <v>343</v>
      </c>
      <c r="T220" s="192" t="s">
        <v>343</v>
      </c>
      <c r="U220" s="192" t="s">
        <v>343</v>
      </c>
      <c r="V220" s="192" t="s">
        <v>343</v>
      </c>
      <c r="W220" s="192" t="s">
        <v>343</v>
      </c>
      <c r="X220" s="192" t="s">
        <v>343</v>
      </c>
      <c r="Y220" s="192" t="s">
        <v>343</v>
      </c>
      <c r="Z220" s="192" t="s">
        <v>343</v>
      </c>
      <c r="AA220" s="192">
        <v>2460</v>
      </c>
    </row>
    <row r="221" spans="2:27" ht="12" hidden="1" customHeight="1">
      <c r="B221" s="173" t="s">
        <v>868</v>
      </c>
      <c r="C221" s="173" t="s">
        <v>567</v>
      </c>
      <c r="D221" s="173" t="s">
        <v>503</v>
      </c>
      <c r="E221" s="173" t="s">
        <v>1306</v>
      </c>
      <c r="F221" s="192">
        <v>8</v>
      </c>
      <c r="G221" s="196">
        <v>46082</v>
      </c>
      <c r="H221" s="196">
        <v>46173</v>
      </c>
      <c r="I221" s="192" t="s">
        <v>343</v>
      </c>
      <c r="J221" s="192" t="s">
        <v>343</v>
      </c>
      <c r="K221" s="192" t="s">
        <v>343</v>
      </c>
      <c r="L221" s="192" t="s">
        <v>343</v>
      </c>
      <c r="M221" s="192" t="s">
        <v>343</v>
      </c>
      <c r="N221" s="192" t="s">
        <v>343</v>
      </c>
      <c r="O221" s="192" t="s">
        <v>343</v>
      </c>
      <c r="P221" s="192" t="s">
        <v>343</v>
      </c>
      <c r="Q221" s="192" t="s">
        <v>343</v>
      </c>
      <c r="R221" s="192" t="s">
        <v>343</v>
      </c>
      <c r="S221" s="192" t="s">
        <v>343</v>
      </c>
      <c r="T221" s="192" t="s">
        <v>343</v>
      </c>
      <c r="U221" s="192" t="s">
        <v>343</v>
      </c>
      <c r="V221" s="192" t="s">
        <v>343</v>
      </c>
      <c r="W221" s="192">
        <v>1020</v>
      </c>
      <c r="X221" s="192">
        <v>670</v>
      </c>
      <c r="Y221" s="192">
        <v>670</v>
      </c>
      <c r="Z221" s="192" t="s">
        <v>343</v>
      </c>
      <c r="AA221" s="192" t="s">
        <v>343</v>
      </c>
    </row>
    <row r="222" spans="2:27" ht="12" hidden="1" customHeight="1">
      <c r="B222" s="173" t="s">
        <v>869</v>
      </c>
      <c r="C222" s="173" t="s">
        <v>567</v>
      </c>
      <c r="D222" s="173" t="s">
        <v>662</v>
      </c>
      <c r="E222" s="173" t="s">
        <v>1308</v>
      </c>
      <c r="F222" s="192" t="s">
        <v>343</v>
      </c>
      <c r="G222" s="196">
        <v>45231</v>
      </c>
      <c r="H222" s="196">
        <v>45930</v>
      </c>
      <c r="I222" s="192">
        <v>1175</v>
      </c>
      <c r="J222" s="192">
        <v>1175</v>
      </c>
      <c r="K222" s="192">
        <v>1085</v>
      </c>
      <c r="L222" s="192">
        <v>1155</v>
      </c>
      <c r="M222" s="192">
        <v>1270</v>
      </c>
      <c r="N222" s="192">
        <v>1155</v>
      </c>
      <c r="O222" s="192">
        <v>1270</v>
      </c>
      <c r="P222" s="192">
        <v>1200</v>
      </c>
      <c r="Q222" s="192">
        <v>1130</v>
      </c>
      <c r="R222" s="192" t="s">
        <v>343</v>
      </c>
      <c r="S222" s="192" t="s">
        <v>343</v>
      </c>
      <c r="T222" s="192" t="s">
        <v>343</v>
      </c>
      <c r="U222" s="192" t="s">
        <v>343</v>
      </c>
      <c r="V222" s="192" t="s">
        <v>343</v>
      </c>
      <c r="W222" s="192" t="s">
        <v>343</v>
      </c>
      <c r="X222" s="192" t="s">
        <v>343</v>
      </c>
      <c r="Y222" s="192" t="s">
        <v>343</v>
      </c>
      <c r="Z222" s="192" t="s">
        <v>343</v>
      </c>
      <c r="AA222" s="192" t="s">
        <v>343</v>
      </c>
    </row>
    <row r="223" spans="2:27" ht="12" hidden="1" customHeight="1">
      <c r="B223" s="173" t="s">
        <v>870</v>
      </c>
      <c r="C223" s="173" t="s">
        <v>567</v>
      </c>
      <c r="D223" s="173" t="s">
        <v>637</v>
      </c>
      <c r="E223" s="173" t="s">
        <v>1307</v>
      </c>
      <c r="F223" s="192" t="s">
        <v>343</v>
      </c>
      <c r="G223" s="196">
        <v>44317</v>
      </c>
      <c r="H223" s="196">
        <v>46112</v>
      </c>
      <c r="I223" s="192">
        <v>295</v>
      </c>
      <c r="J223" s="192">
        <v>265</v>
      </c>
      <c r="K223" s="192">
        <v>265</v>
      </c>
      <c r="L223" s="192">
        <v>265</v>
      </c>
      <c r="M223" s="192">
        <v>265</v>
      </c>
      <c r="N223" s="192">
        <v>265</v>
      </c>
      <c r="O223" s="192">
        <v>265</v>
      </c>
      <c r="P223" s="192">
        <v>265</v>
      </c>
      <c r="Q223" s="192">
        <v>265</v>
      </c>
      <c r="R223" s="192">
        <v>265</v>
      </c>
      <c r="S223" s="192">
        <v>265</v>
      </c>
      <c r="T223" s="192">
        <v>265</v>
      </c>
      <c r="U223" s="192">
        <v>295</v>
      </c>
      <c r="V223" s="192">
        <v>310</v>
      </c>
      <c r="W223" s="192">
        <v>295</v>
      </c>
      <c r="X223" s="192" t="s">
        <v>343</v>
      </c>
      <c r="Y223" s="192" t="s">
        <v>343</v>
      </c>
      <c r="Z223" s="192" t="s">
        <v>343</v>
      </c>
      <c r="AA223" s="192" t="s">
        <v>343</v>
      </c>
    </row>
    <row r="224" spans="2:27" ht="12" hidden="1" customHeight="1">
      <c r="B224" s="173" t="s">
        <v>871</v>
      </c>
      <c r="C224" s="173" t="s">
        <v>567</v>
      </c>
      <c r="D224" s="173" t="s">
        <v>662</v>
      </c>
      <c r="E224" s="173" t="s">
        <v>1308</v>
      </c>
      <c r="F224" s="192" t="s">
        <v>343</v>
      </c>
      <c r="G224" s="196">
        <v>45689</v>
      </c>
      <c r="H224" s="196">
        <v>46053</v>
      </c>
      <c r="I224" s="192" t="s">
        <v>343</v>
      </c>
      <c r="J224" s="192">
        <v>350</v>
      </c>
      <c r="K224" s="192" t="s">
        <v>343</v>
      </c>
      <c r="L224" s="192" t="s">
        <v>343</v>
      </c>
      <c r="M224" s="192">
        <v>360</v>
      </c>
      <c r="N224" s="192">
        <v>360</v>
      </c>
      <c r="O224" s="192">
        <v>360</v>
      </c>
      <c r="P224" s="192">
        <v>360</v>
      </c>
      <c r="Q224" s="192">
        <v>360</v>
      </c>
      <c r="R224" s="192">
        <v>360</v>
      </c>
      <c r="S224" s="192">
        <v>375</v>
      </c>
      <c r="T224" s="192">
        <v>375</v>
      </c>
      <c r="U224" s="192">
        <v>375</v>
      </c>
      <c r="V224" s="192" t="s">
        <v>343</v>
      </c>
      <c r="W224" s="192" t="s">
        <v>343</v>
      </c>
      <c r="X224" s="192" t="s">
        <v>343</v>
      </c>
      <c r="Y224" s="192" t="s">
        <v>343</v>
      </c>
      <c r="Z224" s="192" t="s">
        <v>343</v>
      </c>
      <c r="AA224" s="192" t="s">
        <v>343</v>
      </c>
    </row>
    <row r="225" spans="2:27" ht="12" hidden="1" customHeight="1">
      <c r="B225" s="173" t="s">
        <v>872</v>
      </c>
      <c r="C225" s="173" t="s">
        <v>19</v>
      </c>
      <c r="D225" s="173" t="s">
        <v>503</v>
      </c>
      <c r="E225" s="173" t="s">
        <v>1306</v>
      </c>
      <c r="F225" s="192">
        <v>29</v>
      </c>
      <c r="G225" s="196">
        <v>46204</v>
      </c>
      <c r="H225" s="196"/>
      <c r="I225" s="192" t="s">
        <v>343</v>
      </c>
      <c r="J225" s="192" t="s">
        <v>343</v>
      </c>
      <c r="K225" s="192" t="s">
        <v>343</v>
      </c>
      <c r="L225" s="192" t="s">
        <v>343</v>
      </c>
      <c r="M225" s="192" t="s">
        <v>343</v>
      </c>
      <c r="N225" s="192" t="s">
        <v>343</v>
      </c>
      <c r="O225" s="192" t="s">
        <v>343</v>
      </c>
      <c r="P225" s="192" t="s">
        <v>343</v>
      </c>
      <c r="Q225" s="192" t="s">
        <v>343</v>
      </c>
      <c r="R225" s="192" t="s">
        <v>343</v>
      </c>
      <c r="S225" s="192" t="s">
        <v>343</v>
      </c>
      <c r="T225" s="192" t="s">
        <v>343</v>
      </c>
      <c r="U225" s="192" t="s">
        <v>343</v>
      </c>
      <c r="V225" s="192" t="s">
        <v>343</v>
      </c>
      <c r="W225" s="192" t="s">
        <v>343</v>
      </c>
      <c r="X225" s="192" t="s">
        <v>343</v>
      </c>
      <c r="Y225" s="192" t="s">
        <v>343</v>
      </c>
      <c r="Z225" s="192" t="s">
        <v>343</v>
      </c>
      <c r="AA225" s="192">
        <v>2198</v>
      </c>
    </row>
    <row r="226" spans="2:27" ht="12" customHeight="1">
      <c r="B226" s="173" t="s">
        <v>889</v>
      </c>
      <c r="C226" s="173" t="s">
        <v>567</v>
      </c>
      <c r="D226" s="256" t="s">
        <v>733</v>
      </c>
      <c r="E226" s="256" t="s">
        <v>1309</v>
      </c>
      <c r="F226" s="192" t="s">
        <v>343</v>
      </c>
      <c r="G226" s="196">
        <v>45627</v>
      </c>
      <c r="H226" s="196">
        <v>45991</v>
      </c>
      <c r="I226" s="192">
        <v>340</v>
      </c>
      <c r="J226" s="192">
        <v>340</v>
      </c>
      <c r="K226" s="192">
        <v>480</v>
      </c>
      <c r="L226" s="192">
        <v>480</v>
      </c>
      <c r="M226" s="192">
        <v>480</v>
      </c>
      <c r="N226" s="192">
        <v>480</v>
      </c>
      <c r="O226" s="192">
        <v>400</v>
      </c>
      <c r="P226" s="192">
        <v>400</v>
      </c>
      <c r="Q226" s="192">
        <v>400</v>
      </c>
      <c r="R226" s="192">
        <v>400</v>
      </c>
      <c r="S226" s="192">
        <v>400</v>
      </c>
      <c r="T226" s="192" t="s">
        <v>343</v>
      </c>
      <c r="U226" s="192" t="s">
        <v>343</v>
      </c>
      <c r="V226" s="192" t="s">
        <v>343</v>
      </c>
      <c r="W226" s="192" t="s">
        <v>343</v>
      </c>
      <c r="X226" s="192" t="s">
        <v>343</v>
      </c>
      <c r="Y226" s="192" t="s">
        <v>343</v>
      </c>
      <c r="Z226" s="192" t="s">
        <v>343</v>
      </c>
      <c r="AA226" s="192" t="s">
        <v>343</v>
      </c>
    </row>
    <row r="227" spans="2:27" ht="12" hidden="1" customHeight="1">
      <c r="B227" s="173" t="s">
        <v>874</v>
      </c>
      <c r="C227" s="173" t="s">
        <v>567</v>
      </c>
      <c r="D227" s="173" t="s">
        <v>662</v>
      </c>
      <c r="E227" s="173" t="s">
        <v>1308</v>
      </c>
      <c r="F227" s="192" t="s">
        <v>343</v>
      </c>
      <c r="G227" s="196">
        <v>45778</v>
      </c>
      <c r="H227" s="196">
        <v>45991</v>
      </c>
      <c r="I227" s="192" t="s">
        <v>343</v>
      </c>
      <c r="J227" s="192" t="s">
        <v>343</v>
      </c>
      <c r="K227" s="192" t="s">
        <v>343</v>
      </c>
      <c r="L227" s="192" t="s">
        <v>343</v>
      </c>
      <c r="M227" s="192">
        <v>640</v>
      </c>
      <c r="N227" s="192">
        <v>340</v>
      </c>
      <c r="O227" s="192">
        <v>403.75</v>
      </c>
      <c r="P227" s="192">
        <v>475</v>
      </c>
      <c r="Q227" s="192">
        <v>550</v>
      </c>
      <c r="R227" s="192">
        <v>550</v>
      </c>
      <c r="S227" s="192">
        <v>550</v>
      </c>
      <c r="T227" s="192" t="s">
        <v>343</v>
      </c>
      <c r="U227" s="192" t="s">
        <v>343</v>
      </c>
      <c r="V227" s="192">
        <v>60</v>
      </c>
      <c r="W227" s="192" t="s">
        <v>343</v>
      </c>
      <c r="X227" s="192" t="s">
        <v>343</v>
      </c>
      <c r="Y227" s="192" t="s">
        <v>343</v>
      </c>
      <c r="Z227" s="192" t="s">
        <v>343</v>
      </c>
      <c r="AA227" s="192" t="s">
        <v>343</v>
      </c>
    </row>
    <row r="228" spans="2:27" ht="12" hidden="1" customHeight="1">
      <c r="B228" s="173" t="s">
        <v>875</v>
      </c>
      <c r="C228" s="173" t="s">
        <v>502</v>
      </c>
      <c r="D228" s="173" t="s">
        <v>683</v>
      </c>
      <c r="E228" s="173" t="s">
        <v>1183</v>
      </c>
      <c r="F228" s="192">
        <v>5</v>
      </c>
      <c r="G228" s="196">
        <v>46023</v>
      </c>
      <c r="H228" s="196"/>
      <c r="I228" s="192" t="s">
        <v>343</v>
      </c>
      <c r="J228" s="192" t="s">
        <v>343</v>
      </c>
      <c r="K228" s="192" t="s">
        <v>343</v>
      </c>
      <c r="L228" s="192" t="s">
        <v>343</v>
      </c>
      <c r="M228" s="192" t="s">
        <v>343</v>
      </c>
      <c r="N228" s="192" t="s">
        <v>343</v>
      </c>
      <c r="O228" s="192" t="s">
        <v>343</v>
      </c>
      <c r="P228" s="192" t="s">
        <v>343</v>
      </c>
      <c r="Q228" s="192" t="s">
        <v>343</v>
      </c>
      <c r="R228" s="192" t="s">
        <v>343</v>
      </c>
      <c r="S228" s="192" t="s">
        <v>343</v>
      </c>
      <c r="T228" s="192" t="s">
        <v>343</v>
      </c>
      <c r="U228" s="192">
        <v>640</v>
      </c>
      <c r="V228" s="192">
        <v>340</v>
      </c>
      <c r="W228" s="192">
        <v>85</v>
      </c>
      <c r="X228" s="192">
        <v>200</v>
      </c>
      <c r="Y228" s="192">
        <v>300</v>
      </c>
      <c r="Z228" s="192">
        <v>300</v>
      </c>
      <c r="AA228" s="192">
        <v>300</v>
      </c>
    </row>
    <row r="229" spans="2:27" ht="12" hidden="1" customHeight="1">
      <c r="B229" s="173" t="s">
        <v>876</v>
      </c>
      <c r="C229" s="173" t="s">
        <v>567</v>
      </c>
      <c r="D229" s="173" t="s">
        <v>877</v>
      </c>
      <c r="E229" s="173" t="s">
        <v>1307</v>
      </c>
      <c r="F229" s="192" t="s">
        <v>343</v>
      </c>
      <c r="G229" s="196">
        <v>44440</v>
      </c>
      <c r="H229" s="196">
        <v>46081</v>
      </c>
      <c r="I229" s="192">
        <v>310</v>
      </c>
      <c r="J229" s="192">
        <v>295</v>
      </c>
      <c r="K229" s="192">
        <v>295</v>
      </c>
      <c r="L229" s="192">
        <v>295</v>
      </c>
      <c r="M229" s="192">
        <v>295</v>
      </c>
      <c r="N229" s="192">
        <v>295</v>
      </c>
      <c r="O229" s="192">
        <v>295</v>
      </c>
      <c r="P229" s="192">
        <v>295</v>
      </c>
      <c r="Q229" s="192">
        <v>305</v>
      </c>
      <c r="R229" s="192">
        <v>305</v>
      </c>
      <c r="S229" s="192">
        <v>305</v>
      </c>
      <c r="T229" s="192">
        <v>305</v>
      </c>
      <c r="U229" s="192">
        <v>305</v>
      </c>
      <c r="V229" s="192">
        <v>305</v>
      </c>
      <c r="W229" s="192">
        <v>0</v>
      </c>
      <c r="X229" s="192" t="s">
        <v>343</v>
      </c>
      <c r="Y229" s="192" t="s">
        <v>343</v>
      </c>
      <c r="Z229" s="192" t="s">
        <v>343</v>
      </c>
      <c r="AA229" s="192" t="s">
        <v>343</v>
      </c>
    </row>
    <row r="230" spans="2:27" ht="12" hidden="1" customHeight="1">
      <c r="B230" s="173" t="s">
        <v>879</v>
      </c>
      <c r="C230" s="173" t="s">
        <v>567</v>
      </c>
      <c r="D230" s="173" t="s">
        <v>877</v>
      </c>
      <c r="E230" s="173" t="s">
        <v>1307</v>
      </c>
      <c r="F230" s="192" t="s">
        <v>343</v>
      </c>
      <c r="G230" s="196">
        <v>44652</v>
      </c>
      <c r="H230" s="196">
        <v>46053</v>
      </c>
      <c r="I230" s="192">
        <v>345</v>
      </c>
      <c r="J230" s="192">
        <v>330</v>
      </c>
      <c r="K230" s="192">
        <v>330</v>
      </c>
      <c r="L230" s="192">
        <v>350</v>
      </c>
      <c r="M230" s="192">
        <v>350</v>
      </c>
      <c r="N230" s="192">
        <v>350</v>
      </c>
      <c r="O230" s="192">
        <v>350</v>
      </c>
      <c r="P230" s="192">
        <v>350</v>
      </c>
      <c r="Q230" s="192">
        <v>350</v>
      </c>
      <c r="R230" s="192">
        <v>350</v>
      </c>
      <c r="S230" s="192">
        <v>350</v>
      </c>
      <c r="T230" s="192">
        <v>350</v>
      </c>
      <c r="U230" s="192">
        <v>350</v>
      </c>
      <c r="V230" s="192" t="s">
        <v>343</v>
      </c>
      <c r="W230" s="192" t="s">
        <v>343</v>
      </c>
      <c r="X230" s="192" t="s">
        <v>343</v>
      </c>
      <c r="Y230" s="192" t="s">
        <v>343</v>
      </c>
      <c r="Z230" s="192" t="s">
        <v>343</v>
      </c>
      <c r="AA230" s="192" t="s">
        <v>343</v>
      </c>
    </row>
    <row r="231" spans="2:27" ht="12" hidden="1" customHeight="1">
      <c r="B231" s="173" t="s">
        <v>880</v>
      </c>
      <c r="C231" s="173" t="s">
        <v>567</v>
      </c>
      <c r="D231" s="173" t="s">
        <v>503</v>
      </c>
      <c r="E231" s="173" t="s">
        <v>1306</v>
      </c>
      <c r="F231" s="192">
        <v>4</v>
      </c>
      <c r="G231" s="196">
        <v>45778</v>
      </c>
      <c r="H231" s="196">
        <v>46022</v>
      </c>
      <c r="I231" s="192" t="s">
        <v>343</v>
      </c>
      <c r="J231" s="192" t="s">
        <v>343</v>
      </c>
      <c r="K231" s="192" t="s">
        <v>343</v>
      </c>
      <c r="L231" s="192" t="s">
        <v>343</v>
      </c>
      <c r="M231" s="192">
        <v>640</v>
      </c>
      <c r="N231" s="192">
        <v>340</v>
      </c>
      <c r="O231" s="192">
        <v>340</v>
      </c>
      <c r="P231" s="192">
        <v>400</v>
      </c>
      <c r="Q231" s="192">
        <v>400</v>
      </c>
      <c r="R231" s="192">
        <v>400</v>
      </c>
      <c r="S231" s="192">
        <v>400</v>
      </c>
      <c r="T231" s="192">
        <v>700</v>
      </c>
      <c r="U231" s="192">
        <v>-200</v>
      </c>
      <c r="V231" s="192">
        <v>0</v>
      </c>
      <c r="W231" s="192">
        <v>0</v>
      </c>
      <c r="X231" s="192">
        <v>0</v>
      </c>
      <c r="Y231" s="192" t="s">
        <v>343</v>
      </c>
      <c r="Z231" s="192" t="s">
        <v>343</v>
      </c>
      <c r="AA231" s="192" t="s">
        <v>343</v>
      </c>
    </row>
    <row r="232" spans="2:27" ht="12" hidden="1" customHeight="1">
      <c r="B232" s="173" t="s">
        <v>883</v>
      </c>
      <c r="C232" s="173" t="s">
        <v>567</v>
      </c>
      <c r="D232" s="173" t="s">
        <v>662</v>
      </c>
      <c r="E232" s="173" t="s">
        <v>1308</v>
      </c>
      <c r="F232" s="192" t="s">
        <v>343</v>
      </c>
      <c r="G232" s="196">
        <v>45778</v>
      </c>
      <c r="H232" s="196">
        <v>45991</v>
      </c>
      <c r="I232" s="192" t="s">
        <v>343</v>
      </c>
      <c r="J232" s="192" t="s">
        <v>343</v>
      </c>
      <c r="K232" s="192" t="s">
        <v>343</v>
      </c>
      <c r="L232" s="192" t="s">
        <v>343</v>
      </c>
      <c r="M232" s="192">
        <v>3792.5</v>
      </c>
      <c r="N232" s="192">
        <v>695</v>
      </c>
      <c r="O232" s="192">
        <v>718.75</v>
      </c>
      <c r="P232" s="192">
        <v>325</v>
      </c>
      <c r="Q232" s="192">
        <v>640</v>
      </c>
      <c r="R232" s="192">
        <v>550</v>
      </c>
      <c r="S232" s="192">
        <v>550</v>
      </c>
      <c r="T232" s="192" t="s">
        <v>343</v>
      </c>
      <c r="U232" s="192" t="s">
        <v>343</v>
      </c>
      <c r="V232" s="192" t="s">
        <v>343</v>
      </c>
      <c r="W232" s="192" t="s">
        <v>343</v>
      </c>
      <c r="X232" s="192" t="s">
        <v>343</v>
      </c>
      <c r="Y232" s="192" t="s">
        <v>343</v>
      </c>
      <c r="Z232" s="192" t="s">
        <v>343</v>
      </c>
      <c r="AA232" s="192" t="s">
        <v>343</v>
      </c>
    </row>
    <row r="233" spans="2:27" ht="12" hidden="1" customHeight="1">
      <c r="B233" s="173" t="s">
        <v>884</v>
      </c>
      <c r="C233" s="173" t="s">
        <v>502</v>
      </c>
      <c r="D233" s="173" t="s">
        <v>503</v>
      </c>
      <c r="E233" s="173" t="s">
        <v>1306</v>
      </c>
      <c r="F233" s="192">
        <v>3</v>
      </c>
      <c r="G233" s="196">
        <v>46143</v>
      </c>
      <c r="H233" s="196"/>
      <c r="I233" s="192" t="s">
        <v>343</v>
      </c>
      <c r="J233" s="192" t="s">
        <v>343</v>
      </c>
      <c r="K233" s="192" t="s">
        <v>343</v>
      </c>
      <c r="L233" s="192" t="s">
        <v>343</v>
      </c>
      <c r="M233" s="192" t="s">
        <v>343</v>
      </c>
      <c r="N233" s="192" t="s">
        <v>343</v>
      </c>
      <c r="O233" s="192" t="s">
        <v>343</v>
      </c>
      <c r="P233" s="192" t="s">
        <v>343</v>
      </c>
      <c r="Q233" s="192" t="s">
        <v>343</v>
      </c>
      <c r="R233" s="192" t="s">
        <v>343</v>
      </c>
      <c r="S233" s="192" t="s">
        <v>343</v>
      </c>
      <c r="T233" s="192" t="s">
        <v>343</v>
      </c>
      <c r="U233" s="192" t="s">
        <v>343</v>
      </c>
      <c r="V233" s="192" t="s">
        <v>343</v>
      </c>
      <c r="W233" s="192" t="s">
        <v>343</v>
      </c>
      <c r="X233" s="192" t="s">
        <v>343</v>
      </c>
      <c r="Y233" s="192">
        <v>986</v>
      </c>
      <c r="Z233" s="192">
        <v>678</v>
      </c>
      <c r="AA233" s="192">
        <v>378</v>
      </c>
    </row>
    <row r="234" spans="2:27" ht="12" hidden="1" customHeight="1">
      <c r="B234" s="173" t="s">
        <v>885</v>
      </c>
      <c r="C234" s="173" t="s">
        <v>567</v>
      </c>
      <c r="D234" s="173" t="s">
        <v>683</v>
      </c>
      <c r="E234" s="173" t="s">
        <v>1183</v>
      </c>
      <c r="F234" s="192" t="s">
        <v>343</v>
      </c>
      <c r="G234" s="196">
        <v>45444</v>
      </c>
      <c r="H234" s="196">
        <v>46173</v>
      </c>
      <c r="I234" s="192">
        <v>197.5</v>
      </c>
      <c r="J234" s="192">
        <v>242.5</v>
      </c>
      <c r="K234" s="192">
        <v>197.5</v>
      </c>
      <c r="L234" s="192">
        <v>197.5</v>
      </c>
      <c r="M234" s="192">
        <v>197.5</v>
      </c>
      <c r="N234" s="192">
        <v>200</v>
      </c>
      <c r="O234" s="192">
        <v>200</v>
      </c>
      <c r="P234" s="192">
        <v>200</v>
      </c>
      <c r="Q234" s="192">
        <v>200</v>
      </c>
      <c r="R234" s="192">
        <v>200</v>
      </c>
      <c r="S234" s="192">
        <v>200</v>
      </c>
      <c r="T234" s="192">
        <v>200</v>
      </c>
      <c r="U234" s="192">
        <v>200</v>
      </c>
      <c r="V234" s="192">
        <v>200</v>
      </c>
      <c r="W234" s="192">
        <v>200</v>
      </c>
      <c r="X234" s="192">
        <v>200</v>
      </c>
      <c r="Y234" s="192">
        <v>200</v>
      </c>
      <c r="Z234" s="192" t="s">
        <v>343</v>
      </c>
      <c r="AA234" s="192" t="s">
        <v>343</v>
      </c>
    </row>
    <row r="235" spans="2:27" ht="12" hidden="1" customHeight="1">
      <c r="B235" s="173" t="s">
        <v>886</v>
      </c>
      <c r="C235" s="173" t="s">
        <v>567</v>
      </c>
      <c r="D235" s="173" t="s">
        <v>662</v>
      </c>
      <c r="E235" s="173" t="s">
        <v>1308</v>
      </c>
      <c r="F235" s="192" t="s">
        <v>343</v>
      </c>
      <c r="G235" s="196">
        <v>45444</v>
      </c>
      <c r="H235" s="196">
        <v>46173</v>
      </c>
      <c r="I235" s="192">
        <v>197.5</v>
      </c>
      <c r="J235" s="192">
        <v>197.5</v>
      </c>
      <c r="K235" s="192">
        <v>197.5</v>
      </c>
      <c r="L235" s="192">
        <v>197.5</v>
      </c>
      <c r="M235" s="192">
        <v>197.5</v>
      </c>
      <c r="N235" s="192">
        <v>200</v>
      </c>
      <c r="O235" s="192">
        <v>200</v>
      </c>
      <c r="P235" s="192">
        <v>200</v>
      </c>
      <c r="Q235" s="192">
        <v>200</v>
      </c>
      <c r="R235" s="192">
        <v>200</v>
      </c>
      <c r="S235" s="192">
        <v>200</v>
      </c>
      <c r="T235" s="192">
        <v>200</v>
      </c>
      <c r="U235" s="192">
        <v>200</v>
      </c>
      <c r="V235" s="192">
        <v>200</v>
      </c>
      <c r="W235" s="192">
        <v>200</v>
      </c>
      <c r="X235" s="192">
        <v>200</v>
      </c>
      <c r="Y235" s="192">
        <v>200</v>
      </c>
      <c r="Z235" s="192" t="s">
        <v>343</v>
      </c>
      <c r="AA235" s="192" t="s">
        <v>343</v>
      </c>
    </row>
    <row r="236" spans="2:27" ht="12" hidden="1" customHeight="1">
      <c r="B236" s="173" t="s">
        <v>887</v>
      </c>
      <c r="C236" s="173" t="s">
        <v>567</v>
      </c>
      <c r="D236" s="173" t="s">
        <v>662</v>
      </c>
      <c r="E236" s="173" t="s">
        <v>1308</v>
      </c>
      <c r="F236" s="192" t="s">
        <v>343</v>
      </c>
      <c r="G236" s="196">
        <v>45292</v>
      </c>
      <c r="H236" s="196">
        <v>45961</v>
      </c>
      <c r="I236" s="192">
        <v>1185</v>
      </c>
      <c r="J236" s="192">
        <v>960</v>
      </c>
      <c r="K236" s="192">
        <v>870</v>
      </c>
      <c r="L236" s="192">
        <v>1030</v>
      </c>
      <c r="M236" s="192">
        <v>780</v>
      </c>
      <c r="N236" s="192">
        <v>870</v>
      </c>
      <c r="O236" s="192">
        <v>690</v>
      </c>
      <c r="P236" s="192">
        <v>690</v>
      </c>
      <c r="Q236" s="192">
        <v>690</v>
      </c>
      <c r="R236" s="192">
        <v>510</v>
      </c>
      <c r="S236" s="192" t="s">
        <v>343</v>
      </c>
      <c r="T236" s="192" t="s">
        <v>343</v>
      </c>
      <c r="U236" s="192" t="s">
        <v>343</v>
      </c>
      <c r="V236" s="192">
        <v>0</v>
      </c>
      <c r="W236" s="192" t="s">
        <v>343</v>
      </c>
      <c r="X236" s="192" t="s">
        <v>343</v>
      </c>
      <c r="Y236" s="192" t="s">
        <v>343</v>
      </c>
      <c r="Z236" s="192" t="s">
        <v>343</v>
      </c>
      <c r="AA236" s="192" t="s">
        <v>343</v>
      </c>
    </row>
    <row r="237" spans="2:27" ht="12" hidden="1" customHeight="1">
      <c r="B237" s="173" t="s">
        <v>888</v>
      </c>
      <c r="C237" s="173" t="s">
        <v>567</v>
      </c>
      <c r="D237" s="173" t="s">
        <v>503</v>
      </c>
      <c r="E237" s="173" t="s">
        <v>1306</v>
      </c>
      <c r="F237" s="192">
        <v>9</v>
      </c>
      <c r="G237" s="196">
        <v>46113</v>
      </c>
      <c r="H237" s="196">
        <v>46173</v>
      </c>
      <c r="I237" s="192" t="s">
        <v>343</v>
      </c>
      <c r="J237" s="192" t="s">
        <v>343</v>
      </c>
      <c r="K237" s="192" t="s">
        <v>343</v>
      </c>
      <c r="L237" s="192" t="s">
        <v>343</v>
      </c>
      <c r="M237" s="192" t="s">
        <v>343</v>
      </c>
      <c r="N237" s="192" t="s">
        <v>343</v>
      </c>
      <c r="O237" s="192" t="s">
        <v>343</v>
      </c>
      <c r="P237" s="192" t="s">
        <v>343</v>
      </c>
      <c r="Q237" s="192" t="s">
        <v>343</v>
      </c>
      <c r="R237" s="192" t="s">
        <v>343</v>
      </c>
      <c r="S237" s="192" t="s">
        <v>343</v>
      </c>
      <c r="T237" s="192" t="s">
        <v>343</v>
      </c>
      <c r="U237" s="192" t="s">
        <v>343</v>
      </c>
      <c r="V237" s="192" t="s">
        <v>343</v>
      </c>
      <c r="W237" s="192" t="s">
        <v>343</v>
      </c>
      <c r="X237" s="192">
        <v>1036</v>
      </c>
      <c r="Y237" s="192">
        <v>758</v>
      </c>
      <c r="Z237" s="192" t="s">
        <v>343</v>
      </c>
      <c r="AA237" s="192" t="s">
        <v>343</v>
      </c>
    </row>
    <row r="238" spans="2:27" ht="12" customHeight="1">
      <c r="B238" s="173" t="s">
        <v>921</v>
      </c>
      <c r="C238" s="173" t="s">
        <v>567</v>
      </c>
      <c r="D238" s="256" t="s">
        <v>733</v>
      </c>
      <c r="E238" s="256" t="s">
        <v>1309</v>
      </c>
      <c r="F238" s="192">
        <v>5</v>
      </c>
      <c r="G238" s="196">
        <v>45383</v>
      </c>
      <c r="H238" s="196">
        <v>45930</v>
      </c>
      <c r="I238" s="192">
        <v>485</v>
      </c>
      <c r="J238" s="192">
        <v>395</v>
      </c>
      <c r="K238" s="192">
        <v>395</v>
      </c>
      <c r="L238" s="192">
        <v>400</v>
      </c>
      <c r="M238" s="192">
        <v>400</v>
      </c>
      <c r="N238" s="192">
        <v>400</v>
      </c>
      <c r="O238" s="192">
        <v>400</v>
      </c>
      <c r="P238" s="192">
        <v>400</v>
      </c>
      <c r="Q238" s="192">
        <v>475</v>
      </c>
      <c r="R238" s="192" t="s">
        <v>343</v>
      </c>
      <c r="S238" s="192" t="s">
        <v>343</v>
      </c>
      <c r="T238" s="192" t="s">
        <v>343</v>
      </c>
      <c r="U238" s="192" t="s">
        <v>343</v>
      </c>
      <c r="V238" s="192" t="s">
        <v>343</v>
      </c>
      <c r="W238" s="192" t="s">
        <v>343</v>
      </c>
      <c r="X238" s="192" t="s">
        <v>343</v>
      </c>
      <c r="Y238" s="192" t="s">
        <v>343</v>
      </c>
      <c r="Z238" s="192" t="s">
        <v>343</v>
      </c>
      <c r="AA238" s="192" t="s">
        <v>343</v>
      </c>
    </row>
    <row r="239" spans="2:27" ht="12" hidden="1" customHeight="1">
      <c r="B239" s="173" t="s">
        <v>890</v>
      </c>
      <c r="C239" s="173" t="s">
        <v>502</v>
      </c>
      <c r="D239" s="173" t="s">
        <v>503</v>
      </c>
      <c r="E239" s="173" t="s">
        <v>1306</v>
      </c>
      <c r="F239" s="192">
        <v>9</v>
      </c>
      <c r="G239" s="196">
        <v>45931</v>
      </c>
      <c r="H239" s="196"/>
      <c r="I239" s="192" t="s">
        <v>343</v>
      </c>
      <c r="J239" s="192" t="s">
        <v>343</v>
      </c>
      <c r="K239" s="192" t="s">
        <v>343</v>
      </c>
      <c r="L239" s="192" t="s">
        <v>343</v>
      </c>
      <c r="M239" s="192" t="s">
        <v>343</v>
      </c>
      <c r="N239" s="192" t="s">
        <v>343</v>
      </c>
      <c r="O239" s="192" t="s">
        <v>343</v>
      </c>
      <c r="P239" s="192" t="s">
        <v>343</v>
      </c>
      <c r="Q239" s="192" t="s">
        <v>343</v>
      </c>
      <c r="R239" s="192" t="s">
        <v>343</v>
      </c>
      <c r="S239" s="192" t="s">
        <v>343</v>
      </c>
      <c r="T239" s="192" t="s">
        <v>343</v>
      </c>
      <c r="U239" s="192">
        <v>60</v>
      </c>
      <c r="V239" s="192">
        <v>60</v>
      </c>
      <c r="W239" s="192">
        <v>180</v>
      </c>
      <c r="X239" s="192">
        <v>300</v>
      </c>
      <c r="Y239" s="192">
        <v>300</v>
      </c>
      <c r="Z239" s="192">
        <v>300</v>
      </c>
      <c r="AA239" s="192">
        <v>400</v>
      </c>
    </row>
    <row r="240" spans="2:27" ht="12" hidden="1" customHeight="1">
      <c r="B240" s="173" t="s">
        <v>891</v>
      </c>
      <c r="C240" s="173" t="s">
        <v>567</v>
      </c>
      <c r="D240" s="173" t="s">
        <v>662</v>
      </c>
      <c r="E240" s="173" t="s">
        <v>1308</v>
      </c>
      <c r="F240" s="192" t="s">
        <v>343</v>
      </c>
      <c r="G240" s="196">
        <v>45292</v>
      </c>
      <c r="H240" s="196">
        <v>45991</v>
      </c>
      <c r="I240" s="192">
        <v>585</v>
      </c>
      <c r="J240" s="192">
        <v>556</v>
      </c>
      <c r="K240" s="192">
        <v>556</v>
      </c>
      <c r="L240" s="192">
        <v>897</v>
      </c>
      <c r="M240" s="192">
        <v>480</v>
      </c>
      <c r="N240" s="192">
        <v>404</v>
      </c>
      <c r="O240" s="192">
        <v>404</v>
      </c>
      <c r="P240" s="192">
        <v>480</v>
      </c>
      <c r="Q240" s="192">
        <v>404</v>
      </c>
      <c r="R240" s="192">
        <v>328</v>
      </c>
      <c r="S240" s="192">
        <v>100</v>
      </c>
      <c r="T240" s="192" t="s">
        <v>343</v>
      </c>
      <c r="U240" s="192" t="s">
        <v>343</v>
      </c>
      <c r="V240" s="192">
        <v>225</v>
      </c>
      <c r="W240" s="192" t="s">
        <v>343</v>
      </c>
      <c r="X240" s="192" t="s">
        <v>343</v>
      </c>
      <c r="Y240" s="192" t="s">
        <v>343</v>
      </c>
      <c r="Z240" s="192" t="s">
        <v>343</v>
      </c>
      <c r="AA240" s="192" t="s">
        <v>343</v>
      </c>
    </row>
    <row r="241" spans="2:27" ht="12" customHeight="1">
      <c r="B241" s="173" t="s">
        <v>732</v>
      </c>
      <c r="C241" s="173" t="s">
        <v>567</v>
      </c>
      <c r="D241" s="173" t="s">
        <v>733</v>
      </c>
      <c r="E241" s="173" t="s">
        <v>1309</v>
      </c>
      <c r="F241" s="192" t="s">
        <v>343</v>
      </c>
      <c r="G241" s="196">
        <v>45901</v>
      </c>
      <c r="H241" s="255"/>
      <c r="I241" s="192" t="s">
        <v>343</v>
      </c>
      <c r="J241" s="192" t="s">
        <v>343</v>
      </c>
      <c r="K241" s="192" t="s">
        <v>343</v>
      </c>
      <c r="L241" s="192" t="s">
        <v>343</v>
      </c>
      <c r="M241" s="192" t="s">
        <v>343</v>
      </c>
      <c r="N241" s="192" t="s">
        <v>343</v>
      </c>
      <c r="O241" s="192" t="s">
        <v>343</v>
      </c>
      <c r="P241" s="192" t="s">
        <v>343</v>
      </c>
      <c r="Q241" s="192">
        <v>3537.5</v>
      </c>
      <c r="R241" s="192" t="s">
        <v>343</v>
      </c>
      <c r="S241" s="192" t="s">
        <v>343</v>
      </c>
      <c r="T241" s="192">
        <v>875</v>
      </c>
      <c r="U241" s="192" t="s">
        <v>343</v>
      </c>
      <c r="V241" s="192" t="s">
        <v>343</v>
      </c>
      <c r="W241" s="192">
        <v>0</v>
      </c>
      <c r="X241" s="192">
        <v>2662.5</v>
      </c>
      <c r="Y241" s="192" t="s">
        <v>343</v>
      </c>
      <c r="Z241" s="192" t="s">
        <v>343</v>
      </c>
      <c r="AA241" s="192" t="s">
        <v>343</v>
      </c>
    </row>
    <row r="242" spans="2:27" ht="12" customHeight="1">
      <c r="B242" s="173" t="s">
        <v>892</v>
      </c>
      <c r="C242" s="173" t="s">
        <v>567</v>
      </c>
      <c r="D242" s="173" t="s">
        <v>733</v>
      </c>
      <c r="E242" s="173" t="s">
        <v>1309</v>
      </c>
      <c r="F242" s="192" t="s">
        <v>343</v>
      </c>
      <c r="G242" s="196">
        <v>45931</v>
      </c>
      <c r="H242" s="255"/>
      <c r="I242" s="192" t="s">
        <v>343</v>
      </c>
      <c r="J242" s="192" t="s">
        <v>343</v>
      </c>
      <c r="K242" s="192" t="s">
        <v>343</v>
      </c>
      <c r="L242" s="192" t="s">
        <v>343</v>
      </c>
      <c r="M242" s="192" t="s">
        <v>343</v>
      </c>
      <c r="N242" s="192" t="s">
        <v>343</v>
      </c>
      <c r="O242" s="192" t="s">
        <v>343</v>
      </c>
      <c r="P242" s="192" t="s">
        <v>343</v>
      </c>
      <c r="Q242" s="192" t="s">
        <v>343</v>
      </c>
      <c r="R242" s="192">
        <v>765</v>
      </c>
      <c r="S242" s="192" t="s">
        <v>343</v>
      </c>
      <c r="T242" s="192" t="s">
        <v>343</v>
      </c>
      <c r="U242" s="192" t="s">
        <v>343</v>
      </c>
      <c r="V242" s="192" t="s">
        <v>343</v>
      </c>
      <c r="W242" s="192">
        <v>765</v>
      </c>
      <c r="X242" s="192" t="s">
        <v>343</v>
      </c>
      <c r="Y242" s="192" t="s">
        <v>343</v>
      </c>
      <c r="Z242" s="192" t="s">
        <v>343</v>
      </c>
      <c r="AA242" s="192" t="s">
        <v>343</v>
      </c>
    </row>
    <row r="243" spans="2:27" ht="12" customHeight="1">
      <c r="B243" s="173" t="s">
        <v>893</v>
      </c>
      <c r="C243" s="173" t="s">
        <v>567</v>
      </c>
      <c r="D243" s="173" t="s">
        <v>733</v>
      </c>
      <c r="E243" s="173" t="s">
        <v>1309</v>
      </c>
      <c r="F243" s="192" t="s">
        <v>343</v>
      </c>
      <c r="G243" s="196">
        <v>45931</v>
      </c>
      <c r="H243" s="255"/>
      <c r="I243" s="192" t="s">
        <v>343</v>
      </c>
      <c r="J243" s="192" t="s">
        <v>343</v>
      </c>
      <c r="K243" s="192" t="s">
        <v>343</v>
      </c>
      <c r="L243" s="192" t="s">
        <v>343</v>
      </c>
      <c r="M243" s="192" t="s">
        <v>343</v>
      </c>
      <c r="N243" s="192" t="s">
        <v>343</v>
      </c>
      <c r="O243" s="192" t="s">
        <v>343</v>
      </c>
      <c r="P243" s="192" t="s">
        <v>343</v>
      </c>
      <c r="Q243" s="192" t="s">
        <v>343</v>
      </c>
      <c r="R243" s="192">
        <v>765</v>
      </c>
      <c r="S243" s="192" t="s">
        <v>343</v>
      </c>
      <c r="T243" s="192" t="s">
        <v>343</v>
      </c>
      <c r="U243" s="192" t="s">
        <v>343</v>
      </c>
      <c r="V243" s="192" t="s">
        <v>343</v>
      </c>
      <c r="W243" s="192">
        <v>765</v>
      </c>
      <c r="X243" s="192" t="s">
        <v>343</v>
      </c>
      <c r="Y243" s="192" t="s">
        <v>343</v>
      </c>
      <c r="Z243" s="192" t="s">
        <v>343</v>
      </c>
      <c r="AA243" s="192" t="s">
        <v>343</v>
      </c>
    </row>
    <row r="244" spans="2:27" ht="12" customHeight="1">
      <c r="B244" s="173" t="s">
        <v>894</v>
      </c>
      <c r="C244" s="173" t="s">
        <v>567</v>
      </c>
      <c r="D244" s="173" t="s">
        <v>733</v>
      </c>
      <c r="E244" s="173" t="s">
        <v>1309</v>
      </c>
      <c r="F244" s="192" t="s">
        <v>343</v>
      </c>
      <c r="G244" s="196">
        <v>45931</v>
      </c>
      <c r="H244" s="255"/>
      <c r="I244" s="192" t="s">
        <v>343</v>
      </c>
      <c r="J244" s="192" t="s">
        <v>343</v>
      </c>
      <c r="K244" s="192" t="s">
        <v>343</v>
      </c>
      <c r="L244" s="192" t="s">
        <v>343</v>
      </c>
      <c r="M244" s="192" t="s">
        <v>343</v>
      </c>
      <c r="N244" s="192" t="s">
        <v>343</v>
      </c>
      <c r="O244" s="192" t="s">
        <v>343</v>
      </c>
      <c r="P244" s="192" t="s">
        <v>343</v>
      </c>
      <c r="Q244" s="192" t="s">
        <v>343</v>
      </c>
      <c r="R244" s="192">
        <v>765</v>
      </c>
      <c r="S244" s="192" t="s">
        <v>343</v>
      </c>
      <c r="T244" s="192" t="s">
        <v>343</v>
      </c>
      <c r="U244" s="192" t="s">
        <v>343</v>
      </c>
      <c r="V244" s="192" t="s">
        <v>343</v>
      </c>
      <c r="W244" s="192">
        <v>765</v>
      </c>
      <c r="X244" s="192" t="s">
        <v>343</v>
      </c>
      <c r="Y244" s="192" t="s">
        <v>343</v>
      </c>
      <c r="Z244" s="192" t="s">
        <v>343</v>
      </c>
      <c r="AA244" s="192" t="s">
        <v>343</v>
      </c>
    </row>
    <row r="245" spans="2:27" ht="12" customHeight="1">
      <c r="B245" s="173" t="s">
        <v>895</v>
      </c>
      <c r="C245" s="173" t="s">
        <v>567</v>
      </c>
      <c r="D245" s="173" t="s">
        <v>733</v>
      </c>
      <c r="E245" s="173" t="s">
        <v>1309</v>
      </c>
      <c r="F245" s="192" t="s">
        <v>343</v>
      </c>
      <c r="G245" s="196">
        <v>45931</v>
      </c>
      <c r="H245" s="255"/>
      <c r="I245" s="192" t="s">
        <v>343</v>
      </c>
      <c r="J245" s="192" t="s">
        <v>343</v>
      </c>
      <c r="K245" s="192" t="s">
        <v>343</v>
      </c>
      <c r="L245" s="192" t="s">
        <v>343</v>
      </c>
      <c r="M245" s="192" t="s">
        <v>343</v>
      </c>
      <c r="N245" s="192" t="s">
        <v>343</v>
      </c>
      <c r="O245" s="192" t="s">
        <v>343</v>
      </c>
      <c r="P245" s="192" t="s">
        <v>343</v>
      </c>
      <c r="Q245" s="192" t="s">
        <v>343</v>
      </c>
      <c r="R245" s="192">
        <v>765</v>
      </c>
      <c r="S245" s="192" t="s">
        <v>343</v>
      </c>
      <c r="T245" s="192" t="s">
        <v>343</v>
      </c>
      <c r="U245" s="192" t="s">
        <v>343</v>
      </c>
      <c r="V245" s="192" t="s">
        <v>343</v>
      </c>
      <c r="W245" s="192">
        <v>765</v>
      </c>
      <c r="X245" s="192" t="s">
        <v>343</v>
      </c>
      <c r="Y245" s="192" t="s">
        <v>343</v>
      </c>
      <c r="Z245" s="192" t="s">
        <v>343</v>
      </c>
      <c r="AA245" s="192" t="s">
        <v>343</v>
      </c>
    </row>
    <row r="246" spans="2:27" ht="12" customHeight="1">
      <c r="B246" s="173" t="s">
        <v>896</v>
      </c>
      <c r="C246" s="173" t="s">
        <v>567</v>
      </c>
      <c r="D246" s="173" t="s">
        <v>733</v>
      </c>
      <c r="E246" s="173" t="s">
        <v>1309</v>
      </c>
      <c r="F246" s="192" t="s">
        <v>343</v>
      </c>
      <c r="G246" s="196">
        <v>45931</v>
      </c>
      <c r="H246" s="255"/>
      <c r="I246" s="192" t="s">
        <v>343</v>
      </c>
      <c r="J246" s="192" t="s">
        <v>343</v>
      </c>
      <c r="K246" s="192" t="s">
        <v>343</v>
      </c>
      <c r="L246" s="192" t="s">
        <v>343</v>
      </c>
      <c r="M246" s="192" t="s">
        <v>343</v>
      </c>
      <c r="N246" s="192" t="s">
        <v>343</v>
      </c>
      <c r="O246" s="192" t="s">
        <v>343</v>
      </c>
      <c r="P246" s="192" t="s">
        <v>343</v>
      </c>
      <c r="Q246" s="192" t="s">
        <v>343</v>
      </c>
      <c r="R246" s="192">
        <v>765</v>
      </c>
      <c r="S246" s="192" t="s">
        <v>343</v>
      </c>
      <c r="T246" s="192" t="s">
        <v>343</v>
      </c>
      <c r="U246" s="192" t="s">
        <v>343</v>
      </c>
      <c r="V246" s="192" t="s">
        <v>343</v>
      </c>
      <c r="W246" s="192">
        <v>765</v>
      </c>
      <c r="X246" s="192" t="s">
        <v>343</v>
      </c>
      <c r="Y246" s="192" t="s">
        <v>343</v>
      </c>
      <c r="Z246" s="192" t="s">
        <v>343</v>
      </c>
      <c r="AA246" s="192" t="s">
        <v>343</v>
      </c>
    </row>
    <row r="247" spans="2:27" ht="12" hidden="1" customHeight="1">
      <c r="B247" s="173" t="s">
        <v>898</v>
      </c>
      <c r="C247" s="173" t="s">
        <v>567</v>
      </c>
      <c r="D247" s="173" t="s">
        <v>877</v>
      </c>
      <c r="E247" s="173" t="s">
        <v>1307</v>
      </c>
      <c r="F247" s="192" t="s">
        <v>343</v>
      </c>
      <c r="G247" s="196">
        <v>44927</v>
      </c>
      <c r="H247" s="196">
        <v>46022</v>
      </c>
      <c r="I247" s="192">
        <v>380</v>
      </c>
      <c r="J247" s="192">
        <v>305</v>
      </c>
      <c r="K247" s="192">
        <v>305</v>
      </c>
      <c r="L247" s="192">
        <v>305</v>
      </c>
      <c r="M247" s="192">
        <v>305</v>
      </c>
      <c r="N247" s="192">
        <v>305</v>
      </c>
      <c r="O247" s="192">
        <v>305</v>
      </c>
      <c r="P247" s="192">
        <v>305</v>
      </c>
      <c r="Q247" s="192">
        <v>305</v>
      </c>
      <c r="R247" s="192">
        <v>305</v>
      </c>
      <c r="S247" s="192">
        <v>305</v>
      </c>
      <c r="T247" s="192">
        <v>305</v>
      </c>
      <c r="U247" s="192" t="s">
        <v>343</v>
      </c>
      <c r="V247" s="192" t="s">
        <v>343</v>
      </c>
      <c r="W247" s="192" t="s">
        <v>343</v>
      </c>
      <c r="X247" s="192" t="s">
        <v>343</v>
      </c>
      <c r="Y247" s="192" t="s">
        <v>343</v>
      </c>
      <c r="Z247" s="192" t="s">
        <v>343</v>
      </c>
      <c r="AA247" s="192" t="s">
        <v>343</v>
      </c>
    </row>
    <row r="248" spans="2:27" ht="12" hidden="1" customHeight="1">
      <c r="B248" s="173" t="s">
        <v>899</v>
      </c>
      <c r="C248" s="173" t="s">
        <v>502</v>
      </c>
      <c r="D248" s="173" t="s">
        <v>683</v>
      </c>
      <c r="E248" s="173" t="s">
        <v>1183</v>
      </c>
      <c r="F248" s="192">
        <v>0</v>
      </c>
      <c r="G248" s="196">
        <v>46082</v>
      </c>
      <c r="H248" s="196"/>
      <c r="I248" s="192" t="s">
        <v>343</v>
      </c>
      <c r="J248" s="192" t="s">
        <v>343</v>
      </c>
      <c r="K248" s="192" t="s">
        <v>343</v>
      </c>
      <c r="L248" s="192" t="s">
        <v>343</v>
      </c>
      <c r="M248" s="192" t="s">
        <v>343</v>
      </c>
      <c r="N248" s="192" t="s">
        <v>343</v>
      </c>
      <c r="O248" s="192" t="s">
        <v>343</v>
      </c>
      <c r="P248" s="192" t="s">
        <v>343</v>
      </c>
      <c r="Q248" s="192" t="s">
        <v>343</v>
      </c>
      <c r="R248" s="192" t="s">
        <v>343</v>
      </c>
      <c r="S248" s="192" t="s">
        <v>343</v>
      </c>
      <c r="T248" s="192" t="s">
        <v>343</v>
      </c>
      <c r="U248" s="192" t="s">
        <v>343</v>
      </c>
      <c r="V248" s="192" t="s">
        <v>343</v>
      </c>
      <c r="W248" s="192">
        <v>160</v>
      </c>
      <c r="X248" s="192">
        <v>160</v>
      </c>
      <c r="Y248" s="192">
        <v>685</v>
      </c>
      <c r="Z248" s="192">
        <v>260</v>
      </c>
      <c r="AA248" s="192">
        <v>260</v>
      </c>
    </row>
    <row r="249" spans="2:27" ht="12" hidden="1" customHeight="1">
      <c r="B249" s="173" t="s">
        <v>900</v>
      </c>
      <c r="C249" s="173" t="s">
        <v>502</v>
      </c>
      <c r="D249" s="173" t="s">
        <v>503</v>
      </c>
      <c r="E249" s="173" t="s">
        <v>1306</v>
      </c>
      <c r="F249" s="192">
        <v>5</v>
      </c>
      <c r="G249" s="196">
        <v>45748</v>
      </c>
      <c r="H249" s="196"/>
      <c r="I249" s="192" t="s">
        <v>343</v>
      </c>
      <c r="J249" s="192" t="s">
        <v>343</v>
      </c>
      <c r="K249" s="192" t="s">
        <v>343</v>
      </c>
      <c r="L249" s="192">
        <v>350</v>
      </c>
      <c r="M249" s="192" t="s">
        <v>343</v>
      </c>
      <c r="N249" s="192">
        <v>150</v>
      </c>
      <c r="O249" s="192" t="s">
        <v>343</v>
      </c>
      <c r="P249" s="192" t="s">
        <v>343</v>
      </c>
      <c r="Q249" s="192">
        <v>355</v>
      </c>
      <c r="R249" s="192">
        <v>105</v>
      </c>
      <c r="S249" s="192">
        <v>105</v>
      </c>
      <c r="T249" s="192">
        <v>105</v>
      </c>
      <c r="U249" s="192">
        <v>135</v>
      </c>
      <c r="V249" s="192">
        <v>105</v>
      </c>
      <c r="W249" s="192">
        <v>105</v>
      </c>
      <c r="X249" s="192">
        <v>140</v>
      </c>
      <c r="Y249" s="192">
        <v>70</v>
      </c>
      <c r="Z249" s="192">
        <v>140</v>
      </c>
      <c r="AA249" s="192">
        <v>140</v>
      </c>
    </row>
    <row r="250" spans="2:27" ht="12" hidden="1" customHeight="1">
      <c r="B250" s="173" t="s">
        <v>901</v>
      </c>
      <c r="C250" s="173" t="s">
        <v>502</v>
      </c>
      <c r="D250" s="173" t="s">
        <v>503</v>
      </c>
      <c r="E250" s="173" t="s">
        <v>1306</v>
      </c>
      <c r="F250" s="192">
        <v>2</v>
      </c>
      <c r="G250" s="196">
        <v>46054</v>
      </c>
      <c r="H250" s="196"/>
      <c r="I250" s="192" t="s">
        <v>343</v>
      </c>
      <c r="J250" s="192" t="s">
        <v>343</v>
      </c>
      <c r="K250" s="192" t="s">
        <v>343</v>
      </c>
      <c r="L250" s="192" t="s">
        <v>343</v>
      </c>
      <c r="M250" s="192" t="s">
        <v>343</v>
      </c>
      <c r="N250" s="192" t="s">
        <v>343</v>
      </c>
      <c r="O250" s="192" t="s">
        <v>343</v>
      </c>
      <c r="P250" s="192" t="s">
        <v>343</v>
      </c>
      <c r="Q250" s="192" t="s">
        <v>343</v>
      </c>
      <c r="R250" s="192" t="s">
        <v>343</v>
      </c>
      <c r="S250" s="192" t="s">
        <v>343</v>
      </c>
      <c r="T250" s="192" t="s">
        <v>343</v>
      </c>
      <c r="U250" s="192" t="s">
        <v>343</v>
      </c>
      <c r="V250" s="192" t="s">
        <v>343</v>
      </c>
      <c r="W250" s="192">
        <v>725</v>
      </c>
      <c r="X250" s="192">
        <v>417.5</v>
      </c>
      <c r="Y250" s="192">
        <v>120</v>
      </c>
      <c r="Z250" s="192">
        <v>120</v>
      </c>
      <c r="AA250" s="192">
        <v>120</v>
      </c>
    </row>
    <row r="251" spans="2:27" ht="12" hidden="1" customHeight="1">
      <c r="B251" s="173" t="s">
        <v>902</v>
      </c>
      <c r="C251" s="173" t="s">
        <v>567</v>
      </c>
      <c r="D251" s="173" t="s">
        <v>662</v>
      </c>
      <c r="E251" s="173" t="s">
        <v>1308</v>
      </c>
      <c r="F251" s="192" t="s">
        <v>343</v>
      </c>
      <c r="G251" s="196">
        <v>45505</v>
      </c>
      <c r="H251" s="196">
        <v>46022</v>
      </c>
      <c r="I251" s="192">
        <v>250</v>
      </c>
      <c r="J251" s="192">
        <v>250</v>
      </c>
      <c r="K251" s="192">
        <v>250</v>
      </c>
      <c r="L251" s="192">
        <v>250</v>
      </c>
      <c r="M251" s="192">
        <v>250</v>
      </c>
      <c r="N251" s="192">
        <v>250</v>
      </c>
      <c r="O251" s="192">
        <v>250</v>
      </c>
      <c r="P251" s="192">
        <v>250</v>
      </c>
      <c r="Q251" s="192">
        <v>300</v>
      </c>
      <c r="R251" s="192">
        <v>300</v>
      </c>
      <c r="S251" s="192">
        <v>300</v>
      </c>
      <c r="T251" s="192">
        <v>300</v>
      </c>
      <c r="U251" s="192" t="s">
        <v>343</v>
      </c>
      <c r="V251" s="192" t="s">
        <v>343</v>
      </c>
      <c r="W251" s="192" t="s">
        <v>343</v>
      </c>
      <c r="X251" s="192" t="s">
        <v>343</v>
      </c>
      <c r="Y251" s="192" t="s">
        <v>343</v>
      </c>
      <c r="Z251" s="192" t="s">
        <v>343</v>
      </c>
      <c r="AA251" s="192" t="s">
        <v>343</v>
      </c>
    </row>
    <row r="252" spans="2:27" ht="12" hidden="1" customHeight="1">
      <c r="B252" s="173" t="s">
        <v>903</v>
      </c>
      <c r="C252" s="173" t="s">
        <v>567</v>
      </c>
      <c r="D252" s="173" t="s">
        <v>662</v>
      </c>
      <c r="E252" s="173" t="s">
        <v>1308</v>
      </c>
      <c r="F252" s="192" t="s">
        <v>343</v>
      </c>
      <c r="G252" s="196">
        <v>45839</v>
      </c>
      <c r="H252" s="196">
        <v>46053</v>
      </c>
      <c r="I252" s="192" t="s">
        <v>343</v>
      </c>
      <c r="J252" s="192" t="s">
        <v>343</v>
      </c>
      <c r="K252" s="192" t="s">
        <v>343</v>
      </c>
      <c r="L252" s="192" t="s">
        <v>343</v>
      </c>
      <c r="M252" s="192" t="s">
        <v>343</v>
      </c>
      <c r="N252" s="192" t="s">
        <v>343</v>
      </c>
      <c r="O252" s="192">
        <v>350</v>
      </c>
      <c r="P252" s="192">
        <v>360</v>
      </c>
      <c r="Q252" s="192">
        <v>360</v>
      </c>
      <c r="R252" s="192">
        <v>360</v>
      </c>
      <c r="S252" s="192">
        <v>105</v>
      </c>
      <c r="T252" s="192">
        <v>105</v>
      </c>
      <c r="U252" s="192">
        <v>120</v>
      </c>
      <c r="V252" s="192" t="s">
        <v>343</v>
      </c>
      <c r="W252" s="192" t="s">
        <v>343</v>
      </c>
      <c r="X252" s="192" t="s">
        <v>343</v>
      </c>
      <c r="Y252" s="192" t="s">
        <v>343</v>
      </c>
      <c r="Z252" s="192" t="s">
        <v>343</v>
      </c>
      <c r="AA252" s="192" t="s">
        <v>343</v>
      </c>
    </row>
    <row r="253" spans="2:27" ht="12" hidden="1" customHeight="1">
      <c r="B253" s="173" t="s">
        <v>904</v>
      </c>
      <c r="C253" s="173" t="s">
        <v>567</v>
      </c>
      <c r="D253" s="173" t="s">
        <v>683</v>
      </c>
      <c r="E253" s="173" t="s">
        <v>1183</v>
      </c>
      <c r="F253" s="192">
        <v>4</v>
      </c>
      <c r="G253" s="196">
        <v>46054</v>
      </c>
      <c r="H253" s="196">
        <v>46173</v>
      </c>
      <c r="I253" s="192" t="s">
        <v>343</v>
      </c>
      <c r="J253" s="192" t="s">
        <v>343</v>
      </c>
      <c r="K253" s="192" t="s">
        <v>343</v>
      </c>
      <c r="L253" s="192" t="s">
        <v>343</v>
      </c>
      <c r="M253" s="192" t="s">
        <v>343</v>
      </c>
      <c r="N253" s="192" t="s">
        <v>343</v>
      </c>
      <c r="O253" s="192" t="s">
        <v>343</v>
      </c>
      <c r="P253" s="192" t="s">
        <v>343</v>
      </c>
      <c r="Q253" s="192" t="s">
        <v>343</v>
      </c>
      <c r="R253" s="192" t="s">
        <v>343</v>
      </c>
      <c r="S253" s="192" t="s">
        <v>343</v>
      </c>
      <c r="T253" s="192" t="s">
        <v>343</v>
      </c>
      <c r="U253" s="192" t="s">
        <v>343</v>
      </c>
      <c r="V253" s="192">
        <v>263</v>
      </c>
      <c r="W253" s="192">
        <v>263</v>
      </c>
      <c r="X253" s="192">
        <v>263</v>
      </c>
      <c r="Y253" s="192">
        <v>237.5</v>
      </c>
      <c r="Z253" s="192">
        <v>310</v>
      </c>
      <c r="AA253" s="192" t="s">
        <v>343</v>
      </c>
    </row>
    <row r="254" spans="2:27" ht="12" hidden="1" customHeight="1">
      <c r="B254" s="173" t="s">
        <v>905</v>
      </c>
      <c r="C254" s="173" t="s">
        <v>502</v>
      </c>
      <c r="D254" s="173" t="s">
        <v>683</v>
      </c>
      <c r="E254" s="173" t="s">
        <v>1183</v>
      </c>
      <c r="F254" s="192" t="s">
        <v>343</v>
      </c>
      <c r="G254" s="196">
        <v>46113</v>
      </c>
      <c r="H254" s="196"/>
      <c r="I254" s="192" t="s">
        <v>343</v>
      </c>
      <c r="J254" s="192" t="s">
        <v>343</v>
      </c>
      <c r="K254" s="192" t="s">
        <v>343</v>
      </c>
      <c r="L254" s="192" t="s">
        <v>343</v>
      </c>
      <c r="M254" s="192" t="s">
        <v>343</v>
      </c>
      <c r="N254" s="192" t="s">
        <v>343</v>
      </c>
      <c r="O254" s="192" t="s">
        <v>343</v>
      </c>
      <c r="P254" s="192" t="s">
        <v>343</v>
      </c>
      <c r="Q254" s="192" t="s">
        <v>343</v>
      </c>
      <c r="R254" s="192" t="s">
        <v>343</v>
      </c>
      <c r="S254" s="192" t="s">
        <v>343</v>
      </c>
      <c r="T254" s="192" t="s">
        <v>343</v>
      </c>
      <c r="U254" s="192" t="s">
        <v>343</v>
      </c>
      <c r="V254" s="192" t="s">
        <v>343</v>
      </c>
      <c r="W254" s="192" t="s">
        <v>343</v>
      </c>
      <c r="X254" s="192">
        <v>310</v>
      </c>
      <c r="Y254" s="192">
        <v>310</v>
      </c>
      <c r="Z254" s="192">
        <v>310</v>
      </c>
      <c r="AA254" s="192">
        <v>310</v>
      </c>
    </row>
    <row r="255" spans="2:27" ht="12" hidden="1" customHeight="1">
      <c r="B255" s="173" t="s">
        <v>906</v>
      </c>
      <c r="C255" s="173" t="s">
        <v>502</v>
      </c>
      <c r="D255" s="173" t="s">
        <v>503</v>
      </c>
      <c r="E255" s="173" t="s">
        <v>1306</v>
      </c>
      <c r="F255" s="192">
        <v>4</v>
      </c>
      <c r="G255" s="196">
        <v>46174</v>
      </c>
      <c r="H255" s="196"/>
      <c r="I255" s="192" t="s">
        <v>343</v>
      </c>
      <c r="J255" s="192" t="s">
        <v>343</v>
      </c>
      <c r="K255" s="192" t="s">
        <v>343</v>
      </c>
      <c r="L255" s="192" t="s">
        <v>343</v>
      </c>
      <c r="M255" s="192" t="s">
        <v>343</v>
      </c>
      <c r="N255" s="192" t="s">
        <v>343</v>
      </c>
      <c r="O255" s="192" t="s">
        <v>343</v>
      </c>
      <c r="P255" s="192" t="s">
        <v>343</v>
      </c>
      <c r="Q255" s="192" t="s">
        <v>343</v>
      </c>
      <c r="R255" s="192" t="s">
        <v>343</v>
      </c>
      <c r="S255" s="192" t="s">
        <v>343</v>
      </c>
      <c r="T255" s="192" t="s">
        <v>343</v>
      </c>
      <c r="U255" s="192" t="s">
        <v>343</v>
      </c>
      <c r="V255" s="192" t="s">
        <v>343</v>
      </c>
      <c r="W255" s="192" t="s">
        <v>343</v>
      </c>
      <c r="X255" s="192" t="s">
        <v>343</v>
      </c>
      <c r="Y255" s="192" t="s">
        <v>343</v>
      </c>
      <c r="Z255" s="192">
        <v>811</v>
      </c>
      <c r="AA255" s="192">
        <v>418</v>
      </c>
    </row>
    <row r="256" spans="2:27" ht="12" hidden="1" customHeight="1">
      <c r="B256" s="173" t="s">
        <v>908</v>
      </c>
      <c r="C256" s="173" t="s">
        <v>502</v>
      </c>
      <c r="D256" s="173" t="s">
        <v>683</v>
      </c>
      <c r="E256" s="173" t="s">
        <v>1183</v>
      </c>
      <c r="F256" s="192">
        <v>0</v>
      </c>
      <c r="G256" s="196">
        <v>45992</v>
      </c>
      <c r="H256" s="196"/>
      <c r="I256" s="192" t="s">
        <v>343</v>
      </c>
      <c r="J256" s="192" t="s">
        <v>343</v>
      </c>
      <c r="K256" s="192" t="s">
        <v>343</v>
      </c>
      <c r="L256" s="192" t="s">
        <v>343</v>
      </c>
      <c r="M256" s="192" t="s">
        <v>343</v>
      </c>
      <c r="N256" s="192" t="s">
        <v>343</v>
      </c>
      <c r="O256" s="192" t="s">
        <v>343</v>
      </c>
      <c r="P256" s="192" t="s">
        <v>343</v>
      </c>
      <c r="Q256" s="192" t="s">
        <v>343</v>
      </c>
      <c r="R256" s="192" t="s">
        <v>343</v>
      </c>
      <c r="S256" s="192" t="s">
        <v>343</v>
      </c>
      <c r="T256" s="192">
        <v>150</v>
      </c>
      <c r="U256" s="192">
        <v>150</v>
      </c>
      <c r="V256" s="192">
        <v>165</v>
      </c>
      <c r="W256" s="192">
        <v>150</v>
      </c>
      <c r="X256" s="192">
        <v>150</v>
      </c>
      <c r="Y256" s="192">
        <v>150</v>
      </c>
      <c r="Z256" s="192">
        <v>150</v>
      </c>
      <c r="AA256" s="192">
        <v>150</v>
      </c>
    </row>
    <row r="257" spans="2:27" ht="12" hidden="1" customHeight="1">
      <c r="B257" s="173" t="s">
        <v>909</v>
      </c>
      <c r="C257" s="173" t="s">
        <v>502</v>
      </c>
      <c r="D257" s="173" t="s">
        <v>503</v>
      </c>
      <c r="E257" s="173" t="s">
        <v>1306</v>
      </c>
      <c r="F257" s="192">
        <v>3</v>
      </c>
      <c r="G257" s="196">
        <v>46174</v>
      </c>
      <c r="H257" s="196"/>
      <c r="I257" s="192" t="s">
        <v>343</v>
      </c>
      <c r="J257" s="192" t="s">
        <v>343</v>
      </c>
      <c r="K257" s="192" t="s">
        <v>343</v>
      </c>
      <c r="L257" s="192" t="s">
        <v>343</v>
      </c>
      <c r="M257" s="192" t="s">
        <v>343</v>
      </c>
      <c r="N257" s="192" t="s">
        <v>343</v>
      </c>
      <c r="O257" s="192" t="s">
        <v>343</v>
      </c>
      <c r="P257" s="192" t="s">
        <v>343</v>
      </c>
      <c r="Q257" s="192" t="s">
        <v>343</v>
      </c>
      <c r="R257" s="192" t="s">
        <v>343</v>
      </c>
      <c r="S257" s="192" t="s">
        <v>343</v>
      </c>
      <c r="T257" s="192" t="s">
        <v>343</v>
      </c>
      <c r="U257" s="192" t="s">
        <v>343</v>
      </c>
      <c r="V257" s="192" t="s">
        <v>343</v>
      </c>
      <c r="W257" s="192" t="s">
        <v>343</v>
      </c>
      <c r="X257" s="192" t="s">
        <v>343</v>
      </c>
      <c r="Y257" s="192" t="s">
        <v>343</v>
      </c>
      <c r="Z257" s="192">
        <v>833.5</v>
      </c>
      <c r="AA257" s="192">
        <v>373</v>
      </c>
    </row>
    <row r="258" spans="2:27" ht="12" customHeight="1">
      <c r="B258" s="173" t="s">
        <v>897</v>
      </c>
      <c r="C258" s="173" t="s">
        <v>567</v>
      </c>
      <c r="D258" s="173" t="s">
        <v>733</v>
      </c>
      <c r="E258" s="173" t="s">
        <v>1309</v>
      </c>
      <c r="F258" s="192" t="s">
        <v>343</v>
      </c>
      <c r="G258" s="196">
        <v>45931</v>
      </c>
      <c r="H258" s="255"/>
      <c r="I258" s="192" t="s">
        <v>343</v>
      </c>
      <c r="J258" s="192" t="s">
        <v>343</v>
      </c>
      <c r="K258" s="192" t="s">
        <v>343</v>
      </c>
      <c r="L258" s="192" t="s">
        <v>343</v>
      </c>
      <c r="M258" s="192" t="s">
        <v>343</v>
      </c>
      <c r="N258" s="192" t="s">
        <v>343</v>
      </c>
      <c r="O258" s="192" t="s">
        <v>343</v>
      </c>
      <c r="P258" s="192" t="s">
        <v>343</v>
      </c>
      <c r="Q258" s="192" t="s">
        <v>343</v>
      </c>
      <c r="R258" s="192">
        <v>765</v>
      </c>
      <c r="S258" s="192" t="s">
        <v>343</v>
      </c>
      <c r="T258" s="192" t="s">
        <v>343</v>
      </c>
      <c r="U258" s="192" t="s">
        <v>343</v>
      </c>
      <c r="V258" s="192" t="s">
        <v>343</v>
      </c>
      <c r="W258" s="192">
        <v>765</v>
      </c>
      <c r="X258" s="192" t="s">
        <v>343</v>
      </c>
      <c r="Y258" s="192" t="s">
        <v>343</v>
      </c>
      <c r="Z258" s="192" t="s">
        <v>343</v>
      </c>
      <c r="AA258" s="192" t="s">
        <v>343</v>
      </c>
    </row>
    <row r="259" spans="2:27" ht="12" hidden="1" customHeight="1">
      <c r="B259" s="173" t="s">
        <v>911</v>
      </c>
      <c r="C259" s="173" t="s">
        <v>19</v>
      </c>
      <c r="D259" s="173" t="s">
        <v>503</v>
      </c>
      <c r="E259" s="173" t="s">
        <v>1306</v>
      </c>
      <c r="F259" s="192">
        <v>6</v>
      </c>
      <c r="G259" s="196">
        <v>46204</v>
      </c>
      <c r="H259" s="196"/>
      <c r="I259" s="192" t="s">
        <v>343</v>
      </c>
      <c r="J259" s="192" t="s">
        <v>343</v>
      </c>
      <c r="K259" s="192" t="s">
        <v>343</v>
      </c>
      <c r="L259" s="192" t="s">
        <v>343</v>
      </c>
      <c r="M259" s="192" t="s">
        <v>343</v>
      </c>
      <c r="N259" s="192" t="s">
        <v>343</v>
      </c>
      <c r="O259" s="192" t="s">
        <v>343</v>
      </c>
      <c r="P259" s="192" t="s">
        <v>343</v>
      </c>
      <c r="Q259" s="192" t="s">
        <v>343</v>
      </c>
      <c r="R259" s="192" t="s">
        <v>343</v>
      </c>
      <c r="S259" s="192" t="s">
        <v>343</v>
      </c>
      <c r="T259" s="192" t="s">
        <v>343</v>
      </c>
      <c r="U259" s="192" t="s">
        <v>343</v>
      </c>
      <c r="V259" s="192" t="s">
        <v>343</v>
      </c>
      <c r="W259" s="192" t="s">
        <v>343</v>
      </c>
      <c r="X259" s="192" t="s">
        <v>343</v>
      </c>
      <c r="Y259" s="192" t="s">
        <v>343</v>
      </c>
      <c r="Z259" s="192" t="s">
        <v>343</v>
      </c>
      <c r="AA259" s="192">
        <v>1101</v>
      </c>
    </row>
    <row r="260" spans="2:27" ht="12" customHeight="1">
      <c r="B260" s="173" t="s">
        <v>910</v>
      </c>
      <c r="C260" s="173" t="s">
        <v>567</v>
      </c>
      <c r="D260" s="173" t="s">
        <v>733</v>
      </c>
      <c r="E260" s="173" t="s">
        <v>1309</v>
      </c>
      <c r="F260" s="192" t="s">
        <v>343</v>
      </c>
      <c r="G260" s="196">
        <v>46023</v>
      </c>
      <c r="H260" s="255"/>
      <c r="I260" s="192" t="s">
        <v>343</v>
      </c>
      <c r="J260" s="192" t="s">
        <v>343</v>
      </c>
      <c r="K260" s="192" t="s">
        <v>343</v>
      </c>
      <c r="L260" s="192" t="s">
        <v>343</v>
      </c>
      <c r="M260" s="192" t="s">
        <v>343</v>
      </c>
      <c r="N260" s="192" t="s">
        <v>343</v>
      </c>
      <c r="O260" s="192" t="s">
        <v>343</v>
      </c>
      <c r="P260" s="192" t="s">
        <v>343</v>
      </c>
      <c r="Q260" s="192" t="s">
        <v>343</v>
      </c>
      <c r="R260" s="192" t="s">
        <v>343</v>
      </c>
      <c r="S260" s="192" t="s">
        <v>343</v>
      </c>
      <c r="T260" s="192" t="s">
        <v>343</v>
      </c>
      <c r="U260" s="192">
        <v>1125</v>
      </c>
      <c r="V260" s="192" t="s">
        <v>343</v>
      </c>
      <c r="W260" s="192" t="s">
        <v>343</v>
      </c>
      <c r="X260" s="192" t="s">
        <v>343</v>
      </c>
      <c r="Y260" s="192" t="s">
        <v>343</v>
      </c>
      <c r="Z260" s="192" t="s">
        <v>343</v>
      </c>
      <c r="AA260" s="192" t="s">
        <v>343</v>
      </c>
    </row>
    <row r="261" spans="2:27" ht="12" hidden="1" customHeight="1">
      <c r="B261" s="173" t="s">
        <v>913</v>
      </c>
      <c r="C261" s="173" t="s">
        <v>502</v>
      </c>
      <c r="D261" s="173" t="s">
        <v>683</v>
      </c>
      <c r="E261" s="173" t="s">
        <v>1183</v>
      </c>
      <c r="F261" s="192" t="s">
        <v>343</v>
      </c>
      <c r="G261" s="196">
        <v>46113</v>
      </c>
      <c r="H261" s="196"/>
      <c r="I261" s="192" t="s">
        <v>343</v>
      </c>
      <c r="J261" s="192" t="s">
        <v>343</v>
      </c>
      <c r="K261" s="192" t="s">
        <v>343</v>
      </c>
      <c r="L261" s="192" t="s">
        <v>343</v>
      </c>
      <c r="M261" s="192" t="s">
        <v>343</v>
      </c>
      <c r="N261" s="192" t="s">
        <v>343</v>
      </c>
      <c r="O261" s="192" t="s">
        <v>343</v>
      </c>
      <c r="P261" s="192" t="s">
        <v>343</v>
      </c>
      <c r="Q261" s="192" t="s">
        <v>343</v>
      </c>
      <c r="R261" s="192" t="s">
        <v>343</v>
      </c>
      <c r="S261" s="192" t="s">
        <v>343</v>
      </c>
      <c r="T261" s="192" t="s">
        <v>343</v>
      </c>
      <c r="U261" s="192" t="s">
        <v>343</v>
      </c>
      <c r="V261" s="192" t="s">
        <v>343</v>
      </c>
      <c r="W261" s="192" t="s">
        <v>343</v>
      </c>
      <c r="X261" s="192">
        <v>260</v>
      </c>
      <c r="Y261" s="192">
        <v>260</v>
      </c>
      <c r="Z261" s="192">
        <v>260</v>
      </c>
      <c r="AA261" s="192">
        <v>260</v>
      </c>
    </row>
    <row r="262" spans="2:27" ht="12" hidden="1" customHeight="1">
      <c r="B262" s="173" t="s">
        <v>914</v>
      </c>
      <c r="C262" s="173" t="s">
        <v>567</v>
      </c>
      <c r="D262" s="173" t="s">
        <v>637</v>
      </c>
      <c r="E262" s="173" t="s">
        <v>1307</v>
      </c>
      <c r="F262" s="192" t="s">
        <v>343</v>
      </c>
      <c r="G262" s="196">
        <v>44317</v>
      </c>
      <c r="H262" s="196">
        <v>46022</v>
      </c>
      <c r="I262" s="192">
        <v>290</v>
      </c>
      <c r="J262" s="192">
        <v>185</v>
      </c>
      <c r="K262" s="192">
        <v>185</v>
      </c>
      <c r="L262" s="192">
        <v>185</v>
      </c>
      <c r="M262" s="192">
        <v>185</v>
      </c>
      <c r="N262" s="192">
        <v>185</v>
      </c>
      <c r="O262" s="192">
        <v>185</v>
      </c>
      <c r="P262" s="192">
        <v>185</v>
      </c>
      <c r="Q262" s="192">
        <v>185</v>
      </c>
      <c r="R262" s="192">
        <v>185</v>
      </c>
      <c r="S262" s="192">
        <v>185</v>
      </c>
      <c r="T262" s="192">
        <v>185</v>
      </c>
      <c r="U262" s="192" t="s">
        <v>343</v>
      </c>
      <c r="V262" s="192">
        <v>75</v>
      </c>
      <c r="W262" s="192" t="s">
        <v>343</v>
      </c>
      <c r="X262" s="192" t="s">
        <v>343</v>
      </c>
      <c r="Y262" s="192" t="s">
        <v>343</v>
      </c>
      <c r="Z262" s="192" t="s">
        <v>343</v>
      </c>
      <c r="AA262" s="192" t="s">
        <v>343</v>
      </c>
    </row>
    <row r="263" spans="2:27" ht="12" hidden="1" customHeight="1">
      <c r="B263" s="173" t="s">
        <v>915</v>
      </c>
      <c r="C263" s="173" t="s">
        <v>567</v>
      </c>
      <c r="D263" s="173" t="s">
        <v>662</v>
      </c>
      <c r="E263" s="173" t="s">
        <v>1308</v>
      </c>
      <c r="F263" s="192" t="s">
        <v>343</v>
      </c>
      <c r="G263" s="196">
        <v>45870</v>
      </c>
      <c r="H263" s="196">
        <v>45930</v>
      </c>
      <c r="I263" s="192" t="s">
        <v>343</v>
      </c>
      <c r="J263" s="192" t="s">
        <v>343</v>
      </c>
      <c r="K263" s="192" t="s">
        <v>343</v>
      </c>
      <c r="L263" s="192" t="s">
        <v>343</v>
      </c>
      <c r="M263" s="192" t="s">
        <v>343</v>
      </c>
      <c r="N263" s="192" t="s">
        <v>343</v>
      </c>
      <c r="O263" s="192" t="s">
        <v>343</v>
      </c>
      <c r="P263" s="192">
        <v>640</v>
      </c>
      <c r="Q263" s="192">
        <v>340</v>
      </c>
      <c r="R263" s="192" t="s">
        <v>343</v>
      </c>
      <c r="S263" s="192" t="s">
        <v>343</v>
      </c>
      <c r="T263" s="192" t="s">
        <v>343</v>
      </c>
      <c r="U263" s="192" t="s">
        <v>343</v>
      </c>
      <c r="V263" s="192" t="s">
        <v>343</v>
      </c>
      <c r="W263" s="192" t="s">
        <v>343</v>
      </c>
      <c r="X263" s="192" t="s">
        <v>343</v>
      </c>
      <c r="Y263" s="192" t="s">
        <v>343</v>
      </c>
      <c r="Z263" s="192" t="s">
        <v>343</v>
      </c>
      <c r="AA263" s="192" t="s">
        <v>343</v>
      </c>
    </row>
    <row r="264" spans="2:27" ht="12" hidden="1" customHeight="1">
      <c r="B264" s="173" t="s">
        <v>916</v>
      </c>
      <c r="C264" s="173" t="s">
        <v>19</v>
      </c>
      <c r="D264" s="173" t="s">
        <v>683</v>
      </c>
      <c r="E264" s="173" t="s">
        <v>1183</v>
      </c>
      <c r="F264" s="192" t="s">
        <v>343</v>
      </c>
      <c r="G264" s="196">
        <v>46054</v>
      </c>
      <c r="H264" s="196"/>
      <c r="I264" s="192" t="s">
        <v>343</v>
      </c>
      <c r="J264" s="192" t="s">
        <v>343</v>
      </c>
      <c r="K264" s="192" t="s">
        <v>343</v>
      </c>
      <c r="L264" s="192" t="s">
        <v>343</v>
      </c>
      <c r="M264" s="192" t="s">
        <v>343</v>
      </c>
      <c r="N264" s="192" t="s">
        <v>343</v>
      </c>
      <c r="O264" s="192" t="s">
        <v>343</v>
      </c>
      <c r="P264" s="192" t="s">
        <v>343</v>
      </c>
      <c r="Q264" s="192" t="s">
        <v>343</v>
      </c>
      <c r="R264" s="192" t="s">
        <v>343</v>
      </c>
      <c r="S264" s="192" t="s">
        <v>343</v>
      </c>
      <c r="T264" s="192" t="s">
        <v>343</v>
      </c>
      <c r="U264" s="192" t="s">
        <v>343</v>
      </c>
      <c r="V264" s="192">
        <v>975</v>
      </c>
      <c r="W264" s="192" t="s">
        <v>343</v>
      </c>
      <c r="X264" s="192" t="s">
        <v>343</v>
      </c>
      <c r="Y264" s="192" t="s">
        <v>343</v>
      </c>
      <c r="Z264" s="192" t="s">
        <v>343</v>
      </c>
      <c r="AA264" s="192" t="s">
        <v>343</v>
      </c>
    </row>
    <row r="265" spans="2:27" ht="12" customHeight="1">
      <c r="B265" s="173" t="s">
        <v>912</v>
      </c>
      <c r="C265" s="173" t="s">
        <v>567</v>
      </c>
      <c r="D265" s="173" t="s">
        <v>733</v>
      </c>
      <c r="E265" s="173" t="s">
        <v>1309</v>
      </c>
      <c r="F265" s="192" t="s">
        <v>343</v>
      </c>
      <c r="G265" s="196">
        <v>45901</v>
      </c>
      <c r="H265" s="255"/>
      <c r="I265" s="192" t="s">
        <v>343</v>
      </c>
      <c r="J265" s="192" t="s">
        <v>343</v>
      </c>
      <c r="K265" s="192" t="s">
        <v>343</v>
      </c>
      <c r="L265" s="192" t="s">
        <v>343</v>
      </c>
      <c r="M265" s="192" t="s">
        <v>343</v>
      </c>
      <c r="N265" s="192" t="s">
        <v>343</v>
      </c>
      <c r="O265" s="192" t="s">
        <v>343</v>
      </c>
      <c r="P265" s="192" t="s">
        <v>343</v>
      </c>
      <c r="Q265" s="192">
        <v>1080</v>
      </c>
      <c r="R265" s="192" t="s">
        <v>343</v>
      </c>
      <c r="S265" s="192" t="s">
        <v>343</v>
      </c>
      <c r="T265" s="192" t="s">
        <v>343</v>
      </c>
      <c r="U265" s="192" t="s">
        <v>343</v>
      </c>
      <c r="V265" s="192" t="s">
        <v>343</v>
      </c>
      <c r="W265" s="192" t="s">
        <v>343</v>
      </c>
      <c r="X265" s="192" t="s">
        <v>343</v>
      </c>
      <c r="Y265" s="192" t="s">
        <v>343</v>
      </c>
      <c r="Z265" s="192" t="s">
        <v>343</v>
      </c>
      <c r="AA265" s="192" t="s">
        <v>343</v>
      </c>
    </row>
    <row r="266" spans="2:27" ht="12" hidden="1" customHeight="1">
      <c r="B266" s="173" t="s">
        <v>918</v>
      </c>
      <c r="C266" s="173" t="s">
        <v>567</v>
      </c>
      <c r="D266" s="173" t="s">
        <v>637</v>
      </c>
      <c r="E266" s="173" t="s">
        <v>1307</v>
      </c>
      <c r="F266" s="192" t="s">
        <v>343</v>
      </c>
      <c r="G266" s="196">
        <v>44682</v>
      </c>
      <c r="H266" s="196">
        <v>46112</v>
      </c>
      <c r="I266" s="192">
        <v>100</v>
      </c>
      <c r="J266" s="192">
        <v>55</v>
      </c>
      <c r="K266" s="192">
        <v>55</v>
      </c>
      <c r="L266" s="192">
        <v>55</v>
      </c>
      <c r="M266" s="192">
        <v>290</v>
      </c>
      <c r="N266" s="192">
        <v>290</v>
      </c>
      <c r="O266" s="192">
        <v>290</v>
      </c>
      <c r="P266" s="192">
        <v>290</v>
      </c>
      <c r="Q266" s="192">
        <v>290</v>
      </c>
      <c r="R266" s="192">
        <v>60</v>
      </c>
      <c r="S266" s="192">
        <v>60</v>
      </c>
      <c r="T266" s="192">
        <v>60</v>
      </c>
      <c r="U266" s="192">
        <v>60</v>
      </c>
      <c r="V266" s="192">
        <v>76.5</v>
      </c>
      <c r="W266" s="192">
        <v>60</v>
      </c>
      <c r="X266" s="192" t="s">
        <v>343</v>
      </c>
      <c r="Y266" s="192" t="s">
        <v>343</v>
      </c>
      <c r="Z266" s="192" t="s">
        <v>343</v>
      </c>
      <c r="AA266" s="192" t="s">
        <v>343</v>
      </c>
    </row>
    <row r="267" spans="2:27" ht="12" hidden="1" customHeight="1">
      <c r="B267" s="173" t="s">
        <v>920</v>
      </c>
      <c r="C267" s="173" t="s">
        <v>567</v>
      </c>
      <c r="D267" s="173" t="s">
        <v>662</v>
      </c>
      <c r="E267" s="173" t="s">
        <v>1308</v>
      </c>
      <c r="F267" s="192" t="s">
        <v>343</v>
      </c>
      <c r="G267" s="196">
        <v>45536</v>
      </c>
      <c r="H267" s="196">
        <v>45930</v>
      </c>
      <c r="I267" s="192">
        <v>450</v>
      </c>
      <c r="J267" s="192">
        <v>450</v>
      </c>
      <c r="K267" s="192">
        <v>450</v>
      </c>
      <c r="L267" s="192">
        <v>450</v>
      </c>
      <c r="M267" s="192">
        <v>450</v>
      </c>
      <c r="N267" s="192">
        <v>450</v>
      </c>
      <c r="O267" s="192">
        <v>450</v>
      </c>
      <c r="P267" s="192">
        <v>450</v>
      </c>
      <c r="Q267" s="192">
        <v>450</v>
      </c>
      <c r="R267" s="192" t="s">
        <v>343</v>
      </c>
      <c r="S267" s="192" t="s">
        <v>343</v>
      </c>
      <c r="T267" s="192" t="s">
        <v>343</v>
      </c>
      <c r="U267" s="192" t="s">
        <v>343</v>
      </c>
      <c r="V267" s="192" t="s">
        <v>343</v>
      </c>
      <c r="W267" s="192" t="s">
        <v>343</v>
      </c>
      <c r="X267" s="192" t="s">
        <v>343</v>
      </c>
      <c r="Y267" s="192" t="s">
        <v>343</v>
      </c>
      <c r="Z267" s="192" t="s">
        <v>343</v>
      </c>
      <c r="AA267" s="192" t="s">
        <v>343</v>
      </c>
    </row>
    <row r="268" spans="2:27" ht="12" customHeight="1">
      <c r="B268" s="173" t="s">
        <v>917</v>
      </c>
      <c r="C268" s="173" t="s">
        <v>567</v>
      </c>
      <c r="D268" s="173" t="s">
        <v>733</v>
      </c>
      <c r="E268" s="173" t="s">
        <v>1309</v>
      </c>
      <c r="F268" s="192" t="s">
        <v>343</v>
      </c>
      <c r="G268" s="196">
        <v>46054</v>
      </c>
      <c r="H268" s="255"/>
      <c r="I268" s="192" t="s">
        <v>343</v>
      </c>
      <c r="J268" s="192" t="s">
        <v>343</v>
      </c>
      <c r="K268" s="192" t="s">
        <v>343</v>
      </c>
      <c r="L268" s="192" t="s">
        <v>343</v>
      </c>
      <c r="M268" s="192" t="s">
        <v>343</v>
      </c>
      <c r="N268" s="192" t="s">
        <v>343</v>
      </c>
      <c r="O268" s="192" t="s">
        <v>343</v>
      </c>
      <c r="P268" s="192" t="s">
        <v>343</v>
      </c>
      <c r="Q268" s="192" t="s">
        <v>343</v>
      </c>
      <c r="R268" s="192" t="s">
        <v>343</v>
      </c>
      <c r="S268" s="192" t="s">
        <v>343</v>
      </c>
      <c r="T268" s="192" t="s">
        <v>343</v>
      </c>
      <c r="U268" s="192" t="s">
        <v>343</v>
      </c>
      <c r="V268" s="192">
        <v>975</v>
      </c>
      <c r="W268" s="192" t="s">
        <v>343</v>
      </c>
      <c r="X268" s="192" t="s">
        <v>343</v>
      </c>
      <c r="Y268" s="192" t="s">
        <v>343</v>
      </c>
      <c r="Z268" s="192" t="s">
        <v>343</v>
      </c>
      <c r="AA268" s="192" t="s">
        <v>343</v>
      </c>
    </row>
    <row r="269" spans="2:27" ht="12" hidden="1" customHeight="1">
      <c r="B269" s="173" t="s">
        <v>922</v>
      </c>
      <c r="C269" s="173" t="s">
        <v>567</v>
      </c>
      <c r="D269" s="173" t="s">
        <v>683</v>
      </c>
      <c r="E269" s="173" t="s">
        <v>1183</v>
      </c>
      <c r="F269" s="192">
        <v>0</v>
      </c>
      <c r="G269" s="196">
        <v>46023</v>
      </c>
      <c r="H269" s="196">
        <v>46173</v>
      </c>
      <c r="I269" s="192" t="s">
        <v>343</v>
      </c>
      <c r="J269" s="192" t="s">
        <v>343</v>
      </c>
      <c r="K269" s="192" t="s">
        <v>343</v>
      </c>
      <c r="L269" s="192" t="s">
        <v>343</v>
      </c>
      <c r="M269" s="192" t="s">
        <v>343</v>
      </c>
      <c r="N269" s="192" t="s">
        <v>343</v>
      </c>
      <c r="O269" s="192" t="s">
        <v>343</v>
      </c>
      <c r="P269" s="192" t="s">
        <v>343</v>
      </c>
      <c r="Q269" s="192" t="s">
        <v>343</v>
      </c>
      <c r="R269" s="192" t="s">
        <v>343</v>
      </c>
      <c r="S269" s="192" t="s">
        <v>343</v>
      </c>
      <c r="T269" s="192" t="s">
        <v>343</v>
      </c>
      <c r="U269" s="192">
        <v>160</v>
      </c>
      <c r="V269" s="192">
        <v>160</v>
      </c>
      <c r="W269" s="192">
        <v>160</v>
      </c>
      <c r="X269" s="192">
        <v>160</v>
      </c>
      <c r="Y269" s="192">
        <v>160</v>
      </c>
      <c r="Z269" s="192" t="s">
        <v>343</v>
      </c>
      <c r="AA269" s="192" t="s">
        <v>343</v>
      </c>
    </row>
    <row r="270" spans="2:27" ht="12" hidden="1" customHeight="1">
      <c r="B270" s="173" t="s">
        <v>923</v>
      </c>
      <c r="C270" s="173" t="s">
        <v>567</v>
      </c>
      <c r="D270" s="173" t="s">
        <v>683</v>
      </c>
      <c r="E270" s="173" t="s">
        <v>1183</v>
      </c>
      <c r="F270" s="192">
        <v>0</v>
      </c>
      <c r="G270" s="196">
        <v>46023</v>
      </c>
      <c r="H270" s="196">
        <v>46173</v>
      </c>
      <c r="I270" s="192" t="s">
        <v>343</v>
      </c>
      <c r="J270" s="192" t="s">
        <v>343</v>
      </c>
      <c r="K270" s="192" t="s">
        <v>343</v>
      </c>
      <c r="L270" s="192" t="s">
        <v>343</v>
      </c>
      <c r="M270" s="192" t="s">
        <v>343</v>
      </c>
      <c r="N270" s="192" t="s">
        <v>343</v>
      </c>
      <c r="O270" s="192" t="s">
        <v>343</v>
      </c>
      <c r="P270" s="192" t="s">
        <v>343</v>
      </c>
      <c r="Q270" s="192" t="s">
        <v>343</v>
      </c>
      <c r="R270" s="192" t="s">
        <v>343</v>
      </c>
      <c r="S270" s="192" t="s">
        <v>343</v>
      </c>
      <c r="T270" s="192" t="s">
        <v>343</v>
      </c>
      <c r="U270" s="192">
        <v>160</v>
      </c>
      <c r="V270" s="192">
        <v>160</v>
      </c>
      <c r="W270" s="192">
        <v>160</v>
      </c>
      <c r="X270" s="192">
        <v>160</v>
      </c>
      <c r="Y270" s="192">
        <v>160</v>
      </c>
      <c r="Z270" s="192" t="s">
        <v>343</v>
      </c>
      <c r="AA270" s="192" t="s">
        <v>343</v>
      </c>
    </row>
    <row r="271" spans="2:27" ht="12" hidden="1" customHeight="1">
      <c r="B271" s="173" t="s">
        <v>924</v>
      </c>
      <c r="C271" s="173" t="s">
        <v>567</v>
      </c>
      <c r="D271" s="173" t="s">
        <v>877</v>
      </c>
      <c r="E271" s="173" t="s">
        <v>1307</v>
      </c>
      <c r="F271" s="192" t="s">
        <v>343</v>
      </c>
      <c r="G271" s="196">
        <v>45870</v>
      </c>
      <c r="H271" s="196">
        <v>45930</v>
      </c>
      <c r="I271" s="192" t="s">
        <v>343</v>
      </c>
      <c r="J271" s="192" t="s">
        <v>343</v>
      </c>
      <c r="K271" s="192" t="s">
        <v>343</v>
      </c>
      <c r="L271" s="192" t="s">
        <v>343</v>
      </c>
      <c r="M271" s="192" t="s">
        <v>343</v>
      </c>
      <c r="N271" s="192" t="s">
        <v>343</v>
      </c>
      <c r="O271" s="192" t="s">
        <v>343</v>
      </c>
      <c r="P271" s="192">
        <v>400</v>
      </c>
      <c r="Q271" s="192">
        <v>400</v>
      </c>
      <c r="R271" s="192">
        <v>0</v>
      </c>
      <c r="S271" s="192" t="s">
        <v>343</v>
      </c>
      <c r="T271" s="192" t="s">
        <v>343</v>
      </c>
      <c r="U271" s="192" t="s">
        <v>343</v>
      </c>
      <c r="V271" s="192" t="s">
        <v>343</v>
      </c>
      <c r="W271" s="192" t="s">
        <v>343</v>
      </c>
      <c r="X271" s="192" t="s">
        <v>343</v>
      </c>
      <c r="Y271" s="192" t="s">
        <v>343</v>
      </c>
      <c r="Z271" s="192" t="s">
        <v>343</v>
      </c>
      <c r="AA271" s="192" t="s">
        <v>343</v>
      </c>
    </row>
    <row r="272" spans="2:27" ht="12" hidden="1" customHeight="1">
      <c r="B272" s="173" t="s">
        <v>925</v>
      </c>
      <c r="C272" s="173" t="s">
        <v>567</v>
      </c>
      <c r="D272" s="173" t="s">
        <v>662</v>
      </c>
      <c r="E272" s="173" t="s">
        <v>1308</v>
      </c>
      <c r="F272" s="192" t="s">
        <v>343</v>
      </c>
      <c r="G272" s="196">
        <v>45962</v>
      </c>
      <c r="H272" s="196">
        <v>46022</v>
      </c>
      <c r="I272" s="192" t="s">
        <v>343</v>
      </c>
      <c r="J272" s="192" t="s">
        <v>343</v>
      </c>
      <c r="K272" s="192" t="s">
        <v>343</v>
      </c>
      <c r="L272" s="192" t="s">
        <v>343</v>
      </c>
      <c r="M272" s="192" t="s">
        <v>343</v>
      </c>
      <c r="N272" s="192" t="s">
        <v>343</v>
      </c>
      <c r="O272" s="192" t="s">
        <v>343</v>
      </c>
      <c r="P272" s="192" t="s">
        <v>343</v>
      </c>
      <c r="Q272" s="192" t="s">
        <v>343</v>
      </c>
      <c r="R272" s="192" t="s">
        <v>343</v>
      </c>
      <c r="S272" s="192">
        <v>100</v>
      </c>
      <c r="T272" s="192">
        <v>700</v>
      </c>
      <c r="U272" s="192">
        <v>0</v>
      </c>
      <c r="V272" s="192" t="s">
        <v>343</v>
      </c>
      <c r="W272" s="192" t="s">
        <v>343</v>
      </c>
      <c r="X272" s="192" t="s">
        <v>343</v>
      </c>
      <c r="Y272" s="192" t="s">
        <v>343</v>
      </c>
      <c r="Z272" s="192" t="s">
        <v>343</v>
      </c>
      <c r="AA272" s="192" t="s">
        <v>343</v>
      </c>
    </row>
    <row r="273" spans="2:27" ht="12" hidden="1" customHeight="1">
      <c r="B273" s="173" t="s">
        <v>926</v>
      </c>
      <c r="C273" s="173" t="s">
        <v>567</v>
      </c>
      <c r="D273" s="173" t="s">
        <v>637</v>
      </c>
      <c r="E273" s="173" t="s">
        <v>1307</v>
      </c>
      <c r="F273" s="192" t="s">
        <v>343</v>
      </c>
      <c r="G273" s="196">
        <v>44317</v>
      </c>
      <c r="H273" s="196">
        <v>46022</v>
      </c>
      <c r="I273" s="192">
        <v>192</v>
      </c>
      <c r="J273" s="192">
        <v>147</v>
      </c>
      <c r="K273" s="192">
        <v>147</v>
      </c>
      <c r="L273" s="192">
        <v>147</v>
      </c>
      <c r="M273" s="192">
        <v>147</v>
      </c>
      <c r="N273" s="192">
        <v>147</v>
      </c>
      <c r="O273" s="192">
        <v>147</v>
      </c>
      <c r="P273" s="192">
        <v>147</v>
      </c>
      <c r="Q273" s="192">
        <v>147</v>
      </c>
      <c r="R273" s="192">
        <v>147</v>
      </c>
      <c r="S273" s="192">
        <v>147</v>
      </c>
      <c r="T273" s="192">
        <v>147</v>
      </c>
      <c r="U273" s="192" t="s">
        <v>343</v>
      </c>
      <c r="V273" s="192" t="s">
        <v>343</v>
      </c>
      <c r="W273" s="192" t="s">
        <v>343</v>
      </c>
      <c r="X273" s="192" t="s">
        <v>343</v>
      </c>
      <c r="Y273" s="192" t="s">
        <v>343</v>
      </c>
      <c r="Z273" s="192" t="s">
        <v>343</v>
      </c>
      <c r="AA273" s="192" t="s">
        <v>343</v>
      </c>
    </row>
    <row r="274" spans="2:27" ht="12" hidden="1" customHeight="1">
      <c r="B274" s="173" t="s">
        <v>927</v>
      </c>
      <c r="C274" s="173" t="s">
        <v>567</v>
      </c>
      <c r="D274" s="173" t="s">
        <v>662</v>
      </c>
      <c r="E274" s="173" t="s">
        <v>1308</v>
      </c>
      <c r="F274" s="192" t="s">
        <v>343</v>
      </c>
      <c r="G274" s="196">
        <v>45931</v>
      </c>
      <c r="H274" s="196">
        <v>45991</v>
      </c>
      <c r="I274" s="192" t="s">
        <v>343</v>
      </c>
      <c r="J274" s="192" t="s">
        <v>343</v>
      </c>
      <c r="K274" s="192" t="s">
        <v>343</v>
      </c>
      <c r="L274" s="192" t="s">
        <v>343</v>
      </c>
      <c r="M274" s="192" t="s">
        <v>343</v>
      </c>
      <c r="N274" s="192" t="s">
        <v>343</v>
      </c>
      <c r="O274" s="192" t="s">
        <v>343</v>
      </c>
      <c r="P274" s="192" t="s">
        <v>343</v>
      </c>
      <c r="Q274" s="192" t="s">
        <v>343</v>
      </c>
      <c r="R274" s="192">
        <v>400</v>
      </c>
      <c r="S274" s="192">
        <v>325</v>
      </c>
      <c r="T274" s="192" t="s">
        <v>343</v>
      </c>
      <c r="U274" s="192" t="s">
        <v>343</v>
      </c>
      <c r="V274" s="192" t="s">
        <v>343</v>
      </c>
      <c r="W274" s="192" t="s">
        <v>343</v>
      </c>
      <c r="X274" s="192" t="s">
        <v>343</v>
      </c>
      <c r="Y274" s="192" t="s">
        <v>343</v>
      </c>
      <c r="Z274" s="192" t="s">
        <v>343</v>
      </c>
      <c r="AA274" s="192" t="s">
        <v>343</v>
      </c>
    </row>
    <row r="275" spans="2:27" ht="12" customHeight="1">
      <c r="B275" s="173" t="s">
        <v>928</v>
      </c>
      <c r="C275" s="173" t="s">
        <v>567</v>
      </c>
      <c r="D275" s="173" t="s">
        <v>733</v>
      </c>
      <c r="E275" s="173" t="s">
        <v>1309</v>
      </c>
      <c r="F275" s="192" t="s">
        <v>343</v>
      </c>
      <c r="G275" s="196">
        <v>46054</v>
      </c>
      <c r="H275" s="255"/>
      <c r="I275" s="192" t="s">
        <v>343</v>
      </c>
      <c r="J275" s="192" t="s">
        <v>343</v>
      </c>
      <c r="K275" s="192" t="s">
        <v>343</v>
      </c>
      <c r="L275" s="192" t="s">
        <v>343</v>
      </c>
      <c r="M275" s="192" t="s">
        <v>343</v>
      </c>
      <c r="N275" s="192" t="s">
        <v>343</v>
      </c>
      <c r="O275" s="192" t="s">
        <v>343</v>
      </c>
      <c r="P275" s="192" t="s">
        <v>343</v>
      </c>
      <c r="Q275" s="192" t="s">
        <v>343</v>
      </c>
      <c r="R275" s="192" t="s">
        <v>343</v>
      </c>
      <c r="S275" s="192" t="s">
        <v>343</v>
      </c>
      <c r="T275" s="192" t="s">
        <v>343</v>
      </c>
      <c r="U275" s="192" t="s">
        <v>343</v>
      </c>
      <c r="V275" s="192">
        <v>650</v>
      </c>
      <c r="W275" s="192" t="s">
        <v>343</v>
      </c>
      <c r="X275" s="192" t="s">
        <v>343</v>
      </c>
      <c r="Y275" s="192" t="s">
        <v>343</v>
      </c>
      <c r="Z275" s="192" t="s">
        <v>343</v>
      </c>
      <c r="AA275" s="192" t="s">
        <v>343</v>
      </c>
    </row>
    <row r="276" spans="2:27" ht="12" hidden="1" customHeight="1">
      <c r="B276" s="173" t="s">
        <v>929</v>
      </c>
      <c r="C276" s="173" t="s">
        <v>567</v>
      </c>
      <c r="D276" s="173" t="s">
        <v>662</v>
      </c>
      <c r="E276" s="173" t="s">
        <v>1308</v>
      </c>
      <c r="F276" s="192" t="s">
        <v>343</v>
      </c>
      <c r="G276" s="196">
        <v>45323</v>
      </c>
      <c r="H276" s="196">
        <v>45900</v>
      </c>
      <c r="I276" s="192">
        <v>630</v>
      </c>
      <c r="J276" s="192">
        <v>470</v>
      </c>
      <c r="K276" s="192">
        <v>720</v>
      </c>
      <c r="L276" s="192">
        <v>540</v>
      </c>
      <c r="M276" s="192">
        <v>540</v>
      </c>
      <c r="N276" s="192">
        <v>540</v>
      </c>
      <c r="O276" s="192">
        <v>470</v>
      </c>
      <c r="P276" s="192">
        <v>400</v>
      </c>
      <c r="Q276" s="192">
        <v>75</v>
      </c>
      <c r="R276" s="192">
        <v>75</v>
      </c>
      <c r="S276" s="192" t="s">
        <v>343</v>
      </c>
      <c r="T276" s="192" t="s">
        <v>343</v>
      </c>
      <c r="U276" s="192" t="s">
        <v>343</v>
      </c>
      <c r="V276" s="192" t="s">
        <v>343</v>
      </c>
      <c r="W276" s="192" t="s">
        <v>343</v>
      </c>
      <c r="X276" s="192" t="s">
        <v>343</v>
      </c>
      <c r="Y276" s="192" t="s">
        <v>343</v>
      </c>
      <c r="Z276" s="192" t="s">
        <v>343</v>
      </c>
      <c r="AA276" s="192" t="s">
        <v>343</v>
      </c>
    </row>
    <row r="277" spans="2:27" ht="12" customHeight="1">
      <c r="B277" s="173" t="s">
        <v>930</v>
      </c>
      <c r="C277" s="173" t="s">
        <v>567</v>
      </c>
      <c r="D277" s="173" t="s">
        <v>733</v>
      </c>
      <c r="E277" s="173" t="s">
        <v>1309</v>
      </c>
      <c r="F277" s="192" t="s">
        <v>343</v>
      </c>
      <c r="G277" s="196">
        <v>45931</v>
      </c>
      <c r="H277" s="255"/>
      <c r="I277" s="192" t="s">
        <v>343</v>
      </c>
      <c r="J277" s="192" t="s">
        <v>343</v>
      </c>
      <c r="K277" s="192" t="s">
        <v>343</v>
      </c>
      <c r="L277" s="192" t="s">
        <v>343</v>
      </c>
      <c r="M277" s="192" t="s">
        <v>343</v>
      </c>
      <c r="N277" s="192" t="s">
        <v>343</v>
      </c>
      <c r="O277" s="192" t="s">
        <v>343</v>
      </c>
      <c r="P277" s="192" t="s">
        <v>343</v>
      </c>
      <c r="Q277" s="192" t="s">
        <v>343</v>
      </c>
      <c r="R277" s="192">
        <v>495</v>
      </c>
      <c r="S277" s="192" t="s">
        <v>343</v>
      </c>
      <c r="T277" s="192" t="s">
        <v>343</v>
      </c>
      <c r="U277" s="192" t="s">
        <v>343</v>
      </c>
      <c r="V277" s="192" t="s">
        <v>343</v>
      </c>
      <c r="W277" s="192">
        <v>0</v>
      </c>
      <c r="X277" s="192" t="s">
        <v>343</v>
      </c>
      <c r="Y277" s="192" t="s">
        <v>343</v>
      </c>
      <c r="Z277" s="192" t="s">
        <v>343</v>
      </c>
      <c r="AA277" s="192" t="s">
        <v>343</v>
      </c>
    </row>
    <row r="278" spans="2:27" ht="12" hidden="1" customHeight="1">
      <c r="B278" s="173" t="s">
        <v>931</v>
      </c>
      <c r="C278" s="173" t="s">
        <v>19</v>
      </c>
      <c r="D278" s="173" t="s">
        <v>683</v>
      </c>
      <c r="E278" s="173" t="s">
        <v>1183</v>
      </c>
      <c r="F278" s="192" t="s">
        <v>343</v>
      </c>
      <c r="G278" s="196">
        <v>46204</v>
      </c>
      <c r="H278" s="196"/>
      <c r="I278" s="192" t="s">
        <v>343</v>
      </c>
      <c r="J278" s="192" t="s">
        <v>343</v>
      </c>
      <c r="K278" s="192" t="s">
        <v>343</v>
      </c>
      <c r="L278" s="192" t="s">
        <v>343</v>
      </c>
      <c r="M278" s="192" t="s">
        <v>343</v>
      </c>
      <c r="N278" s="192" t="s">
        <v>343</v>
      </c>
      <c r="O278" s="192" t="s">
        <v>343</v>
      </c>
      <c r="P278" s="192" t="s">
        <v>343</v>
      </c>
      <c r="Q278" s="192" t="s">
        <v>343</v>
      </c>
      <c r="R278" s="192" t="s">
        <v>343</v>
      </c>
      <c r="S278" s="192" t="s">
        <v>343</v>
      </c>
      <c r="T278" s="192" t="s">
        <v>343</v>
      </c>
      <c r="U278" s="192" t="s">
        <v>343</v>
      </c>
      <c r="V278" s="192" t="s">
        <v>343</v>
      </c>
      <c r="W278" s="192" t="s">
        <v>343</v>
      </c>
      <c r="X278" s="192" t="s">
        <v>343</v>
      </c>
      <c r="Y278" s="192" t="s">
        <v>343</v>
      </c>
      <c r="Z278" s="192" t="s">
        <v>343</v>
      </c>
      <c r="AA278" s="192">
        <v>418</v>
      </c>
    </row>
    <row r="279" spans="2:27" ht="12" hidden="1" customHeight="1">
      <c r="B279" s="173" t="s">
        <v>932</v>
      </c>
      <c r="C279" s="173" t="s">
        <v>567</v>
      </c>
      <c r="D279" s="173" t="s">
        <v>662</v>
      </c>
      <c r="E279" s="173" t="s">
        <v>1308</v>
      </c>
      <c r="F279" s="192" t="s">
        <v>343</v>
      </c>
      <c r="G279" s="196">
        <v>45536</v>
      </c>
      <c r="H279" s="196">
        <v>45900</v>
      </c>
      <c r="I279" s="192">
        <v>395</v>
      </c>
      <c r="J279" s="192">
        <v>395</v>
      </c>
      <c r="K279" s="192">
        <v>395</v>
      </c>
      <c r="L279" s="192">
        <v>395</v>
      </c>
      <c r="M279" s="192">
        <v>395</v>
      </c>
      <c r="N279" s="192">
        <v>395</v>
      </c>
      <c r="O279" s="192">
        <v>395</v>
      </c>
      <c r="P279" s="192">
        <v>395</v>
      </c>
      <c r="Q279" s="192" t="s">
        <v>343</v>
      </c>
      <c r="R279" s="192" t="s">
        <v>343</v>
      </c>
      <c r="S279" s="192" t="s">
        <v>343</v>
      </c>
      <c r="T279" s="192" t="s">
        <v>343</v>
      </c>
      <c r="U279" s="192" t="s">
        <v>343</v>
      </c>
      <c r="V279" s="192" t="s">
        <v>343</v>
      </c>
      <c r="W279" s="192" t="s">
        <v>343</v>
      </c>
      <c r="X279" s="192" t="s">
        <v>343</v>
      </c>
      <c r="Y279" s="192" t="s">
        <v>343</v>
      </c>
      <c r="Z279" s="192" t="s">
        <v>343</v>
      </c>
      <c r="AA279" s="192" t="s">
        <v>343</v>
      </c>
    </row>
    <row r="280" spans="2:27" ht="12" customHeight="1">
      <c r="B280" s="173" t="s">
        <v>933</v>
      </c>
      <c r="C280" s="173" t="s">
        <v>567</v>
      </c>
      <c r="D280" s="173" t="s">
        <v>733</v>
      </c>
      <c r="E280" s="173" t="s">
        <v>1309</v>
      </c>
      <c r="F280" s="192" t="s">
        <v>343</v>
      </c>
      <c r="G280" s="196">
        <v>45931</v>
      </c>
      <c r="H280" s="255"/>
      <c r="I280" s="192" t="s">
        <v>343</v>
      </c>
      <c r="J280" s="192" t="s">
        <v>343</v>
      </c>
      <c r="K280" s="192" t="s">
        <v>343</v>
      </c>
      <c r="L280" s="192" t="s">
        <v>343</v>
      </c>
      <c r="M280" s="192" t="s">
        <v>343</v>
      </c>
      <c r="N280" s="192" t="s">
        <v>343</v>
      </c>
      <c r="O280" s="192" t="s">
        <v>343</v>
      </c>
      <c r="P280" s="192" t="s">
        <v>343</v>
      </c>
      <c r="Q280" s="192" t="s">
        <v>343</v>
      </c>
      <c r="R280" s="192">
        <v>380.25</v>
      </c>
      <c r="S280" s="192" t="s">
        <v>343</v>
      </c>
      <c r="T280" s="192" t="s">
        <v>343</v>
      </c>
      <c r="U280" s="192" t="s">
        <v>343</v>
      </c>
      <c r="V280" s="192" t="s">
        <v>343</v>
      </c>
      <c r="W280" s="192" t="s">
        <v>343</v>
      </c>
      <c r="X280" s="192" t="s">
        <v>343</v>
      </c>
      <c r="Y280" s="192" t="s">
        <v>343</v>
      </c>
      <c r="Z280" s="192" t="s">
        <v>343</v>
      </c>
      <c r="AA280" s="192" t="s">
        <v>343</v>
      </c>
    </row>
    <row r="281" spans="2:27" ht="12" hidden="1" customHeight="1">
      <c r="B281" s="173" t="s">
        <v>934</v>
      </c>
      <c r="C281" s="173" t="s">
        <v>567</v>
      </c>
      <c r="D281" s="173" t="s">
        <v>662</v>
      </c>
      <c r="E281" s="173" t="s">
        <v>1308</v>
      </c>
      <c r="F281" s="192" t="s">
        <v>343</v>
      </c>
      <c r="G281" s="196">
        <v>45901</v>
      </c>
      <c r="H281" s="196">
        <v>45991</v>
      </c>
      <c r="I281" s="192" t="s">
        <v>343</v>
      </c>
      <c r="J281" s="192" t="s">
        <v>343</v>
      </c>
      <c r="K281" s="192" t="s">
        <v>343</v>
      </c>
      <c r="L281" s="192" t="s">
        <v>343</v>
      </c>
      <c r="M281" s="192" t="s">
        <v>343</v>
      </c>
      <c r="N281" s="192" t="s">
        <v>343</v>
      </c>
      <c r="O281" s="192" t="s">
        <v>343</v>
      </c>
      <c r="P281" s="192" t="s">
        <v>343</v>
      </c>
      <c r="Q281" s="192">
        <v>85</v>
      </c>
      <c r="R281" s="192">
        <v>85</v>
      </c>
      <c r="S281" s="192">
        <v>85</v>
      </c>
      <c r="T281" s="192">
        <v>100</v>
      </c>
      <c r="U281" s="192" t="s">
        <v>343</v>
      </c>
      <c r="V281" s="192" t="s">
        <v>343</v>
      </c>
      <c r="W281" s="192" t="s">
        <v>343</v>
      </c>
      <c r="X281" s="192" t="s">
        <v>343</v>
      </c>
      <c r="Y281" s="192" t="s">
        <v>343</v>
      </c>
      <c r="Z281" s="192" t="s">
        <v>343</v>
      </c>
      <c r="AA281" s="192" t="s">
        <v>343</v>
      </c>
    </row>
    <row r="282" spans="2:27" ht="12" hidden="1" customHeight="1">
      <c r="B282" s="173" t="s">
        <v>935</v>
      </c>
      <c r="C282" s="173" t="s">
        <v>567</v>
      </c>
      <c r="D282" s="173" t="s">
        <v>662</v>
      </c>
      <c r="E282" s="173" t="s">
        <v>1308</v>
      </c>
      <c r="F282" s="192" t="s">
        <v>343</v>
      </c>
      <c r="G282" s="196">
        <v>45992</v>
      </c>
      <c r="H282" s="196">
        <v>46022</v>
      </c>
      <c r="I282" s="192" t="s">
        <v>343</v>
      </c>
      <c r="J282" s="192" t="s">
        <v>343</v>
      </c>
      <c r="K282" s="192" t="s">
        <v>343</v>
      </c>
      <c r="L282" s="192" t="s">
        <v>343</v>
      </c>
      <c r="M282" s="192" t="s">
        <v>343</v>
      </c>
      <c r="N282" s="192" t="s">
        <v>343</v>
      </c>
      <c r="O282" s="192" t="s">
        <v>343</v>
      </c>
      <c r="P282" s="192" t="s">
        <v>343</v>
      </c>
      <c r="Q282" s="192" t="s">
        <v>343</v>
      </c>
      <c r="R282" s="192" t="s">
        <v>343</v>
      </c>
      <c r="S282" s="192" t="s">
        <v>343</v>
      </c>
      <c r="T282" s="192">
        <v>200</v>
      </c>
      <c r="U282" s="192">
        <v>0</v>
      </c>
      <c r="V282" s="192" t="s">
        <v>343</v>
      </c>
      <c r="W282" s="192" t="s">
        <v>343</v>
      </c>
      <c r="X282" s="192" t="s">
        <v>343</v>
      </c>
      <c r="Y282" s="192" t="s">
        <v>343</v>
      </c>
      <c r="Z282" s="192" t="s">
        <v>343</v>
      </c>
      <c r="AA282" s="192" t="s">
        <v>343</v>
      </c>
    </row>
    <row r="283" spans="2:27" ht="12" hidden="1" customHeight="1">
      <c r="B283" s="173" t="s">
        <v>936</v>
      </c>
      <c r="C283" s="173" t="s">
        <v>567</v>
      </c>
      <c r="D283" s="173" t="s">
        <v>662</v>
      </c>
      <c r="E283" s="173" t="s">
        <v>1308</v>
      </c>
      <c r="F283" s="192" t="s">
        <v>343</v>
      </c>
      <c r="G283" s="196">
        <v>45352</v>
      </c>
      <c r="H283" s="196">
        <v>45838</v>
      </c>
      <c r="I283" s="192">
        <v>948</v>
      </c>
      <c r="J283" s="192">
        <v>1075</v>
      </c>
      <c r="K283" s="192">
        <v>940</v>
      </c>
      <c r="L283" s="192">
        <v>925</v>
      </c>
      <c r="M283" s="192">
        <v>1225</v>
      </c>
      <c r="N283" s="192">
        <v>1375</v>
      </c>
      <c r="O283" s="192" t="s">
        <v>343</v>
      </c>
      <c r="P283" s="192" t="s">
        <v>343</v>
      </c>
      <c r="Q283" s="192" t="s">
        <v>343</v>
      </c>
      <c r="R283" s="192" t="s">
        <v>343</v>
      </c>
      <c r="S283" s="192" t="s">
        <v>343</v>
      </c>
      <c r="T283" s="192" t="s">
        <v>343</v>
      </c>
      <c r="U283" s="192">
        <v>75</v>
      </c>
      <c r="V283" s="192">
        <v>15</v>
      </c>
      <c r="W283" s="192" t="s">
        <v>343</v>
      </c>
      <c r="X283" s="192" t="s">
        <v>343</v>
      </c>
      <c r="Y283" s="192" t="s">
        <v>343</v>
      </c>
      <c r="Z283" s="192" t="s">
        <v>343</v>
      </c>
      <c r="AA283" s="192" t="s">
        <v>343</v>
      </c>
    </row>
    <row r="284" spans="2:27" ht="12" hidden="1" customHeight="1">
      <c r="B284" s="173" t="s">
        <v>937</v>
      </c>
      <c r="C284" s="173" t="s">
        <v>567</v>
      </c>
      <c r="D284" s="173" t="s">
        <v>662</v>
      </c>
      <c r="E284" s="173" t="s">
        <v>1308</v>
      </c>
      <c r="F284" s="192" t="s">
        <v>343</v>
      </c>
      <c r="G284" s="196">
        <v>45413</v>
      </c>
      <c r="H284" s="196">
        <v>45777</v>
      </c>
      <c r="I284" s="192">
        <v>1400</v>
      </c>
      <c r="J284" s="192">
        <v>1400</v>
      </c>
      <c r="K284" s="192">
        <v>1400</v>
      </c>
      <c r="L284" s="192">
        <v>1330</v>
      </c>
      <c r="M284" s="192" t="s">
        <v>343</v>
      </c>
      <c r="N284" s="192">
        <v>500</v>
      </c>
      <c r="O284" s="192" t="s">
        <v>343</v>
      </c>
      <c r="P284" s="192" t="s">
        <v>343</v>
      </c>
      <c r="Q284" s="192" t="s">
        <v>343</v>
      </c>
      <c r="R284" s="192" t="s">
        <v>343</v>
      </c>
      <c r="S284" s="192" t="s">
        <v>343</v>
      </c>
      <c r="T284" s="192" t="s">
        <v>343</v>
      </c>
      <c r="U284" s="192" t="s">
        <v>343</v>
      </c>
      <c r="V284" s="192" t="s">
        <v>343</v>
      </c>
      <c r="W284" s="192" t="s">
        <v>343</v>
      </c>
      <c r="X284" s="192" t="s">
        <v>343</v>
      </c>
      <c r="Y284" s="192" t="s">
        <v>343</v>
      </c>
      <c r="Z284" s="192" t="s">
        <v>343</v>
      </c>
      <c r="AA284" s="192" t="s">
        <v>343</v>
      </c>
    </row>
    <row r="285" spans="2:27" ht="12" hidden="1" customHeight="1">
      <c r="B285" s="173" t="s">
        <v>938</v>
      </c>
      <c r="C285" s="173" t="s">
        <v>567</v>
      </c>
      <c r="D285" s="173" t="s">
        <v>877</v>
      </c>
      <c r="E285" s="173" t="s">
        <v>1307</v>
      </c>
      <c r="F285" s="192" t="s">
        <v>343</v>
      </c>
      <c r="G285" s="196">
        <v>44317</v>
      </c>
      <c r="H285" s="196">
        <v>45869</v>
      </c>
      <c r="I285" s="192">
        <v>950</v>
      </c>
      <c r="J285" s="192">
        <v>710</v>
      </c>
      <c r="K285" s="192">
        <v>710</v>
      </c>
      <c r="L285" s="192">
        <v>710</v>
      </c>
      <c r="M285" s="192">
        <v>710</v>
      </c>
      <c r="N285" s="192">
        <v>710</v>
      </c>
      <c r="O285" s="192">
        <v>710</v>
      </c>
      <c r="P285" s="192" t="s">
        <v>343</v>
      </c>
      <c r="Q285" s="192" t="s">
        <v>343</v>
      </c>
      <c r="R285" s="192" t="s">
        <v>343</v>
      </c>
      <c r="S285" s="192" t="s">
        <v>343</v>
      </c>
      <c r="T285" s="192" t="s">
        <v>343</v>
      </c>
      <c r="U285" s="192" t="s">
        <v>343</v>
      </c>
      <c r="V285" s="192" t="s">
        <v>343</v>
      </c>
      <c r="W285" s="192" t="s">
        <v>343</v>
      </c>
      <c r="X285" s="192" t="s">
        <v>343</v>
      </c>
      <c r="Y285" s="192" t="s">
        <v>343</v>
      </c>
      <c r="Z285" s="192" t="s">
        <v>343</v>
      </c>
      <c r="AA285" s="192" t="s">
        <v>343</v>
      </c>
    </row>
    <row r="286" spans="2:27" ht="12" hidden="1" customHeight="1">
      <c r="B286" s="173" t="s">
        <v>939</v>
      </c>
      <c r="C286" s="173" t="s">
        <v>567</v>
      </c>
      <c r="D286" s="173" t="s">
        <v>662</v>
      </c>
      <c r="E286" s="173" t="s">
        <v>1308</v>
      </c>
      <c r="F286" s="192" t="s">
        <v>343</v>
      </c>
      <c r="G286" s="196">
        <v>45536</v>
      </c>
      <c r="H286" s="196">
        <v>45838</v>
      </c>
      <c r="I286" s="192">
        <v>790</v>
      </c>
      <c r="J286" s="192">
        <v>816</v>
      </c>
      <c r="K286" s="192">
        <v>948</v>
      </c>
      <c r="L286" s="192">
        <v>790</v>
      </c>
      <c r="M286" s="192">
        <v>869</v>
      </c>
      <c r="N286" s="192">
        <v>869</v>
      </c>
      <c r="O286" s="192" t="s">
        <v>343</v>
      </c>
      <c r="P286" s="192" t="s">
        <v>343</v>
      </c>
      <c r="Q286" s="192" t="s">
        <v>343</v>
      </c>
      <c r="R286" s="192" t="s">
        <v>343</v>
      </c>
      <c r="S286" s="192" t="s">
        <v>343</v>
      </c>
      <c r="T286" s="192" t="s">
        <v>343</v>
      </c>
      <c r="U286" s="192" t="s">
        <v>343</v>
      </c>
      <c r="V286" s="192" t="s">
        <v>343</v>
      </c>
      <c r="W286" s="192" t="s">
        <v>343</v>
      </c>
      <c r="X286" s="192" t="s">
        <v>343</v>
      </c>
      <c r="Y286" s="192" t="s">
        <v>343</v>
      </c>
      <c r="Z286" s="192" t="s">
        <v>343</v>
      </c>
      <c r="AA286" s="192" t="s">
        <v>343</v>
      </c>
    </row>
    <row r="287" spans="2:27" ht="12" hidden="1" customHeight="1">
      <c r="B287" s="173" t="s">
        <v>940</v>
      </c>
      <c r="C287" s="173" t="s">
        <v>567</v>
      </c>
      <c r="D287" s="173" t="s">
        <v>662</v>
      </c>
      <c r="E287" s="173" t="s">
        <v>1308</v>
      </c>
      <c r="F287" s="192" t="s">
        <v>343</v>
      </c>
      <c r="G287" s="196">
        <v>45292</v>
      </c>
      <c r="H287" s="196">
        <v>45838</v>
      </c>
      <c r="I287" s="192">
        <v>520</v>
      </c>
      <c r="J287" s="192">
        <v>430</v>
      </c>
      <c r="K287" s="192">
        <v>430</v>
      </c>
      <c r="L287" s="192">
        <v>430</v>
      </c>
      <c r="M287" s="192">
        <v>430</v>
      </c>
      <c r="N287" s="192">
        <v>150</v>
      </c>
      <c r="O287" s="192" t="s">
        <v>343</v>
      </c>
      <c r="P287" s="192" t="s">
        <v>343</v>
      </c>
      <c r="Q287" s="192" t="s">
        <v>343</v>
      </c>
      <c r="R287" s="192" t="s">
        <v>343</v>
      </c>
      <c r="S287" s="192" t="s">
        <v>343</v>
      </c>
      <c r="T287" s="192" t="s">
        <v>343</v>
      </c>
      <c r="U287" s="192" t="s">
        <v>343</v>
      </c>
      <c r="V287" s="192" t="s">
        <v>343</v>
      </c>
      <c r="W287" s="192" t="s">
        <v>343</v>
      </c>
      <c r="X287" s="192" t="s">
        <v>343</v>
      </c>
      <c r="Y287" s="192" t="s">
        <v>343</v>
      </c>
      <c r="Z287" s="192" t="s">
        <v>343</v>
      </c>
      <c r="AA287" s="192" t="s">
        <v>343</v>
      </c>
    </row>
    <row r="288" spans="2:27" ht="12" hidden="1" customHeight="1">
      <c r="B288" s="173" t="s">
        <v>941</v>
      </c>
      <c r="C288" s="173" t="s">
        <v>567</v>
      </c>
      <c r="D288" s="173" t="s">
        <v>662</v>
      </c>
      <c r="E288" s="173" t="s">
        <v>1308</v>
      </c>
      <c r="F288" s="192" t="s">
        <v>343</v>
      </c>
      <c r="G288" s="196">
        <v>45627</v>
      </c>
      <c r="H288" s="196">
        <v>45838</v>
      </c>
      <c r="I288" s="192">
        <v>360</v>
      </c>
      <c r="J288" s="192">
        <v>360</v>
      </c>
      <c r="K288" s="192">
        <v>360</v>
      </c>
      <c r="L288" s="192">
        <v>360</v>
      </c>
      <c r="M288" s="192">
        <v>360</v>
      </c>
      <c r="N288" s="192">
        <v>360</v>
      </c>
      <c r="O288" s="192" t="s">
        <v>343</v>
      </c>
      <c r="P288" s="192" t="s">
        <v>343</v>
      </c>
      <c r="Q288" s="192" t="s">
        <v>343</v>
      </c>
      <c r="R288" s="192" t="s">
        <v>343</v>
      </c>
      <c r="S288" s="192" t="s">
        <v>343</v>
      </c>
      <c r="T288" s="192" t="s">
        <v>343</v>
      </c>
      <c r="U288" s="192" t="s">
        <v>343</v>
      </c>
      <c r="V288" s="192" t="s">
        <v>343</v>
      </c>
      <c r="W288" s="192" t="s">
        <v>343</v>
      </c>
      <c r="X288" s="192" t="s">
        <v>343</v>
      </c>
      <c r="Y288" s="192" t="s">
        <v>343</v>
      </c>
      <c r="Z288" s="192" t="s">
        <v>343</v>
      </c>
      <c r="AA288" s="192" t="s">
        <v>343</v>
      </c>
    </row>
    <row r="289" spans="2:27" ht="12" hidden="1" customHeight="1">
      <c r="B289" s="173" t="s">
        <v>942</v>
      </c>
      <c r="C289" s="173" t="s">
        <v>567</v>
      </c>
      <c r="D289" s="173" t="s">
        <v>662</v>
      </c>
      <c r="E289" s="173" t="s">
        <v>1308</v>
      </c>
      <c r="F289" s="192" t="s">
        <v>343</v>
      </c>
      <c r="G289" s="196">
        <v>45748</v>
      </c>
      <c r="H289" s="196">
        <v>45838</v>
      </c>
      <c r="I289" s="192" t="s">
        <v>343</v>
      </c>
      <c r="J289" s="192" t="s">
        <v>343</v>
      </c>
      <c r="K289" s="192" t="s">
        <v>343</v>
      </c>
      <c r="L289" s="192">
        <v>778.75</v>
      </c>
      <c r="M289" s="192">
        <v>403.75</v>
      </c>
      <c r="N289" s="192">
        <v>403.75</v>
      </c>
      <c r="O289" s="192">
        <v>475</v>
      </c>
      <c r="P289" s="192" t="s">
        <v>343</v>
      </c>
      <c r="Q289" s="192" t="s">
        <v>343</v>
      </c>
      <c r="R289" s="192" t="s">
        <v>343</v>
      </c>
      <c r="S289" s="192" t="s">
        <v>343</v>
      </c>
      <c r="T289" s="192" t="s">
        <v>343</v>
      </c>
      <c r="U289" s="192" t="s">
        <v>343</v>
      </c>
      <c r="V289" s="192" t="s">
        <v>343</v>
      </c>
      <c r="W289" s="192" t="s">
        <v>343</v>
      </c>
      <c r="X289" s="192" t="s">
        <v>343</v>
      </c>
      <c r="Y289" s="192" t="s">
        <v>343</v>
      </c>
      <c r="Z289" s="192" t="s">
        <v>343</v>
      </c>
      <c r="AA289" s="192" t="s">
        <v>343</v>
      </c>
    </row>
    <row r="290" spans="2:27" ht="12" hidden="1" customHeight="1">
      <c r="B290" s="173" t="s">
        <v>943</v>
      </c>
      <c r="C290" s="173" t="s">
        <v>567</v>
      </c>
      <c r="D290" s="173" t="s">
        <v>877</v>
      </c>
      <c r="E290" s="173" t="s">
        <v>1307</v>
      </c>
      <c r="F290" s="192" t="s">
        <v>343</v>
      </c>
      <c r="G290" s="196">
        <v>44287</v>
      </c>
      <c r="H290" s="196">
        <v>45838</v>
      </c>
      <c r="I290" s="192">
        <v>405</v>
      </c>
      <c r="J290" s="192">
        <v>360</v>
      </c>
      <c r="K290" s="192">
        <v>360</v>
      </c>
      <c r="L290" s="192">
        <v>360</v>
      </c>
      <c r="M290" s="192">
        <v>275</v>
      </c>
      <c r="N290" s="192">
        <v>275</v>
      </c>
      <c r="O290" s="192" t="s">
        <v>343</v>
      </c>
      <c r="P290" s="192" t="s">
        <v>343</v>
      </c>
      <c r="Q290" s="192" t="s">
        <v>343</v>
      </c>
      <c r="R290" s="192" t="s">
        <v>343</v>
      </c>
      <c r="S290" s="192" t="s">
        <v>343</v>
      </c>
      <c r="T290" s="192" t="s">
        <v>343</v>
      </c>
      <c r="U290" s="192" t="s">
        <v>343</v>
      </c>
      <c r="V290" s="192" t="s">
        <v>343</v>
      </c>
      <c r="W290" s="192" t="s">
        <v>343</v>
      </c>
      <c r="X290" s="192" t="s">
        <v>343</v>
      </c>
      <c r="Y290" s="192" t="s">
        <v>343</v>
      </c>
      <c r="Z290" s="192" t="s">
        <v>343</v>
      </c>
      <c r="AA290" s="192" t="s">
        <v>343</v>
      </c>
    </row>
    <row r="291" spans="2:27" ht="12" hidden="1" customHeight="1">
      <c r="B291" s="173" t="s">
        <v>945</v>
      </c>
      <c r="C291" s="173" t="s">
        <v>567</v>
      </c>
      <c r="D291" s="173" t="s">
        <v>662</v>
      </c>
      <c r="E291" s="173" t="s">
        <v>1308</v>
      </c>
      <c r="F291" s="192" t="s">
        <v>343</v>
      </c>
      <c r="G291" s="196">
        <v>45689</v>
      </c>
      <c r="H291" s="196">
        <v>45838</v>
      </c>
      <c r="I291" s="192" t="s">
        <v>343</v>
      </c>
      <c r="J291" s="192">
        <v>350</v>
      </c>
      <c r="K291" s="192">
        <v>420</v>
      </c>
      <c r="L291" s="192">
        <v>340</v>
      </c>
      <c r="M291" s="192">
        <v>380</v>
      </c>
      <c r="N291" s="192">
        <v>380</v>
      </c>
      <c r="O291" s="192" t="s">
        <v>343</v>
      </c>
      <c r="P291" s="192" t="s">
        <v>343</v>
      </c>
      <c r="Q291" s="192" t="s">
        <v>343</v>
      </c>
      <c r="R291" s="192" t="s">
        <v>343</v>
      </c>
      <c r="S291" s="192" t="s">
        <v>343</v>
      </c>
      <c r="T291" s="192" t="s">
        <v>343</v>
      </c>
      <c r="U291" s="192" t="s">
        <v>343</v>
      </c>
      <c r="V291" s="192" t="s">
        <v>343</v>
      </c>
      <c r="W291" s="192" t="s">
        <v>343</v>
      </c>
      <c r="X291" s="192" t="s">
        <v>343</v>
      </c>
      <c r="Y291" s="192" t="s">
        <v>343</v>
      </c>
      <c r="Z291" s="192" t="s">
        <v>343</v>
      </c>
      <c r="AA291" s="192" t="s">
        <v>343</v>
      </c>
    </row>
    <row r="292" spans="2:27" ht="12" hidden="1" customHeight="1">
      <c r="B292" s="173" t="s">
        <v>946</v>
      </c>
      <c r="C292" s="173" t="s">
        <v>567</v>
      </c>
      <c r="D292" s="173" t="s">
        <v>662</v>
      </c>
      <c r="E292" s="173" t="s">
        <v>1308</v>
      </c>
      <c r="F292" s="192" t="s">
        <v>343</v>
      </c>
      <c r="G292" s="196">
        <v>45323</v>
      </c>
      <c r="H292" s="196">
        <v>45777</v>
      </c>
      <c r="I292" s="192">
        <v>375</v>
      </c>
      <c r="J292" s="192">
        <v>480</v>
      </c>
      <c r="K292" s="192">
        <v>480</v>
      </c>
      <c r="L292" s="192">
        <v>400</v>
      </c>
      <c r="M292" s="192" t="s">
        <v>343</v>
      </c>
      <c r="N292" s="192" t="s">
        <v>343</v>
      </c>
      <c r="O292" s="192" t="s">
        <v>343</v>
      </c>
      <c r="P292" s="192" t="s">
        <v>343</v>
      </c>
      <c r="Q292" s="192" t="s">
        <v>343</v>
      </c>
      <c r="R292" s="192" t="s">
        <v>343</v>
      </c>
      <c r="S292" s="192" t="s">
        <v>343</v>
      </c>
      <c r="T292" s="192" t="s">
        <v>343</v>
      </c>
      <c r="U292" s="192" t="s">
        <v>343</v>
      </c>
      <c r="V292" s="192" t="s">
        <v>343</v>
      </c>
      <c r="W292" s="192" t="s">
        <v>343</v>
      </c>
      <c r="X292" s="192" t="s">
        <v>343</v>
      </c>
      <c r="Y292" s="192" t="s">
        <v>343</v>
      </c>
      <c r="Z292" s="192" t="s">
        <v>343</v>
      </c>
      <c r="AA292" s="192" t="s">
        <v>343</v>
      </c>
    </row>
    <row r="293" spans="2:27" ht="12" hidden="1" customHeight="1">
      <c r="B293" s="173" t="s">
        <v>947</v>
      </c>
      <c r="C293" s="173" t="s">
        <v>567</v>
      </c>
      <c r="D293" s="173" t="s">
        <v>662</v>
      </c>
      <c r="E293" s="173" t="s">
        <v>1308</v>
      </c>
      <c r="F293" s="192" t="s">
        <v>343</v>
      </c>
      <c r="G293" s="196">
        <v>44743</v>
      </c>
      <c r="H293" s="196">
        <v>45808</v>
      </c>
      <c r="I293" s="192">
        <v>330</v>
      </c>
      <c r="J293" s="192">
        <v>330</v>
      </c>
      <c r="K293" s="192">
        <v>330</v>
      </c>
      <c r="L293" s="192">
        <v>330</v>
      </c>
      <c r="M293" s="192">
        <v>345</v>
      </c>
      <c r="N293" s="192" t="s">
        <v>343</v>
      </c>
      <c r="O293" s="192" t="s">
        <v>343</v>
      </c>
      <c r="P293" s="192" t="s">
        <v>343</v>
      </c>
      <c r="Q293" s="192" t="s">
        <v>343</v>
      </c>
      <c r="R293" s="192" t="s">
        <v>343</v>
      </c>
      <c r="S293" s="192" t="s">
        <v>343</v>
      </c>
      <c r="T293" s="192" t="s">
        <v>343</v>
      </c>
      <c r="U293" s="192" t="s">
        <v>343</v>
      </c>
      <c r="V293" s="192" t="s">
        <v>343</v>
      </c>
      <c r="W293" s="192" t="s">
        <v>343</v>
      </c>
      <c r="X293" s="192" t="s">
        <v>343</v>
      </c>
      <c r="Y293" s="192" t="s">
        <v>343</v>
      </c>
      <c r="Z293" s="192" t="s">
        <v>343</v>
      </c>
      <c r="AA293" s="192" t="s">
        <v>343</v>
      </c>
    </row>
    <row r="294" spans="2:27" ht="12" hidden="1" customHeight="1">
      <c r="B294" s="173" t="s">
        <v>948</v>
      </c>
      <c r="C294" s="173" t="s">
        <v>567</v>
      </c>
      <c r="D294" s="173" t="s">
        <v>662</v>
      </c>
      <c r="E294" s="173" t="s">
        <v>1308</v>
      </c>
      <c r="F294" s="192" t="s">
        <v>343</v>
      </c>
      <c r="G294" s="196">
        <v>45383</v>
      </c>
      <c r="H294" s="196">
        <v>45777</v>
      </c>
      <c r="I294" s="192">
        <v>430</v>
      </c>
      <c r="J294" s="192">
        <v>325</v>
      </c>
      <c r="K294" s="192">
        <v>575</v>
      </c>
      <c r="L294" s="192">
        <v>325</v>
      </c>
      <c r="M294" s="192" t="s">
        <v>343</v>
      </c>
      <c r="N294" s="192" t="s">
        <v>343</v>
      </c>
      <c r="O294" s="192" t="s">
        <v>343</v>
      </c>
      <c r="P294" s="192" t="s">
        <v>343</v>
      </c>
      <c r="Q294" s="192" t="s">
        <v>343</v>
      </c>
      <c r="R294" s="192" t="s">
        <v>343</v>
      </c>
      <c r="S294" s="192" t="s">
        <v>343</v>
      </c>
      <c r="T294" s="192" t="s">
        <v>343</v>
      </c>
      <c r="U294" s="192" t="s">
        <v>343</v>
      </c>
      <c r="V294" s="192" t="s">
        <v>343</v>
      </c>
      <c r="W294" s="192" t="s">
        <v>343</v>
      </c>
      <c r="X294" s="192" t="s">
        <v>343</v>
      </c>
      <c r="Y294" s="192" t="s">
        <v>343</v>
      </c>
      <c r="Z294" s="192" t="s">
        <v>343</v>
      </c>
      <c r="AA294" s="192" t="s">
        <v>343</v>
      </c>
    </row>
    <row r="295" spans="2:27" ht="12" hidden="1" customHeight="1">
      <c r="B295" s="173" t="s">
        <v>949</v>
      </c>
      <c r="C295" s="173" t="s">
        <v>567</v>
      </c>
      <c r="D295" s="173" t="s">
        <v>662</v>
      </c>
      <c r="E295" s="173" t="s">
        <v>1308</v>
      </c>
      <c r="F295" s="192" t="s">
        <v>343</v>
      </c>
      <c r="G295" s="196">
        <v>45566</v>
      </c>
      <c r="H295" s="196">
        <v>45777</v>
      </c>
      <c r="I295" s="192">
        <v>395</v>
      </c>
      <c r="J295" s="192">
        <v>395</v>
      </c>
      <c r="K295" s="192">
        <v>395</v>
      </c>
      <c r="L295" s="192">
        <v>395</v>
      </c>
      <c r="M295" s="192" t="s">
        <v>343</v>
      </c>
      <c r="N295" s="192" t="s">
        <v>343</v>
      </c>
      <c r="O295" s="192" t="s">
        <v>343</v>
      </c>
      <c r="P295" s="192" t="s">
        <v>343</v>
      </c>
      <c r="Q295" s="192" t="s">
        <v>343</v>
      </c>
      <c r="R295" s="192" t="s">
        <v>343</v>
      </c>
      <c r="S295" s="192" t="s">
        <v>343</v>
      </c>
      <c r="T295" s="192" t="s">
        <v>343</v>
      </c>
      <c r="U295" s="192" t="s">
        <v>343</v>
      </c>
      <c r="V295" s="192" t="s">
        <v>343</v>
      </c>
      <c r="W295" s="192" t="s">
        <v>343</v>
      </c>
      <c r="X295" s="192" t="s">
        <v>343</v>
      </c>
      <c r="Y295" s="192" t="s">
        <v>343</v>
      </c>
      <c r="Z295" s="192" t="s">
        <v>343</v>
      </c>
      <c r="AA295" s="192" t="s">
        <v>343</v>
      </c>
    </row>
    <row r="296" spans="2:27" ht="12" hidden="1" customHeight="1">
      <c r="B296" s="173" t="s">
        <v>950</v>
      </c>
      <c r="C296" s="173" t="s">
        <v>567</v>
      </c>
      <c r="D296" s="173" t="s">
        <v>877</v>
      </c>
      <c r="E296" s="173" t="s">
        <v>1307</v>
      </c>
      <c r="F296" s="192" t="s">
        <v>343</v>
      </c>
      <c r="G296" s="196">
        <v>44317</v>
      </c>
      <c r="H296" s="196">
        <v>45808</v>
      </c>
      <c r="I296" s="192">
        <v>345</v>
      </c>
      <c r="J296" s="192">
        <v>300</v>
      </c>
      <c r="K296" s="192">
        <v>300</v>
      </c>
      <c r="L296" s="192">
        <v>300</v>
      </c>
      <c r="M296" s="192">
        <v>300</v>
      </c>
      <c r="N296" s="192" t="s">
        <v>343</v>
      </c>
      <c r="O296" s="192" t="s">
        <v>343</v>
      </c>
      <c r="P296" s="192" t="s">
        <v>343</v>
      </c>
      <c r="Q296" s="192" t="s">
        <v>343</v>
      </c>
      <c r="R296" s="192" t="s">
        <v>343</v>
      </c>
      <c r="S296" s="192" t="s">
        <v>343</v>
      </c>
      <c r="T296" s="192" t="s">
        <v>343</v>
      </c>
      <c r="U296" s="192" t="s">
        <v>343</v>
      </c>
      <c r="V296" s="192" t="s">
        <v>343</v>
      </c>
      <c r="W296" s="192" t="s">
        <v>343</v>
      </c>
      <c r="X296" s="192" t="s">
        <v>343</v>
      </c>
      <c r="Y296" s="192" t="s">
        <v>343</v>
      </c>
      <c r="Z296" s="192" t="s">
        <v>343</v>
      </c>
      <c r="AA296" s="192" t="s">
        <v>343</v>
      </c>
    </row>
    <row r="297" spans="2:27" ht="12" hidden="1" customHeight="1">
      <c r="B297" s="173" t="s">
        <v>951</v>
      </c>
      <c r="C297" s="173" t="s">
        <v>567</v>
      </c>
      <c r="D297" s="173" t="s">
        <v>662</v>
      </c>
      <c r="E297" s="173" t="s">
        <v>1308</v>
      </c>
      <c r="F297" s="192" t="s">
        <v>343</v>
      </c>
      <c r="G297" s="196">
        <v>45383</v>
      </c>
      <c r="H297" s="196">
        <v>45747</v>
      </c>
      <c r="I297" s="192">
        <v>395</v>
      </c>
      <c r="J297" s="192">
        <v>395</v>
      </c>
      <c r="K297" s="192">
        <v>395</v>
      </c>
      <c r="L297" s="192" t="s">
        <v>343</v>
      </c>
      <c r="M297" s="192" t="s">
        <v>343</v>
      </c>
      <c r="N297" s="192" t="s">
        <v>343</v>
      </c>
      <c r="O297" s="192" t="s">
        <v>343</v>
      </c>
      <c r="P297" s="192" t="s">
        <v>343</v>
      </c>
      <c r="Q297" s="192" t="s">
        <v>343</v>
      </c>
      <c r="R297" s="192" t="s">
        <v>343</v>
      </c>
      <c r="S297" s="192" t="s">
        <v>343</v>
      </c>
      <c r="T297" s="192" t="s">
        <v>343</v>
      </c>
      <c r="U297" s="192" t="s">
        <v>343</v>
      </c>
      <c r="V297" s="192" t="s">
        <v>343</v>
      </c>
      <c r="W297" s="192" t="s">
        <v>343</v>
      </c>
      <c r="X297" s="192" t="s">
        <v>343</v>
      </c>
      <c r="Y297" s="192" t="s">
        <v>343</v>
      </c>
      <c r="Z297" s="192" t="s">
        <v>343</v>
      </c>
      <c r="AA297" s="192" t="s">
        <v>343</v>
      </c>
    </row>
    <row r="298" spans="2:27" ht="12" hidden="1" customHeight="1">
      <c r="B298" s="173" t="s">
        <v>952</v>
      </c>
      <c r="C298" s="173" t="s">
        <v>567</v>
      </c>
      <c r="D298" s="173" t="s">
        <v>662</v>
      </c>
      <c r="E298" s="173" t="s">
        <v>1308</v>
      </c>
      <c r="F298" s="192" t="s">
        <v>343</v>
      </c>
      <c r="G298" s="196">
        <v>45627</v>
      </c>
      <c r="H298" s="196">
        <v>45747</v>
      </c>
      <c r="I298" s="192">
        <v>335.75</v>
      </c>
      <c r="J298" s="192">
        <v>395</v>
      </c>
      <c r="K298" s="192">
        <v>395</v>
      </c>
      <c r="L298" s="192" t="s">
        <v>343</v>
      </c>
      <c r="M298" s="192" t="s">
        <v>343</v>
      </c>
      <c r="N298" s="192" t="s">
        <v>343</v>
      </c>
      <c r="O298" s="192" t="s">
        <v>343</v>
      </c>
      <c r="P298" s="192" t="s">
        <v>343</v>
      </c>
      <c r="Q298" s="192" t="s">
        <v>343</v>
      </c>
      <c r="R298" s="192" t="s">
        <v>343</v>
      </c>
      <c r="S298" s="192" t="s">
        <v>343</v>
      </c>
      <c r="T298" s="192" t="s">
        <v>343</v>
      </c>
      <c r="U298" s="192" t="s">
        <v>343</v>
      </c>
      <c r="V298" s="192" t="s">
        <v>343</v>
      </c>
      <c r="W298" s="192" t="s">
        <v>343</v>
      </c>
      <c r="X298" s="192" t="s">
        <v>343</v>
      </c>
      <c r="Y298" s="192" t="s">
        <v>343</v>
      </c>
      <c r="Z298" s="192" t="s">
        <v>343</v>
      </c>
      <c r="AA298" s="192" t="s">
        <v>343</v>
      </c>
    </row>
    <row r="299" spans="2:27" ht="12" hidden="1" customHeight="1">
      <c r="B299" s="173" t="s">
        <v>953</v>
      </c>
      <c r="C299" s="173" t="s">
        <v>567</v>
      </c>
      <c r="D299" s="173" t="s">
        <v>877</v>
      </c>
      <c r="E299" s="173" t="s">
        <v>1307</v>
      </c>
      <c r="F299" s="192" t="s">
        <v>343</v>
      </c>
      <c r="G299" s="196">
        <v>44958</v>
      </c>
      <c r="H299" s="196">
        <v>45688</v>
      </c>
      <c r="I299" s="192">
        <v>875</v>
      </c>
      <c r="J299" s="192" t="s">
        <v>343</v>
      </c>
      <c r="K299" s="192" t="s">
        <v>343</v>
      </c>
      <c r="L299" s="192" t="s">
        <v>343</v>
      </c>
      <c r="M299" s="192" t="s">
        <v>343</v>
      </c>
      <c r="N299" s="192" t="s">
        <v>343</v>
      </c>
      <c r="O299" s="192" t="s">
        <v>343</v>
      </c>
      <c r="P299" s="192" t="s">
        <v>343</v>
      </c>
      <c r="Q299" s="192" t="s">
        <v>343</v>
      </c>
      <c r="R299" s="192" t="s">
        <v>343</v>
      </c>
      <c r="S299" s="192" t="s">
        <v>343</v>
      </c>
      <c r="T299" s="192" t="s">
        <v>343</v>
      </c>
      <c r="U299" s="192" t="s">
        <v>343</v>
      </c>
      <c r="V299" s="192" t="s">
        <v>343</v>
      </c>
      <c r="W299" s="192" t="s">
        <v>343</v>
      </c>
      <c r="X299" s="192" t="s">
        <v>343</v>
      </c>
      <c r="Y299" s="192" t="s">
        <v>343</v>
      </c>
      <c r="Z299" s="192" t="s">
        <v>343</v>
      </c>
      <c r="AA299" s="192" t="s">
        <v>343</v>
      </c>
    </row>
    <row r="300" spans="2:27" ht="12" hidden="1" customHeight="1">
      <c r="B300" s="173" t="s">
        <v>954</v>
      </c>
      <c r="C300" s="173" t="s">
        <v>567</v>
      </c>
      <c r="D300" s="173" t="s">
        <v>662</v>
      </c>
      <c r="E300" s="173" t="s">
        <v>1308</v>
      </c>
      <c r="F300" s="192" t="s">
        <v>343</v>
      </c>
      <c r="G300" s="196">
        <v>45383</v>
      </c>
      <c r="H300" s="196">
        <v>45716</v>
      </c>
      <c r="I300" s="192">
        <v>400</v>
      </c>
      <c r="J300" s="192">
        <v>460</v>
      </c>
      <c r="K300" s="192" t="s">
        <v>343</v>
      </c>
      <c r="L300" s="192" t="s">
        <v>343</v>
      </c>
      <c r="M300" s="192" t="s">
        <v>343</v>
      </c>
      <c r="N300" s="192" t="s">
        <v>343</v>
      </c>
      <c r="O300" s="192" t="s">
        <v>343</v>
      </c>
      <c r="P300" s="192" t="s">
        <v>343</v>
      </c>
      <c r="Q300" s="192" t="s">
        <v>343</v>
      </c>
      <c r="R300" s="192" t="s">
        <v>343</v>
      </c>
      <c r="S300" s="192" t="s">
        <v>343</v>
      </c>
      <c r="T300" s="192" t="s">
        <v>343</v>
      </c>
      <c r="U300" s="192" t="s">
        <v>343</v>
      </c>
      <c r="V300" s="192" t="s">
        <v>343</v>
      </c>
      <c r="W300" s="192" t="s">
        <v>343</v>
      </c>
      <c r="X300" s="192" t="s">
        <v>343</v>
      </c>
      <c r="Y300" s="192" t="s">
        <v>343</v>
      </c>
      <c r="Z300" s="192" t="s">
        <v>343</v>
      </c>
      <c r="AA300" s="192" t="s">
        <v>343</v>
      </c>
    </row>
    <row r="301" spans="2:27" ht="12" hidden="1" customHeight="1">
      <c r="B301" s="173" t="s">
        <v>955</v>
      </c>
      <c r="C301" s="173" t="s">
        <v>567</v>
      </c>
      <c r="D301" s="173" t="s">
        <v>877</v>
      </c>
      <c r="E301" s="173" t="s">
        <v>1307</v>
      </c>
      <c r="F301" s="192" t="s">
        <v>343</v>
      </c>
      <c r="G301" s="196">
        <v>45627</v>
      </c>
      <c r="H301" s="196">
        <v>45716</v>
      </c>
      <c r="I301" s="192">
        <v>400</v>
      </c>
      <c r="J301" s="192">
        <v>400</v>
      </c>
      <c r="K301" s="192" t="s">
        <v>343</v>
      </c>
      <c r="L301" s="192" t="s">
        <v>343</v>
      </c>
      <c r="M301" s="192" t="s">
        <v>343</v>
      </c>
      <c r="N301" s="192" t="s">
        <v>343</v>
      </c>
      <c r="O301" s="192" t="s">
        <v>343</v>
      </c>
      <c r="P301" s="192" t="s">
        <v>343</v>
      </c>
      <c r="Q301" s="192" t="s">
        <v>343</v>
      </c>
      <c r="R301" s="192" t="s">
        <v>343</v>
      </c>
      <c r="S301" s="192" t="s">
        <v>343</v>
      </c>
      <c r="T301" s="192" t="s">
        <v>343</v>
      </c>
      <c r="U301" s="192" t="s">
        <v>343</v>
      </c>
      <c r="V301" s="192" t="s">
        <v>343</v>
      </c>
      <c r="W301" s="192" t="s">
        <v>343</v>
      </c>
      <c r="X301" s="192" t="s">
        <v>343</v>
      </c>
      <c r="Y301" s="192" t="s">
        <v>343</v>
      </c>
      <c r="Z301" s="192" t="s">
        <v>343</v>
      </c>
      <c r="AA301" s="192" t="s">
        <v>343</v>
      </c>
    </row>
    <row r="302" spans="2:27" ht="12" hidden="1" customHeight="1">
      <c r="B302" s="173" t="s">
        <v>956</v>
      </c>
      <c r="C302" s="173" t="s">
        <v>567</v>
      </c>
      <c r="D302" s="173" t="s">
        <v>662</v>
      </c>
      <c r="E302" s="173" t="s">
        <v>1308</v>
      </c>
      <c r="F302" s="192" t="s">
        <v>343</v>
      </c>
      <c r="G302" s="196">
        <v>45566</v>
      </c>
      <c r="H302" s="196">
        <v>45716</v>
      </c>
      <c r="I302" s="192">
        <v>395</v>
      </c>
      <c r="J302" s="192">
        <v>395</v>
      </c>
      <c r="K302" s="192" t="s">
        <v>343</v>
      </c>
      <c r="L302" s="192" t="s">
        <v>343</v>
      </c>
      <c r="M302" s="192" t="s">
        <v>343</v>
      </c>
      <c r="N302" s="192" t="s">
        <v>343</v>
      </c>
      <c r="O302" s="192" t="s">
        <v>343</v>
      </c>
      <c r="P302" s="192" t="s">
        <v>343</v>
      </c>
      <c r="Q302" s="192" t="s">
        <v>343</v>
      </c>
      <c r="R302" s="192" t="s">
        <v>343</v>
      </c>
      <c r="S302" s="192" t="s">
        <v>343</v>
      </c>
      <c r="T302" s="192" t="s">
        <v>343</v>
      </c>
      <c r="U302" s="192" t="s">
        <v>343</v>
      </c>
      <c r="V302" s="192" t="s">
        <v>343</v>
      </c>
      <c r="W302" s="192" t="s">
        <v>343</v>
      </c>
      <c r="X302" s="192" t="s">
        <v>343</v>
      </c>
      <c r="Y302" s="192" t="s">
        <v>343</v>
      </c>
      <c r="Z302" s="192" t="s">
        <v>343</v>
      </c>
      <c r="AA302" s="192" t="s">
        <v>343</v>
      </c>
    </row>
    <row r="303" spans="2:27" ht="12" hidden="1" customHeight="1">
      <c r="B303" s="173" t="s">
        <v>957</v>
      </c>
      <c r="C303" s="173" t="s">
        <v>567</v>
      </c>
      <c r="D303" s="173" t="s">
        <v>877</v>
      </c>
      <c r="E303" s="173" t="s">
        <v>1307</v>
      </c>
      <c r="F303" s="192" t="s">
        <v>343</v>
      </c>
      <c r="G303" s="196">
        <v>45597</v>
      </c>
      <c r="H303" s="196">
        <v>45688</v>
      </c>
      <c r="I303" s="192">
        <v>625</v>
      </c>
      <c r="J303" s="192">
        <v>135</v>
      </c>
      <c r="K303" s="192" t="s">
        <v>343</v>
      </c>
      <c r="L303" s="192" t="s">
        <v>343</v>
      </c>
      <c r="M303" s="192" t="s">
        <v>343</v>
      </c>
      <c r="N303" s="192" t="s">
        <v>343</v>
      </c>
      <c r="O303" s="192" t="s">
        <v>343</v>
      </c>
      <c r="P303" s="192" t="s">
        <v>343</v>
      </c>
      <c r="Q303" s="192" t="s">
        <v>343</v>
      </c>
      <c r="R303" s="192" t="s">
        <v>343</v>
      </c>
      <c r="S303" s="192" t="s">
        <v>343</v>
      </c>
      <c r="T303" s="192" t="s">
        <v>343</v>
      </c>
      <c r="U303" s="192" t="s">
        <v>343</v>
      </c>
      <c r="V303" s="192" t="s">
        <v>343</v>
      </c>
      <c r="W303" s="192" t="s">
        <v>343</v>
      </c>
      <c r="X303" s="192" t="s">
        <v>343</v>
      </c>
      <c r="Y303" s="192" t="s">
        <v>343</v>
      </c>
      <c r="Z303" s="192" t="s">
        <v>343</v>
      </c>
      <c r="AA303" s="192" t="s">
        <v>343</v>
      </c>
    </row>
    <row r="304" spans="2:27" ht="12" hidden="1" customHeight="1">
      <c r="B304" s="173" t="s">
        <v>958</v>
      </c>
      <c r="C304" s="173" t="s">
        <v>567</v>
      </c>
      <c r="D304" s="173" t="s">
        <v>662</v>
      </c>
      <c r="E304" s="173" t="s">
        <v>1308</v>
      </c>
      <c r="F304" s="192" t="s">
        <v>343</v>
      </c>
      <c r="G304" s="196">
        <v>45292</v>
      </c>
      <c r="H304" s="196">
        <v>45808</v>
      </c>
      <c r="I304" s="192">
        <v>135</v>
      </c>
      <c r="J304" s="192">
        <v>120</v>
      </c>
      <c r="K304" s="192">
        <v>135</v>
      </c>
      <c r="L304" s="192">
        <v>135</v>
      </c>
      <c r="M304" s="192">
        <v>135</v>
      </c>
      <c r="N304" s="192" t="s">
        <v>343</v>
      </c>
      <c r="O304" s="192" t="s">
        <v>343</v>
      </c>
      <c r="P304" s="192" t="s">
        <v>343</v>
      </c>
      <c r="Q304" s="192" t="s">
        <v>343</v>
      </c>
      <c r="R304" s="192" t="s">
        <v>343</v>
      </c>
      <c r="S304" s="192" t="s">
        <v>343</v>
      </c>
      <c r="T304" s="192" t="s">
        <v>343</v>
      </c>
      <c r="U304" s="192" t="s">
        <v>343</v>
      </c>
      <c r="V304" s="192" t="s">
        <v>343</v>
      </c>
      <c r="W304" s="192" t="s">
        <v>343</v>
      </c>
      <c r="X304" s="192" t="s">
        <v>343</v>
      </c>
      <c r="Y304" s="192" t="s">
        <v>343</v>
      </c>
      <c r="Z304" s="192" t="s">
        <v>343</v>
      </c>
      <c r="AA304" s="192" t="s">
        <v>343</v>
      </c>
    </row>
    <row r="305" spans="2:27" ht="12" hidden="1" customHeight="1">
      <c r="B305" s="173" t="s">
        <v>959</v>
      </c>
      <c r="C305" s="173" t="s">
        <v>567</v>
      </c>
      <c r="D305" s="173" t="s">
        <v>662</v>
      </c>
      <c r="E305" s="173" t="s">
        <v>1308</v>
      </c>
      <c r="F305" s="192" t="s">
        <v>343</v>
      </c>
      <c r="G305" s="196">
        <v>45597</v>
      </c>
      <c r="H305" s="196">
        <v>45688</v>
      </c>
      <c r="I305" s="192">
        <v>531.25</v>
      </c>
      <c r="J305" s="192">
        <v>30</v>
      </c>
      <c r="K305" s="192" t="s">
        <v>343</v>
      </c>
      <c r="L305" s="192" t="s">
        <v>343</v>
      </c>
      <c r="M305" s="192" t="s">
        <v>343</v>
      </c>
      <c r="N305" s="192" t="s">
        <v>343</v>
      </c>
      <c r="O305" s="192" t="s">
        <v>343</v>
      </c>
      <c r="P305" s="192" t="s">
        <v>343</v>
      </c>
      <c r="Q305" s="192" t="s">
        <v>343</v>
      </c>
      <c r="R305" s="192" t="s">
        <v>343</v>
      </c>
      <c r="S305" s="192" t="s">
        <v>343</v>
      </c>
      <c r="T305" s="192" t="s">
        <v>343</v>
      </c>
      <c r="U305" s="192" t="s">
        <v>343</v>
      </c>
      <c r="V305" s="192" t="s">
        <v>343</v>
      </c>
      <c r="W305" s="192" t="s">
        <v>343</v>
      </c>
      <c r="X305" s="192" t="s">
        <v>343</v>
      </c>
      <c r="Y305" s="192" t="s">
        <v>343</v>
      </c>
      <c r="Z305" s="192" t="s">
        <v>343</v>
      </c>
      <c r="AA305" s="192" t="s">
        <v>343</v>
      </c>
    </row>
    <row r="306" spans="2:27" ht="12" hidden="1" customHeight="1">
      <c r="B306" s="173" t="s">
        <v>960</v>
      </c>
      <c r="C306" s="173" t="s">
        <v>567</v>
      </c>
      <c r="D306" s="173" t="s">
        <v>662</v>
      </c>
      <c r="E306" s="173" t="s">
        <v>1308</v>
      </c>
      <c r="F306" s="192" t="s">
        <v>343</v>
      </c>
      <c r="G306" s="196">
        <v>45323</v>
      </c>
      <c r="H306" s="196">
        <v>45688</v>
      </c>
      <c r="I306" s="192">
        <v>510</v>
      </c>
      <c r="J306" s="192" t="s">
        <v>343</v>
      </c>
      <c r="K306" s="192" t="s">
        <v>343</v>
      </c>
      <c r="L306" s="192" t="s">
        <v>343</v>
      </c>
      <c r="M306" s="192" t="s">
        <v>343</v>
      </c>
      <c r="N306" s="192" t="s">
        <v>343</v>
      </c>
      <c r="O306" s="192" t="s">
        <v>343</v>
      </c>
      <c r="P306" s="192" t="s">
        <v>343</v>
      </c>
      <c r="Q306" s="192" t="s">
        <v>343</v>
      </c>
      <c r="R306" s="192" t="s">
        <v>343</v>
      </c>
      <c r="S306" s="192" t="s">
        <v>343</v>
      </c>
      <c r="T306" s="192" t="s">
        <v>343</v>
      </c>
      <c r="U306" s="192" t="s">
        <v>343</v>
      </c>
      <c r="V306" s="192" t="s">
        <v>343</v>
      </c>
      <c r="W306" s="192" t="s">
        <v>343</v>
      </c>
      <c r="X306" s="192" t="s">
        <v>343</v>
      </c>
      <c r="Y306" s="192" t="s">
        <v>343</v>
      </c>
      <c r="Z306" s="192" t="s">
        <v>343</v>
      </c>
      <c r="AA306" s="192" t="s">
        <v>343</v>
      </c>
    </row>
    <row r="307" spans="2:27" ht="12" hidden="1" customHeight="1">
      <c r="B307" s="173" t="s">
        <v>961</v>
      </c>
      <c r="C307" s="173" t="s">
        <v>567</v>
      </c>
      <c r="D307" s="173" t="s">
        <v>662</v>
      </c>
      <c r="E307" s="173" t="s">
        <v>1308</v>
      </c>
      <c r="F307" s="192" t="s">
        <v>343</v>
      </c>
      <c r="G307" s="196">
        <v>45352</v>
      </c>
      <c r="H307" s="196">
        <v>45688</v>
      </c>
      <c r="I307" s="192">
        <v>375</v>
      </c>
      <c r="J307" s="192" t="s">
        <v>343</v>
      </c>
      <c r="K307" s="192" t="s">
        <v>343</v>
      </c>
      <c r="L307" s="192" t="s">
        <v>343</v>
      </c>
      <c r="M307" s="192" t="s">
        <v>343</v>
      </c>
      <c r="N307" s="192" t="s">
        <v>343</v>
      </c>
      <c r="O307" s="192" t="s">
        <v>343</v>
      </c>
      <c r="P307" s="192" t="s">
        <v>343</v>
      </c>
      <c r="Q307" s="192" t="s">
        <v>343</v>
      </c>
      <c r="R307" s="192" t="s">
        <v>343</v>
      </c>
      <c r="S307" s="192" t="s">
        <v>343</v>
      </c>
      <c r="T307" s="192" t="s">
        <v>343</v>
      </c>
      <c r="U307" s="192" t="s">
        <v>343</v>
      </c>
      <c r="V307" s="192" t="s">
        <v>343</v>
      </c>
      <c r="W307" s="192" t="s">
        <v>343</v>
      </c>
      <c r="X307" s="192" t="s">
        <v>343</v>
      </c>
      <c r="Y307" s="192" t="s">
        <v>343</v>
      </c>
      <c r="Z307" s="192" t="s">
        <v>343</v>
      </c>
      <c r="AA307" s="192" t="s">
        <v>343</v>
      </c>
    </row>
    <row r="308" spans="2:27" ht="12" hidden="1" customHeight="1">
      <c r="B308" s="173" t="s">
        <v>962</v>
      </c>
      <c r="C308" s="173" t="s">
        <v>567</v>
      </c>
      <c r="D308" s="173" t="s">
        <v>662</v>
      </c>
      <c r="E308" s="173" t="s">
        <v>1308</v>
      </c>
      <c r="F308" s="192" t="s">
        <v>343</v>
      </c>
      <c r="G308" s="196">
        <v>45627</v>
      </c>
      <c r="H308" s="196">
        <v>45688</v>
      </c>
      <c r="I308" s="192">
        <v>360</v>
      </c>
      <c r="J308" s="192" t="s">
        <v>343</v>
      </c>
      <c r="K308" s="192" t="s">
        <v>343</v>
      </c>
      <c r="L308" s="192" t="s">
        <v>343</v>
      </c>
      <c r="M308" s="192" t="s">
        <v>343</v>
      </c>
      <c r="N308" s="192" t="s">
        <v>343</v>
      </c>
      <c r="O308" s="192" t="s">
        <v>343</v>
      </c>
      <c r="P308" s="192" t="s">
        <v>343</v>
      </c>
      <c r="Q308" s="192" t="s">
        <v>343</v>
      </c>
      <c r="R308" s="192" t="s">
        <v>343</v>
      </c>
      <c r="S308" s="192" t="s">
        <v>343</v>
      </c>
      <c r="T308" s="192" t="s">
        <v>343</v>
      </c>
      <c r="U308" s="192" t="s">
        <v>343</v>
      </c>
      <c r="V308" s="192" t="s">
        <v>343</v>
      </c>
      <c r="W308" s="192" t="s">
        <v>343</v>
      </c>
      <c r="X308" s="192" t="s">
        <v>343</v>
      </c>
      <c r="Y308" s="192" t="s">
        <v>343</v>
      </c>
      <c r="Z308" s="192" t="s">
        <v>343</v>
      </c>
      <c r="AA308" s="192" t="s">
        <v>343</v>
      </c>
    </row>
    <row r="309" spans="2:27" ht="12" hidden="1" customHeight="1">
      <c r="B309" s="173" t="s">
        <v>963</v>
      </c>
      <c r="C309" s="173" t="s">
        <v>567</v>
      </c>
      <c r="D309" s="173" t="s">
        <v>877</v>
      </c>
      <c r="E309" s="173" t="s">
        <v>1307</v>
      </c>
      <c r="F309" s="192" t="s">
        <v>343</v>
      </c>
      <c r="G309" s="196">
        <v>45597</v>
      </c>
      <c r="H309" s="196">
        <v>45688</v>
      </c>
      <c r="I309" s="192">
        <v>350</v>
      </c>
      <c r="J309" s="192" t="s">
        <v>343</v>
      </c>
      <c r="K309" s="192" t="s">
        <v>343</v>
      </c>
      <c r="L309" s="192" t="s">
        <v>343</v>
      </c>
      <c r="M309" s="192" t="s">
        <v>343</v>
      </c>
      <c r="N309" s="192" t="s">
        <v>343</v>
      </c>
      <c r="O309" s="192" t="s">
        <v>343</v>
      </c>
      <c r="P309" s="192" t="s">
        <v>343</v>
      </c>
      <c r="Q309" s="192" t="s">
        <v>343</v>
      </c>
      <c r="R309" s="192" t="s">
        <v>343</v>
      </c>
      <c r="S309" s="192" t="s">
        <v>343</v>
      </c>
      <c r="T309" s="192" t="s">
        <v>343</v>
      </c>
      <c r="U309" s="192" t="s">
        <v>343</v>
      </c>
      <c r="V309" s="192" t="s">
        <v>343</v>
      </c>
      <c r="W309" s="192" t="s">
        <v>343</v>
      </c>
      <c r="X309" s="192" t="s">
        <v>343</v>
      </c>
      <c r="Y309" s="192" t="s">
        <v>343</v>
      </c>
      <c r="Z309" s="192" t="s">
        <v>343</v>
      </c>
      <c r="AA309" s="192" t="s">
        <v>343</v>
      </c>
    </row>
    <row r="310" spans="2:27" ht="12" hidden="1" customHeight="1">
      <c r="B310" s="173" t="s">
        <v>964</v>
      </c>
      <c r="C310" s="173" t="s">
        <v>567</v>
      </c>
      <c r="D310" s="173" t="s">
        <v>662</v>
      </c>
      <c r="E310" s="173" t="s">
        <v>1308</v>
      </c>
      <c r="F310" s="192" t="s">
        <v>343</v>
      </c>
      <c r="G310" s="196">
        <v>45383</v>
      </c>
      <c r="H310" s="196">
        <v>45626</v>
      </c>
      <c r="I310" s="192">
        <v>59.5</v>
      </c>
      <c r="J310" s="192">
        <v>85</v>
      </c>
      <c r="K310" s="192">
        <v>85</v>
      </c>
      <c r="L310" s="192" t="s">
        <v>343</v>
      </c>
      <c r="M310" s="192" t="s">
        <v>343</v>
      </c>
      <c r="N310" s="192" t="s">
        <v>343</v>
      </c>
      <c r="O310" s="192" t="s">
        <v>343</v>
      </c>
      <c r="P310" s="192" t="s">
        <v>343</v>
      </c>
      <c r="Q310" s="192" t="s">
        <v>343</v>
      </c>
      <c r="R310" s="192" t="s">
        <v>343</v>
      </c>
      <c r="S310" s="192" t="s">
        <v>343</v>
      </c>
      <c r="T310" s="192" t="s">
        <v>343</v>
      </c>
      <c r="U310" s="192" t="s">
        <v>343</v>
      </c>
      <c r="V310" s="192" t="s">
        <v>343</v>
      </c>
      <c r="W310" s="192" t="s">
        <v>343</v>
      </c>
      <c r="X310" s="192" t="s">
        <v>343</v>
      </c>
      <c r="Y310" s="192" t="s">
        <v>343</v>
      </c>
      <c r="Z310" s="192" t="s">
        <v>343</v>
      </c>
      <c r="AA310" s="192" t="s">
        <v>343</v>
      </c>
    </row>
    <row r="311" spans="2:27" ht="12" hidden="1" customHeight="1">
      <c r="B311" s="173" t="s">
        <v>965</v>
      </c>
      <c r="C311" s="173" t="s">
        <v>567</v>
      </c>
      <c r="D311" s="173" t="s">
        <v>662</v>
      </c>
      <c r="E311" s="173" t="s">
        <v>1308</v>
      </c>
      <c r="F311" s="192" t="s">
        <v>343</v>
      </c>
      <c r="G311" s="196">
        <v>45261</v>
      </c>
      <c r="H311" s="196">
        <v>45657</v>
      </c>
      <c r="I311" s="192">
        <v>210</v>
      </c>
      <c r="J311" s="192" t="s">
        <v>343</v>
      </c>
      <c r="K311" s="192" t="s">
        <v>343</v>
      </c>
      <c r="L311" s="192" t="s">
        <v>343</v>
      </c>
      <c r="M311" s="192" t="s">
        <v>343</v>
      </c>
      <c r="N311" s="192" t="s">
        <v>343</v>
      </c>
      <c r="O311" s="192" t="s">
        <v>343</v>
      </c>
      <c r="P311" s="192" t="s">
        <v>343</v>
      </c>
      <c r="Q311" s="192" t="s">
        <v>343</v>
      </c>
      <c r="R311" s="192" t="s">
        <v>343</v>
      </c>
      <c r="S311" s="192" t="s">
        <v>343</v>
      </c>
      <c r="T311" s="192" t="s">
        <v>343</v>
      </c>
      <c r="U311" s="192" t="s">
        <v>343</v>
      </c>
      <c r="V311" s="192" t="s">
        <v>343</v>
      </c>
      <c r="W311" s="192" t="s">
        <v>343</v>
      </c>
      <c r="X311" s="192" t="s">
        <v>343</v>
      </c>
      <c r="Y311" s="192" t="s">
        <v>343</v>
      </c>
      <c r="Z311" s="192" t="s">
        <v>343</v>
      </c>
      <c r="AA311" s="192" t="s">
        <v>343</v>
      </c>
    </row>
    <row r="312" spans="2:27" ht="12" hidden="1" customHeight="1">
      <c r="B312" s="173" t="s">
        <v>966</v>
      </c>
      <c r="C312" s="173" t="s">
        <v>567</v>
      </c>
      <c r="D312" s="173" t="s">
        <v>662</v>
      </c>
      <c r="E312" s="173" t="s">
        <v>1308</v>
      </c>
      <c r="F312" s="192" t="s">
        <v>343</v>
      </c>
      <c r="G312" s="196">
        <v>45689</v>
      </c>
      <c r="H312" s="196">
        <v>45716</v>
      </c>
      <c r="I312" s="192" t="s">
        <v>343</v>
      </c>
      <c r="J312" s="192">
        <v>85</v>
      </c>
      <c r="K312" s="192" t="s">
        <v>343</v>
      </c>
      <c r="L312" s="192" t="s">
        <v>343</v>
      </c>
      <c r="M312" s="192" t="s">
        <v>343</v>
      </c>
      <c r="N312" s="192" t="s">
        <v>343</v>
      </c>
      <c r="O312" s="192" t="s">
        <v>343</v>
      </c>
      <c r="P312" s="192" t="s">
        <v>343</v>
      </c>
      <c r="Q312" s="192" t="s">
        <v>343</v>
      </c>
      <c r="R312" s="192" t="s">
        <v>343</v>
      </c>
      <c r="S312" s="192" t="s">
        <v>343</v>
      </c>
      <c r="T312" s="192" t="s">
        <v>343</v>
      </c>
      <c r="U312" s="192" t="s">
        <v>343</v>
      </c>
      <c r="V312" s="192" t="s">
        <v>343</v>
      </c>
      <c r="W312" s="192" t="s">
        <v>343</v>
      </c>
      <c r="X312" s="192" t="s">
        <v>343</v>
      </c>
      <c r="Y312" s="192" t="s">
        <v>343</v>
      </c>
      <c r="Z312" s="192" t="s">
        <v>343</v>
      </c>
      <c r="AA312" s="192" t="s">
        <v>343</v>
      </c>
    </row>
    <row r="313" spans="2:27" ht="12" hidden="1" customHeight="1">
      <c r="B313" s="173" t="s">
        <v>967</v>
      </c>
      <c r="C313" s="173" t="s">
        <v>567</v>
      </c>
      <c r="D313" s="173" t="s">
        <v>877</v>
      </c>
      <c r="E313" s="173" t="s">
        <v>1307</v>
      </c>
      <c r="F313" s="192" t="s">
        <v>343</v>
      </c>
      <c r="G313" s="196">
        <v>44470</v>
      </c>
      <c r="H313" s="196">
        <v>45657</v>
      </c>
      <c r="I313" s="192">
        <v>15</v>
      </c>
      <c r="J313" s="192" t="s">
        <v>343</v>
      </c>
      <c r="K313" s="192" t="s">
        <v>343</v>
      </c>
      <c r="L313" s="192" t="s">
        <v>343</v>
      </c>
      <c r="M313" s="192" t="s">
        <v>343</v>
      </c>
      <c r="N313" s="192" t="s">
        <v>343</v>
      </c>
      <c r="O313" s="192" t="s">
        <v>343</v>
      </c>
      <c r="P313" s="192" t="s">
        <v>343</v>
      </c>
      <c r="Q313" s="192" t="s">
        <v>343</v>
      </c>
      <c r="R313" s="192" t="s">
        <v>343</v>
      </c>
      <c r="S313" s="192" t="s">
        <v>343</v>
      </c>
      <c r="T313" s="192" t="s">
        <v>343</v>
      </c>
      <c r="U313" s="192" t="s">
        <v>343</v>
      </c>
      <c r="V313" s="192" t="s">
        <v>343</v>
      </c>
      <c r="W313" s="192" t="s">
        <v>343</v>
      </c>
      <c r="X313" s="192" t="s">
        <v>343</v>
      </c>
      <c r="Y313" s="192" t="s">
        <v>343</v>
      </c>
      <c r="Z313" s="192" t="s">
        <v>343</v>
      </c>
      <c r="AA313" s="192" t="s">
        <v>343</v>
      </c>
    </row>
    <row r="314" spans="2:27" hidden="1">
      <c r="B314" s="222" t="s">
        <v>1543</v>
      </c>
      <c r="C314" s="222" t="s">
        <v>502</v>
      </c>
      <c r="D314" s="222" t="s">
        <v>503</v>
      </c>
      <c r="E314" s="222" t="s">
        <v>1306</v>
      </c>
      <c r="G314" s="249">
        <v>46235</v>
      </c>
    </row>
    <row r="315" spans="2:27" hidden="1">
      <c r="B315" s="222" t="s">
        <v>1544</v>
      </c>
      <c r="C315" s="222" t="s">
        <v>502</v>
      </c>
      <c r="D315" s="222" t="s">
        <v>503</v>
      </c>
      <c r="E315" s="222" t="s">
        <v>1306</v>
      </c>
      <c r="G315" s="249">
        <v>46235</v>
      </c>
    </row>
    <row r="316" spans="2:27" hidden="1">
      <c r="B316" s="222" t="s">
        <v>1545</v>
      </c>
      <c r="C316" s="222" t="s">
        <v>502</v>
      </c>
      <c r="D316" s="222" t="s">
        <v>503</v>
      </c>
      <c r="E316" s="222" t="s">
        <v>1306</v>
      </c>
      <c r="G316" s="249">
        <v>46235</v>
      </c>
    </row>
    <row r="317" spans="2:27" hidden="1">
      <c r="B317" s="222" t="s">
        <v>1546</v>
      </c>
      <c r="C317" s="222" t="s">
        <v>502</v>
      </c>
      <c r="D317" s="222" t="s">
        <v>503</v>
      </c>
      <c r="E317" s="222" t="s">
        <v>1306</v>
      </c>
      <c r="F317" s="222">
        <v>14</v>
      </c>
      <c r="G317" s="249">
        <v>46266</v>
      </c>
    </row>
    <row r="318" spans="2:27" hidden="1">
      <c r="B318" s="222" t="s">
        <v>1547</v>
      </c>
      <c r="C318" s="222" t="s">
        <v>502</v>
      </c>
      <c r="D318" s="222" t="s">
        <v>503</v>
      </c>
      <c r="E318" s="222" t="s">
        <v>1306</v>
      </c>
      <c r="F318" s="222">
        <v>2</v>
      </c>
      <c r="G318" s="249">
        <v>46266</v>
      </c>
    </row>
    <row r="319" spans="2:27" hidden="1">
      <c r="B319" s="222" t="s">
        <v>1548</v>
      </c>
      <c r="C319" s="222" t="s">
        <v>502</v>
      </c>
      <c r="D319" s="222" t="s">
        <v>503</v>
      </c>
      <c r="E319" s="222" t="s">
        <v>1306</v>
      </c>
      <c r="F319" s="222">
        <v>15</v>
      </c>
      <c r="G319" s="249">
        <v>46266</v>
      </c>
    </row>
    <row r="320" spans="2:27" hidden="1">
      <c r="B320" s="222" t="s">
        <v>1549</v>
      </c>
      <c r="C320" s="222" t="s">
        <v>502</v>
      </c>
      <c r="D320" s="222" t="s">
        <v>503</v>
      </c>
      <c r="E320" s="222" t="s">
        <v>1306</v>
      </c>
      <c r="F320" s="222">
        <v>55</v>
      </c>
      <c r="G320" s="249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3.7109375" style="147" customWidth="1"/>
    <col min="5" max="5" width="14.7109375" style="147" customWidth="1"/>
    <col min="6" max="6" width="47.85546875" style="147" customWidth="1"/>
    <col min="7" max="7" width="18" style="147" customWidth="1"/>
    <col min="8" max="8" width="14.7109375" style="147" customWidth="1"/>
    <col min="9" max="9" width="20" style="147" customWidth="1"/>
    <col min="10" max="10" width="13.7109375" style="147" customWidth="1"/>
    <col min="11" max="29" width="11.5703125" style="147" customWidth="1"/>
    <col min="30" max="30" width="15.85546875" style="147" customWidth="1"/>
    <col min="31" max="31" width="16.85546875" style="147" customWidth="1"/>
    <col min="32" max="34" width="13.7109375" style="147" customWidth="1"/>
    <col min="35" max="36" width="12.5703125" style="147" customWidth="1"/>
    <col min="37" max="16384" width="9" style="147"/>
  </cols>
  <sheetData>
    <row r="1" spans="1:36">
      <c r="A1" s="147" t="s">
        <v>1103</v>
      </c>
    </row>
    <row r="2" spans="1:36">
      <c r="A2" s="147" t="s">
        <v>1104</v>
      </c>
    </row>
    <row r="3" spans="1:36">
      <c r="A3" s="147" t="s">
        <v>1105</v>
      </c>
    </row>
    <row r="4" spans="1:36">
      <c r="A4" s="147" t="s">
        <v>1106</v>
      </c>
    </row>
    <row r="5" spans="1:36">
      <c r="A5" s="147" t="s">
        <v>1107</v>
      </c>
    </row>
    <row r="7" spans="1:36">
      <c r="A7" s="147" t="s">
        <v>471</v>
      </c>
      <c r="B7" s="147" t="s">
        <v>116</v>
      </c>
      <c r="C7" s="147" t="s">
        <v>472</v>
      </c>
      <c r="D7" s="147" t="s">
        <v>474</v>
      </c>
      <c r="E7" s="147" t="s">
        <v>480</v>
      </c>
      <c r="F7" s="147" t="s">
        <v>481</v>
      </c>
      <c r="G7" s="147" t="s">
        <v>476</v>
      </c>
      <c r="H7" s="147" t="s">
        <v>477</v>
      </c>
      <c r="I7" s="147" t="s">
        <v>479</v>
      </c>
      <c r="J7" s="147" t="s">
        <v>478</v>
      </c>
      <c r="K7" s="147" t="s">
        <v>200</v>
      </c>
      <c r="L7" s="147" t="s">
        <v>201</v>
      </c>
      <c r="M7" s="147" t="s">
        <v>202</v>
      </c>
      <c r="N7" s="147" t="s">
        <v>203</v>
      </c>
      <c r="O7" s="147" t="s">
        <v>204</v>
      </c>
      <c r="P7" s="147" t="s">
        <v>205</v>
      </c>
      <c r="Q7" s="147" t="s">
        <v>206</v>
      </c>
      <c r="R7" s="147" t="s">
        <v>207</v>
      </c>
      <c r="S7" s="147" t="s">
        <v>208</v>
      </c>
      <c r="T7" s="147" t="s">
        <v>209</v>
      </c>
      <c r="U7" s="147" t="s">
        <v>210</v>
      </c>
      <c r="V7" s="147" t="s">
        <v>211</v>
      </c>
      <c r="W7" s="147" t="s">
        <v>242</v>
      </c>
      <c r="X7" s="147" t="s">
        <v>243</v>
      </c>
      <c r="Y7" s="147" t="s">
        <v>244</v>
      </c>
      <c r="Z7" s="147" t="s">
        <v>245</v>
      </c>
      <c r="AA7" s="147" t="s">
        <v>246</v>
      </c>
      <c r="AB7" s="147" t="s">
        <v>247</v>
      </c>
      <c r="AC7" s="147" t="s">
        <v>248</v>
      </c>
      <c r="AD7" s="147" t="s">
        <v>1108</v>
      </c>
      <c r="AE7" s="147" t="s">
        <v>1109</v>
      </c>
      <c r="AF7" s="147" t="s">
        <v>4</v>
      </c>
      <c r="AG7" s="147" t="s">
        <v>486</v>
      </c>
      <c r="AH7" s="147" t="s">
        <v>1110</v>
      </c>
      <c r="AI7" s="147" t="s">
        <v>1111</v>
      </c>
      <c r="AJ7" s="147" t="s">
        <v>1101</v>
      </c>
    </row>
    <row r="8" spans="1:36">
      <c r="A8" s="147" t="s">
        <v>501</v>
      </c>
      <c r="B8" s="147" t="s">
        <v>502</v>
      </c>
      <c r="C8" s="147" t="s">
        <v>503</v>
      </c>
      <c r="D8" s="147" t="s">
        <v>505</v>
      </c>
      <c r="E8" s="147">
        <v>206</v>
      </c>
      <c r="F8" s="147" t="s">
        <v>507</v>
      </c>
      <c r="G8" s="147" t="s">
        <v>132</v>
      </c>
      <c r="H8" s="147">
        <v>21</v>
      </c>
      <c r="I8" s="148">
        <v>9193.0300000000007</v>
      </c>
      <c r="J8" s="147" t="s">
        <v>343</v>
      </c>
      <c r="K8" s="148">
        <v>4290</v>
      </c>
      <c r="L8" s="148">
        <v>6665</v>
      </c>
      <c r="M8" s="148">
        <v>15</v>
      </c>
      <c r="N8" s="148">
        <v>4840</v>
      </c>
      <c r="O8" s="148">
        <v>4810</v>
      </c>
      <c r="P8" s="148">
        <v>4840</v>
      </c>
      <c r="Q8" s="148">
        <v>5030</v>
      </c>
      <c r="R8" s="148">
        <v>5120</v>
      </c>
      <c r="S8" s="148">
        <v>6282.5</v>
      </c>
      <c r="T8" s="148">
        <v>5310</v>
      </c>
      <c r="U8" s="148">
        <v>6845</v>
      </c>
      <c r="V8" s="148">
        <v>7910</v>
      </c>
      <c r="W8" s="148">
        <v>8715</v>
      </c>
      <c r="X8" s="148">
        <v>11895</v>
      </c>
      <c r="Y8" s="148">
        <v>8670</v>
      </c>
      <c r="Z8" s="148">
        <v>9380</v>
      </c>
      <c r="AA8" s="148">
        <v>8829.09</v>
      </c>
      <c r="AB8" s="148">
        <v>9260</v>
      </c>
      <c r="AC8" s="148">
        <v>9490</v>
      </c>
      <c r="AD8" s="148">
        <v>128196.59</v>
      </c>
      <c r="AE8" s="148">
        <v>97706.59</v>
      </c>
      <c r="AF8" s="148">
        <v>61957.5</v>
      </c>
      <c r="AG8" s="148">
        <v>66239.09</v>
      </c>
      <c r="AH8" s="147" t="s">
        <v>248</v>
      </c>
      <c r="AI8" s="147">
        <v>19</v>
      </c>
      <c r="AJ8" s="147" t="s">
        <v>509</v>
      </c>
    </row>
    <row r="9" spans="1:36">
      <c r="A9" s="147" t="s">
        <v>517</v>
      </c>
      <c r="B9" s="147" t="s">
        <v>502</v>
      </c>
      <c r="C9" s="147" t="s">
        <v>503</v>
      </c>
      <c r="D9" s="147" t="s">
        <v>505</v>
      </c>
      <c r="E9" s="147">
        <v>163</v>
      </c>
      <c r="F9" s="147" t="s">
        <v>507</v>
      </c>
      <c r="G9" s="147" t="s">
        <v>209</v>
      </c>
      <c r="H9" s="147">
        <v>10</v>
      </c>
      <c r="I9" s="148">
        <v>8686</v>
      </c>
      <c r="J9" s="147" t="s">
        <v>343</v>
      </c>
      <c r="K9" s="147" t="s">
        <v>343</v>
      </c>
      <c r="L9" s="147" t="s">
        <v>343</v>
      </c>
      <c r="M9" s="147" t="s">
        <v>343</v>
      </c>
      <c r="N9" s="147" t="s">
        <v>343</v>
      </c>
      <c r="O9" s="147" t="s">
        <v>343</v>
      </c>
      <c r="P9" s="147" t="s">
        <v>343</v>
      </c>
      <c r="Q9" s="147" t="s">
        <v>343</v>
      </c>
      <c r="R9" s="147" t="s">
        <v>343</v>
      </c>
      <c r="S9" s="147" t="s">
        <v>343</v>
      </c>
      <c r="T9" s="148">
        <v>7884</v>
      </c>
      <c r="U9" s="148">
        <v>7301</v>
      </c>
      <c r="V9" s="148">
        <v>9160</v>
      </c>
      <c r="W9" s="148">
        <v>6887</v>
      </c>
      <c r="X9" s="148">
        <v>11121</v>
      </c>
      <c r="Y9" s="148">
        <v>8269</v>
      </c>
      <c r="Z9" s="148">
        <v>8209</v>
      </c>
      <c r="AA9" s="148">
        <v>8633</v>
      </c>
      <c r="AB9" s="148">
        <v>8633</v>
      </c>
      <c r="AC9" s="148">
        <v>8792</v>
      </c>
      <c r="AD9" s="148">
        <v>84889</v>
      </c>
      <c r="AE9" s="148">
        <v>84889</v>
      </c>
      <c r="AF9" s="148">
        <v>24345</v>
      </c>
      <c r="AG9" s="148">
        <v>60544</v>
      </c>
      <c r="AH9" s="147" t="s">
        <v>248</v>
      </c>
      <c r="AI9" s="147">
        <v>10</v>
      </c>
      <c r="AJ9" s="147" t="s">
        <v>509</v>
      </c>
    </row>
    <row r="10" spans="1:36">
      <c r="A10" s="147" t="s">
        <v>524</v>
      </c>
      <c r="B10" s="147" t="s">
        <v>502</v>
      </c>
      <c r="C10" s="147" t="s">
        <v>503</v>
      </c>
      <c r="D10" s="147" t="s">
        <v>505</v>
      </c>
      <c r="E10" s="147">
        <v>85</v>
      </c>
      <c r="F10" s="147" t="s">
        <v>507</v>
      </c>
      <c r="G10" s="147" t="s">
        <v>525</v>
      </c>
      <c r="H10" s="147">
        <v>56</v>
      </c>
      <c r="I10" s="148">
        <v>3750</v>
      </c>
      <c r="J10" s="147" t="s">
        <v>343</v>
      </c>
      <c r="K10" s="148">
        <v>4835</v>
      </c>
      <c r="L10" s="148">
        <v>3850</v>
      </c>
      <c r="M10" s="148">
        <v>4200</v>
      </c>
      <c r="N10" s="148">
        <v>4400</v>
      </c>
      <c r="O10" s="148">
        <v>4450</v>
      </c>
      <c r="P10" s="148">
        <v>4850</v>
      </c>
      <c r="Q10" s="148">
        <v>4800</v>
      </c>
      <c r="R10" s="148">
        <v>4900</v>
      </c>
      <c r="S10" s="148">
        <v>4800</v>
      </c>
      <c r="T10" s="148">
        <v>4600</v>
      </c>
      <c r="U10" s="148">
        <v>4500</v>
      </c>
      <c r="V10" s="148">
        <v>4350</v>
      </c>
      <c r="W10" s="148">
        <v>3470</v>
      </c>
      <c r="X10" s="148">
        <v>5120</v>
      </c>
      <c r="Y10" s="148">
        <v>3680</v>
      </c>
      <c r="Z10" s="148">
        <v>3722</v>
      </c>
      <c r="AA10" s="148">
        <v>3722</v>
      </c>
      <c r="AB10" s="148">
        <v>3638</v>
      </c>
      <c r="AC10" s="148">
        <v>3890</v>
      </c>
      <c r="AD10" s="148">
        <v>81777</v>
      </c>
      <c r="AE10" s="148">
        <v>50392</v>
      </c>
      <c r="AF10" s="148">
        <v>54535</v>
      </c>
      <c r="AG10" s="148">
        <v>27242</v>
      </c>
      <c r="AH10" s="147" t="s">
        <v>248</v>
      </c>
      <c r="AI10" s="147">
        <v>19</v>
      </c>
      <c r="AJ10" s="147" t="s">
        <v>509</v>
      </c>
    </row>
    <row r="11" spans="1:36">
      <c r="A11" s="147" t="s">
        <v>529</v>
      </c>
      <c r="B11" s="147" t="s">
        <v>502</v>
      </c>
      <c r="C11" s="147" t="s">
        <v>503</v>
      </c>
      <c r="D11" s="147" t="s">
        <v>505</v>
      </c>
      <c r="E11" s="147">
        <v>99</v>
      </c>
      <c r="F11" s="147" t="s">
        <v>507</v>
      </c>
      <c r="G11" s="147" t="s">
        <v>202</v>
      </c>
      <c r="H11" s="147">
        <v>17</v>
      </c>
      <c r="I11" s="148">
        <v>3773</v>
      </c>
      <c r="J11" s="147" t="s">
        <v>343</v>
      </c>
      <c r="K11" s="147" t="s">
        <v>343</v>
      </c>
      <c r="L11" s="147" t="s">
        <v>343</v>
      </c>
      <c r="M11" s="148">
        <v>6672</v>
      </c>
      <c r="N11" s="148">
        <v>3572</v>
      </c>
      <c r="O11" s="148">
        <v>6728</v>
      </c>
      <c r="P11" s="148">
        <v>3684</v>
      </c>
      <c r="Q11" s="148">
        <v>3796</v>
      </c>
      <c r="R11" s="148">
        <v>3852</v>
      </c>
      <c r="S11" s="148">
        <v>3908</v>
      </c>
      <c r="T11" s="148">
        <v>4188</v>
      </c>
      <c r="U11" s="148">
        <v>4132</v>
      </c>
      <c r="V11" s="148">
        <v>4412</v>
      </c>
      <c r="W11" s="148">
        <v>4636</v>
      </c>
      <c r="X11" s="148">
        <v>5891</v>
      </c>
      <c r="Y11" s="148">
        <v>3381</v>
      </c>
      <c r="Z11" s="148">
        <v>3625</v>
      </c>
      <c r="AA11" s="148">
        <v>3736</v>
      </c>
      <c r="AB11" s="148">
        <v>3736</v>
      </c>
      <c r="AC11" s="148">
        <v>3847</v>
      </c>
      <c r="AD11" s="148">
        <v>73796</v>
      </c>
      <c r="AE11" s="148">
        <v>49344</v>
      </c>
      <c r="AF11" s="148">
        <v>44944</v>
      </c>
      <c r="AG11" s="148">
        <v>28852</v>
      </c>
      <c r="AH11" s="147" t="s">
        <v>248</v>
      </c>
      <c r="AI11" s="147">
        <v>17</v>
      </c>
      <c r="AJ11" s="147" t="s">
        <v>509</v>
      </c>
    </row>
    <row r="12" spans="1:36">
      <c r="A12" s="147" t="s">
        <v>533</v>
      </c>
      <c r="B12" s="147" t="s">
        <v>502</v>
      </c>
      <c r="C12" s="147" t="s">
        <v>503</v>
      </c>
      <c r="D12" s="147" t="s">
        <v>505</v>
      </c>
      <c r="E12" s="147">
        <v>73</v>
      </c>
      <c r="F12" s="147" t="s">
        <v>507</v>
      </c>
      <c r="G12" s="147" t="s">
        <v>534</v>
      </c>
      <c r="H12" s="147">
        <v>50</v>
      </c>
      <c r="I12" s="148">
        <v>3651</v>
      </c>
      <c r="J12" s="147" t="s">
        <v>343</v>
      </c>
      <c r="K12" s="148">
        <v>4020</v>
      </c>
      <c r="L12" s="148">
        <v>3060</v>
      </c>
      <c r="M12" s="148">
        <v>3240</v>
      </c>
      <c r="N12" s="148">
        <v>3120</v>
      </c>
      <c r="O12" s="148">
        <v>3240</v>
      </c>
      <c r="P12" s="148">
        <v>3120</v>
      </c>
      <c r="Q12" s="148">
        <v>3480</v>
      </c>
      <c r="R12" s="148">
        <v>3480</v>
      </c>
      <c r="S12" s="148">
        <v>3780</v>
      </c>
      <c r="T12" s="148">
        <v>3840</v>
      </c>
      <c r="U12" s="148">
        <v>3900</v>
      </c>
      <c r="V12" s="148">
        <v>4020</v>
      </c>
      <c r="W12" s="148">
        <v>4020</v>
      </c>
      <c r="X12" s="148">
        <v>5280</v>
      </c>
      <c r="Y12" s="148">
        <v>4155</v>
      </c>
      <c r="Z12" s="148">
        <v>3900</v>
      </c>
      <c r="AA12" s="148">
        <v>4200</v>
      </c>
      <c r="AB12" s="148">
        <v>3400</v>
      </c>
      <c r="AC12" s="148">
        <v>3353</v>
      </c>
      <c r="AD12" s="148">
        <v>70608</v>
      </c>
      <c r="AE12" s="148">
        <v>47328</v>
      </c>
      <c r="AF12" s="148">
        <v>42300</v>
      </c>
      <c r="AG12" s="148">
        <v>28308</v>
      </c>
      <c r="AH12" s="147" t="s">
        <v>248</v>
      </c>
      <c r="AI12" s="147">
        <v>19</v>
      </c>
      <c r="AJ12" s="147" t="s">
        <v>509</v>
      </c>
    </row>
    <row r="13" spans="1:36">
      <c r="A13" s="147" t="s">
        <v>539</v>
      </c>
      <c r="B13" s="147" t="s">
        <v>502</v>
      </c>
      <c r="C13" s="147" t="s">
        <v>503</v>
      </c>
      <c r="D13" s="147" t="s">
        <v>505</v>
      </c>
      <c r="E13" s="147">
        <v>54</v>
      </c>
      <c r="F13" s="147" t="s">
        <v>507</v>
      </c>
      <c r="G13" s="147" t="s">
        <v>127</v>
      </c>
      <c r="H13" s="147">
        <v>26</v>
      </c>
      <c r="I13" s="148">
        <v>3487.3333333333335</v>
      </c>
      <c r="J13" s="147" t="s">
        <v>343</v>
      </c>
      <c r="K13" s="148">
        <v>3221</v>
      </c>
      <c r="L13" s="148">
        <v>3920</v>
      </c>
      <c r="M13" s="148">
        <v>3290</v>
      </c>
      <c r="N13" s="148">
        <v>3384</v>
      </c>
      <c r="O13" s="148">
        <v>3572</v>
      </c>
      <c r="P13" s="148">
        <v>3216</v>
      </c>
      <c r="Q13" s="148">
        <v>3298</v>
      </c>
      <c r="R13" s="148">
        <v>3216</v>
      </c>
      <c r="S13" s="148">
        <v>3462</v>
      </c>
      <c r="T13" s="148">
        <v>3626</v>
      </c>
      <c r="U13" s="148">
        <v>4036</v>
      </c>
      <c r="V13" s="148">
        <v>4061</v>
      </c>
      <c r="W13" s="148">
        <v>4036</v>
      </c>
      <c r="X13" s="148">
        <v>4921</v>
      </c>
      <c r="Y13" s="148">
        <v>4133</v>
      </c>
      <c r="Z13" s="148">
        <v>3805</v>
      </c>
      <c r="AA13" s="148">
        <v>3872</v>
      </c>
      <c r="AB13" s="148">
        <v>3272</v>
      </c>
      <c r="AC13" s="148">
        <v>3318</v>
      </c>
      <c r="AD13" s="148">
        <v>69659</v>
      </c>
      <c r="AE13" s="148">
        <v>45758</v>
      </c>
      <c r="AF13" s="148">
        <v>42302</v>
      </c>
      <c r="AG13" s="148">
        <v>27357</v>
      </c>
      <c r="AH13" s="147" t="s">
        <v>248</v>
      </c>
      <c r="AI13" s="147">
        <v>19</v>
      </c>
      <c r="AJ13" s="147" t="s">
        <v>509</v>
      </c>
    </row>
    <row r="14" spans="1:36">
      <c r="A14" s="147" t="s">
        <v>542</v>
      </c>
      <c r="B14" s="147" t="s">
        <v>502</v>
      </c>
      <c r="C14" s="147" t="s">
        <v>503</v>
      </c>
      <c r="D14" s="147" t="s">
        <v>505</v>
      </c>
      <c r="E14" s="147">
        <v>81</v>
      </c>
      <c r="F14" s="147" t="s">
        <v>507</v>
      </c>
      <c r="G14" s="147" t="s">
        <v>202</v>
      </c>
      <c r="H14" s="147">
        <v>17</v>
      </c>
      <c r="I14" s="148">
        <v>6357</v>
      </c>
      <c r="J14" s="147" t="s">
        <v>343</v>
      </c>
      <c r="K14" s="147" t="s">
        <v>343</v>
      </c>
      <c r="L14" s="147" t="s">
        <v>343</v>
      </c>
      <c r="M14" s="148">
        <v>3040</v>
      </c>
      <c r="N14" s="148">
        <v>2445</v>
      </c>
      <c r="O14" s="148">
        <v>2090</v>
      </c>
      <c r="P14" s="148">
        <v>2090</v>
      </c>
      <c r="Q14" s="148">
        <v>1980</v>
      </c>
      <c r="R14" s="148">
        <v>1870</v>
      </c>
      <c r="S14" s="148">
        <v>2090</v>
      </c>
      <c r="T14" s="148">
        <v>2180</v>
      </c>
      <c r="U14" s="148">
        <v>2289</v>
      </c>
      <c r="V14" s="148">
        <v>2071</v>
      </c>
      <c r="W14" s="148">
        <v>2071</v>
      </c>
      <c r="X14" s="148">
        <v>3100</v>
      </c>
      <c r="Y14" s="148">
        <v>2124</v>
      </c>
      <c r="Z14" s="148">
        <v>2124</v>
      </c>
      <c r="AA14" s="148">
        <v>6260</v>
      </c>
      <c r="AB14" s="148">
        <v>6254</v>
      </c>
      <c r="AC14" s="148">
        <v>6557</v>
      </c>
      <c r="AD14" s="148">
        <v>50635</v>
      </c>
      <c r="AE14" s="148">
        <v>38990</v>
      </c>
      <c r="AF14" s="148">
        <v>22145</v>
      </c>
      <c r="AG14" s="148">
        <v>28490</v>
      </c>
      <c r="AH14" s="147" t="s">
        <v>248</v>
      </c>
      <c r="AI14" s="147">
        <v>17</v>
      </c>
      <c r="AJ14" s="147" t="s">
        <v>509</v>
      </c>
    </row>
    <row r="15" spans="1:36">
      <c r="A15" s="147" t="s">
        <v>544</v>
      </c>
      <c r="B15" s="147" t="s">
        <v>502</v>
      </c>
      <c r="C15" s="147" t="s">
        <v>503</v>
      </c>
      <c r="D15" s="147" t="s">
        <v>505</v>
      </c>
      <c r="E15" s="147">
        <v>33</v>
      </c>
      <c r="F15" s="147" t="s">
        <v>507</v>
      </c>
      <c r="G15" s="147" t="s">
        <v>123</v>
      </c>
      <c r="H15" s="147">
        <v>30</v>
      </c>
      <c r="I15" s="148">
        <v>2752.6666666666665</v>
      </c>
      <c r="J15" s="147" t="s">
        <v>343</v>
      </c>
      <c r="K15" s="148">
        <v>2370</v>
      </c>
      <c r="L15" s="148">
        <v>2399</v>
      </c>
      <c r="M15" s="148">
        <v>2399</v>
      </c>
      <c r="N15" s="148">
        <v>2399</v>
      </c>
      <c r="O15" s="148">
        <v>1906</v>
      </c>
      <c r="P15" s="148">
        <v>2447</v>
      </c>
      <c r="Q15" s="148">
        <v>2420</v>
      </c>
      <c r="R15" s="148">
        <v>2514</v>
      </c>
      <c r="S15" s="148">
        <v>2467</v>
      </c>
      <c r="T15" s="148">
        <v>2634</v>
      </c>
      <c r="U15" s="148">
        <v>2618</v>
      </c>
      <c r="V15" s="148">
        <v>2694</v>
      </c>
      <c r="W15" s="148">
        <v>2694</v>
      </c>
      <c r="X15" s="148">
        <v>3802</v>
      </c>
      <c r="Y15" s="148">
        <v>2708</v>
      </c>
      <c r="Z15" s="148">
        <v>2834</v>
      </c>
      <c r="AA15" s="148">
        <v>2606</v>
      </c>
      <c r="AB15" s="148">
        <v>2839</v>
      </c>
      <c r="AC15" s="148">
        <v>2813</v>
      </c>
      <c r="AD15" s="148">
        <v>49563</v>
      </c>
      <c r="AE15" s="148">
        <v>33223</v>
      </c>
      <c r="AF15" s="148">
        <v>29267</v>
      </c>
      <c r="AG15" s="148">
        <v>20296</v>
      </c>
      <c r="AH15" s="147" t="s">
        <v>248</v>
      </c>
      <c r="AI15" s="147">
        <v>19</v>
      </c>
      <c r="AJ15" s="147" t="s">
        <v>509</v>
      </c>
    </row>
    <row r="16" spans="1:36">
      <c r="A16" s="147" t="s">
        <v>547</v>
      </c>
      <c r="B16" s="147" t="s">
        <v>502</v>
      </c>
      <c r="C16" s="147" t="s">
        <v>503</v>
      </c>
      <c r="D16" s="147" t="s">
        <v>505</v>
      </c>
      <c r="E16" s="147">
        <v>36</v>
      </c>
      <c r="F16" s="147" t="s">
        <v>507</v>
      </c>
      <c r="G16" s="147" t="s">
        <v>534</v>
      </c>
      <c r="H16" s="147">
        <v>50</v>
      </c>
      <c r="I16" s="148">
        <v>2708.7833333333333</v>
      </c>
      <c r="J16" s="147" t="s">
        <v>343</v>
      </c>
      <c r="K16" s="148">
        <v>3206</v>
      </c>
      <c r="L16" s="148">
        <v>2201</v>
      </c>
      <c r="M16" s="148">
        <v>2485</v>
      </c>
      <c r="N16" s="148">
        <v>2201</v>
      </c>
      <c r="O16" s="148">
        <v>2130</v>
      </c>
      <c r="P16" s="148">
        <v>2514</v>
      </c>
      <c r="Q16" s="148">
        <v>2534</v>
      </c>
      <c r="R16" s="148">
        <v>2645</v>
      </c>
      <c r="S16" s="148">
        <v>2574</v>
      </c>
      <c r="T16" s="148">
        <v>2880</v>
      </c>
      <c r="U16" s="148">
        <v>2880</v>
      </c>
      <c r="V16" s="148">
        <v>2880</v>
      </c>
      <c r="W16" s="148">
        <v>2329.52</v>
      </c>
      <c r="X16" s="148">
        <v>2941.11</v>
      </c>
      <c r="Y16" s="148">
        <v>2730</v>
      </c>
      <c r="Z16" s="148">
        <v>2655</v>
      </c>
      <c r="AA16" s="148">
        <v>2861</v>
      </c>
      <c r="AB16" s="148">
        <v>2800</v>
      </c>
      <c r="AC16" s="148">
        <v>2465.35</v>
      </c>
      <c r="AD16" s="148">
        <v>49911.979999999996</v>
      </c>
      <c r="AE16" s="148">
        <v>32640.98</v>
      </c>
      <c r="AF16" s="148">
        <v>31130</v>
      </c>
      <c r="AG16" s="148">
        <v>18781.98</v>
      </c>
      <c r="AH16" s="147" t="s">
        <v>248</v>
      </c>
      <c r="AI16" s="147">
        <v>19</v>
      </c>
      <c r="AJ16" s="147" t="s">
        <v>509</v>
      </c>
    </row>
    <row r="17" spans="1:36">
      <c r="A17" s="147" t="s">
        <v>549</v>
      </c>
      <c r="B17" s="147" t="s">
        <v>502</v>
      </c>
      <c r="C17" s="147" t="s">
        <v>503</v>
      </c>
      <c r="D17" s="147" t="s">
        <v>505</v>
      </c>
      <c r="E17" s="147">
        <v>38</v>
      </c>
      <c r="F17" s="147" t="s">
        <v>507</v>
      </c>
      <c r="G17" s="147" t="s">
        <v>126</v>
      </c>
      <c r="H17" s="147">
        <v>27</v>
      </c>
      <c r="I17" s="148">
        <v>3075</v>
      </c>
      <c r="J17" s="147" t="s">
        <v>343</v>
      </c>
      <c r="K17" s="148">
        <v>2388.75</v>
      </c>
      <c r="L17" s="148">
        <v>1850</v>
      </c>
      <c r="M17" s="148">
        <v>1385</v>
      </c>
      <c r="N17" s="148">
        <v>1370</v>
      </c>
      <c r="O17" s="148">
        <v>1240</v>
      </c>
      <c r="P17" s="148">
        <v>1175</v>
      </c>
      <c r="Q17" s="148">
        <v>1305</v>
      </c>
      <c r="R17" s="148">
        <v>1370</v>
      </c>
      <c r="S17" s="148">
        <v>1435</v>
      </c>
      <c r="T17" s="148">
        <v>1370</v>
      </c>
      <c r="U17" s="148">
        <v>1530</v>
      </c>
      <c r="V17" s="148">
        <v>1500</v>
      </c>
      <c r="W17" s="148">
        <v>3800</v>
      </c>
      <c r="X17" s="148">
        <v>4895</v>
      </c>
      <c r="Y17" s="148">
        <v>3450</v>
      </c>
      <c r="Z17" s="148">
        <v>3650</v>
      </c>
      <c r="AA17" s="148">
        <v>3200</v>
      </c>
      <c r="AB17" s="148">
        <v>3050</v>
      </c>
      <c r="AC17" s="148">
        <v>2975</v>
      </c>
      <c r="AD17" s="148">
        <v>42938.75</v>
      </c>
      <c r="AE17" s="148">
        <v>32225</v>
      </c>
      <c r="AF17" s="148">
        <v>17918.75</v>
      </c>
      <c r="AG17" s="148">
        <v>25020</v>
      </c>
      <c r="AH17" s="147" t="s">
        <v>248</v>
      </c>
      <c r="AI17" s="147">
        <v>19</v>
      </c>
      <c r="AJ17" s="147" t="s">
        <v>509</v>
      </c>
    </row>
    <row r="18" spans="1:36">
      <c r="A18" s="147" t="s">
        <v>552</v>
      </c>
      <c r="B18" s="147" t="s">
        <v>502</v>
      </c>
      <c r="C18" s="147" t="s">
        <v>503</v>
      </c>
      <c r="D18" s="147" t="s">
        <v>505</v>
      </c>
      <c r="E18" s="147">
        <v>61</v>
      </c>
      <c r="F18" s="147" t="s">
        <v>507</v>
      </c>
      <c r="G18" s="147" t="s">
        <v>553</v>
      </c>
      <c r="H18" s="147">
        <v>34</v>
      </c>
      <c r="I18" s="148">
        <v>2881.6666666666665</v>
      </c>
      <c r="J18" s="147" t="s">
        <v>343</v>
      </c>
      <c r="K18" s="148">
        <v>1650</v>
      </c>
      <c r="L18" s="148">
        <v>2085</v>
      </c>
      <c r="M18" s="148">
        <v>1650</v>
      </c>
      <c r="N18" s="148">
        <v>1800</v>
      </c>
      <c r="O18" s="148">
        <v>1875</v>
      </c>
      <c r="P18" s="148">
        <v>1917</v>
      </c>
      <c r="Q18" s="148">
        <v>1501</v>
      </c>
      <c r="R18" s="148">
        <v>2010</v>
      </c>
      <c r="S18" s="148">
        <v>2010</v>
      </c>
      <c r="T18" s="148">
        <v>2020</v>
      </c>
      <c r="U18" s="148">
        <v>2148</v>
      </c>
      <c r="V18" s="148">
        <v>2404</v>
      </c>
      <c r="W18" s="148">
        <v>2468</v>
      </c>
      <c r="X18" s="148">
        <v>2922</v>
      </c>
      <c r="Y18" s="148">
        <v>2468</v>
      </c>
      <c r="Z18" s="148">
        <v>2532</v>
      </c>
      <c r="AA18" s="148">
        <v>2824</v>
      </c>
      <c r="AB18" s="148">
        <v>2843</v>
      </c>
      <c r="AC18" s="148">
        <v>2978</v>
      </c>
      <c r="AD18" s="148">
        <v>42105</v>
      </c>
      <c r="AE18" s="148">
        <v>29627</v>
      </c>
      <c r="AF18" s="148">
        <v>23070</v>
      </c>
      <c r="AG18" s="148">
        <v>19035</v>
      </c>
      <c r="AH18" s="147" t="s">
        <v>248</v>
      </c>
      <c r="AI18" s="147">
        <v>19</v>
      </c>
      <c r="AJ18" s="147" t="s">
        <v>509</v>
      </c>
    </row>
    <row r="19" spans="1:36">
      <c r="A19" s="147" t="s">
        <v>556</v>
      </c>
      <c r="B19" s="147" t="s">
        <v>502</v>
      </c>
      <c r="C19" s="147" t="s">
        <v>503</v>
      </c>
      <c r="D19" s="147" t="s">
        <v>505</v>
      </c>
      <c r="E19" s="147">
        <v>27</v>
      </c>
      <c r="F19" s="147" t="s">
        <v>507</v>
      </c>
      <c r="G19" s="147" t="s">
        <v>125</v>
      </c>
      <c r="H19" s="147">
        <v>28</v>
      </c>
      <c r="I19" s="148">
        <v>2432.8733333333334</v>
      </c>
      <c r="J19" s="147" t="s">
        <v>343</v>
      </c>
      <c r="K19" s="148">
        <v>2252</v>
      </c>
      <c r="L19" s="148">
        <v>3817</v>
      </c>
      <c r="M19" s="148">
        <v>1738</v>
      </c>
      <c r="N19" s="148">
        <v>2380</v>
      </c>
      <c r="O19" s="148">
        <v>2285</v>
      </c>
      <c r="P19" s="148">
        <v>2190</v>
      </c>
      <c r="Q19" s="148">
        <v>2285</v>
      </c>
      <c r="R19" s="148">
        <v>2285</v>
      </c>
      <c r="S19" s="148">
        <v>2285</v>
      </c>
      <c r="T19" s="148">
        <v>2285</v>
      </c>
      <c r="U19" s="148">
        <v>2362</v>
      </c>
      <c r="V19" s="148">
        <v>2362</v>
      </c>
      <c r="W19" s="148">
        <v>2449</v>
      </c>
      <c r="X19" s="148">
        <v>2654</v>
      </c>
      <c r="Y19" s="148">
        <v>2362</v>
      </c>
      <c r="Z19" s="148">
        <v>2609</v>
      </c>
      <c r="AA19" s="148">
        <v>2202.62</v>
      </c>
      <c r="AB19" s="148">
        <v>2502</v>
      </c>
      <c r="AC19" s="148">
        <v>2594</v>
      </c>
      <c r="AD19" s="148">
        <v>45898.62</v>
      </c>
      <c r="AE19" s="148">
        <v>28951.62</v>
      </c>
      <c r="AF19" s="148">
        <v>28526</v>
      </c>
      <c r="AG19" s="148">
        <v>17372.62</v>
      </c>
      <c r="AH19" s="147" t="s">
        <v>248</v>
      </c>
      <c r="AI19" s="147">
        <v>19</v>
      </c>
      <c r="AJ19" s="147" t="s">
        <v>509</v>
      </c>
    </row>
    <row r="20" spans="1:36">
      <c r="A20" s="147" t="s">
        <v>557</v>
      </c>
      <c r="B20" s="147" t="s">
        <v>502</v>
      </c>
      <c r="C20" s="147" t="s">
        <v>503</v>
      </c>
      <c r="D20" s="147" t="s">
        <v>505</v>
      </c>
      <c r="E20" s="147">
        <v>21</v>
      </c>
      <c r="F20" s="147" t="s">
        <v>507</v>
      </c>
      <c r="G20" s="147" t="s">
        <v>128</v>
      </c>
      <c r="H20" s="147">
        <v>25</v>
      </c>
      <c r="I20" s="148">
        <v>2035.6666666666667</v>
      </c>
      <c r="J20" s="147" t="s">
        <v>343</v>
      </c>
      <c r="K20" s="148">
        <v>2775</v>
      </c>
      <c r="L20" s="148">
        <v>3645</v>
      </c>
      <c r="M20" s="148">
        <v>2265</v>
      </c>
      <c r="N20" s="148">
        <v>5125</v>
      </c>
      <c r="O20" s="148">
        <v>2550</v>
      </c>
      <c r="P20" s="148">
        <v>1432.5</v>
      </c>
      <c r="Q20" s="148">
        <v>2579</v>
      </c>
      <c r="R20" s="148">
        <v>2378</v>
      </c>
      <c r="S20" s="148">
        <v>2378</v>
      </c>
      <c r="T20" s="148">
        <v>2378</v>
      </c>
      <c r="U20" s="148">
        <v>2311</v>
      </c>
      <c r="V20" s="148">
        <v>2311</v>
      </c>
      <c r="W20" s="148">
        <v>2445</v>
      </c>
      <c r="X20" s="148">
        <v>3149</v>
      </c>
      <c r="Y20" s="148">
        <v>3023</v>
      </c>
      <c r="Z20" s="148">
        <v>2393</v>
      </c>
      <c r="AA20" s="148">
        <v>2378</v>
      </c>
      <c r="AB20" s="148">
        <v>1877</v>
      </c>
      <c r="AC20" s="148">
        <v>1852</v>
      </c>
      <c r="AD20" s="148">
        <v>49244.5</v>
      </c>
      <c r="AE20" s="148">
        <v>28873</v>
      </c>
      <c r="AF20" s="148">
        <v>32127.5</v>
      </c>
      <c r="AG20" s="148">
        <v>17117</v>
      </c>
      <c r="AH20" s="147" t="s">
        <v>248</v>
      </c>
      <c r="AI20" s="147">
        <v>19</v>
      </c>
      <c r="AJ20" s="147" t="s">
        <v>509</v>
      </c>
    </row>
    <row r="21" spans="1:36">
      <c r="A21" s="147" t="s">
        <v>559</v>
      </c>
      <c r="B21" s="147" t="s">
        <v>502</v>
      </c>
      <c r="C21" s="147" t="s">
        <v>503</v>
      </c>
      <c r="D21" s="147" t="s">
        <v>505</v>
      </c>
      <c r="E21" s="147">
        <v>25</v>
      </c>
      <c r="F21" s="147" t="s">
        <v>560</v>
      </c>
      <c r="G21" s="147" t="s">
        <v>122</v>
      </c>
      <c r="H21" s="147">
        <v>31</v>
      </c>
      <c r="I21" s="148">
        <v>2285</v>
      </c>
      <c r="J21" s="147" t="s">
        <v>343</v>
      </c>
      <c r="K21" s="148">
        <v>2000</v>
      </c>
      <c r="L21" s="148">
        <v>2225</v>
      </c>
      <c r="M21" s="148">
        <v>2095</v>
      </c>
      <c r="N21" s="148">
        <v>2285</v>
      </c>
      <c r="O21" s="148">
        <v>2356.25</v>
      </c>
      <c r="P21" s="148">
        <v>2380</v>
      </c>
      <c r="Q21" s="148">
        <v>2193.75</v>
      </c>
      <c r="R21" s="148">
        <v>2275</v>
      </c>
      <c r="S21" s="148">
        <v>2275</v>
      </c>
      <c r="T21" s="148">
        <v>2275</v>
      </c>
      <c r="U21" s="148">
        <v>2525</v>
      </c>
      <c r="V21" s="148">
        <v>2275</v>
      </c>
      <c r="W21" s="148">
        <v>2285</v>
      </c>
      <c r="X21" s="148">
        <v>2585</v>
      </c>
      <c r="Y21" s="148">
        <v>2285</v>
      </c>
      <c r="Z21" s="148">
        <v>2285</v>
      </c>
      <c r="AA21" s="148">
        <v>2285</v>
      </c>
      <c r="AB21" s="148">
        <v>2285</v>
      </c>
      <c r="AC21" s="148">
        <v>2285</v>
      </c>
      <c r="AD21" s="148">
        <v>43455</v>
      </c>
      <c r="AE21" s="148">
        <v>27920</v>
      </c>
      <c r="AF21" s="148">
        <v>27160</v>
      </c>
      <c r="AG21" s="148">
        <v>16295</v>
      </c>
      <c r="AH21" s="147" t="s">
        <v>248</v>
      </c>
      <c r="AI21" s="147">
        <v>19</v>
      </c>
      <c r="AJ21" s="147" t="s">
        <v>509</v>
      </c>
    </row>
    <row r="22" spans="1:36">
      <c r="A22" s="147" t="s">
        <v>564</v>
      </c>
      <c r="B22" s="147" t="s">
        <v>502</v>
      </c>
      <c r="C22" s="147" t="s">
        <v>503</v>
      </c>
      <c r="D22" s="147" t="s">
        <v>505</v>
      </c>
      <c r="E22" s="147">
        <v>60</v>
      </c>
      <c r="F22" s="147" t="s">
        <v>507</v>
      </c>
      <c r="G22" s="147" t="s">
        <v>204</v>
      </c>
      <c r="H22" s="147">
        <v>15</v>
      </c>
      <c r="I22" s="148">
        <v>2644.6666666666665</v>
      </c>
      <c r="J22" s="147" t="s">
        <v>343</v>
      </c>
      <c r="K22" s="147" t="s">
        <v>343</v>
      </c>
      <c r="L22" s="147" t="s">
        <v>343</v>
      </c>
      <c r="M22" s="147" t="s">
        <v>343</v>
      </c>
      <c r="N22" s="147" t="s">
        <v>343</v>
      </c>
      <c r="O22" s="148">
        <v>2925</v>
      </c>
      <c r="P22" s="148">
        <v>1675</v>
      </c>
      <c r="Q22" s="148">
        <v>1864</v>
      </c>
      <c r="R22" s="148">
        <v>1927</v>
      </c>
      <c r="S22" s="148">
        <v>1990</v>
      </c>
      <c r="T22" s="148">
        <v>2053</v>
      </c>
      <c r="U22" s="148">
        <v>2179</v>
      </c>
      <c r="V22" s="148">
        <v>1801</v>
      </c>
      <c r="W22" s="148">
        <v>2656</v>
      </c>
      <c r="X22" s="148">
        <v>1612</v>
      </c>
      <c r="Y22" s="148">
        <v>2431</v>
      </c>
      <c r="Z22" s="148">
        <v>2557</v>
      </c>
      <c r="AA22" s="148">
        <v>2460</v>
      </c>
      <c r="AB22" s="148">
        <v>2732</v>
      </c>
      <c r="AC22" s="148">
        <v>2742</v>
      </c>
      <c r="AD22" s="148">
        <v>33604</v>
      </c>
      <c r="AE22" s="148">
        <v>27140</v>
      </c>
      <c r="AF22" s="148">
        <v>16414</v>
      </c>
      <c r="AG22" s="148">
        <v>17190</v>
      </c>
      <c r="AH22" s="147" t="s">
        <v>248</v>
      </c>
      <c r="AI22" s="147">
        <v>15</v>
      </c>
      <c r="AJ22" s="147" t="s">
        <v>509</v>
      </c>
    </row>
    <row r="23" spans="1:36">
      <c r="A23" s="147" t="s">
        <v>566</v>
      </c>
      <c r="B23" s="147" t="s">
        <v>567</v>
      </c>
      <c r="C23" s="147" t="s">
        <v>503</v>
      </c>
      <c r="D23" s="147" t="s">
        <v>505</v>
      </c>
      <c r="E23" s="147">
        <v>73</v>
      </c>
      <c r="F23" s="147" t="s">
        <v>568</v>
      </c>
      <c r="G23" s="147" t="s">
        <v>207</v>
      </c>
      <c r="H23" s="147">
        <v>9</v>
      </c>
      <c r="I23" s="148">
        <v>3006.6666666666665</v>
      </c>
      <c r="J23" s="147" t="s">
        <v>246</v>
      </c>
      <c r="K23" s="147" t="s">
        <v>343</v>
      </c>
      <c r="L23" s="147" t="s">
        <v>343</v>
      </c>
      <c r="M23" s="147" t="s">
        <v>343</v>
      </c>
      <c r="N23" s="147" t="s">
        <v>343</v>
      </c>
      <c r="O23" s="147" t="s">
        <v>343</v>
      </c>
      <c r="P23" s="147" t="s">
        <v>343</v>
      </c>
      <c r="Q23" s="147" t="s">
        <v>343</v>
      </c>
      <c r="R23" s="148">
        <v>2800</v>
      </c>
      <c r="S23" s="148">
        <v>2800</v>
      </c>
      <c r="T23" s="148">
        <v>3699.5</v>
      </c>
      <c r="U23" s="148">
        <v>2540</v>
      </c>
      <c r="V23" s="148">
        <v>2540</v>
      </c>
      <c r="W23" s="148">
        <v>2620</v>
      </c>
      <c r="X23" s="148">
        <v>3180</v>
      </c>
      <c r="Y23" s="148">
        <v>2820</v>
      </c>
      <c r="Z23" s="148">
        <v>3020</v>
      </c>
      <c r="AA23" s="147" t="s">
        <v>343</v>
      </c>
      <c r="AB23" s="147" t="s">
        <v>343</v>
      </c>
      <c r="AC23" s="147" t="s">
        <v>343</v>
      </c>
      <c r="AD23" s="148">
        <v>26019.5</v>
      </c>
      <c r="AE23" s="148">
        <v>26019.5</v>
      </c>
      <c r="AF23" s="148">
        <v>14379.5</v>
      </c>
      <c r="AG23" s="148">
        <v>11640</v>
      </c>
      <c r="AH23" s="147" t="s">
        <v>245</v>
      </c>
      <c r="AI23" s="147">
        <v>9</v>
      </c>
      <c r="AJ23" s="147" t="s">
        <v>510</v>
      </c>
    </row>
    <row r="24" spans="1:36">
      <c r="A24" s="147" t="s">
        <v>572</v>
      </c>
      <c r="B24" s="147" t="s">
        <v>502</v>
      </c>
      <c r="C24" s="147" t="s">
        <v>503</v>
      </c>
      <c r="D24" s="147" t="s">
        <v>505</v>
      </c>
      <c r="E24" s="147">
        <v>42</v>
      </c>
      <c r="F24" s="147" t="s">
        <v>507</v>
      </c>
      <c r="G24" s="147" t="s">
        <v>206</v>
      </c>
      <c r="H24" s="147">
        <v>13</v>
      </c>
      <c r="I24" s="148">
        <v>2335.6666666666665</v>
      </c>
      <c r="J24" s="147" t="s">
        <v>343</v>
      </c>
      <c r="K24" s="147" t="s">
        <v>343</v>
      </c>
      <c r="L24" s="147" t="s">
        <v>343</v>
      </c>
      <c r="M24" s="147" t="s">
        <v>343</v>
      </c>
      <c r="N24" s="147" t="s">
        <v>343</v>
      </c>
      <c r="O24" s="147" t="s">
        <v>343</v>
      </c>
      <c r="P24" s="147" t="s">
        <v>343</v>
      </c>
      <c r="Q24" s="148">
        <v>3840</v>
      </c>
      <c r="R24" s="148">
        <v>2025</v>
      </c>
      <c r="S24" s="148">
        <v>1970</v>
      </c>
      <c r="T24" s="148">
        <v>2025</v>
      </c>
      <c r="U24" s="148">
        <v>1970</v>
      </c>
      <c r="V24" s="148">
        <v>2080</v>
      </c>
      <c r="W24" s="148">
        <v>1970</v>
      </c>
      <c r="X24" s="148">
        <v>2235</v>
      </c>
      <c r="Y24" s="148">
        <v>2135</v>
      </c>
      <c r="Z24" s="148">
        <v>2135</v>
      </c>
      <c r="AA24" s="148">
        <v>2410</v>
      </c>
      <c r="AB24" s="148">
        <v>2355</v>
      </c>
      <c r="AC24" s="148">
        <v>2242</v>
      </c>
      <c r="AD24" s="148">
        <v>29392</v>
      </c>
      <c r="AE24" s="148">
        <v>25552</v>
      </c>
      <c r="AF24" s="148">
        <v>13910</v>
      </c>
      <c r="AG24" s="148">
        <v>15482</v>
      </c>
      <c r="AH24" s="147" t="s">
        <v>248</v>
      </c>
      <c r="AI24" s="147">
        <v>13</v>
      </c>
      <c r="AJ24" s="147" t="s">
        <v>509</v>
      </c>
    </row>
    <row r="25" spans="1:36">
      <c r="A25" s="147" t="s">
        <v>574</v>
      </c>
      <c r="B25" s="147" t="s">
        <v>502</v>
      </c>
      <c r="C25" s="147" t="s">
        <v>503</v>
      </c>
      <c r="D25" s="147" t="s">
        <v>505</v>
      </c>
      <c r="E25" s="147">
        <v>47</v>
      </c>
      <c r="F25" s="147" t="s">
        <v>507</v>
      </c>
      <c r="G25" s="147" t="s">
        <v>575</v>
      </c>
      <c r="H25" s="147">
        <v>33</v>
      </c>
      <c r="I25" s="148">
        <v>3262.6666666666665</v>
      </c>
      <c r="J25" s="147" t="s">
        <v>343</v>
      </c>
      <c r="K25" s="148">
        <v>733</v>
      </c>
      <c r="L25" s="148">
        <v>869</v>
      </c>
      <c r="M25" s="148">
        <v>869</v>
      </c>
      <c r="N25" s="148">
        <v>926</v>
      </c>
      <c r="O25" s="148">
        <v>1055</v>
      </c>
      <c r="P25" s="148">
        <v>1189</v>
      </c>
      <c r="Q25" s="148">
        <v>1457</v>
      </c>
      <c r="R25" s="148">
        <v>1524</v>
      </c>
      <c r="S25" s="148">
        <v>1524</v>
      </c>
      <c r="T25" s="148">
        <v>1524</v>
      </c>
      <c r="U25" s="148">
        <v>1658</v>
      </c>
      <c r="V25" s="148">
        <v>1658</v>
      </c>
      <c r="W25" s="148">
        <v>1658</v>
      </c>
      <c r="X25" s="148">
        <v>2197</v>
      </c>
      <c r="Y25" s="148">
        <v>1993</v>
      </c>
      <c r="Z25" s="148">
        <v>2003</v>
      </c>
      <c r="AA25" s="148">
        <v>2333</v>
      </c>
      <c r="AB25" s="148">
        <v>4666</v>
      </c>
      <c r="AC25" s="148">
        <v>2789</v>
      </c>
      <c r="AD25" s="148">
        <v>32625</v>
      </c>
      <c r="AE25" s="148">
        <v>25527</v>
      </c>
      <c r="AF25" s="148">
        <v>14986</v>
      </c>
      <c r="AG25" s="148">
        <v>17639</v>
      </c>
      <c r="AH25" s="147" t="s">
        <v>248</v>
      </c>
      <c r="AI25" s="147">
        <v>19</v>
      </c>
      <c r="AJ25" s="147" t="s">
        <v>509</v>
      </c>
    </row>
    <row r="26" spans="1:36">
      <c r="A26" s="147" t="s">
        <v>576</v>
      </c>
      <c r="B26" s="147" t="s">
        <v>502</v>
      </c>
      <c r="C26" s="147" t="s">
        <v>503</v>
      </c>
      <c r="D26" s="147" t="s">
        <v>505</v>
      </c>
      <c r="E26" s="147">
        <v>26</v>
      </c>
      <c r="F26" s="147" t="s">
        <v>507</v>
      </c>
      <c r="G26" s="147" t="s">
        <v>577</v>
      </c>
      <c r="H26" s="147">
        <v>42</v>
      </c>
      <c r="I26" s="148">
        <v>2095.6666666666665</v>
      </c>
      <c r="J26" s="147" t="s">
        <v>343</v>
      </c>
      <c r="K26" s="148">
        <v>1767</v>
      </c>
      <c r="L26" s="148">
        <v>1415</v>
      </c>
      <c r="M26" s="148">
        <v>1325</v>
      </c>
      <c r="N26" s="148">
        <v>1325</v>
      </c>
      <c r="O26" s="148">
        <v>1400</v>
      </c>
      <c r="P26" s="148">
        <v>1400</v>
      </c>
      <c r="Q26" s="148">
        <v>1475</v>
      </c>
      <c r="R26" s="148">
        <v>1625</v>
      </c>
      <c r="S26" s="148">
        <v>1730</v>
      </c>
      <c r="T26" s="148">
        <v>2186</v>
      </c>
      <c r="U26" s="148">
        <v>2097</v>
      </c>
      <c r="V26" s="148">
        <v>2102</v>
      </c>
      <c r="W26" s="148">
        <v>2254</v>
      </c>
      <c r="X26" s="148">
        <v>2774</v>
      </c>
      <c r="Y26" s="148">
        <v>2279</v>
      </c>
      <c r="Z26" s="148">
        <v>1975</v>
      </c>
      <c r="AA26" s="148">
        <v>2042</v>
      </c>
      <c r="AB26" s="148">
        <v>2194</v>
      </c>
      <c r="AC26" s="148">
        <v>2051</v>
      </c>
      <c r="AD26" s="148">
        <v>35416</v>
      </c>
      <c r="AE26" s="148">
        <v>25309</v>
      </c>
      <c r="AF26" s="148">
        <v>19847</v>
      </c>
      <c r="AG26" s="148">
        <v>15569</v>
      </c>
      <c r="AH26" s="147" t="s">
        <v>248</v>
      </c>
      <c r="AI26" s="147">
        <v>19</v>
      </c>
      <c r="AJ26" s="147" t="s">
        <v>509</v>
      </c>
    </row>
    <row r="27" spans="1:36">
      <c r="A27" s="147" t="s">
        <v>580</v>
      </c>
      <c r="B27" s="147" t="s">
        <v>502</v>
      </c>
      <c r="C27" s="147" t="s">
        <v>503</v>
      </c>
      <c r="D27" s="147" t="s">
        <v>505</v>
      </c>
      <c r="E27" s="147">
        <v>26</v>
      </c>
      <c r="F27" s="147" t="s">
        <v>507</v>
      </c>
      <c r="G27" s="147" t="s">
        <v>200</v>
      </c>
      <c r="H27" s="147">
        <v>19</v>
      </c>
      <c r="I27" s="148">
        <v>1808.3333333333333</v>
      </c>
      <c r="J27" s="147" t="s">
        <v>343</v>
      </c>
      <c r="K27" s="148">
        <v>2168</v>
      </c>
      <c r="L27" s="148">
        <v>1466</v>
      </c>
      <c r="M27" s="148">
        <v>1466</v>
      </c>
      <c r="N27" s="148">
        <v>1466</v>
      </c>
      <c r="O27" s="148">
        <v>1565</v>
      </c>
      <c r="P27" s="148">
        <v>1620</v>
      </c>
      <c r="Q27" s="148">
        <v>1660</v>
      </c>
      <c r="R27" s="148">
        <v>1755</v>
      </c>
      <c r="S27" s="148">
        <v>1660</v>
      </c>
      <c r="T27" s="148">
        <v>1993</v>
      </c>
      <c r="U27" s="148">
        <v>2211</v>
      </c>
      <c r="V27" s="148">
        <v>2320</v>
      </c>
      <c r="W27" s="148">
        <v>2211</v>
      </c>
      <c r="X27" s="148">
        <v>3246</v>
      </c>
      <c r="Y27" s="148">
        <v>2429</v>
      </c>
      <c r="Z27" s="148">
        <v>1630.2</v>
      </c>
      <c r="AA27" s="148">
        <v>1816</v>
      </c>
      <c r="AB27" s="148">
        <v>1724</v>
      </c>
      <c r="AC27" s="148">
        <v>1885</v>
      </c>
      <c r="AD27" s="148">
        <v>36291.199999999997</v>
      </c>
      <c r="AE27" s="148">
        <v>24880.2</v>
      </c>
      <c r="AF27" s="148">
        <v>21350</v>
      </c>
      <c r="AG27" s="148">
        <v>14941.2</v>
      </c>
      <c r="AH27" s="147" t="s">
        <v>248</v>
      </c>
      <c r="AI27" s="147">
        <v>19</v>
      </c>
      <c r="AJ27" s="147" t="s">
        <v>509</v>
      </c>
    </row>
    <row r="28" spans="1:36">
      <c r="A28" s="147" t="s">
        <v>582</v>
      </c>
      <c r="B28" s="147" t="s">
        <v>502</v>
      </c>
      <c r="C28" s="147" t="s">
        <v>503</v>
      </c>
      <c r="D28" s="147" t="s">
        <v>505</v>
      </c>
      <c r="E28" s="147">
        <v>34</v>
      </c>
      <c r="F28" s="147" t="s">
        <v>507</v>
      </c>
      <c r="G28" s="147" t="s">
        <v>575</v>
      </c>
      <c r="H28" s="147">
        <v>33</v>
      </c>
      <c r="I28" s="148">
        <v>1933.3333333333333</v>
      </c>
      <c r="J28" s="147" t="s">
        <v>343</v>
      </c>
      <c r="K28" s="148">
        <v>1350</v>
      </c>
      <c r="L28" s="148">
        <v>1620</v>
      </c>
      <c r="M28" s="148">
        <v>1425</v>
      </c>
      <c r="N28" s="148">
        <v>1575</v>
      </c>
      <c r="O28" s="148">
        <v>1650</v>
      </c>
      <c r="P28" s="148">
        <v>1725</v>
      </c>
      <c r="Q28" s="148">
        <v>1800</v>
      </c>
      <c r="R28" s="148">
        <v>1800</v>
      </c>
      <c r="S28" s="148">
        <v>1800</v>
      </c>
      <c r="T28" s="148">
        <v>1650</v>
      </c>
      <c r="U28" s="148">
        <v>1595</v>
      </c>
      <c r="V28" s="148">
        <v>1660</v>
      </c>
      <c r="W28" s="148">
        <v>1920</v>
      </c>
      <c r="X28" s="148">
        <v>2215</v>
      </c>
      <c r="Y28" s="148">
        <v>3965</v>
      </c>
      <c r="Z28" s="148">
        <v>1860</v>
      </c>
      <c r="AA28" s="148">
        <v>2135</v>
      </c>
      <c r="AB28" s="148">
        <v>2025</v>
      </c>
      <c r="AC28" s="148">
        <v>1640</v>
      </c>
      <c r="AD28" s="148">
        <v>35410</v>
      </c>
      <c r="AE28" s="148">
        <v>24265</v>
      </c>
      <c r="AF28" s="148">
        <v>19650</v>
      </c>
      <c r="AG28" s="148">
        <v>15760</v>
      </c>
      <c r="AH28" s="147" t="s">
        <v>248</v>
      </c>
      <c r="AI28" s="147">
        <v>19</v>
      </c>
      <c r="AJ28" s="147" t="s">
        <v>509</v>
      </c>
    </row>
    <row r="29" spans="1:36">
      <c r="A29" s="147" t="s">
        <v>583</v>
      </c>
      <c r="B29" s="147" t="s">
        <v>502</v>
      </c>
      <c r="C29" s="147" t="s">
        <v>503</v>
      </c>
      <c r="D29" s="147" t="s">
        <v>505</v>
      </c>
      <c r="E29" s="147">
        <v>28</v>
      </c>
      <c r="F29" s="147" t="s">
        <v>560</v>
      </c>
      <c r="G29" s="147" t="s">
        <v>577</v>
      </c>
      <c r="H29" s="147">
        <v>42</v>
      </c>
      <c r="I29" s="148">
        <v>1973.3333333333333</v>
      </c>
      <c r="J29" s="147" t="s">
        <v>343</v>
      </c>
      <c r="K29" s="148">
        <v>2775</v>
      </c>
      <c r="L29" s="148">
        <v>3285</v>
      </c>
      <c r="M29" s="148">
        <v>2570</v>
      </c>
      <c r="N29" s="148">
        <v>2507</v>
      </c>
      <c r="O29" s="148">
        <v>2696</v>
      </c>
      <c r="P29" s="148">
        <v>2570</v>
      </c>
      <c r="Q29" s="148">
        <v>2129</v>
      </c>
      <c r="R29" s="148">
        <v>2066</v>
      </c>
      <c r="S29" s="148">
        <v>2129</v>
      </c>
      <c r="T29" s="148">
        <v>1814</v>
      </c>
      <c r="U29" s="148">
        <v>1814</v>
      </c>
      <c r="V29" s="148">
        <v>1814</v>
      </c>
      <c r="W29" s="148">
        <v>1940</v>
      </c>
      <c r="X29" s="148">
        <v>2541</v>
      </c>
      <c r="Y29" s="148">
        <v>2013</v>
      </c>
      <c r="Z29" s="148">
        <v>2013</v>
      </c>
      <c r="AA29" s="148">
        <v>2018</v>
      </c>
      <c r="AB29" s="148">
        <v>1951</v>
      </c>
      <c r="AC29" s="148">
        <v>1951</v>
      </c>
      <c r="AD29" s="148">
        <v>42596</v>
      </c>
      <c r="AE29" s="148">
        <v>24064</v>
      </c>
      <c r="AF29" s="148">
        <v>28169</v>
      </c>
      <c r="AG29" s="148">
        <v>14427</v>
      </c>
      <c r="AH29" s="147" t="s">
        <v>248</v>
      </c>
      <c r="AI29" s="147">
        <v>19</v>
      </c>
      <c r="AJ29" s="147" t="s">
        <v>509</v>
      </c>
    </row>
    <row r="30" spans="1:36">
      <c r="A30" s="147" t="s">
        <v>587</v>
      </c>
      <c r="B30" s="147" t="s">
        <v>502</v>
      </c>
      <c r="C30" s="147" t="s">
        <v>503</v>
      </c>
      <c r="D30" s="147" t="s">
        <v>505</v>
      </c>
      <c r="E30" s="147">
        <v>24</v>
      </c>
      <c r="F30" s="147" t="s">
        <v>507</v>
      </c>
      <c r="G30" s="147" t="s">
        <v>588</v>
      </c>
      <c r="H30" s="147">
        <v>37</v>
      </c>
      <c r="I30" s="148">
        <v>2051</v>
      </c>
      <c r="J30" s="147" t="s">
        <v>343</v>
      </c>
      <c r="K30" s="148">
        <v>1335</v>
      </c>
      <c r="L30" s="148">
        <v>2234</v>
      </c>
      <c r="M30" s="148">
        <v>1424</v>
      </c>
      <c r="N30" s="148">
        <v>1424</v>
      </c>
      <c r="O30" s="148">
        <v>1424</v>
      </c>
      <c r="P30" s="148">
        <v>1513</v>
      </c>
      <c r="Q30" s="148">
        <v>1545</v>
      </c>
      <c r="R30" s="148">
        <v>1715</v>
      </c>
      <c r="S30" s="148">
        <v>1800</v>
      </c>
      <c r="T30" s="148">
        <v>1715</v>
      </c>
      <c r="U30" s="148">
        <v>1800</v>
      </c>
      <c r="V30" s="148">
        <v>1800</v>
      </c>
      <c r="W30" s="148">
        <v>2455</v>
      </c>
      <c r="X30" s="148">
        <v>2055</v>
      </c>
      <c r="Y30" s="148">
        <v>2055</v>
      </c>
      <c r="Z30" s="148">
        <v>2055</v>
      </c>
      <c r="AA30" s="148">
        <v>2055</v>
      </c>
      <c r="AB30" s="148">
        <v>2140</v>
      </c>
      <c r="AC30" s="148">
        <v>1958</v>
      </c>
      <c r="AD30" s="148">
        <v>34502</v>
      </c>
      <c r="AE30" s="148">
        <v>23603</v>
      </c>
      <c r="AF30" s="148">
        <v>19729</v>
      </c>
      <c r="AG30" s="148">
        <v>14773</v>
      </c>
      <c r="AH30" s="147" t="s">
        <v>248</v>
      </c>
      <c r="AI30" s="147">
        <v>19</v>
      </c>
      <c r="AJ30" s="147" t="s">
        <v>509</v>
      </c>
    </row>
    <row r="31" spans="1:36">
      <c r="A31" s="147" t="s">
        <v>590</v>
      </c>
      <c r="B31" s="147" t="s">
        <v>502</v>
      </c>
      <c r="C31" s="147" t="s">
        <v>503</v>
      </c>
      <c r="D31" s="147" t="s">
        <v>505</v>
      </c>
      <c r="E31" s="147">
        <v>30</v>
      </c>
      <c r="F31" s="147" t="s">
        <v>507</v>
      </c>
      <c r="G31" s="147" t="s">
        <v>204</v>
      </c>
      <c r="H31" s="147">
        <v>15</v>
      </c>
      <c r="I31" s="148">
        <v>2461</v>
      </c>
      <c r="J31" s="147" t="s">
        <v>343</v>
      </c>
      <c r="K31" s="147" t="s">
        <v>343</v>
      </c>
      <c r="L31" s="147" t="s">
        <v>343</v>
      </c>
      <c r="M31" s="147" t="s">
        <v>343</v>
      </c>
      <c r="N31" s="147" t="s">
        <v>343</v>
      </c>
      <c r="O31" s="148">
        <v>2860</v>
      </c>
      <c r="P31" s="148">
        <v>1480</v>
      </c>
      <c r="Q31" s="148">
        <v>1480</v>
      </c>
      <c r="R31" s="148">
        <v>1480</v>
      </c>
      <c r="S31" s="148">
        <v>1480</v>
      </c>
      <c r="T31" s="148">
        <v>1480</v>
      </c>
      <c r="U31" s="148">
        <v>1867</v>
      </c>
      <c r="V31" s="148">
        <v>1576</v>
      </c>
      <c r="W31" s="148">
        <v>1627</v>
      </c>
      <c r="X31" s="148">
        <v>2086</v>
      </c>
      <c r="Y31" s="148">
        <v>2098</v>
      </c>
      <c r="Z31" s="148">
        <v>2098</v>
      </c>
      <c r="AA31" s="148">
        <v>2434</v>
      </c>
      <c r="AB31" s="148">
        <v>2434</v>
      </c>
      <c r="AC31" s="148">
        <v>2515</v>
      </c>
      <c r="AD31" s="148">
        <v>28995</v>
      </c>
      <c r="AE31" s="148">
        <v>23175</v>
      </c>
      <c r="AF31" s="148">
        <v>13703</v>
      </c>
      <c r="AG31" s="148">
        <v>15292</v>
      </c>
      <c r="AH31" s="147" t="s">
        <v>248</v>
      </c>
      <c r="AI31" s="147">
        <v>15</v>
      </c>
      <c r="AJ31" s="147" t="s">
        <v>509</v>
      </c>
    </row>
    <row r="32" spans="1:36">
      <c r="A32" s="147" t="s">
        <v>591</v>
      </c>
      <c r="B32" s="147" t="s">
        <v>502</v>
      </c>
      <c r="C32" s="147" t="s">
        <v>503</v>
      </c>
      <c r="D32" s="147" t="s">
        <v>505</v>
      </c>
      <c r="E32" s="147">
        <v>18</v>
      </c>
      <c r="F32" s="147" t="s">
        <v>507</v>
      </c>
      <c r="G32" s="147" t="s">
        <v>593</v>
      </c>
      <c r="H32" s="147">
        <v>32</v>
      </c>
      <c r="I32" s="148">
        <v>1596.3333333333333</v>
      </c>
      <c r="J32" s="147" t="s">
        <v>343</v>
      </c>
      <c r="K32" s="148">
        <v>1729.5</v>
      </c>
      <c r="L32" s="148">
        <v>729.5</v>
      </c>
      <c r="M32" s="148">
        <v>695.5</v>
      </c>
      <c r="N32" s="148">
        <v>712.5</v>
      </c>
      <c r="O32" s="148">
        <v>704</v>
      </c>
      <c r="P32" s="148">
        <v>2043</v>
      </c>
      <c r="Q32" s="148">
        <v>2043</v>
      </c>
      <c r="R32" s="148">
        <v>2125</v>
      </c>
      <c r="S32" s="148">
        <v>2125</v>
      </c>
      <c r="T32" s="148">
        <v>1909</v>
      </c>
      <c r="U32" s="148">
        <v>2096</v>
      </c>
      <c r="V32" s="148">
        <v>2243</v>
      </c>
      <c r="W32" s="148">
        <v>1845</v>
      </c>
      <c r="X32" s="148">
        <v>1905</v>
      </c>
      <c r="Y32" s="148">
        <v>2130</v>
      </c>
      <c r="Z32" s="148">
        <v>1810</v>
      </c>
      <c r="AA32" s="148">
        <v>1905</v>
      </c>
      <c r="AB32" s="148">
        <v>1478</v>
      </c>
      <c r="AC32" s="148">
        <v>1406</v>
      </c>
      <c r="AD32" s="148">
        <v>31634</v>
      </c>
      <c r="AE32" s="148">
        <v>22977</v>
      </c>
      <c r="AF32" s="148">
        <v>19155</v>
      </c>
      <c r="AG32" s="148">
        <v>12479</v>
      </c>
      <c r="AH32" s="147" t="s">
        <v>248</v>
      </c>
      <c r="AI32" s="147">
        <v>19</v>
      </c>
      <c r="AJ32" s="147" t="s">
        <v>509</v>
      </c>
    </row>
    <row r="33" spans="1:36">
      <c r="A33" s="147" t="s">
        <v>595</v>
      </c>
      <c r="B33" s="147" t="s">
        <v>502</v>
      </c>
      <c r="C33" s="147" t="s">
        <v>503</v>
      </c>
      <c r="D33" s="147" t="s">
        <v>505</v>
      </c>
      <c r="E33" s="147">
        <v>55</v>
      </c>
      <c r="F33" s="147" t="s">
        <v>507</v>
      </c>
      <c r="G33" s="147" t="s">
        <v>211</v>
      </c>
      <c r="H33" s="147">
        <v>8</v>
      </c>
      <c r="I33" s="148">
        <v>2784.6666666666665</v>
      </c>
      <c r="J33" s="147" t="s">
        <v>343</v>
      </c>
      <c r="K33" s="147" t="s">
        <v>343</v>
      </c>
      <c r="L33" s="147" t="s">
        <v>343</v>
      </c>
      <c r="M33" s="147" t="s">
        <v>343</v>
      </c>
      <c r="N33" s="147" t="s">
        <v>343</v>
      </c>
      <c r="O33" s="147" t="s">
        <v>343</v>
      </c>
      <c r="P33" s="147" t="s">
        <v>343</v>
      </c>
      <c r="Q33" s="147" t="s">
        <v>343</v>
      </c>
      <c r="R33" s="147" t="s">
        <v>343</v>
      </c>
      <c r="S33" s="147" t="s">
        <v>343</v>
      </c>
      <c r="T33" s="147" t="s">
        <v>343</v>
      </c>
      <c r="U33" s="147" t="s">
        <v>343</v>
      </c>
      <c r="V33" s="148">
        <v>3748</v>
      </c>
      <c r="W33" s="148">
        <v>2836</v>
      </c>
      <c r="X33" s="148">
        <v>2236</v>
      </c>
      <c r="Y33" s="148">
        <v>2427</v>
      </c>
      <c r="Z33" s="148">
        <v>3343</v>
      </c>
      <c r="AA33" s="148">
        <v>2212</v>
      </c>
      <c r="AB33" s="148">
        <v>2994</v>
      </c>
      <c r="AC33" s="148">
        <v>3148</v>
      </c>
      <c r="AD33" s="148">
        <v>22944</v>
      </c>
      <c r="AE33" s="148">
        <v>22944</v>
      </c>
      <c r="AF33" s="148">
        <v>3748</v>
      </c>
      <c r="AG33" s="148">
        <v>19196</v>
      </c>
      <c r="AH33" s="147" t="s">
        <v>248</v>
      </c>
      <c r="AI33" s="147">
        <v>8</v>
      </c>
      <c r="AJ33" s="147" t="s">
        <v>509</v>
      </c>
    </row>
    <row r="34" spans="1:36">
      <c r="A34" s="147" t="s">
        <v>597</v>
      </c>
      <c r="B34" s="147" t="s">
        <v>502</v>
      </c>
      <c r="C34" s="147" t="s">
        <v>503</v>
      </c>
      <c r="D34" s="147" t="s">
        <v>505</v>
      </c>
      <c r="E34" s="147">
        <v>34</v>
      </c>
      <c r="F34" s="147" t="s">
        <v>507</v>
      </c>
      <c r="G34" s="147" t="s">
        <v>131</v>
      </c>
      <c r="H34" s="147">
        <v>22</v>
      </c>
      <c r="I34" s="148">
        <v>1826.6666666666667</v>
      </c>
      <c r="J34" s="147" t="s">
        <v>343</v>
      </c>
      <c r="K34" s="148">
        <v>519</v>
      </c>
      <c r="L34" s="148">
        <v>632</v>
      </c>
      <c r="M34" s="148">
        <v>869</v>
      </c>
      <c r="N34" s="148">
        <v>1106</v>
      </c>
      <c r="O34" s="148">
        <v>1106</v>
      </c>
      <c r="P34" s="148">
        <v>1363</v>
      </c>
      <c r="Q34" s="148">
        <v>1442</v>
      </c>
      <c r="R34" s="148">
        <v>1600</v>
      </c>
      <c r="S34" s="148">
        <v>1980</v>
      </c>
      <c r="T34" s="148">
        <v>1485</v>
      </c>
      <c r="U34" s="148">
        <v>1550</v>
      </c>
      <c r="V34" s="148">
        <v>1765</v>
      </c>
      <c r="W34" s="148">
        <v>1830</v>
      </c>
      <c r="X34" s="148">
        <v>2990</v>
      </c>
      <c r="Y34" s="148">
        <v>1835</v>
      </c>
      <c r="Z34" s="148">
        <v>2025</v>
      </c>
      <c r="AA34" s="148">
        <v>1845</v>
      </c>
      <c r="AB34" s="148">
        <v>1790</v>
      </c>
      <c r="AC34" s="148">
        <v>1845</v>
      </c>
      <c r="AD34" s="148">
        <v>29577</v>
      </c>
      <c r="AE34" s="148">
        <v>22540</v>
      </c>
      <c r="AF34" s="148">
        <v>15417</v>
      </c>
      <c r="AG34" s="148">
        <v>14160</v>
      </c>
      <c r="AH34" s="147" t="s">
        <v>248</v>
      </c>
      <c r="AI34" s="147">
        <v>19</v>
      </c>
      <c r="AJ34" s="147" t="s">
        <v>509</v>
      </c>
    </row>
    <row r="35" spans="1:36">
      <c r="A35" s="147" t="s">
        <v>598</v>
      </c>
      <c r="B35" s="147" t="s">
        <v>502</v>
      </c>
      <c r="C35" s="147" t="s">
        <v>503</v>
      </c>
      <c r="D35" s="147" t="s">
        <v>343</v>
      </c>
      <c r="E35" s="147">
        <v>90</v>
      </c>
      <c r="F35" s="147" t="s">
        <v>507</v>
      </c>
      <c r="G35" s="147" t="s">
        <v>588</v>
      </c>
      <c r="H35" s="147">
        <v>37</v>
      </c>
      <c r="I35" s="148">
        <v>1640</v>
      </c>
      <c r="J35" s="147" t="s">
        <v>343</v>
      </c>
      <c r="K35" s="148">
        <v>1887.5</v>
      </c>
      <c r="L35" s="148">
        <v>1913</v>
      </c>
      <c r="M35" s="148">
        <v>1913</v>
      </c>
      <c r="N35" s="148">
        <v>1904.5</v>
      </c>
      <c r="O35" s="148">
        <v>1896</v>
      </c>
      <c r="P35" s="148">
        <v>1913</v>
      </c>
      <c r="Q35" s="148">
        <v>1921.5</v>
      </c>
      <c r="R35" s="148">
        <v>1947</v>
      </c>
      <c r="S35" s="148">
        <v>1921.5</v>
      </c>
      <c r="T35" s="148">
        <v>1930</v>
      </c>
      <c r="U35" s="148">
        <v>1904.5</v>
      </c>
      <c r="V35" s="148">
        <v>1938.5</v>
      </c>
      <c r="W35" s="148">
        <v>1930</v>
      </c>
      <c r="X35" s="148">
        <v>1930</v>
      </c>
      <c r="Y35" s="148">
        <v>1930</v>
      </c>
      <c r="Z35" s="148">
        <v>1938.5</v>
      </c>
      <c r="AA35" s="148">
        <v>1680</v>
      </c>
      <c r="AB35" s="148">
        <v>1700</v>
      </c>
      <c r="AC35" s="148">
        <v>1540</v>
      </c>
      <c r="AD35" s="148">
        <v>35638.5</v>
      </c>
      <c r="AE35" s="148">
        <v>22290</v>
      </c>
      <c r="AF35" s="148">
        <v>22990</v>
      </c>
      <c r="AG35" s="148">
        <v>12648.5</v>
      </c>
      <c r="AH35" s="147" t="s">
        <v>248</v>
      </c>
      <c r="AI35" s="147">
        <v>19</v>
      </c>
      <c r="AJ35" s="147" t="s">
        <v>509</v>
      </c>
    </row>
    <row r="36" spans="1:36">
      <c r="A36" s="147" t="s">
        <v>601</v>
      </c>
      <c r="B36" s="147" t="s">
        <v>502</v>
      </c>
      <c r="C36" s="147" t="s">
        <v>503</v>
      </c>
      <c r="D36" s="147" t="s">
        <v>505</v>
      </c>
      <c r="E36" s="147">
        <v>22</v>
      </c>
      <c r="F36" s="147" t="s">
        <v>507</v>
      </c>
      <c r="G36" s="147" t="s">
        <v>602</v>
      </c>
      <c r="H36" s="147">
        <v>35</v>
      </c>
      <c r="I36" s="148">
        <v>1825</v>
      </c>
      <c r="J36" s="147" t="s">
        <v>343</v>
      </c>
      <c r="K36" s="148">
        <v>2030</v>
      </c>
      <c r="L36" s="148">
        <v>1659</v>
      </c>
      <c r="M36" s="148">
        <v>1817</v>
      </c>
      <c r="N36" s="148">
        <v>1738</v>
      </c>
      <c r="O36" s="148">
        <v>1738</v>
      </c>
      <c r="P36" s="148">
        <v>1738</v>
      </c>
      <c r="Q36" s="148">
        <v>1738</v>
      </c>
      <c r="R36" s="148">
        <v>1738</v>
      </c>
      <c r="S36" s="148">
        <v>1750</v>
      </c>
      <c r="T36" s="148">
        <v>1750</v>
      </c>
      <c r="U36" s="148">
        <v>1825</v>
      </c>
      <c r="V36" s="148">
        <v>1825</v>
      </c>
      <c r="W36" s="148">
        <v>1825</v>
      </c>
      <c r="X36" s="148">
        <v>2305</v>
      </c>
      <c r="Y36" s="148">
        <v>1825</v>
      </c>
      <c r="Z36" s="148">
        <v>1825</v>
      </c>
      <c r="AA36" s="148">
        <v>1825</v>
      </c>
      <c r="AB36" s="148">
        <v>1900</v>
      </c>
      <c r="AC36" s="148">
        <v>1750</v>
      </c>
      <c r="AD36" s="148">
        <v>34601</v>
      </c>
      <c r="AE36" s="148">
        <v>22143</v>
      </c>
      <c r="AF36" s="148">
        <v>21346</v>
      </c>
      <c r="AG36" s="148">
        <v>13255</v>
      </c>
      <c r="AH36" s="147" t="s">
        <v>248</v>
      </c>
      <c r="AI36" s="147">
        <v>19</v>
      </c>
      <c r="AJ36" s="147" t="s">
        <v>509</v>
      </c>
    </row>
    <row r="37" spans="1:36">
      <c r="A37" s="147" t="s">
        <v>604</v>
      </c>
      <c r="B37" s="147" t="s">
        <v>502</v>
      </c>
      <c r="C37" s="147" t="s">
        <v>503</v>
      </c>
      <c r="D37" s="147" t="s">
        <v>505</v>
      </c>
      <c r="E37" s="147">
        <v>32</v>
      </c>
      <c r="F37" s="147" t="s">
        <v>507</v>
      </c>
      <c r="G37" s="147" t="s">
        <v>131</v>
      </c>
      <c r="H37" s="147">
        <v>22</v>
      </c>
      <c r="I37" s="148">
        <v>2176.3333333333335</v>
      </c>
      <c r="J37" s="147" t="s">
        <v>343</v>
      </c>
      <c r="K37" s="148">
        <v>752</v>
      </c>
      <c r="L37" s="148">
        <v>474</v>
      </c>
      <c r="M37" s="148">
        <v>869</v>
      </c>
      <c r="N37" s="148">
        <v>948</v>
      </c>
      <c r="O37" s="148">
        <v>1027</v>
      </c>
      <c r="P37" s="148">
        <v>1106</v>
      </c>
      <c r="Q37" s="148">
        <v>1185</v>
      </c>
      <c r="R37" s="148">
        <v>1343</v>
      </c>
      <c r="S37" s="148">
        <v>1422</v>
      </c>
      <c r="T37" s="148">
        <v>1358</v>
      </c>
      <c r="U37" s="148">
        <v>1580</v>
      </c>
      <c r="V37" s="148">
        <v>1654</v>
      </c>
      <c r="W37" s="148">
        <v>2267</v>
      </c>
      <c r="X37" s="148">
        <v>1728</v>
      </c>
      <c r="Y37" s="148">
        <v>1950</v>
      </c>
      <c r="Z37" s="148">
        <v>2098</v>
      </c>
      <c r="AA37" s="148">
        <v>2172</v>
      </c>
      <c r="AB37" s="148">
        <v>2255</v>
      </c>
      <c r="AC37" s="148">
        <v>2102</v>
      </c>
      <c r="AD37" s="148">
        <v>28290</v>
      </c>
      <c r="AE37" s="148">
        <v>21929</v>
      </c>
      <c r="AF37" s="148">
        <v>13718</v>
      </c>
      <c r="AG37" s="148">
        <v>14572</v>
      </c>
      <c r="AH37" s="147" t="s">
        <v>248</v>
      </c>
      <c r="AI37" s="147">
        <v>19</v>
      </c>
      <c r="AJ37" s="147" t="s">
        <v>509</v>
      </c>
    </row>
    <row r="38" spans="1:36">
      <c r="A38" s="147" t="s">
        <v>606</v>
      </c>
      <c r="B38" s="147" t="s">
        <v>567</v>
      </c>
      <c r="C38" s="147" t="s">
        <v>503</v>
      </c>
      <c r="D38" s="147" t="s">
        <v>505</v>
      </c>
      <c r="E38" s="147">
        <v>32</v>
      </c>
      <c r="F38" s="147" t="s">
        <v>568</v>
      </c>
      <c r="G38" s="147" t="s">
        <v>588</v>
      </c>
      <c r="H38" s="147">
        <v>37</v>
      </c>
      <c r="I38" s="148">
        <v>2735.3333333333335</v>
      </c>
      <c r="J38" s="147" t="s">
        <v>343</v>
      </c>
      <c r="K38" s="148">
        <v>2453</v>
      </c>
      <c r="L38" s="148">
        <v>1958</v>
      </c>
      <c r="M38" s="148">
        <v>1958</v>
      </c>
      <c r="N38" s="148">
        <v>1869</v>
      </c>
      <c r="O38" s="148">
        <v>1869</v>
      </c>
      <c r="P38" s="148">
        <v>1869</v>
      </c>
      <c r="Q38" s="148">
        <v>1885</v>
      </c>
      <c r="R38" s="148">
        <v>1970</v>
      </c>
      <c r="S38" s="148">
        <v>1970</v>
      </c>
      <c r="T38" s="148">
        <v>2179</v>
      </c>
      <c r="U38" s="148">
        <v>2179</v>
      </c>
      <c r="V38" s="148">
        <v>2179</v>
      </c>
      <c r="W38" s="148">
        <v>2410</v>
      </c>
      <c r="X38" s="148">
        <v>3070</v>
      </c>
      <c r="Y38" s="148">
        <v>2444</v>
      </c>
      <c r="Z38" s="148">
        <v>2692</v>
      </c>
      <c r="AA38" s="148">
        <v>0</v>
      </c>
      <c r="AB38" s="147" t="s">
        <v>343</v>
      </c>
      <c r="AC38" s="147" t="s">
        <v>343</v>
      </c>
      <c r="AD38" s="148">
        <v>34954</v>
      </c>
      <c r="AE38" s="148">
        <v>21093</v>
      </c>
      <c r="AF38" s="148">
        <v>24338</v>
      </c>
      <c r="AG38" s="148">
        <v>10616</v>
      </c>
      <c r="AH38" s="147" t="s">
        <v>245</v>
      </c>
      <c r="AI38" s="147">
        <v>16</v>
      </c>
      <c r="AJ38" s="147" t="s">
        <v>510</v>
      </c>
    </row>
    <row r="39" spans="1:36">
      <c r="A39" s="147" t="s">
        <v>608</v>
      </c>
      <c r="B39" s="147" t="s">
        <v>567</v>
      </c>
      <c r="C39" s="147" t="s">
        <v>503</v>
      </c>
      <c r="D39" s="147" t="s">
        <v>343</v>
      </c>
      <c r="E39" s="147">
        <v>25</v>
      </c>
      <c r="F39" s="147" t="s">
        <v>568</v>
      </c>
      <c r="G39" s="147" t="s">
        <v>132</v>
      </c>
      <c r="H39" s="147">
        <v>21</v>
      </c>
      <c r="I39" s="148">
        <v>2319</v>
      </c>
      <c r="J39" s="147" t="s">
        <v>343</v>
      </c>
      <c r="K39" s="148">
        <v>2010</v>
      </c>
      <c r="L39" s="148">
        <v>1500</v>
      </c>
      <c r="M39" s="148">
        <v>1150</v>
      </c>
      <c r="N39" s="148">
        <v>1290</v>
      </c>
      <c r="O39" s="148">
        <v>1430</v>
      </c>
      <c r="P39" s="148">
        <v>1500</v>
      </c>
      <c r="Q39" s="148">
        <v>1780</v>
      </c>
      <c r="R39" s="148">
        <v>1780</v>
      </c>
      <c r="S39" s="148">
        <v>1570</v>
      </c>
      <c r="T39" s="148">
        <v>1710</v>
      </c>
      <c r="U39" s="148">
        <v>1654</v>
      </c>
      <c r="V39" s="148">
        <v>1728</v>
      </c>
      <c r="W39" s="148">
        <v>2006</v>
      </c>
      <c r="X39" s="148">
        <v>2915</v>
      </c>
      <c r="Y39" s="148">
        <v>2406</v>
      </c>
      <c r="Z39" s="148">
        <v>2406</v>
      </c>
      <c r="AA39" s="148">
        <v>2145</v>
      </c>
      <c r="AB39" s="147" t="s">
        <v>343</v>
      </c>
      <c r="AC39" s="147" t="s">
        <v>343</v>
      </c>
      <c r="AD39" s="148">
        <v>30980</v>
      </c>
      <c r="AE39" s="148">
        <v>20320</v>
      </c>
      <c r="AF39" s="148">
        <v>19102</v>
      </c>
      <c r="AG39" s="148">
        <v>11878</v>
      </c>
      <c r="AH39" s="147" t="s">
        <v>246</v>
      </c>
      <c r="AI39" s="147">
        <v>17</v>
      </c>
      <c r="AJ39" s="147" t="s">
        <v>510</v>
      </c>
    </row>
    <row r="40" spans="1:36">
      <c r="A40" s="147" t="s">
        <v>609</v>
      </c>
      <c r="B40" s="147" t="s">
        <v>502</v>
      </c>
      <c r="C40" s="147" t="s">
        <v>503</v>
      </c>
      <c r="D40" s="147" t="s">
        <v>505</v>
      </c>
      <c r="E40" s="147">
        <v>16</v>
      </c>
      <c r="F40" s="147" t="s">
        <v>507</v>
      </c>
      <c r="G40" s="147" t="s">
        <v>122</v>
      </c>
      <c r="H40" s="147">
        <v>31</v>
      </c>
      <c r="I40" s="148">
        <v>1581.6666666666667</v>
      </c>
      <c r="J40" s="147" t="s">
        <v>343</v>
      </c>
      <c r="K40" s="148">
        <v>810</v>
      </c>
      <c r="L40" s="148">
        <v>600</v>
      </c>
      <c r="M40" s="148">
        <v>850</v>
      </c>
      <c r="N40" s="148">
        <v>2690</v>
      </c>
      <c r="O40" s="148">
        <v>2871.5</v>
      </c>
      <c r="P40" s="148">
        <v>2682.5</v>
      </c>
      <c r="Q40" s="148">
        <v>2808</v>
      </c>
      <c r="R40" s="148">
        <v>2705</v>
      </c>
      <c r="S40" s="148">
        <v>2705</v>
      </c>
      <c r="T40" s="148">
        <v>1023.5</v>
      </c>
      <c r="U40" s="148">
        <v>1150</v>
      </c>
      <c r="V40" s="148">
        <v>1350</v>
      </c>
      <c r="W40" s="148">
        <v>1801</v>
      </c>
      <c r="X40" s="148">
        <v>1364</v>
      </c>
      <c r="Y40" s="148">
        <v>1578</v>
      </c>
      <c r="Z40" s="148">
        <v>1535</v>
      </c>
      <c r="AA40" s="148">
        <v>1578</v>
      </c>
      <c r="AB40" s="148">
        <v>1632</v>
      </c>
      <c r="AC40" s="148">
        <v>1535</v>
      </c>
      <c r="AD40" s="148">
        <v>33268.5</v>
      </c>
      <c r="AE40" s="148">
        <v>19956.5</v>
      </c>
      <c r="AF40" s="148">
        <v>22245.5</v>
      </c>
      <c r="AG40" s="148">
        <v>11023</v>
      </c>
      <c r="AH40" s="147" t="s">
        <v>248</v>
      </c>
      <c r="AI40" s="147">
        <v>19</v>
      </c>
      <c r="AJ40" s="147" t="s">
        <v>509</v>
      </c>
    </row>
    <row r="41" spans="1:36">
      <c r="A41" s="147" t="s">
        <v>610</v>
      </c>
      <c r="B41" s="147" t="s">
        <v>502</v>
      </c>
      <c r="C41" s="147" t="s">
        <v>503</v>
      </c>
      <c r="D41" s="147" t="s">
        <v>505</v>
      </c>
      <c r="E41" s="147">
        <v>84</v>
      </c>
      <c r="F41" s="147" t="s">
        <v>507</v>
      </c>
      <c r="G41" s="147" t="s">
        <v>210</v>
      </c>
      <c r="H41" s="147">
        <v>9</v>
      </c>
      <c r="I41" s="148">
        <v>2935</v>
      </c>
      <c r="J41" s="147" t="s">
        <v>343</v>
      </c>
      <c r="K41" s="147" t="s">
        <v>343</v>
      </c>
      <c r="L41" s="147" t="s">
        <v>343</v>
      </c>
      <c r="M41" s="147" t="s">
        <v>343</v>
      </c>
      <c r="N41" s="147" t="s">
        <v>343</v>
      </c>
      <c r="O41" s="147" t="s">
        <v>343</v>
      </c>
      <c r="P41" s="147" t="s">
        <v>343</v>
      </c>
      <c r="Q41" s="147" t="s">
        <v>343</v>
      </c>
      <c r="R41" s="147" t="s">
        <v>343</v>
      </c>
      <c r="S41" s="147" t="s">
        <v>343</v>
      </c>
      <c r="T41" s="147" t="s">
        <v>343</v>
      </c>
      <c r="U41" s="147" t="s">
        <v>343</v>
      </c>
      <c r="V41" s="147" t="s">
        <v>343</v>
      </c>
      <c r="W41" s="147" t="s">
        <v>343</v>
      </c>
      <c r="X41" s="148">
        <v>5420</v>
      </c>
      <c r="Y41" s="148">
        <v>2795</v>
      </c>
      <c r="Z41" s="148">
        <v>2865</v>
      </c>
      <c r="AA41" s="148">
        <v>2865</v>
      </c>
      <c r="AB41" s="148">
        <v>2935</v>
      </c>
      <c r="AC41" s="148">
        <v>3005</v>
      </c>
      <c r="AD41" s="148">
        <v>19885</v>
      </c>
      <c r="AE41" s="148">
        <v>19885</v>
      </c>
      <c r="AF41" s="148">
        <v>0</v>
      </c>
      <c r="AG41" s="148">
        <v>19885</v>
      </c>
      <c r="AH41" s="147" t="s">
        <v>248</v>
      </c>
      <c r="AI41" s="147">
        <v>6</v>
      </c>
      <c r="AJ41" s="147" t="s">
        <v>509</v>
      </c>
    </row>
    <row r="42" spans="1:36">
      <c r="A42" s="147" t="s">
        <v>611</v>
      </c>
      <c r="B42" s="147" t="s">
        <v>502</v>
      </c>
      <c r="C42" s="147" t="s">
        <v>503</v>
      </c>
      <c r="D42" s="147" t="s">
        <v>612</v>
      </c>
      <c r="E42" s="147">
        <v>66</v>
      </c>
      <c r="F42" s="147" t="s">
        <v>560</v>
      </c>
      <c r="G42" s="147" t="s">
        <v>124</v>
      </c>
      <c r="H42" s="147">
        <v>29</v>
      </c>
      <c r="I42" s="148">
        <v>2225</v>
      </c>
      <c r="J42" s="147" t="s">
        <v>343</v>
      </c>
      <c r="K42" s="148">
        <v>950</v>
      </c>
      <c r="L42" s="148">
        <v>950</v>
      </c>
      <c r="M42" s="148">
        <v>2055</v>
      </c>
      <c r="N42" s="148">
        <v>950</v>
      </c>
      <c r="O42" s="148">
        <v>2700</v>
      </c>
      <c r="P42" s="148">
        <v>950</v>
      </c>
      <c r="Q42" s="148">
        <v>950</v>
      </c>
      <c r="R42" s="148">
        <v>950</v>
      </c>
      <c r="S42" s="148">
        <v>950</v>
      </c>
      <c r="T42" s="148">
        <v>950</v>
      </c>
      <c r="U42" s="148">
        <v>2250</v>
      </c>
      <c r="V42" s="148">
        <v>1275</v>
      </c>
      <c r="W42" s="148">
        <v>1195</v>
      </c>
      <c r="X42" s="148">
        <v>2369</v>
      </c>
      <c r="Y42" s="148">
        <v>1375</v>
      </c>
      <c r="Z42" s="148">
        <v>1400</v>
      </c>
      <c r="AA42" s="148">
        <v>1475</v>
      </c>
      <c r="AB42" s="148">
        <v>3650</v>
      </c>
      <c r="AC42" s="148">
        <v>1550</v>
      </c>
      <c r="AD42" s="148">
        <v>28894</v>
      </c>
      <c r="AE42" s="148">
        <v>19389</v>
      </c>
      <c r="AF42" s="148">
        <v>15880</v>
      </c>
      <c r="AG42" s="148">
        <v>13014</v>
      </c>
      <c r="AH42" s="147" t="s">
        <v>248</v>
      </c>
      <c r="AI42" s="147">
        <v>19</v>
      </c>
      <c r="AJ42" s="147" t="s">
        <v>509</v>
      </c>
    </row>
    <row r="43" spans="1:36">
      <c r="A43" s="147" t="s">
        <v>614</v>
      </c>
      <c r="B43" s="147" t="s">
        <v>502</v>
      </c>
      <c r="C43" s="147" t="s">
        <v>503</v>
      </c>
      <c r="D43" s="147" t="s">
        <v>505</v>
      </c>
      <c r="E43" s="147">
        <v>39</v>
      </c>
      <c r="F43" s="147" t="s">
        <v>507</v>
      </c>
      <c r="G43" s="147" t="s">
        <v>208</v>
      </c>
      <c r="H43" s="147">
        <v>11</v>
      </c>
      <c r="I43" s="148">
        <v>1915</v>
      </c>
      <c r="J43" s="147" t="s">
        <v>343</v>
      </c>
      <c r="K43" s="147" t="s">
        <v>343</v>
      </c>
      <c r="L43" s="147" t="s">
        <v>343</v>
      </c>
      <c r="M43" s="147" t="s">
        <v>343</v>
      </c>
      <c r="N43" s="147" t="s">
        <v>343</v>
      </c>
      <c r="O43" s="147" t="s">
        <v>343</v>
      </c>
      <c r="P43" s="147" t="s">
        <v>343</v>
      </c>
      <c r="Q43" s="147" t="s">
        <v>343</v>
      </c>
      <c r="R43" s="147" t="s">
        <v>343</v>
      </c>
      <c r="S43" s="147" t="s">
        <v>343</v>
      </c>
      <c r="T43" s="147" t="s">
        <v>343</v>
      </c>
      <c r="U43" s="148">
        <v>3730</v>
      </c>
      <c r="V43" s="148">
        <v>1915</v>
      </c>
      <c r="W43" s="148">
        <v>1805</v>
      </c>
      <c r="X43" s="148">
        <v>1960</v>
      </c>
      <c r="Y43" s="148">
        <v>1780</v>
      </c>
      <c r="Z43" s="148">
        <v>1695</v>
      </c>
      <c r="AA43" s="148">
        <v>1915</v>
      </c>
      <c r="AB43" s="148">
        <v>1860</v>
      </c>
      <c r="AC43" s="148">
        <v>1970</v>
      </c>
      <c r="AD43" s="148">
        <v>18630</v>
      </c>
      <c r="AE43" s="148">
        <v>18630</v>
      </c>
      <c r="AF43" s="148">
        <v>5645</v>
      </c>
      <c r="AG43" s="148">
        <v>12985</v>
      </c>
      <c r="AH43" s="147" t="s">
        <v>248</v>
      </c>
      <c r="AI43" s="147">
        <v>9</v>
      </c>
      <c r="AJ43" s="147" t="s">
        <v>509</v>
      </c>
    </row>
    <row r="44" spans="1:36">
      <c r="A44" s="147" t="s">
        <v>616</v>
      </c>
      <c r="B44" s="147" t="s">
        <v>502</v>
      </c>
      <c r="C44" s="147" t="s">
        <v>503</v>
      </c>
      <c r="D44" s="147" t="s">
        <v>505</v>
      </c>
      <c r="E44" s="147">
        <v>45</v>
      </c>
      <c r="F44" s="147" t="s">
        <v>507</v>
      </c>
      <c r="G44" s="147" t="s">
        <v>242</v>
      </c>
      <c r="H44" s="147">
        <v>7</v>
      </c>
      <c r="I44" s="148">
        <v>2458</v>
      </c>
      <c r="J44" s="147" t="s">
        <v>343</v>
      </c>
      <c r="K44" s="147" t="s">
        <v>343</v>
      </c>
      <c r="L44" s="147" t="s">
        <v>343</v>
      </c>
      <c r="M44" s="147" t="s">
        <v>343</v>
      </c>
      <c r="N44" s="147" t="s">
        <v>343</v>
      </c>
      <c r="O44" s="147" t="s">
        <v>343</v>
      </c>
      <c r="P44" s="147" t="s">
        <v>343</v>
      </c>
      <c r="Q44" s="147" t="s">
        <v>343</v>
      </c>
      <c r="R44" s="147" t="s">
        <v>343</v>
      </c>
      <c r="S44" s="147" t="s">
        <v>343</v>
      </c>
      <c r="T44" s="147" t="s">
        <v>343</v>
      </c>
      <c r="U44" s="147" t="s">
        <v>343</v>
      </c>
      <c r="V44" s="147" t="s">
        <v>343</v>
      </c>
      <c r="W44" s="148">
        <v>4257</v>
      </c>
      <c r="X44" s="148">
        <v>2216</v>
      </c>
      <c r="Y44" s="148">
        <v>2378</v>
      </c>
      <c r="Z44" s="148">
        <v>2378</v>
      </c>
      <c r="AA44" s="148">
        <v>3271</v>
      </c>
      <c r="AB44" s="148">
        <v>3231</v>
      </c>
      <c r="AC44" s="148">
        <v>872</v>
      </c>
      <c r="AD44" s="148">
        <v>18603</v>
      </c>
      <c r="AE44" s="148">
        <v>18603</v>
      </c>
      <c r="AF44" s="148">
        <v>0</v>
      </c>
      <c r="AG44" s="148">
        <v>18603</v>
      </c>
      <c r="AH44" s="147" t="s">
        <v>248</v>
      </c>
      <c r="AI44" s="147">
        <v>7</v>
      </c>
      <c r="AJ44" s="147" t="s">
        <v>509</v>
      </c>
    </row>
    <row r="45" spans="1:36">
      <c r="A45" s="147" t="s">
        <v>619</v>
      </c>
      <c r="B45" s="147" t="s">
        <v>502</v>
      </c>
      <c r="C45" s="147" t="s">
        <v>503</v>
      </c>
      <c r="D45" s="147" t="s">
        <v>505</v>
      </c>
      <c r="E45" s="147">
        <v>18</v>
      </c>
      <c r="F45" s="147" t="s">
        <v>507</v>
      </c>
      <c r="G45" s="147" t="s">
        <v>127</v>
      </c>
      <c r="H45" s="147">
        <v>26</v>
      </c>
      <c r="I45" s="148">
        <v>1551</v>
      </c>
      <c r="J45" s="147" t="s">
        <v>343</v>
      </c>
      <c r="K45" s="148">
        <v>790</v>
      </c>
      <c r="L45" s="148">
        <v>1196</v>
      </c>
      <c r="M45" s="148">
        <v>1264</v>
      </c>
      <c r="N45" s="148">
        <v>948</v>
      </c>
      <c r="O45" s="148">
        <v>1264</v>
      </c>
      <c r="P45" s="148">
        <v>1370</v>
      </c>
      <c r="Q45" s="148">
        <v>1445</v>
      </c>
      <c r="R45" s="148">
        <v>1280</v>
      </c>
      <c r="S45" s="148">
        <v>1430</v>
      </c>
      <c r="T45" s="148">
        <v>1335</v>
      </c>
      <c r="U45" s="148">
        <v>1410</v>
      </c>
      <c r="V45" s="148">
        <v>1560</v>
      </c>
      <c r="W45" s="148">
        <v>1635</v>
      </c>
      <c r="X45" s="148">
        <v>1485</v>
      </c>
      <c r="Y45" s="148">
        <v>1410</v>
      </c>
      <c r="Z45" s="148">
        <v>1635</v>
      </c>
      <c r="AA45" s="148">
        <v>1635</v>
      </c>
      <c r="AB45" s="148">
        <v>1509</v>
      </c>
      <c r="AC45" s="148">
        <v>1509</v>
      </c>
      <c r="AD45" s="148">
        <v>26110</v>
      </c>
      <c r="AE45" s="148">
        <v>17833</v>
      </c>
      <c r="AF45" s="148">
        <v>15292</v>
      </c>
      <c r="AG45" s="148">
        <v>10818</v>
      </c>
      <c r="AH45" s="147" t="s">
        <v>248</v>
      </c>
      <c r="AI45" s="147">
        <v>19</v>
      </c>
      <c r="AJ45" s="147" t="s">
        <v>509</v>
      </c>
    </row>
    <row r="46" spans="1:36">
      <c r="A46" s="147" t="s">
        <v>620</v>
      </c>
      <c r="B46" s="147" t="s">
        <v>502</v>
      </c>
      <c r="C46" s="147" t="s">
        <v>503</v>
      </c>
      <c r="D46" s="147" t="s">
        <v>621</v>
      </c>
      <c r="E46" s="147">
        <v>48</v>
      </c>
      <c r="F46" s="147" t="s">
        <v>507</v>
      </c>
      <c r="G46" s="147" t="s">
        <v>211</v>
      </c>
      <c r="H46" s="147">
        <v>8</v>
      </c>
      <c r="I46" s="148">
        <v>2476.15</v>
      </c>
      <c r="J46" s="147" t="s">
        <v>343</v>
      </c>
      <c r="K46" s="147" t="s">
        <v>343</v>
      </c>
      <c r="L46" s="147" t="s">
        <v>343</v>
      </c>
      <c r="M46" s="147" t="s">
        <v>343</v>
      </c>
      <c r="N46" s="147" t="s">
        <v>343</v>
      </c>
      <c r="O46" s="147" t="s">
        <v>343</v>
      </c>
      <c r="P46" s="147" t="s">
        <v>343</v>
      </c>
      <c r="Q46" s="147" t="s">
        <v>343</v>
      </c>
      <c r="R46" s="147" t="s">
        <v>343</v>
      </c>
      <c r="S46" s="147" t="s">
        <v>343</v>
      </c>
      <c r="T46" s="147" t="s">
        <v>343</v>
      </c>
      <c r="U46" s="147" t="s">
        <v>343</v>
      </c>
      <c r="V46" s="148">
        <v>1805</v>
      </c>
      <c r="W46" s="148">
        <v>2337.5500000000002</v>
      </c>
      <c r="X46" s="148">
        <v>2185.9</v>
      </c>
      <c r="Y46" s="148">
        <v>1702</v>
      </c>
      <c r="Z46" s="148">
        <v>2360</v>
      </c>
      <c r="AA46" s="148">
        <v>2516</v>
      </c>
      <c r="AB46" s="148">
        <v>2448.4499999999998</v>
      </c>
      <c r="AC46" s="148">
        <v>2464</v>
      </c>
      <c r="AD46" s="148">
        <v>17818.900000000001</v>
      </c>
      <c r="AE46" s="148">
        <v>17818.900000000001</v>
      </c>
      <c r="AF46" s="148">
        <v>1805</v>
      </c>
      <c r="AG46" s="148">
        <v>16013.900000000001</v>
      </c>
      <c r="AH46" s="147" t="s">
        <v>248</v>
      </c>
      <c r="AI46" s="147">
        <v>8</v>
      </c>
      <c r="AJ46" s="147" t="s">
        <v>509</v>
      </c>
    </row>
    <row r="47" spans="1:36">
      <c r="A47" s="147" t="s">
        <v>623</v>
      </c>
      <c r="B47" s="147" t="s">
        <v>502</v>
      </c>
      <c r="C47" s="147" t="s">
        <v>503</v>
      </c>
      <c r="D47" s="147" t="s">
        <v>505</v>
      </c>
      <c r="E47" s="147">
        <v>20</v>
      </c>
      <c r="F47" s="147" t="s">
        <v>507</v>
      </c>
      <c r="G47" s="147" t="s">
        <v>124</v>
      </c>
      <c r="H47" s="147">
        <v>29</v>
      </c>
      <c r="I47" s="148">
        <v>1947.3333333333333</v>
      </c>
      <c r="J47" s="147" t="s">
        <v>343</v>
      </c>
      <c r="K47" s="147" t="s">
        <v>343</v>
      </c>
      <c r="L47" s="147" t="s">
        <v>343</v>
      </c>
      <c r="M47" s="147" t="s">
        <v>343</v>
      </c>
      <c r="N47" s="147" t="s">
        <v>343</v>
      </c>
      <c r="O47" s="148">
        <v>2350</v>
      </c>
      <c r="P47" s="148">
        <v>2702.5</v>
      </c>
      <c r="Q47" s="148">
        <v>1075</v>
      </c>
      <c r="R47" s="148">
        <v>1075</v>
      </c>
      <c r="S47" s="148">
        <v>1150</v>
      </c>
      <c r="T47" s="148">
        <v>1150</v>
      </c>
      <c r="U47" s="148">
        <v>1150</v>
      </c>
      <c r="V47" s="148">
        <v>1150</v>
      </c>
      <c r="W47" s="148">
        <v>1425</v>
      </c>
      <c r="X47" s="148">
        <v>1785</v>
      </c>
      <c r="Y47" s="148">
        <v>1500</v>
      </c>
      <c r="Z47" s="148">
        <v>1500</v>
      </c>
      <c r="AA47" s="148">
        <v>1674</v>
      </c>
      <c r="AB47" s="148">
        <v>2038</v>
      </c>
      <c r="AC47" s="148">
        <v>2130</v>
      </c>
      <c r="AD47" s="148">
        <v>23854.5</v>
      </c>
      <c r="AE47" s="148">
        <v>17727</v>
      </c>
      <c r="AF47" s="148">
        <v>11802.5</v>
      </c>
      <c r="AG47" s="148">
        <v>12052</v>
      </c>
      <c r="AH47" s="147" t="s">
        <v>248</v>
      </c>
      <c r="AI47" s="147">
        <v>15</v>
      </c>
      <c r="AJ47" s="147" t="s">
        <v>509</v>
      </c>
    </row>
    <row r="48" spans="1:36">
      <c r="A48" s="147" t="s">
        <v>624</v>
      </c>
      <c r="B48" s="147" t="s">
        <v>502</v>
      </c>
      <c r="C48" s="147" t="s">
        <v>503</v>
      </c>
      <c r="D48" s="147" t="s">
        <v>505</v>
      </c>
      <c r="E48" s="147">
        <v>24</v>
      </c>
      <c r="F48" s="147" t="s">
        <v>507</v>
      </c>
      <c r="G48" s="147" t="s">
        <v>625</v>
      </c>
      <c r="H48" s="147">
        <v>49</v>
      </c>
      <c r="I48" s="148">
        <v>1651</v>
      </c>
      <c r="J48" s="147" t="s">
        <v>343</v>
      </c>
      <c r="K48" s="148">
        <v>1222</v>
      </c>
      <c r="L48" s="148">
        <v>1025</v>
      </c>
      <c r="M48" s="148">
        <v>1175</v>
      </c>
      <c r="N48" s="148">
        <v>1325</v>
      </c>
      <c r="O48" s="148">
        <v>1325</v>
      </c>
      <c r="P48" s="148">
        <v>1400</v>
      </c>
      <c r="Q48" s="148">
        <v>1400</v>
      </c>
      <c r="R48" s="148">
        <v>1400</v>
      </c>
      <c r="S48" s="148">
        <v>1325</v>
      </c>
      <c r="T48" s="148">
        <v>1325</v>
      </c>
      <c r="U48" s="148">
        <v>1250</v>
      </c>
      <c r="V48" s="148">
        <v>1325</v>
      </c>
      <c r="W48" s="148">
        <v>1730</v>
      </c>
      <c r="X48" s="148">
        <v>1316</v>
      </c>
      <c r="Y48" s="148">
        <v>1517</v>
      </c>
      <c r="Z48" s="148">
        <v>1584</v>
      </c>
      <c r="AA48" s="148">
        <v>1584</v>
      </c>
      <c r="AB48" s="148">
        <v>1651</v>
      </c>
      <c r="AC48" s="148">
        <v>1718</v>
      </c>
      <c r="AD48" s="148">
        <v>26597</v>
      </c>
      <c r="AE48" s="148">
        <v>17725</v>
      </c>
      <c r="AF48" s="148">
        <v>15497</v>
      </c>
      <c r="AG48" s="148">
        <v>11100</v>
      </c>
      <c r="AH48" s="147" t="s">
        <v>248</v>
      </c>
      <c r="AI48" s="147">
        <v>19</v>
      </c>
      <c r="AJ48" s="147" t="s">
        <v>509</v>
      </c>
    </row>
    <row r="49" spans="1:36">
      <c r="A49" s="147" t="s">
        <v>626</v>
      </c>
      <c r="B49" s="147" t="s">
        <v>567</v>
      </c>
      <c r="C49" s="147" t="s">
        <v>503</v>
      </c>
      <c r="D49" s="147" t="s">
        <v>505</v>
      </c>
      <c r="E49" s="147">
        <v>26</v>
      </c>
      <c r="F49" s="147" t="s">
        <v>507</v>
      </c>
      <c r="G49" s="147" t="s">
        <v>200</v>
      </c>
      <c r="H49" s="147">
        <v>19</v>
      </c>
      <c r="I49" s="148">
        <v>2556.6666666666665</v>
      </c>
      <c r="J49" s="147" t="s">
        <v>627</v>
      </c>
      <c r="K49" s="148">
        <v>640</v>
      </c>
      <c r="L49" s="148">
        <v>340</v>
      </c>
      <c r="M49" s="148">
        <v>340</v>
      </c>
      <c r="N49" s="148">
        <v>400</v>
      </c>
      <c r="O49" s="148">
        <v>400</v>
      </c>
      <c r="P49" s="148">
        <v>625</v>
      </c>
      <c r="Q49" s="148">
        <v>625</v>
      </c>
      <c r="R49" s="148">
        <v>625</v>
      </c>
      <c r="S49" s="148">
        <v>625</v>
      </c>
      <c r="T49" s="148">
        <v>625</v>
      </c>
      <c r="U49" s="148">
        <v>625</v>
      </c>
      <c r="V49" s="148">
        <v>625</v>
      </c>
      <c r="W49" s="148">
        <v>1376</v>
      </c>
      <c r="X49" s="148">
        <v>1514</v>
      </c>
      <c r="Y49" s="148">
        <v>1912</v>
      </c>
      <c r="Z49" s="148">
        <v>1912</v>
      </c>
      <c r="AA49" s="148">
        <v>2441</v>
      </c>
      <c r="AB49" s="148">
        <v>2566</v>
      </c>
      <c r="AC49" s="148">
        <v>2663</v>
      </c>
      <c r="AD49" s="148">
        <v>20879</v>
      </c>
      <c r="AE49" s="148">
        <v>17509</v>
      </c>
      <c r="AF49" s="148">
        <v>6495</v>
      </c>
      <c r="AG49" s="148">
        <v>14384</v>
      </c>
      <c r="AH49" s="147" t="s">
        <v>248</v>
      </c>
      <c r="AI49" s="147">
        <v>19</v>
      </c>
      <c r="AJ49" s="147" t="s">
        <v>509</v>
      </c>
    </row>
    <row r="50" spans="1:36">
      <c r="A50" s="147" t="s">
        <v>628</v>
      </c>
      <c r="B50" s="147" t="s">
        <v>502</v>
      </c>
      <c r="C50" s="147" t="s">
        <v>503</v>
      </c>
      <c r="D50" s="147" t="s">
        <v>505</v>
      </c>
      <c r="E50" s="147">
        <v>26</v>
      </c>
      <c r="F50" s="147" t="s">
        <v>507</v>
      </c>
      <c r="G50" s="147" t="s">
        <v>200</v>
      </c>
      <c r="H50" s="147">
        <v>19</v>
      </c>
      <c r="I50" s="148">
        <v>1712.33</v>
      </c>
      <c r="J50" s="147" t="s">
        <v>343</v>
      </c>
      <c r="K50" s="148">
        <v>1348.75</v>
      </c>
      <c r="L50" s="148">
        <v>688.75</v>
      </c>
      <c r="M50" s="148">
        <v>896.25</v>
      </c>
      <c r="N50" s="148">
        <v>1035</v>
      </c>
      <c r="O50" s="148">
        <v>1035</v>
      </c>
      <c r="P50" s="148">
        <v>1035</v>
      </c>
      <c r="Q50" s="148">
        <v>1120</v>
      </c>
      <c r="R50" s="148">
        <v>1120</v>
      </c>
      <c r="S50" s="148">
        <v>1120</v>
      </c>
      <c r="T50" s="148">
        <v>1290</v>
      </c>
      <c r="U50" s="148">
        <v>1375</v>
      </c>
      <c r="V50" s="148">
        <v>1604</v>
      </c>
      <c r="W50" s="148">
        <v>1402</v>
      </c>
      <c r="X50" s="148">
        <v>1567</v>
      </c>
      <c r="Y50" s="148">
        <v>1554</v>
      </c>
      <c r="Z50" s="148">
        <v>1326</v>
      </c>
      <c r="AA50" s="148">
        <v>1514</v>
      </c>
      <c r="AB50" s="148">
        <v>1728.99</v>
      </c>
      <c r="AC50" s="148">
        <v>1894</v>
      </c>
      <c r="AD50" s="148">
        <v>24653.74</v>
      </c>
      <c r="AE50" s="148">
        <v>17494.989999999998</v>
      </c>
      <c r="AF50" s="148">
        <v>13667.75</v>
      </c>
      <c r="AG50" s="148">
        <v>10985.99</v>
      </c>
      <c r="AH50" s="147" t="s">
        <v>248</v>
      </c>
      <c r="AI50" s="147">
        <v>19</v>
      </c>
      <c r="AJ50" s="147" t="s">
        <v>509</v>
      </c>
    </row>
    <row r="51" spans="1:36">
      <c r="A51" s="147" t="s">
        <v>630</v>
      </c>
      <c r="B51" s="147" t="s">
        <v>502</v>
      </c>
      <c r="C51" s="147" t="s">
        <v>503</v>
      </c>
      <c r="D51" s="147" t="s">
        <v>505</v>
      </c>
      <c r="E51" s="147">
        <v>15</v>
      </c>
      <c r="F51" s="147" t="s">
        <v>507</v>
      </c>
      <c r="G51" s="147" t="s">
        <v>122</v>
      </c>
      <c r="H51" s="147">
        <v>31</v>
      </c>
      <c r="I51" s="148">
        <v>1290</v>
      </c>
      <c r="J51" s="147" t="s">
        <v>343</v>
      </c>
      <c r="K51" s="148">
        <v>770</v>
      </c>
      <c r="L51" s="148">
        <v>620</v>
      </c>
      <c r="M51" s="148">
        <v>620</v>
      </c>
      <c r="N51" s="148">
        <v>620</v>
      </c>
      <c r="O51" s="148">
        <v>810</v>
      </c>
      <c r="P51" s="148">
        <v>905</v>
      </c>
      <c r="Q51" s="148">
        <v>905</v>
      </c>
      <c r="R51" s="148">
        <v>1000</v>
      </c>
      <c r="S51" s="148">
        <v>3848</v>
      </c>
      <c r="T51" s="148">
        <v>1040</v>
      </c>
      <c r="U51" s="148">
        <v>1040</v>
      </c>
      <c r="V51" s="148">
        <v>1040</v>
      </c>
      <c r="W51" s="148">
        <v>1586</v>
      </c>
      <c r="X51" s="148">
        <v>1271</v>
      </c>
      <c r="Y51" s="148">
        <v>1271</v>
      </c>
      <c r="Z51" s="148">
        <v>1363</v>
      </c>
      <c r="AA51" s="148">
        <v>1290</v>
      </c>
      <c r="AB51" s="148">
        <v>1290</v>
      </c>
      <c r="AC51" s="148">
        <v>1290</v>
      </c>
      <c r="AD51" s="148">
        <v>22579</v>
      </c>
      <c r="AE51" s="148">
        <v>17329</v>
      </c>
      <c r="AF51" s="148">
        <v>13218</v>
      </c>
      <c r="AG51" s="148">
        <v>9361</v>
      </c>
      <c r="AH51" s="147" t="s">
        <v>248</v>
      </c>
      <c r="AI51" s="147">
        <v>19</v>
      </c>
      <c r="AJ51" s="147" t="s">
        <v>509</v>
      </c>
    </row>
    <row r="52" spans="1:36">
      <c r="A52" s="147" t="s">
        <v>632</v>
      </c>
      <c r="B52" s="147" t="s">
        <v>502</v>
      </c>
      <c r="C52" s="147" t="s">
        <v>503</v>
      </c>
      <c r="D52" s="147" t="s">
        <v>612</v>
      </c>
      <c r="E52" s="147">
        <v>18</v>
      </c>
      <c r="F52" s="147" t="s">
        <v>560</v>
      </c>
      <c r="G52" s="147" t="s">
        <v>205</v>
      </c>
      <c r="H52" s="147">
        <v>14</v>
      </c>
      <c r="I52" s="148">
        <v>901.66666666666663</v>
      </c>
      <c r="J52" s="147" t="s">
        <v>343</v>
      </c>
      <c r="K52" s="147" t="s">
        <v>343</v>
      </c>
      <c r="L52" s="147" t="s">
        <v>343</v>
      </c>
      <c r="M52" s="147" t="s">
        <v>343</v>
      </c>
      <c r="N52" s="147" t="s">
        <v>343</v>
      </c>
      <c r="O52" s="147" t="s">
        <v>343</v>
      </c>
      <c r="P52" s="148">
        <v>3345</v>
      </c>
      <c r="Q52" s="148">
        <v>1927.5</v>
      </c>
      <c r="R52" s="148">
        <v>1843.75</v>
      </c>
      <c r="S52" s="148">
        <v>2000</v>
      </c>
      <c r="T52" s="148">
        <v>1905</v>
      </c>
      <c r="U52" s="148">
        <v>2000</v>
      </c>
      <c r="V52" s="148">
        <v>1715</v>
      </c>
      <c r="W52" s="148">
        <v>1620</v>
      </c>
      <c r="X52" s="148">
        <v>1620</v>
      </c>
      <c r="Y52" s="148">
        <v>980</v>
      </c>
      <c r="Z52" s="148">
        <v>880</v>
      </c>
      <c r="AA52" s="148">
        <v>835</v>
      </c>
      <c r="AB52" s="148">
        <v>935</v>
      </c>
      <c r="AC52" s="148">
        <v>935</v>
      </c>
      <c r="AD52" s="148">
        <v>22541.25</v>
      </c>
      <c r="AE52" s="148">
        <v>17268.75</v>
      </c>
      <c r="AF52" s="148">
        <v>14736.25</v>
      </c>
      <c r="AG52" s="148">
        <v>7805</v>
      </c>
      <c r="AH52" s="147" t="s">
        <v>248</v>
      </c>
      <c r="AI52" s="147">
        <v>14</v>
      </c>
      <c r="AJ52" s="147" t="s">
        <v>509</v>
      </c>
    </row>
    <row r="53" spans="1:36">
      <c r="A53" s="147" t="s">
        <v>633</v>
      </c>
      <c r="B53" s="147" t="s">
        <v>502</v>
      </c>
      <c r="C53" s="147" t="s">
        <v>503</v>
      </c>
      <c r="D53" s="147" t="s">
        <v>343</v>
      </c>
      <c r="E53" s="147">
        <v>120</v>
      </c>
      <c r="F53" s="147" t="s">
        <v>507</v>
      </c>
      <c r="G53" s="147" t="s">
        <v>246</v>
      </c>
      <c r="H53" s="147">
        <v>3</v>
      </c>
      <c r="I53" s="148">
        <v>5728.666666666667</v>
      </c>
      <c r="J53" s="147" t="s">
        <v>343</v>
      </c>
      <c r="K53" s="147" t="s">
        <v>343</v>
      </c>
      <c r="L53" s="147" t="s">
        <v>343</v>
      </c>
      <c r="M53" s="147" t="s">
        <v>343</v>
      </c>
      <c r="N53" s="147" t="s">
        <v>343</v>
      </c>
      <c r="O53" s="147" t="s">
        <v>343</v>
      </c>
      <c r="P53" s="147" t="s">
        <v>343</v>
      </c>
      <c r="Q53" s="147" t="s">
        <v>343</v>
      </c>
      <c r="R53" s="147" t="s">
        <v>343</v>
      </c>
      <c r="S53" s="147" t="s">
        <v>343</v>
      </c>
      <c r="T53" s="147" t="s">
        <v>343</v>
      </c>
      <c r="U53" s="147" t="s">
        <v>343</v>
      </c>
      <c r="V53" s="147" t="s">
        <v>343</v>
      </c>
      <c r="W53" s="147" t="s">
        <v>343</v>
      </c>
      <c r="X53" s="147" t="s">
        <v>343</v>
      </c>
      <c r="Y53" s="147" t="s">
        <v>343</v>
      </c>
      <c r="Z53" s="147" t="s">
        <v>343</v>
      </c>
      <c r="AA53" s="148">
        <v>7806</v>
      </c>
      <c r="AB53" s="148">
        <v>5163</v>
      </c>
      <c r="AC53" s="148">
        <v>4217</v>
      </c>
      <c r="AD53" s="148">
        <v>17186</v>
      </c>
      <c r="AE53" s="148">
        <v>17186</v>
      </c>
      <c r="AF53" s="148">
        <v>0</v>
      </c>
      <c r="AG53" s="148">
        <v>17186</v>
      </c>
      <c r="AH53" s="147" t="s">
        <v>248</v>
      </c>
      <c r="AI53" s="147">
        <v>3</v>
      </c>
      <c r="AJ53" s="147" t="s">
        <v>509</v>
      </c>
    </row>
    <row r="54" spans="1:36">
      <c r="A54" s="147" t="s">
        <v>634</v>
      </c>
      <c r="B54" s="147" t="s">
        <v>502</v>
      </c>
      <c r="C54" s="147" t="s">
        <v>503</v>
      </c>
      <c r="D54" s="147" t="s">
        <v>505</v>
      </c>
      <c r="E54" s="147">
        <v>26</v>
      </c>
      <c r="F54" s="147" t="s">
        <v>507</v>
      </c>
      <c r="G54" s="147" t="s">
        <v>204</v>
      </c>
      <c r="H54" s="147">
        <v>15</v>
      </c>
      <c r="I54" s="148">
        <v>1827.3333333333333</v>
      </c>
      <c r="J54" s="147" t="s">
        <v>343</v>
      </c>
      <c r="K54" s="147" t="s">
        <v>343</v>
      </c>
      <c r="L54" s="147" t="s">
        <v>343</v>
      </c>
      <c r="M54" s="147" t="s">
        <v>343</v>
      </c>
      <c r="N54" s="147" t="s">
        <v>343</v>
      </c>
      <c r="O54" s="148">
        <v>1907.5</v>
      </c>
      <c r="P54" s="148">
        <v>1257.5</v>
      </c>
      <c r="Q54" s="148">
        <v>1257.5</v>
      </c>
      <c r="R54" s="148">
        <v>1335</v>
      </c>
      <c r="S54" s="148">
        <v>1050</v>
      </c>
      <c r="T54" s="148">
        <v>1050</v>
      </c>
      <c r="U54" s="148">
        <v>1050</v>
      </c>
      <c r="V54" s="148">
        <v>1050</v>
      </c>
      <c r="W54" s="148">
        <v>1145</v>
      </c>
      <c r="X54" s="148">
        <v>1700</v>
      </c>
      <c r="Y54" s="148">
        <v>1430</v>
      </c>
      <c r="Z54" s="148">
        <v>1525</v>
      </c>
      <c r="AA54" s="148">
        <v>1490</v>
      </c>
      <c r="AB54" s="148">
        <v>1858</v>
      </c>
      <c r="AC54" s="148">
        <v>2134</v>
      </c>
      <c r="AD54" s="148">
        <v>21239.5</v>
      </c>
      <c r="AE54" s="148">
        <v>16817</v>
      </c>
      <c r="AF54" s="148">
        <v>9957.5</v>
      </c>
      <c r="AG54" s="148">
        <v>11282</v>
      </c>
      <c r="AH54" s="147" t="s">
        <v>248</v>
      </c>
      <c r="AI54" s="147">
        <v>15</v>
      </c>
      <c r="AJ54" s="147" t="s">
        <v>509</v>
      </c>
    </row>
    <row r="55" spans="1:36">
      <c r="A55" s="147" t="s">
        <v>635</v>
      </c>
      <c r="B55" s="147" t="s">
        <v>502</v>
      </c>
      <c r="C55" s="147" t="s">
        <v>503</v>
      </c>
      <c r="D55" s="147" t="s">
        <v>505</v>
      </c>
      <c r="E55" s="147">
        <v>22</v>
      </c>
      <c r="F55" s="147" t="s">
        <v>507</v>
      </c>
      <c r="G55" s="147" t="s">
        <v>242</v>
      </c>
      <c r="H55" s="147">
        <v>7</v>
      </c>
      <c r="I55" s="148">
        <v>2498</v>
      </c>
      <c r="J55" s="147" t="s">
        <v>343</v>
      </c>
      <c r="K55" s="147" t="s">
        <v>343</v>
      </c>
      <c r="L55" s="147" t="s">
        <v>343</v>
      </c>
      <c r="M55" s="147" t="s">
        <v>343</v>
      </c>
      <c r="N55" s="147" t="s">
        <v>343</v>
      </c>
      <c r="O55" s="147" t="s">
        <v>343</v>
      </c>
      <c r="P55" s="147" t="s">
        <v>343</v>
      </c>
      <c r="Q55" s="147" t="s">
        <v>343</v>
      </c>
      <c r="R55" s="147" t="s">
        <v>343</v>
      </c>
      <c r="S55" s="147" t="s">
        <v>343</v>
      </c>
      <c r="T55" s="147" t="s">
        <v>343</v>
      </c>
      <c r="U55" s="147" t="s">
        <v>343</v>
      </c>
      <c r="V55" s="147" t="s">
        <v>343</v>
      </c>
      <c r="W55" s="148">
        <v>3268</v>
      </c>
      <c r="X55" s="148">
        <v>1759</v>
      </c>
      <c r="Y55" s="148">
        <v>1759</v>
      </c>
      <c r="Z55" s="148">
        <v>1838</v>
      </c>
      <c r="AA55" s="148">
        <v>2498</v>
      </c>
      <c r="AB55" s="148">
        <v>2498</v>
      </c>
      <c r="AC55" s="148">
        <v>2498</v>
      </c>
      <c r="AD55" s="148">
        <v>16118</v>
      </c>
      <c r="AE55" s="148">
        <v>16118</v>
      </c>
      <c r="AF55" s="148">
        <v>0</v>
      </c>
      <c r="AG55" s="148">
        <v>16118</v>
      </c>
      <c r="AH55" s="147" t="s">
        <v>248</v>
      </c>
      <c r="AI55" s="147">
        <v>7</v>
      </c>
      <c r="AJ55" s="147" t="s">
        <v>509</v>
      </c>
    </row>
    <row r="56" spans="1:36">
      <c r="A56" s="147" t="s">
        <v>636</v>
      </c>
      <c r="B56" s="147" t="s">
        <v>567</v>
      </c>
      <c r="C56" s="147" t="s">
        <v>637</v>
      </c>
      <c r="D56" s="147" t="s">
        <v>343</v>
      </c>
      <c r="E56" s="147" t="s">
        <v>343</v>
      </c>
      <c r="F56" s="147" t="s">
        <v>640</v>
      </c>
      <c r="G56" s="147" t="s">
        <v>639</v>
      </c>
      <c r="H56" s="147">
        <v>63</v>
      </c>
      <c r="I56" s="148">
        <v>1330</v>
      </c>
      <c r="J56" s="147" t="s">
        <v>627</v>
      </c>
      <c r="K56" s="148">
        <v>1390</v>
      </c>
      <c r="L56" s="148">
        <v>1300</v>
      </c>
      <c r="M56" s="148">
        <v>1300</v>
      </c>
      <c r="N56" s="148">
        <v>1300</v>
      </c>
      <c r="O56" s="148">
        <v>1300</v>
      </c>
      <c r="P56" s="148">
        <v>1300</v>
      </c>
      <c r="Q56" s="148">
        <v>1300</v>
      </c>
      <c r="R56" s="148">
        <v>1300</v>
      </c>
      <c r="S56" s="148">
        <v>1300</v>
      </c>
      <c r="T56" s="148">
        <v>1300</v>
      </c>
      <c r="U56" s="148">
        <v>1300</v>
      </c>
      <c r="V56" s="148">
        <v>1300</v>
      </c>
      <c r="W56" s="148">
        <v>1330</v>
      </c>
      <c r="X56" s="148">
        <v>1375</v>
      </c>
      <c r="Y56" s="148">
        <v>1345</v>
      </c>
      <c r="Z56" s="148">
        <v>1330</v>
      </c>
      <c r="AA56" s="148">
        <v>1330</v>
      </c>
      <c r="AB56" s="148">
        <v>1330</v>
      </c>
      <c r="AC56" s="148">
        <v>1330</v>
      </c>
      <c r="AD56" s="148">
        <v>25060</v>
      </c>
      <c r="AE56" s="148">
        <v>15870</v>
      </c>
      <c r="AF56" s="148">
        <v>15690</v>
      </c>
      <c r="AG56" s="148">
        <v>9370</v>
      </c>
      <c r="AH56" s="147" t="s">
        <v>248</v>
      </c>
      <c r="AI56" s="147">
        <v>19</v>
      </c>
      <c r="AJ56" s="147" t="s">
        <v>509</v>
      </c>
    </row>
    <row r="57" spans="1:36">
      <c r="A57" s="147" t="s">
        <v>644</v>
      </c>
      <c r="B57" s="147" t="s">
        <v>502</v>
      </c>
      <c r="C57" s="147" t="s">
        <v>503</v>
      </c>
      <c r="D57" s="147" t="s">
        <v>505</v>
      </c>
      <c r="E57" s="147">
        <v>42</v>
      </c>
      <c r="F57" s="147" t="s">
        <v>507</v>
      </c>
      <c r="G57" s="147" t="s">
        <v>200</v>
      </c>
      <c r="H57" s="147">
        <v>19</v>
      </c>
      <c r="I57" s="148">
        <v>1861.6666666666667</v>
      </c>
      <c r="J57" s="147" t="s">
        <v>343</v>
      </c>
      <c r="K57" s="148">
        <v>1195</v>
      </c>
      <c r="L57" s="148">
        <v>595</v>
      </c>
      <c r="M57" s="148">
        <v>595</v>
      </c>
      <c r="N57" s="148">
        <v>700</v>
      </c>
      <c r="O57" s="148">
        <v>700</v>
      </c>
      <c r="P57" s="148">
        <v>700</v>
      </c>
      <c r="Q57" s="148">
        <v>700</v>
      </c>
      <c r="R57" s="148">
        <v>850</v>
      </c>
      <c r="S57" s="148">
        <v>1075</v>
      </c>
      <c r="T57" s="148">
        <v>1075</v>
      </c>
      <c r="U57" s="148">
        <v>1075</v>
      </c>
      <c r="V57" s="148">
        <v>1150</v>
      </c>
      <c r="W57" s="148">
        <v>1182</v>
      </c>
      <c r="X57" s="148">
        <v>1512</v>
      </c>
      <c r="Y57" s="148">
        <v>1115</v>
      </c>
      <c r="Z57" s="148">
        <v>1249</v>
      </c>
      <c r="AA57" s="148">
        <v>1584</v>
      </c>
      <c r="AB57" s="148">
        <v>1881</v>
      </c>
      <c r="AC57" s="148">
        <v>2120</v>
      </c>
      <c r="AD57" s="148">
        <v>21053</v>
      </c>
      <c r="AE57" s="148">
        <v>15868</v>
      </c>
      <c r="AF57" s="148">
        <v>10410</v>
      </c>
      <c r="AG57" s="148">
        <v>10643</v>
      </c>
      <c r="AH57" s="147" t="s">
        <v>248</v>
      </c>
      <c r="AI57" s="147">
        <v>19</v>
      </c>
      <c r="AJ57" s="147" t="s">
        <v>509</v>
      </c>
    </row>
    <row r="58" spans="1:36">
      <c r="A58" s="147" t="s">
        <v>646</v>
      </c>
      <c r="B58" s="147" t="s">
        <v>502</v>
      </c>
      <c r="C58" s="147" t="s">
        <v>503</v>
      </c>
      <c r="D58" s="147" t="s">
        <v>505</v>
      </c>
      <c r="E58" s="147">
        <v>16</v>
      </c>
      <c r="F58" s="147" t="s">
        <v>507</v>
      </c>
      <c r="G58" s="147" t="s">
        <v>132</v>
      </c>
      <c r="H58" s="147">
        <v>21</v>
      </c>
      <c r="I58" s="148">
        <v>1218.3333333333333</v>
      </c>
      <c r="J58" s="147" t="s">
        <v>343</v>
      </c>
      <c r="K58" s="148">
        <v>1168.75</v>
      </c>
      <c r="L58" s="148">
        <v>1450</v>
      </c>
      <c r="M58" s="148">
        <v>1450</v>
      </c>
      <c r="N58" s="148">
        <v>1300</v>
      </c>
      <c r="O58" s="148">
        <v>1525</v>
      </c>
      <c r="P58" s="148">
        <v>1525</v>
      </c>
      <c r="Q58" s="148">
        <v>1300</v>
      </c>
      <c r="R58" s="148">
        <v>1300</v>
      </c>
      <c r="S58" s="148">
        <v>1450</v>
      </c>
      <c r="T58" s="148">
        <v>1450</v>
      </c>
      <c r="U58" s="148">
        <v>1280</v>
      </c>
      <c r="V58" s="148">
        <v>1215</v>
      </c>
      <c r="W58" s="148">
        <v>1085</v>
      </c>
      <c r="X58" s="148">
        <v>1225</v>
      </c>
      <c r="Y58" s="148">
        <v>1150</v>
      </c>
      <c r="Z58" s="148">
        <v>1225</v>
      </c>
      <c r="AA58" s="148">
        <v>1225</v>
      </c>
      <c r="AB58" s="148">
        <v>1280</v>
      </c>
      <c r="AC58" s="148">
        <v>1150</v>
      </c>
      <c r="AD58" s="148">
        <v>24753.75</v>
      </c>
      <c r="AE58" s="148">
        <v>15035</v>
      </c>
      <c r="AF58" s="148">
        <v>16413.75</v>
      </c>
      <c r="AG58" s="148">
        <v>8340</v>
      </c>
      <c r="AH58" s="147" t="s">
        <v>248</v>
      </c>
      <c r="AI58" s="147">
        <v>19</v>
      </c>
      <c r="AJ58" s="147" t="s">
        <v>509</v>
      </c>
    </row>
    <row r="59" spans="1:36">
      <c r="A59" s="147" t="s">
        <v>647</v>
      </c>
      <c r="B59" s="147" t="s">
        <v>502</v>
      </c>
      <c r="C59" s="147" t="s">
        <v>503</v>
      </c>
      <c r="D59" s="147" t="s">
        <v>621</v>
      </c>
      <c r="E59" s="147">
        <v>26</v>
      </c>
      <c r="F59" s="147" t="s">
        <v>507</v>
      </c>
      <c r="G59" s="147" t="s">
        <v>211</v>
      </c>
      <c r="H59" s="147">
        <v>8</v>
      </c>
      <c r="I59" s="148">
        <v>1709.3333333333333</v>
      </c>
      <c r="J59" s="147" t="s">
        <v>343</v>
      </c>
      <c r="K59" s="147" t="s">
        <v>343</v>
      </c>
      <c r="L59" s="147" t="s">
        <v>343</v>
      </c>
      <c r="M59" s="147" t="s">
        <v>343</v>
      </c>
      <c r="N59" s="147" t="s">
        <v>343</v>
      </c>
      <c r="O59" s="147" t="s">
        <v>343</v>
      </c>
      <c r="P59" s="147" t="s">
        <v>343</v>
      </c>
      <c r="Q59" s="147" t="s">
        <v>343</v>
      </c>
      <c r="R59" s="147" t="s">
        <v>343</v>
      </c>
      <c r="S59" s="147" t="s">
        <v>343</v>
      </c>
      <c r="T59" s="147" t="s">
        <v>343</v>
      </c>
      <c r="U59" s="147" t="s">
        <v>343</v>
      </c>
      <c r="V59" s="148">
        <v>2722</v>
      </c>
      <c r="W59" s="148">
        <v>1636</v>
      </c>
      <c r="X59" s="148">
        <v>1636</v>
      </c>
      <c r="Y59" s="148">
        <v>1636</v>
      </c>
      <c r="Z59" s="148">
        <v>1636</v>
      </c>
      <c r="AA59" s="148">
        <v>1636</v>
      </c>
      <c r="AB59" s="148">
        <v>1664</v>
      </c>
      <c r="AC59" s="148">
        <v>1828</v>
      </c>
      <c r="AD59" s="148">
        <v>14394</v>
      </c>
      <c r="AE59" s="148">
        <v>14394</v>
      </c>
      <c r="AF59" s="148">
        <v>2722</v>
      </c>
      <c r="AG59" s="148">
        <v>11672</v>
      </c>
      <c r="AH59" s="147" t="s">
        <v>248</v>
      </c>
      <c r="AI59" s="147">
        <v>8</v>
      </c>
      <c r="AJ59" s="147" t="s">
        <v>509</v>
      </c>
    </row>
    <row r="60" spans="1:36">
      <c r="A60" s="147" t="s">
        <v>649</v>
      </c>
      <c r="B60" s="147" t="s">
        <v>502</v>
      </c>
      <c r="C60" s="147" t="s">
        <v>503</v>
      </c>
      <c r="D60" s="147" t="s">
        <v>505</v>
      </c>
      <c r="E60" s="147">
        <v>32</v>
      </c>
      <c r="F60" s="147" t="s">
        <v>507</v>
      </c>
      <c r="G60" s="147" t="s">
        <v>242</v>
      </c>
      <c r="H60" s="147">
        <v>7</v>
      </c>
      <c r="I60" s="148">
        <v>1838.3333333333333</v>
      </c>
      <c r="J60" s="147" t="s">
        <v>343</v>
      </c>
      <c r="K60" s="147" t="s">
        <v>343</v>
      </c>
      <c r="L60" s="147" t="s">
        <v>343</v>
      </c>
      <c r="M60" s="147" t="s">
        <v>343</v>
      </c>
      <c r="N60" s="147" t="s">
        <v>343</v>
      </c>
      <c r="O60" s="147" t="s">
        <v>343</v>
      </c>
      <c r="P60" s="147" t="s">
        <v>343</v>
      </c>
      <c r="Q60" s="147" t="s">
        <v>343</v>
      </c>
      <c r="R60" s="147" t="s">
        <v>343</v>
      </c>
      <c r="S60" s="147" t="s">
        <v>343</v>
      </c>
      <c r="T60" s="147" t="s">
        <v>343</v>
      </c>
      <c r="U60" s="147" t="s">
        <v>343</v>
      </c>
      <c r="V60" s="147" t="s">
        <v>343</v>
      </c>
      <c r="W60" s="148">
        <v>3220</v>
      </c>
      <c r="X60" s="148">
        <v>2085</v>
      </c>
      <c r="Y60" s="148">
        <v>1660</v>
      </c>
      <c r="Z60" s="148">
        <v>1855</v>
      </c>
      <c r="AA60" s="148">
        <v>1855</v>
      </c>
      <c r="AB60" s="148">
        <v>1855</v>
      </c>
      <c r="AC60" s="148">
        <v>1805</v>
      </c>
      <c r="AD60" s="148">
        <v>14335</v>
      </c>
      <c r="AE60" s="148">
        <v>14335</v>
      </c>
      <c r="AF60" s="148">
        <v>0</v>
      </c>
      <c r="AG60" s="148">
        <v>14335</v>
      </c>
      <c r="AH60" s="147" t="s">
        <v>248</v>
      </c>
      <c r="AI60" s="147">
        <v>7</v>
      </c>
      <c r="AJ60" s="147" t="s">
        <v>509</v>
      </c>
    </row>
    <row r="61" spans="1:36">
      <c r="A61" s="147" t="s">
        <v>650</v>
      </c>
      <c r="B61" s="147" t="s">
        <v>502</v>
      </c>
      <c r="C61" s="147" t="s">
        <v>503</v>
      </c>
      <c r="D61" s="147" t="s">
        <v>505</v>
      </c>
      <c r="E61" s="147">
        <v>15</v>
      </c>
      <c r="F61" s="147" t="s">
        <v>507</v>
      </c>
      <c r="G61" s="147" t="s">
        <v>132</v>
      </c>
      <c r="H61" s="147">
        <v>21</v>
      </c>
      <c r="I61" s="148">
        <v>1208</v>
      </c>
      <c r="J61" s="147" t="s">
        <v>343</v>
      </c>
      <c r="K61" s="148">
        <v>658.75</v>
      </c>
      <c r="L61" s="148">
        <v>910</v>
      </c>
      <c r="M61" s="148">
        <v>850</v>
      </c>
      <c r="N61" s="148">
        <v>850</v>
      </c>
      <c r="O61" s="148">
        <v>925</v>
      </c>
      <c r="P61" s="148">
        <v>925</v>
      </c>
      <c r="Q61" s="148">
        <v>925</v>
      </c>
      <c r="R61" s="148">
        <v>925</v>
      </c>
      <c r="S61" s="148">
        <v>1000</v>
      </c>
      <c r="T61" s="148">
        <v>1120</v>
      </c>
      <c r="U61" s="148">
        <v>1205</v>
      </c>
      <c r="V61" s="148">
        <v>1205</v>
      </c>
      <c r="W61" s="148">
        <v>1154</v>
      </c>
      <c r="X61" s="148">
        <v>1589</v>
      </c>
      <c r="Y61" s="148">
        <v>1154</v>
      </c>
      <c r="Z61" s="148">
        <v>1154</v>
      </c>
      <c r="AA61" s="148">
        <v>1154</v>
      </c>
      <c r="AB61" s="148">
        <v>1235</v>
      </c>
      <c r="AC61" s="148">
        <v>1235</v>
      </c>
      <c r="AD61" s="148">
        <v>20173.75</v>
      </c>
      <c r="AE61" s="148">
        <v>14130</v>
      </c>
      <c r="AF61" s="148">
        <v>11498.75</v>
      </c>
      <c r="AG61" s="148">
        <v>8675</v>
      </c>
      <c r="AH61" s="147" t="s">
        <v>248</v>
      </c>
      <c r="AI61" s="147">
        <v>19</v>
      </c>
      <c r="AJ61" s="147" t="s">
        <v>509</v>
      </c>
    </row>
    <row r="62" spans="1:36">
      <c r="A62" s="147" t="s">
        <v>651</v>
      </c>
      <c r="B62" s="147" t="s">
        <v>502</v>
      </c>
      <c r="C62" s="147" t="s">
        <v>503</v>
      </c>
      <c r="D62" s="147" t="s">
        <v>505</v>
      </c>
      <c r="E62" s="147">
        <v>16</v>
      </c>
      <c r="F62" s="147" t="s">
        <v>507</v>
      </c>
      <c r="G62" s="147" t="s">
        <v>122</v>
      </c>
      <c r="H62" s="147">
        <v>31</v>
      </c>
      <c r="I62" s="148">
        <v>1169.3333333333333</v>
      </c>
      <c r="J62" s="147" t="s">
        <v>343</v>
      </c>
      <c r="K62" s="148">
        <v>1295</v>
      </c>
      <c r="L62" s="148">
        <v>950</v>
      </c>
      <c r="M62" s="148">
        <v>1025</v>
      </c>
      <c r="N62" s="148">
        <v>1025</v>
      </c>
      <c r="O62" s="148">
        <v>1025</v>
      </c>
      <c r="P62" s="148">
        <v>1100</v>
      </c>
      <c r="Q62" s="148">
        <v>1100</v>
      </c>
      <c r="R62" s="148">
        <v>1100</v>
      </c>
      <c r="S62" s="148">
        <v>1025</v>
      </c>
      <c r="T62" s="148">
        <v>1025</v>
      </c>
      <c r="U62" s="148">
        <v>1025</v>
      </c>
      <c r="V62" s="148">
        <v>1100</v>
      </c>
      <c r="W62" s="148">
        <v>1438</v>
      </c>
      <c r="X62" s="148">
        <v>1080</v>
      </c>
      <c r="Y62" s="148">
        <v>1080</v>
      </c>
      <c r="Z62" s="148">
        <v>1080</v>
      </c>
      <c r="AA62" s="148">
        <v>1147</v>
      </c>
      <c r="AB62" s="148">
        <v>1214</v>
      </c>
      <c r="AC62" s="148">
        <v>1147</v>
      </c>
      <c r="AD62" s="148">
        <v>20981</v>
      </c>
      <c r="AE62" s="148">
        <v>13461</v>
      </c>
      <c r="AF62" s="148">
        <v>12795</v>
      </c>
      <c r="AG62" s="148">
        <v>8186</v>
      </c>
      <c r="AH62" s="147" t="s">
        <v>248</v>
      </c>
      <c r="AI62" s="147">
        <v>19</v>
      </c>
      <c r="AJ62" s="147" t="s">
        <v>509</v>
      </c>
    </row>
    <row r="63" spans="1:36">
      <c r="A63" s="147" t="s">
        <v>652</v>
      </c>
      <c r="B63" s="147" t="s">
        <v>502</v>
      </c>
      <c r="C63" s="147" t="s">
        <v>503</v>
      </c>
      <c r="D63" s="147" t="s">
        <v>505</v>
      </c>
      <c r="E63" s="147">
        <v>44</v>
      </c>
      <c r="F63" s="147" t="s">
        <v>507</v>
      </c>
      <c r="G63" s="147" t="s">
        <v>245</v>
      </c>
      <c r="H63" s="147">
        <v>4</v>
      </c>
      <c r="I63" s="148">
        <v>2637</v>
      </c>
      <c r="J63" s="147" t="s">
        <v>343</v>
      </c>
      <c r="K63" s="147" t="s">
        <v>343</v>
      </c>
      <c r="L63" s="147" t="s">
        <v>343</v>
      </c>
      <c r="M63" s="147" t="s">
        <v>343</v>
      </c>
      <c r="N63" s="147" t="s">
        <v>343</v>
      </c>
      <c r="O63" s="147" t="s">
        <v>343</v>
      </c>
      <c r="P63" s="147" t="s">
        <v>343</v>
      </c>
      <c r="Q63" s="147" t="s">
        <v>343</v>
      </c>
      <c r="R63" s="147" t="s">
        <v>343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8">
        <v>5354</v>
      </c>
      <c r="AA63" s="148">
        <v>2561</v>
      </c>
      <c r="AB63" s="148">
        <v>2675</v>
      </c>
      <c r="AC63" s="148">
        <v>2675</v>
      </c>
      <c r="AD63" s="148">
        <v>13265</v>
      </c>
      <c r="AE63" s="148">
        <v>13265</v>
      </c>
      <c r="AF63" s="148">
        <v>0</v>
      </c>
      <c r="AG63" s="148">
        <v>13265</v>
      </c>
      <c r="AH63" s="147" t="s">
        <v>248</v>
      </c>
      <c r="AI63" s="147">
        <v>4</v>
      </c>
      <c r="AJ63" s="147" t="s">
        <v>509</v>
      </c>
    </row>
    <row r="64" spans="1:36">
      <c r="A64" s="147" t="s">
        <v>654</v>
      </c>
      <c r="B64" s="147" t="s">
        <v>502</v>
      </c>
      <c r="C64" s="147" t="s">
        <v>503</v>
      </c>
      <c r="D64" s="147" t="s">
        <v>505</v>
      </c>
      <c r="E64" s="147">
        <v>13</v>
      </c>
      <c r="F64" s="147" t="s">
        <v>507</v>
      </c>
      <c r="G64" s="147" t="s">
        <v>132</v>
      </c>
      <c r="H64" s="147">
        <v>21</v>
      </c>
      <c r="I64" s="148">
        <v>1237</v>
      </c>
      <c r="J64" s="147" t="s">
        <v>343</v>
      </c>
      <c r="K64" s="148">
        <v>410.75</v>
      </c>
      <c r="L64" s="148">
        <v>474</v>
      </c>
      <c r="M64" s="148">
        <v>474</v>
      </c>
      <c r="N64" s="148">
        <v>632</v>
      </c>
      <c r="O64" s="148">
        <v>632</v>
      </c>
      <c r="P64" s="147" t="s">
        <v>343</v>
      </c>
      <c r="Q64" s="148">
        <v>700</v>
      </c>
      <c r="R64" s="148">
        <v>850</v>
      </c>
      <c r="S64" s="148">
        <v>850</v>
      </c>
      <c r="T64" s="148">
        <v>850</v>
      </c>
      <c r="U64" s="148">
        <v>1075</v>
      </c>
      <c r="V64" s="148">
        <v>1075</v>
      </c>
      <c r="W64" s="148">
        <v>1225</v>
      </c>
      <c r="X64" s="148">
        <v>1230</v>
      </c>
      <c r="Y64" s="148">
        <v>1220</v>
      </c>
      <c r="Z64" s="148">
        <v>1075</v>
      </c>
      <c r="AA64" s="148">
        <v>1225</v>
      </c>
      <c r="AB64" s="148">
        <v>1225</v>
      </c>
      <c r="AC64" s="148">
        <v>1261</v>
      </c>
      <c r="AD64" s="148">
        <v>16483.75</v>
      </c>
      <c r="AE64" s="148">
        <v>13161</v>
      </c>
      <c r="AF64" s="148">
        <v>8022.75</v>
      </c>
      <c r="AG64" s="148">
        <v>8461</v>
      </c>
      <c r="AH64" s="147" t="s">
        <v>248</v>
      </c>
      <c r="AI64" s="147">
        <v>18</v>
      </c>
      <c r="AJ64" s="147" t="s">
        <v>509</v>
      </c>
    </row>
    <row r="65" spans="1:36">
      <c r="A65" s="147" t="s">
        <v>655</v>
      </c>
      <c r="B65" s="147" t="s">
        <v>19</v>
      </c>
      <c r="C65" s="147" t="s">
        <v>503</v>
      </c>
      <c r="D65" s="147" t="s">
        <v>621</v>
      </c>
      <c r="E65" s="147">
        <v>51</v>
      </c>
      <c r="F65" s="147" t="s">
        <v>507</v>
      </c>
      <c r="G65" s="147" t="s">
        <v>244</v>
      </c>
      <c r="H65" s="147">
        <v>5</v>
      </c>
      <c r="I65" s="148">
        <v>2178.3333333333335</v>
      </c>
      <c r="J65" s="147" t="s">
        <v>343</v>
      </c>
      <c r="K65" s="147" t="s">
        <v>343</v>
      </c>
      <c r="L65" s="147" t="s">
        <v>343</v>
      </c>
      <c r="M65" s="147" t="s">
        <v>343</v>
      </c>
      <c r="N65" s="147" t="s">
        <v>343</v>
      </c>
      <c r="O65" s="147" t="s">
        <v>343</v>
      </c>
      <c r="P65" s="147" t="s">
        <v>343</v>
      </c>
      <c r="Q65" s="147" t="s">
        <v>343</v>
      </c>
      <c r="R65" s="147" t="s">
        <v>343</v>
      </c>
      <c r="S65" s="147" t="s">
        <v>343</v>
      </c>
      <c r="T65" s="147" t="s">
        <v>343</v>
      </c>
      <c r="U65" s="147" t="s">
        <v>343</v>
      </c>
      <c r="V65" s="147" t="s">
        <v>343</v>
      </c>
      <c r="W65" s="147" t="s">
        <v>343</v>
      </c>
      <c r="X65" s="147" t="s">
        <v>343</v>
      </c>
      <c r="Y65" s="148">
        <v>4229</v>
      </c>
      <c r="Z65" s="148">
        <v>2293</v>
      </c>
      <c r="AA65" s="148">
        <v>2349</v>
      </c>
      <c r="AB65" s="148">
        <v>2429</v>
      </c>
      <c r="AC65" s="148">
        <v>1757</v>
      </c>
      <c r="AD65" s="148">
        <v>13057</v>
      </c>
      <c r="AE65" s="148">
        <v>13057</v>
      </c>
      <c r="AF65" s="148">
        <v>0</v>
      </c>
      <c r="AG65" s="148">
        <v>13057</v>
      </c>
      <c r="AH65" s="147" t="s">
        <v>248</v>
      </c>
      <c r="AI65" s="147">
        <v>5</v>
      </c>
      <c r="AJ65" s="147" t="s">
        <v>509</v>
      </c>
    </row>
    <row r="66" spans="1:36">
      <c r="A66" s="147" t="s">
        <v>659</v>
      </c>
      <c r="B66" s="147" t="s">
        <v>502</v>
      </c>
      <c r="C66" s="147" t="s">
        <v>503</v>
      </c>
      <c r="D66" s="147" t="s">
        <v>505</v>
      </c>
      <c r="E66" s="147">
        <v>22</v>
      </c>
      <c r="F66" s="147" t="s">
        <v>507</v>
      </c>
      <c r="G66" s="147" t="s">
        <v>660</v>
      </c>
      <c r="H66" s="147">
        <v>41</v>
      </c>
      <c r="I66" s="148">
        <v>1340.3333333333333</v>
      </c>
      <c r="J66" s="147" t="s">
        <v>343</v>
      </c>
      <c r="K66" s="148">
        <v>985</v>
      </c>
      <c r="L66" s="148">
        <v>790</v>
      </c>
      <c r="M66" s="148">
        <v>825</v>
      </c>
      <c r="N66" s="148">
        <v>825</v>
      </c>
      <c r="O66" s="148">
        <v>825</v>
      </c>
      <c r="P66" s="148">
        <v>825</v>
      </c>
      <c r="Q66" s="148">
        <v>900</v>
      </c>
      <c r="R66" s="148">
        <v>900</v>
      </c>
      <c r="S66" s="148">
        <v>900</v>
      </c>
      <c r="T66" s="148">
        <v>975</v>
      </c>
      <c r="U66" s="148">
        <v>525</v>
      </c>
      <c r="V66" s="148">
        <v>900</v>
      </c>
      <c r="W66" s="148">
        <v>1050</v>
      </c>
      <c r="X66" s="148">
        <v>1185</v>
      </c>
      <c r="Y66" s="148">
        <v>1034</v>
      </c>
      <c r="Z66" s="148">
        <v>1188</v>
      </c>
      <c r="AA66" s="148">
        <v>1188</v>
      </c>
      <c r="AB66" s="148">
        <v>1316</v>
      </c>
      <c r="AC66" s="148">
        <v>1517</v>
      </c>
      <c r="AD66" s="148">
        <v>18653</v>
      </c>
      <c r="AE66" s="148">
        <v>12678</v>
      </c>
      <c r="AF66" s="148">
        <v>10175</v>
      </c>
      <c r="AG66" s="148">
        <v>8478</v>
      </c>
      <c r="AH66" s="147" t="s">
        <v>248</v>
      </c>
      <c r="AI66" s="147">
        <v>19</v>
      </c>
      <c r="AJ66" s="147" t="s">
        <v>509</v>
      </c>
    </row>
    <row r="67" spans="1:36">
      <c r="A67" s="147" t="s">
        <v>661</v>
      </c>
      <c r="B67" s="147" t="s">
        <v>567</v>
      </c>
      <c r="C67" s="147" t="s">
        <v>662</v>
      </c>
      <c r="D67" s="147" t="s">
        <v>343</v>
      </c>
      <c r="E67" s="147" t="s">
        <v>343</v>
      </c>
      <c r="F67" s="147" t="s">
        <v>640</v>
      </c>
      <c r="G67" s="147" t="s">
        <v>625</v>
      </c>
      <c r="H67" s="147">
        <v>42</v>
      </c>
      <c r="I67" s="148">
        <v>1685.9466666666667</v>
      </c>
      <c r="J67" s="147" t="s">
        <v>242</v>
      </c>
      <c r="K67" s="148">
        <v>2210</v>
      </c>
      <c r="L67" s="148">
        <v>3529.6</v>
      </c>
      <c r="M67" s="148">
        <v>2550</v>
      </c>
      <c r="N67" s="148">
        <v>2550</v>
      </c>
      <c r="O67" s="148">
        <v>2707.94</v>
      </c>
      <c r="P67" s="148">
        <v>2635</v>
      </c>
      <c r="Q67" s="148">
        <v>2621.71</v>
      </c>
      <c r="R67" s="148">
        <v>2713.69</v>
      </c>
      <c r="S67" s="148">
        <v>2404</v>
      </c>
      <c r="T67" s="148">
        <v>2404</v>
      </c>
      <c r="U67" s="148">
        <v>2404</v>
      </c>
      <c r="V67" s="148">
        <v>2404</v>
      </c>
      <c r="W67" s="148">
        <v>249.84</v>
      </c>
      <c r="X67" s="147" t="s">
        <v>343</v>
      </c>
      <c r="Y67" s="147" t="s">
        <v>343</v>
      </c>
      <c r="Z67" s="147" t="s">
        <v>343</v>
      </c>
      <c r="AA67" s="147" t="s">
        <v>343</v>
      </c>
      <c r="AB67" s="147" t="s">
        <v>343</v>
      </c>
      <c r="AC67" s="147" t="s">
        <v>343</v>
      </c>
      <c r="AD67" s="148">
        <v>31383.78</v>
      </c>
      <c r="AE67" s="148">
        <v>12579.53</v>
      </c>
      <c r="AF67" s="148">
        <v>31133.94</v>
      </c>
      <c r="AG67" s="148">
        <v>249.84</v>
      </c>
      <c r="AH67" s="147" t="s">
        <v>242</v>
      </c>
      <c r="AI67" s="147">
        <v>13</v>
      </c>
      <c r="AJ67" s="147" t="s">
        <v>510</v>
      </c>
    </row>
    <row r="68" spans="1:36">
      <c r="A68" s="147" t="s">
        <v>663</v>
      </c>
      <c r="B68" s="147" t="s">
        <v>502</v>
      </c>
      <c r="C68" s="147" t="s">
        <v>503</v>
      </c>
      <c r="D68" s="147" t="s">
        <v>505</v>
      </c>
      <c r="E68" s="147">
        <v>19</v>
      </c>
      <c r="F68" s="147" t="s">
        <v>507</v>
      </c>
      <c r="G68" s="147" t="s">
        <v>208</v>
      </c>
      <c r="H68" s="147">
        <v>11</v>
      </c>
      <c r="I68" s="148">
        <v>1335</v>
      </c>
      <c r="J68" s="147" t="s">
        <v>343</v>
      </c>
      <c r="K68" s="147" t="s">
        <v>343</v>
      </c>
      <c r="L68" s="147" t="s">
        <v>343</v>
      </c>
      <c r="M68" s="147" t="s">
        <v>343</v>
      </c>
      <c r="N68" s="147" t="s">
        <v>343</v>
      </c>
      <c r="O68" s="147" t="s">
        <v>343</v>
      </c>
      <c r="P68" s="147" t="s">
        <v>343</v>
      </c>
      <c r="Q68" s="147" t="s">
        <v>343</v>
      </c>
      <c r="R68" s="147" t="s">
        <v>343</v>
      </c>
      <c r="S68" s="148">
        <v>1920</v>
      </c>
      <c r="T68" s="148">
        <v>1140</v>
      </c>
      <c r="U68" s="148">
        <v>0</v>
      </c>
      <c r="V68" s="148">
        <v>945</v>
      </c>
      <c r="W68" s="148">
        <v>1075</v>
      </c>
      <c r="X68" s="148">
        <v>1150</v>
      </c>
      <c r="Y68" s="148">
        <v>1075</v>
      </c>
      <c r="Z68" s="148">
        <v>1140</v>
      </c>
      <c r="AA68" s="148">
        <v>1335</v>
      </c>
      <c r="AB68" s="148">
        <v>1335</v>
      </c>
      <c r="AC68" s="148">
        <v>1335</v>
      </c>
      <c r="AD68" s="148">
        <v>12450</v>
      </c>
      <c r="AE68" s="148">
        <v>12450</v>
      </c>
      <c r="AF68" s="148">
        <v>4005</v>
      </c>
      <c r="AG68" s="148">
        <v>8445</v>
      </c>
      <c r="AH68" s="147" t="s">
        <v>248</v>
      </c>
      <c r="AI68" s="147">
        <v>10</v>
      </c>
      <c r="AJ68" s="147" t="s">
        <v>509</v>
      </c>
    </row>
    <row r="69" spans="1:36">
      <c r="A69" s="147" t="s">
        <v>664</v>
      </c>
      <c r="B69" s="147" t="s">
        <v>502</v>
      </c>
      <c r="C69" s="147" t="s">
        <v>503</v>
      </c>
      <c r="D69" s="147" t="s">
        <v>505</v>
      </c>
      <c r="E69" s="147">
        <v>17</v>
      </c>
      <c r="F69" s="147" t="s">
        <v>560</v>
      </c>
      <c r="G69" s="147" t="s">
        <v>127</v>
      </c>
      <c r="H69" s="147">
        <v>26</v>
      </c>
      <c r="I69" s="148">
        <v>1129.3333333333333</v>
      </c>
      <c r="J69" s="147" t="s">
        <v>343</v>
      </c>
      <c r="K69" s="148">
        <v>553</v>
      </c>
      <c r="L69" s="148">
        <v>628</v>
      </c>
      <c r="M69" s="148">
        <v>553</v>
      </c>
      <c r="N69" s="148">
        <v>553</v>
      </c>
      <c r="O69" s="148">
        <v>632</v>
      </c>
      <c r="P69" s="148">
        <v>700</v>
      </c>
      <c r="Q69" s="148">
        <v>775</v>
      </c>
      <c r="R69" s="148">
        <v>775</v>
      </c>
      <c r="S69" s="148">
        <v>775</v>
      </c>
      <c r="T69" s="148">
        <v>850</v>
      </c>
      <c r="U69" s="148">
        <v>1075</v>
      </c>
      <c r="V69" s="148">
        <v>1000</v>
      </c>
      <c r="W69" s="148">
        <v>1000</v>
      </c>
      <c r="X69" s="148">
        <v>1135</v>
      </c>
      <c r="Y69" s="148">
        <v>1150</v>
      </c>
      <c r="Z69" s="148">
        <v>1225</v>
      </c>
      <c r="AA69" s="148">
        <v>1225</v>
      </c>
      <c r="AB69" s="148">
        <v>1115</v>
      </c>
      <c r="AC69" s="148">
        <v>1048</v>
      </c>
      <c r="AD69" s="148">
        <v>16767</v>
      </c>
      <c r="AE69" s="148">
        <v>12373</v>
      </c>
      <c r="AF69" s="148">
        <v>8869</v>
      </c>
      <c r="AG69" s="148">
        <v>7898</v>
      </c>
      <c r="AH69" s="147" t="s">
        <v>248</v>
      </c>
      <c r="AI69" s="147">
        <v>19</v>
      </c>
      <c r="AJ69" s="147" t="s">
        <v>509</v>
      </c>
    </row>
    <row r="70" spans="1:36">
      <c r="A70" s="147" t="s">
        <v>665</v>
      </c>
      <c r="B70" s="147" t="s">
        <v>502</v>
      </c>
      <c r="C70" s="147" t="s">
        <v>503</v>
      </c>
      <c r="D70" s="147" t="s">
        <v>621</v>
      </c>
      <c r="E70" s="147">
        <v>21</v>
      </c>
      <c r="F70" s="147" t="s">
        <v>507</v>
      </c>
      <c r="G70" s="147" t="s">
        <v>201</v>
      </c>
      <c r="H70" s="147">
        <v>18</v>
      </c>
      <c r="I70" s="148">
        <v>1011.3333333333334</v>
      </c>
      <c r="J70" s="147" t="s">
        <v>343</v>
      </c>
      <c r="K70" s="147" t="s">
        <v>343</v>
      </c>
      <c r="L70" s="148">
        <v>440</v>
      </c>
      <c r="M70" s="148">
        <v>550</v>
      </c>
      <c r="N70" s="148">
        <v>625</v>
      </c>
      <c r="O70" s="148">
        <v>625</v>
      </c>
      <c r="P70" s="148">
        <v>700</v>
      </c>
      <c r="Q70" s="148">
        <v>700</v>
      </c>
      <c r="R70" s="148">
        <v>700</v>
      </c>
      <c r="S70" s="148">
        <v>925</v>
      </c>
      <c r="T70" s="148">
        <v>1075</v>
      </c>
      <c r="U70" s="148">
        <v>1150</v>
      </c>
      <c r="V70" s="148">
        <v>1075</v>
      </c>
      <c r="W70" s="148">
        <v>1000</v>
      </c>
      <c r="X70" s="148">
        <v>1263</v>
      </c>
      <c r="Y70" s="148">
        <v>905</v>
      </c>
      <c r="Z70" s="148">
        <v>942</v>
      </c>
      <c r="AA70" s="148">
        <v>942</v>
      </c>
      <c r="AB70" s="148">
        <v>942</v>
      </c>
      <c r="AC70" s="148">
        <v>1150</v>
      </c>
      <c r="AD70" s="148">
        <v>15709</v>
      </c>
      <c r="AE70" s="148">
        <v>12069</v>
      </c>
      <c r="AF70" s="148">
        <v>8565</v>
      </c>
      <c r="AG70" s="148">
        <v>7144</v>
      </c>
      <c r="AH70" s="147" t="s">
        <v>248</v>
      </c>
      <c r="AI70" s="147">
        <v>18</v>
      </c>
      <c r="AJ70" s="147" t="s">
        <v>509</v>
      </c>
    </row>
    <row r="71" spans="1:36">
      <c r="A71" s="147" t="s">
        <v>666</v>
      </c>
      <c r="B71" s="147" t="s">
        <v>502</v>
      </c>
      <c r="C71" s="147" t="s">
        <v>503</v>
      </c>
      <c r="D71" s="147" t="s">
        <v>505</v>
      </c>
      <c r="E71" s="147">
        <v>11</v>
      </c>
      <c r="F71" s="147" t="s">
        <v>507</v>
      </c>
      <c r="G71" s="147" t="s">
        <v>200</v>
      </c>
      <c r="H71" s="147">
        <v>19</v>
      </c>
      <c r="I71" s="148">
        <v>922</v>
      </c>
      <c r="J71" s="147" t="s">
        <v>343</v>
      </c>
      <c r="K71" s="148">
        <v>876.9</v>
      </c>
      <c r="L71" s="148">
        <v>452.9</v>
      </c>
      <c r="M71" s="148">
        <v>540.04999999999995</v>
      </c>
      <c r="N71" s="148">
        <v>890</v>
      </c>
      <c r="O71" s="148">
        <v>1068</v>
      </c>
      <c r="P71" s="148">
        <v>1157</v>
      </c>
      <c r="Q71" s="148">
        <v>1157</v>
      </c>
      <c r="R71" s="148">
        <v>1246</v>
      </c>
      <c r="S71" s="148">
        <v>1157</v>
      </c>
      <c r="T71" s="148">
        <v>1157</v>
      </c>
      <c r="U71" s="148">
        <v>1157</v>
      </c>
      <c r="V71" s="148">
        <v>890</v>
      </c>
      <c r="W71" s="148">
        <v>806</v>
      </c>
      <c r="X71" s="148">
        <v>1076</v>
      </c>
      <c r="Y71" s="148">
        <v>806</v>
      </c>
      <c r="Z71" s="148">
        <v>893</v>
      </c>
      <c r="AA71" s="148">
        <v>893</v>
      </c>
      <c r="AB71" s="148">
        <v>893</v>
      </c>
      <c r="AC71" s="148">
        <v>980</v>
      </c>
      <c r="AD71" s="148">
        <v>18095.849999999999</v>
      </c>
      <c r="AE71" s="148">
        <v>11954</v>
      </c>
      <c r="AF71" s="148">
        <v>11748.85</v>
      </c>
      <c r="AG71" s="148">
        <v>6347</v>
      </c>
      <c r="AH71" s="147" t="s">
        <v>248</v>
      </c>
      <c r="AI71" s="147">
        <v>19</v>
      </c>
      <c r="AJ71" s="147" t="s">
        <v>509</v>
      </c>
    </row>
    <row r="72" spans="1:36">
      <c r="A72" s="147" t="s">
        <v>667</v>
      </c>
      <c r="B72" s="147" t="s">
        <v>502</v>
      </c>
      <c r="C72" s="147" t="s">
        <v>503</v>
      </c>
      <c r="D72" s="147" t="s">
        <v>505</v>
      </c>
      <c r="E72" s="147">
        <v>17</v>
      </c>
      <c r="F72" s="147" t="s">
        <v>507</v>
      </c>
      <c r="G72" s="147" t="s">
        <v>208</v>
      </c>
      <c r="H72" s="147">
        <v>11</v>
      </c>
      <c r="I72" s="148">
        <v>1143.3333333333333</v>
      </c>
      <c r="J72" s="147" t="s">
        <v>343</v>
      </c>
      <c r="K72" s="147" t="s">
        <v>343</v>
      </c>
      <c r="L72" s="147" t="s">
        <v>343</v>
      </c>
      <c r="M72" s="147" t="s">
        <v>343</v>
      </c>
      <c r="N72" s="147" t="s">
        <v>343</v>
      </c>
      <c r="O72" s="147" t="s">
        <v>343</v>
      </c>
      <c r="P72" s="147" t="s">
        <v>343</v>
      </c>
      <c r="Q72" s="147" t="s">
        <v>343</v>
      </c>
      <c r="R72" s="147" t="s">
        <v>343</v>
      </c>
      <c r="S72" s="148">
        <v>1300</v>
      </c>
      <c r="T72" s="148">
        <v>925</v>
      </c>
      <c r="U72" s="148">
        <v>925</v>
      </c>
      <c r="V72" s="148">
        <v>925</v>
      </c>
      <c r="W72" s="148">
        <v>1090</v>
      </c>
      <c r="X72" s="148">
        <v>1015</v>
      </c>
      <c r="Y72" s="148">
        <v>1075</v>
      </c>
      <c r="Z72" s="148">
        <v>1150</v>
      </c>
      <c r="AA72" s="148">
        <v>1150</v>
      </c>
      <c r="AB72" s="148">
        <v>1140</v>
      </c>
      <c r="AC72" s="148">
        <v>1140</v>
      </c>
      <c r="AD72" s="148">
        <v>11835</v>
      </c>
      <c r="AE72" s="148">
        <v>11835</v>
      </c>
      <c r="AF72" s="148">
        <v>4075</v>
      </c>
      <c r="AG72" s="148">
        <v>7760</v>
      </c>
      <c r="AH72" s="147" t="s">
        <v>248</v>
      </c>
      <c r="AI72" s="147">
        <v>11</v>
      </c>
      <c r="AJ72" s="147" t="s">
        <v>509</v>
      </c>
    </row>
    <row r="73" spans="1:36">
      <c r="A73" s="147" t="s">
        <v>668</v>
      </c>
      <c r="B73" s="147" t="s">
        <v>502</v>
      </c>
      <c r="C73" s="147" t="s">
        <v>503</v>
      </c>
      <c r="D73" s="147" t="s">
        <v>505</v>
      </c>
      <c r="E73" s="147">
        <v>32</v>
      </c>
      <c r="F73" s="147" t="s">
        <v>507</v>
      </c>
      <c r="G73" s="147" t="s">
        <v>244</v>
      </c>
      <c r="H73" s="147">
        <v>5</v>
      </c>
      <c r="I73" s="148">
        <v>1993</v>
      </c>
      <c r="J73" s="147" t="s">
        <v>343</v>
      </c>
      <c r="K73" s="147" t="s">
        <v>343</v>
      </c>
      <c r="L73" s="147" t="s">
        <v>343</v>
      </c>
      <c r="M73" s="147" t="s">
        <v>343</v>
      </c>
      <c r="N73" s="147" t="s">
        <v>343</v>
      </c>
      <c r="O73" s="147" t="s">
        <v>343</v>
      </c>
      <c r="P73" s="147" t="s">
        <v>343</v>
      </c>
      <c r="Q73" s="147" t="s">
        <v>343</v>
      </c>
      <c r="R73" s="147" t="s">
        <v>343</v>
      </c>
      <c r="S73" s="147" t="s">
        <v>343</v>
      </c>
      <c r="T73" s="147" t="s">
        <v>343</v>
      </c>
      <c r="U73" s="147" t="s">
        <v>343</v>
      </c>
      <c r="V73" s="147" t="s">
        <v>343</v>
      </c>
      <c r="W73" s="147" t="s">
        <v>343</v>
      </c>
      <c r="X73" s="147" t="s">
        <v>343</v>
      </c>
      <c r="Y73" s="148">
        <v>3937</v>
      </c>
      <c r="Z73" s="148">
        <v>1860</v>
      </c>
      <c r="AA73" s="148">
        <v>1803</v>
      </c>
      <c r="AB73" s="148">
        <v>2268</v>
      </c>
      <c r="AC73" s="148">
        <v>1908</v>
      </c>
      <c r="AD73" s="148">
        <v>11776</v>
      </c>
      <c r="AE73" s="148">
        <v>11776</v>
      </c>
      <c r="AF73" s="148">
        <v>0</v>
      </c>
      <c r="AG73" s="148">
        <v>11776</v>
      </c>
      <c r="AH73" s="147" t="s">
        <v>248</v>
      </c>
      <c r="AI73" s="147">
        <v>5</v>
      </c>
      <c r="AJ73" s="147" t="s">
        <v>509</v>
      </c>
    </row>
    <row r="74" spans="1:36">
      <c r="A74" s="147" t="s">
        <v>671</v>
      </c>
      <c r="B74" s="147" t="s">
        <v>502</v>
      </c>
      <c r="C74" s="147" t="s">
        <v>637</v>
      </c>
      <c r="D74" s="147" t="s">
        <v>343</v>
      </c>
      <c r="E74" s="147" t="s">
        <v>343</v>
      </c>
      <c r="F74" s="147" t="s">
        <v>673</v>
      </c>
      <c r="G74" s="147" t="s">
        <v>639</v>
      </c>
      <c r="H74" s="147">
        <v>63</v>
      </c>
      <c r="I74" s="148">
        <v>995</v>
      </c>
      <c r="J74" s="147" t="s">
        <v>343</v>
      </c>
      <c r="K74" s="148">
        <v>1040</v>
      </c>
      <c r="L74" s="148">
        <v>950</v>
      </c>
      <c r="M74" s="148">
        <v>950</v>
      </c>
      <c r="N74" s="148">
        <v>950</v>
      </c>
      <c r="O74" s="148">
        <v>950</v>
      </c>
      <c r="P74" s="148">
        <v>950</v>
      </c>
      <c r="Q74" s="148">
        <v>950</v>
      </c>
      <c r="R74" s="148">
        <v>950</v>
      </c>
      <c r="S74" s="148">
        <v>950</v>
      </c>
      <c r="T74" s="148">
        <v>950</v>
      </c>
      <c r="U74" s="148">
        <v>950</v>
      </c>
      <c r="V74" s="148">
        <v>950</v>
      </c>
      <c r="W74" s="148">
        <v>995</v>
      </c>
      <c r="X74" s="148">
        <v>995</v>
      </c>
      <c r="Y74" s="148">
        <v>995</v>
      </c>
      <c r="Z74" s="148">
        <v>995</v>
      </c>
      <c r="AA74" s="148">
        <v>995</v>
      </c>
      <c r="AB74" s="148">
        <v>995</v>
      </c>
      <c r="AC74" s="148">
        <v>995</v>
      </c>
      <c r="AD74" s="148">
        <v>18455</v>
      </c>
      <c r="AE74" s="148">
        <v>11715</v>
      </c>
      <c r="AF74" s="148">
        <v>11490</v>
      </c>
      <c r="AG74" s="148">
        <v>6965</v>
      </c>
      <c r="AH74" s="147" t="s">
        <v>248</v>
      </c>
      <c r="AI74" s="147">
        <v>19</v>
      </c>
      <c r="AJ74" s="147" t="s">
        <v>509</v>
      </c>
    </row>
    <row r="75" spans="1:36">
      <c r="A75" s="147" t="s">
        <v>675</v>
      </c>
      <c r="B75" s="147" t="s">
        <v>502</v>
      </c>
      <c r="C75" s="147" t="s">
        <v>503</v>
      </c>
      <c r="D75" s="147" t="s">
        <v>621</v>
      </c>
      <c r="E75" s="147">
        <v>37</v>
      </c>
      <c r="F75" s="147" t="s">
        <v>507</v>
      </c>
      <c r="G75" s="147" t="s">
        <v>243</v>
      </c>
      <c r="H75" s="147">
        <v>6</v>
      </c>
      <c r="I75" s="148">
        <v>2082</v>
      </c>
      <c r="J75" s="147" t="s">
        <v>343</v>
      </c>
      <c r="K75" s="147" t="s">
        <v>343</v>
      </c>
      <c r="L75" s="147" t="s">
        <v>343</v>
      </c>
      <c r="M75" s="147" t="s">
        <v>343</v>
      </c>
      <c r="N75" s="147" t="s">
        <v>343</v>
      </c>
      <c r="O75" s="147" t="s">
        <v>343</v>
      </c>
      <c r="P75" s="147" t="s">
        <v>343</v>
      </c>
      <c r="Q75" s="147" t="s">
        <v>343</v>
      </c>
      <c r="R75" s="147" t="s">
        <v>343</v>
      </c>
      <c r="S75" s="147" t="s">
        <v>343</v>
      </c>
      <c r="T75" s="147" t="s">
        <v>343</v>
      </c>
      <c r="U75" s="147" t="s">
        <v>343</v>
      </c>
      <c r="V75" s="147" t="s">
        <v>343</v>
      </c>
      <c r="W75" s="147" t="s">
        <v>343</v>
      </c>
      <c r="X75" s="148">
        <v>975</v>
      </c>
      <c r="Y75" s="148">
        <v>2823</v>
      </c>
      <c r="Z75" s="148">
        <v>1471</v>
      </c>
      <c r="AA75" s="148">
        <v>1944</v>
      </c>
      <c r="AB75" s="148">
        <v>2138</v>
      </c>
      <c r="AC75" s="148">
        <v>2164</v>
      </c>
      <c r="AD75" s="148">
        <v>11515</v>
      </c>
      <c r="AE75" s="148">
        <v>11515</v>
      </c>
      <c r="AF75" s="148">
        <v>0</v>
      </c>
      <c r="AG75" s="148">
        <v>11515</v>
      </c>
      <c r="AH75" s="147" t="s">
        <v>248</v>
      </c>
      <c r="AI75" s="147">
        <v>6</v>
      </c>
      <c r="AJ75" s="147" t="s">
        <v>509</v>
      </c>
    </row>
    <row r="76" spans="1:36">
      <c r="A76" s="147" t="s">
        <v>676</v>
      </c>
      <c r="B76" s="147" t="s">
        <v>502</v>
      </c>
      <c r="C76" s="147" t="s">
        <v>503</v>
      </c>
      <c r="D76" s="147" t="s">
        <v>505</v>
      </c>
      <c r="E76" s="147">
        <v>19</v>
      </c>
      <c r="F76" s="147" t="s">
        <v>507</v>
      </c>
      <c r="G76" s="147" t="s">
        <v>553</v>
      </c>
      <c r="H76" s="147">
        <v>34</v>
      </c>
      <c r="I76" s="148">
        <v>1460.6666666666667</v>
      </c>
      <c r="J76" s="147" t="s">
        <v>343</v>
      </c>
      <c r="K76" s="148">
        <v>699</v>
      </c>
      <c r="L76" s="148">
        <v>623</v>
      </c>
      <c r="M76" s="148">
        <v>623</v>
      </c>
      <c r="N76" s="148">
        <v>712</v>
      </c>
      <c r="O76" s="148">
        <v>801</v>
      </c>
      <c r="P76" s="148">
        <v>712</v>
      </c>
      <c r="Q76" s="148">
        <v>801</v>
      </c>
      <c r="R76" s="148">
        <v>445</v>
      </c>
      <c r="S76" s="148">
        <v>356</v>
      </c>
      <c r="T76" s="148">
        <v>590</v>
      </c>
      <c r="U76" s="148">
        <v>590</v>
      </c>
      <c r="V76" s="148">
        <v>680</v>
      </c>
      <c r="W76" s="148">
        <v>790</v>
      </c>
      <c r="X76" s="148">
        <v>1260</v>
      </c>
      <c r="Y76" s="148">
        <v>1280</v>
      </c>
      <c r="Z76" s="148">
        <v>1140</v>
      </c>
      <c r="AA76" s="148">
        <v>1377</v>
      </c>
      <c r="AB76" s="148">
        <v>1391</v>
      </c>
      <c r="AC76" s="148">
        <v>1614</v>
      </c>
      <c r="AD76" s="148">
        <v>16484</v>
      </c>
      <c r="AE76" s="148">
        <v>11513</v>
      </c>
      <c r="AF76" s="148">
        <v>7632</v>
      </c>
      <c r="AG76" s="148">
        <v>8852</v>
      </c>
      <c r="AH76" s="147" t="s">
        <v>248</v>
      </c>
      <c r="AI76" s="147">
        <v>19</v>
      </c>
      <c r="AJ76" s="147" t="s">
        <v>509</v>
      </c>
    </row>
    <row r="77" spans="1:36">
      <c r="A77" s="147" t="s">
        <v>677</v>
      </c>
      <c r="B77" s="147" t="s">
        <v>502</v>
      </c>
      <c r="C77" s="147" t="s">
        <v>503</v>
      </c>
      <c r="D77" s="147" t="s">
        <v>505</v>
      </c>
      <c r="E77" s="147">
        <v>28</v>
      </c>
      <c r="F77" s="147" t="s">
        <v>507</v>
      </c>
      <c r="G77" s="147" t="s">
        <v>207</v>
      </c>
      <c r="H77" s="147">
        <v>12</v>
      </c>
      <c r="I77" s="148">
        <v>1231.6666666666667</v>
      </c>
      <c r="J77" s="147" t="s">
        <v>343</v>
      </c>
      <c r="K77" s="147" t="s">
        <v>343</v>
      </c>
      <c r="L77" s="147" t="s">
        <v>343</v>
      </c>
      <c r="M77" s="147" t="s">
        <v>343</v>
      </c>
      <c r="N77" s="147" t="s">
        <v>343</v>
      </c>
      <c r="O77" s="147" t="s">
        <v>343</v>
      </c>
      <c r="P77" s="147" t="s">
        <v>343</v>
      </c>
      <c r="Q77" s="147" t="s">
        <v>343</v>
      </c>
      <c r="R77" s="148">
        <v>1360</v>
      </c>
      <c r="S77" s="148">
        <v>675</v>
      </c>
      <c r="T77" s="148">
        <v>675</v>
      </c>
      <c r="U77" s="148">
        <v>780</v>
      </c>
      <c r="V77" s="148">
        <v>780</v>
      </c>
      <c r="W77" s="148">
        <v>780</v>
      </c>
      <c r="X77" s="148">
        <v>900</v>
      </c>
      <c r="Y77" s="148">
        <v>780</v>
      </c>
      <c r="Z77" s="148">
        <v>780</v>
      </c>
      <c r="AA77" s="148">
        <v>780</v>
      </c>
      <c r="AB77" s="148">
        <v>1030</v>
      </c>
      <c r="AC77" s="148">
        <v>1885</v>
      </c>
      <c r="AD77" s="148">
        <v>11205</v>
      </c>
      <c r="AE77" s="148">
        <v>11205</v>
      </c>
      <c r="AF77" s="148">
        <v>4270</v>
      </c>
      <c r="AG77" s="148">
        <v>6935</v>
      </c>
      <c r="AH77" s="147" t="s">
        <v>248</v>
      </c>
      <c r="AI77" s="147">
        <v>12</v>
      </c>
      <c r="AJ77" s="147" t="s">
        <v>509</v>
      </c>
    </row>
    <row r="78" spans="1:36">
      <c r="A78" s="147" t="s">
        <v>678</v>
      </c>
      <c r="B78" s="147" t="s">
        <v>502</v>
      </c>
      <c r="C78" s="147" t="s">
        <v>503</v>
      </c>
      <c r="D78" s="147" t="s">
        <v>505</v>
      </c>
      <c r="E78" s="147">
        <v>13</v>
      </c>
      <c r="F78" s="147" t="s">
        <v>507</v>
      </c>
      <c r="G78" s="147" t="s">
        <v>200</v>
      </c>
      <c r="H78" s="147">
        <v>19</v>
      </c>
      <c r="I78" s="148">
        <v>1125</v>
      </c>
      <c r="J78" s="147" t="s">
        <v>343</v>
      </c>
      <c r="K78" s="147" t="s">
        <v>343</v>
      </c>
      <c r="L78" s="147" t="s">
        <v>343</v>
      </c>
      <c r="M78" s="147" t="s">
        <v>343</v>
      </c>
      <c r="N78" s="147" t="s">
        <v>343</v>
      </c>
      <c r="O78" s="147" t="s">
        <v>343</v>
      </c>
      <c r="P78" s="147" t="s">
        <v>343</v>
      </c>
      <c r="Q78" s="147" t="s">
        <v>343</v>
      </c>
      <c r="R78" s="147" t="s">
        <v>343</v>
      </c>
      <c r="S78" s="147" t="s">
        <v>343</v>
      </c>
      <c r="T78" s="148">
        <v>1600</v>
      </c>
      <c r="U78" s="148">
        <v>850</v>
      </c>
      <c r="V78" s="148">
        <v>1180</v>
      </c>
      <c r="W78" s="148">
        <v>925</v>
      </c>
      <c r="X78" s="148">
        <v>925</v>
      </c>
      <c r="Y78" s="148">
        <v>1000</v>
      </c>
      <c r="Z78" s="148">
        <v>1075</v>
      </c>
      <c r="AA78" s="148">
        <v>1150</v>
      </c>
      <c r="AB78" s="148">
        <v>1150</v>
      </c>
      <c r="AC78" s="148">
        <v>1075</v>
      </c>
      <c r="AD78" s="148">
        <v>10930</v>
      </c>
      <c r="AE78" s="148">
        <v>10930</v>
      </c>
      <c r="AF78" s="148">
        <v>3630</v>
      </c>
      <c r="AG78" s="148">
        <v>7300</v>
      </c>
      <c r="AH78" s="147" t="s">
        <v>248</v>
      </c>
      <c r="AI78" s="147">
        <v>10</v>
      </c>
      <c r="AJ78" s="147" t="s">
        <v>509</v>
      </c>
    </row>
    <row r="79" spans="1:36">
      <c r="A79" s="147" t="s">
        <v>679</v>
      </c>
      <c r="B79" s="147" t="s">
        <v>502</v>
      </c>
      <c r="C79" s="147" t="s">
        <v>503</v>
      </c>
      <c r="D79" s="147" t="s">
        <v>505</v>
      </c>
      <c r="E79" s="147">
        <v>14</v>
      </c>
      <c r="F79" s="147" t="s">
        <v>507</v>
      </c>
      <c r="G79" s="147" t="s">
        <v>243</v>
      </c>
      <c r="H79" s="147">
        <v>6</v>
      </c>
      <c r="I79" s="148">
        <v>1696</v>
      </c>
      <c r="J79" s="147" t="s">
        <v>343</v>
      </c>
      <c r="K79" s="147" t="s">
        <v>343</v>
      </c>
      <c r="L79" s="147" t="s">
        <v>343</v>
      </c>
      <c r="M79" s="147" t="s">
        <v>343</v>
      </c>
      <c r="N79" s="147" t="s">
        <v>343</v>
      </c>
      <c r="O79" s="147" t="s">
        <v>343</v>
      </c>
      <c r="P79" s="147" t="s">
        <v>343</v>
      </c>
      <c r="Q79" s="147" t="s">
        <v>343</v>
      </c>
      <c r="R79" s="147" t="s">
        <v>343</v>
      </c>
      <c r="S79" s="147" t="s">
        <v>343</v>
      </c>
      <c r="T79" s="147" t="s">
        <v>343</v>
      </c>
      <c r="U79" s="147" t="s">
        <v>343</v>
      </c>
      <c r="V79" s="147" t="s">
        <v>343</v>
      </c>
      <c r="W79" s="147" t="s">
        <v>343</v>
      </c>
      <c r="X79" s="148">
        <v>2242</v>
      </c>
      <c r="Y79" s="148">
        <v>1666</v>
      </c>
      <c r="Z79" s="148">
        <v>1783</v>
      </c>
      <c r="AA79" s="148">
        <v>1696</v>
      </c>
      <c r="AB79" s="148">
        <v>1696</v>
      </c>
      <c r="AC79" s="148">
        <v>1696</v>
      </c>
      <c r="AD79" s="148">
        <v>10779</v>
      </c>
      <c r="AE79" s="148">
        <v>10779</v>
      </c>
      <c r="AF79" s="148">
        <v>0</v>
      </c>
      <c r="AG79" s="148">
        <v>10779</v>
      </c>
      <c r="AH79" s="147" t="s">
        <v>248</v>
      </c>
      <c r="AI79" s="147">
        <v>6</v>
      </c>
      <c r="AJ79" s="147" t="s">
        <v>509</v>
      </c>
    </row>
    <row r="80" spans="1:36">
      <c r="A80" s="147" t="s">
        <v>680</v>
      </c>
      <c r="B80" s="147" t="s">
        <v>502</v>
      </c>
      <c r="C80" s="147" t="s">
        <v>503</v>
      </c>
      <c r="D80" s="147" t="s">
        <v>505</v>
      </c>
      <c r="E80" s="147">
        <v>9</v>
      </c>
      <c r="F80" s="147" t="s">
        <v>507</v>
      </c>
      <c r="G80" s="147" t="s">
        <v>593</v>
      </c>
      <c r="H80" s="147">
        <v>32</v>
      </c>
      <c r="I80" s="148">
        <v>855</v>
      </c>
      <c r="J80" s="147" t="s">
        <v>343</v>
      </c>
      <c r="K80" s="148">
        <v>1030</v>
      </c>
      <c r="L80" s="148">
        <v>820</v>
      </c>
      <c r="M80" s="148">
        <v>855</v>
      </c>
      <c r="N80" s="148">
        <v>785</v>
      </c>
      <c r="O80" s="148">
        <v>820</v>
      </c>
      <c r="P80" s="148">
        <v>820</v>
      </c>
      <c r="Q80" s="148">
        <v>980</v>
      </c>
      <c r="R80" s="148">
        <v>980</v>
      </c>
      <c r="S80" s="148">
        <v>1045</v>
      </c>
      <c r="T80" s="148">
        <v>940</v>
      </c>
      <c r="U80" s="148">
        <v>970</v>
      </c>
      <c r="V80" s="148">
        <v>865</v>
      </c>
      <c r="W80" s="148">
        <v>865</v>
      </c>
      <c r="X80" s="148">
        <v>1000</v>
      </c>
      <c r="Y80" s="148">
        <v>760</v>
      </c>
      <c r="Z80" s="148">
        <v>780</v>
      </c>
      <c r="AA80" s="148">
        <v>805</v>
      </c>
      <c r="AB80" s="148">
        <v>985</v>
      </c>
      <c r="AC80" s="148">
        <v>775</v>
      </c>
      <c r="AD80" s="148">
        <v>16880</v>
      </c>
      <c r="AE80" s="148">
        <v>10770</v>
      </c>
      <c r="AF80" s="148">
        <v>10910</v>
      </c>
      <c r="AG80" s="148">
        <v>5970</v>
      </c>
      <c r="AH80" s="147" t="s">
        <v>248</v>
      </c>
      <c r="AI80" s="147">
        <v>19</v>
      </c>
      <c r="AJ80" s="147" t="s">
        <v>509</v>
      </c>
    </row>
    <row r="81" spans="1:36">
      <c r="A81" s="147" t="s">
        <v>681</v>
      </c>
      <c r="B81" s="147" t="s">
        <v>502</v>
      </c>
      <c r="C81" s="147" t="s">
        <v>503</v>
      </c>
      <c r="D81" s="147" t="s">
        <v>505</v>
      </c>
      <c r="E81" s="147">
        <v>15</v>
      </c>
      <c r="F81" s="147" t="s">
        <v>507</v>
      </c>
      <c r="G81" s="147" t="s">
        <v>593</v>
      </c>
      <c r="H81" s="147">
        <v>32</v>
      </c>
      <c r="I81" s="148">
        <v>1100</v>
      </c>
      <c r="J81" s="147" t="s">
        <v>343</v>
      </c>
      <c r="K81" s="148">
        <v>875</v>
      </c>
      <c r="L81" s="148">
        <v>725</v>
      </c>
      <c r="M81" s="148">
        <v>725</v>
      </c>
      <c r="N81" s="148">
        <v>725</v>
      </c>
      <c r="O81" s="148">
        <v>500</v>
      </c>
      <c r="P81" s="148">
        <v>500</v>
      </c>
      <c r="Q81" s="148">
        <v>500</v>
      </c>
      <c r="R81" s="148">
        <v>575</v>
      </c>
      <c r="S81" s="148">
        <v>425</v>
      </c>
      <c r="T81" s="148">
        <v>575</v>
      </c>
      <c r="U81" s="148">
        <v>650</v>
      </c>
      <c r="V81" s="148">
        <v>850</v>
      </c>
      <c r="W81" s="148">
        <v>850</v>
      </c>
      <c r="X81" s="148">
        <v>1315</v>
      </c>
      <c r="Y81" s="148">
        <v>1075</v>
      </c>
      <c r="Z81" s="148">
        <v>1150</v>
      </c>
      <c r="AA81" s="148">
        <v>1150</v>
      </c>
      <c r="AB81" s="148">
        <v>1075</v>
      </c>
      <c r="AC81" s="148">
        <v>1075</v>
      </c>
      <c r="AD81" s="148">
        <v>15315</v>
      </c>
      <c r="AE81" s="148">
        <v>10765</v>
      </c>
      <c r="AF81" s="148">
        <v>7625</v>
      </c>
      <c r="AG81" s="148">
        <v>7690</v>
      </c>
      <c r="AH81" s="147" t="s">
        <v>248</v>
      </c>
      <c r="AI81" s="147">
        <v>19</v>
      </c>
      <c r="AJ81" s="147" t="s">
        <v>509</v>
      </c>
    </row>
    <row r="82" spans="1:36">
      <c r="A82" s="147" t="s">
        <v>682</v>
      </c>
      <c r="B82" s="147" t="s">
        <v>502</v>
      </c>
      <c r="C82" s="147" t="s">
        <v>683</v>
      </c>
      <c r="D82" s="147" t="s">
        <v>343</v>
      </c>
      <c r="E82" s="147">
        <v>14</v>
      </c>
      <c r="F82" s="147" t="s">
        <v>507</v>
      </c>
      <c r="G82" s="147" t="s">
        <v>200</v>
      </c>
      <c r="H82" s="147">
        <v>19</v>
      </c>
      <c r="I82" s="148">
        <v>828.66666666666663</v>
      </c>
      <c r="J82" s="147" t="s">
        <v>343</v>
      </c>
      <c r="K82" s="148">
        <v>1472.5</v>
      </c>
      <c r="L82" s="148">
        <v>722.5</v>
      </c>
      <c r="M82" s="148">
        <v>722.5</v>
      </c>
      <c r="N82" s="148">
        <v>850</v>
      </c>
      <c r="O82" s="148">
        <v>850</v>
      </c>
      <c r="P82" s="148">
        <v>850</v>
      </c>
      <c r="Q82" s="148">
        <v>850</v>
      </c>
      <c r="R82" s="148">
        <v>850</v>
      </c>
      <c r="S82" s="148">
        <v>850</v>
      </c>
      <c r="T82" s="148">
        <v>850</v>
      </c>
      <c r="U82" s="148">
        <v>850</v>
      </c>
      <c r="V82" s="148">
        <v>925</v>
      </c>
      <c r="W82" s="148">
        <v>957</v>
      </c>
      <c r="X82" s="148">
        <v>1002</v>
      </c>
      <c r="Y82" s="148">
        <v>957</v>
      </c>
      <c r="Z82" s="148">
        <v>957</v>
      </c>
      <c r="AA82" s="148">
        <v>957</v>
      </c>
      <c r="AB82" s="148">
        <v>803</v>
      </c>
      <c r="AC82" s="148">
        <v>726</v>
      </c>
      <c r="AD82" s="148">
        <v>17001.5</v>
      </c>
      <c r="AE82" s="148">
        <v>10684</v>
      </c>
      <c r="AF82" s="148">
        <v>10642.5</v>
      </c>
      <c r="AG82" s="148">
        <v>6359</v>
      </c>
      <c r="AH82" s="147" t="s">
        <v>248</v>
      </c>
      <c r="AI82" s="147">
        <v>19</v>
      </c>
      <c r="AJ82" s="147" t="s">
        <v>509</v>
      </c>
    </row>
    <row r="83" spans="1:36">
      <c r="A83" s="147" t="s">
        <v>688</v>
      </c>
      <c r="B83" s="147" t="s">
        <v>567</v>
      </c>
      <c r="C83" s="147" t="s">
        <v>503</v>
      </c>
      <c r="D83" s="147" t="s">
        <v>505</v>
      </c>
      <c r="E83" s="147">
        <v>13</v>
      </c>
      <c r="F83" s="147" t="s">
        <v>568</v>
      </c>
      <c r="G83" s="147" t="s">
        <v>133</v>
      </c>
      <c r="H83" s="147">
        <v>20</v>
      </c>
      <c r="I83" s="148">
        <v>1450</v>
      </c>
      <c r="J83" s="147" t="s">
        <v>343</v>
      </c>
      <c r="K83" s="148">
        <v>1150</v>
      </c>
      <c r="L83" s="148">
        <v>1630</v>
      </c>
      <c r="M83" s="148">
        <v>1000</v>
      </c>
      <c r="N83" s="148">
        <v>1000</v>
      </c>
      <c r="O83" s="148">
        <v>1500</v>
      </c>
      <c r="P83" s="148">
        <v>1075</v>
      </c>
      <c r="Q83" s="148">
        <v>1075</v>
      </c>
      <c r="R83" s="148">
        <v>1075</v>
      </c>
      <c r="S83" s="148">
        <v>1225</v>
      </c>
      <c r="T83" s="148">
        <v>1075</v>
      </c>
      <c r="U83" s="148">
        <v>1545</v>
      </c>
      <c r="V83" s="148">
        <v>1285</v>
      </c>
      <c r="W83" s="148">
        <v>1285</v>
      </c>
      <c r="X83" s="148">
        <v>1735</v>
      </c>
      <c r="Y83" s="148">
        <v>1330</v>
      </c>
      <c r="Z83" s="148">
        <v>0</v>
      </c>
      <c r="AA83" s="147" t="s">
        <v>343</v>
      </c>
      <c r="AB83" s="147" t="s">
        <v>343</v>
      </c>
      <c r="AC83" s="147" t="s">
        <v>343</v>
      </c>
      <c r="AD83" s="148">
        <v>18985</v>
      </c>
      <c r="AE83" s="148">
        <v>10555</v>
      </c>
      <c r="AF83" s="148">
        <v>14635</v>
      </c>
      <c r="AG83" s="148">
        <v>4350</v>
      </c>
      <c r="AH83" s="147" t="s">
        <v>244</v>
      </c>
      <c r="AI83" s="147">
        <v>15</v>
      </c>
      <c r="AJ83" s="147" t="s">
        <v>510</v>
      </c>
    </row>
    <row r="84" spans="1:36">
      <c r="A84" s="147" t="s">
        <v>689</v>
      </c>
      <c r="B84" s="147" t="s">
        <v>502</v>
      </c>
      <c r="C84" s="147" t="s">
        <v>503</v>
      </c>
      <c r="D84" s="147" t="s">
        <v>612</v>
      </c>
      <c r="E84" s="147">
        <v>45</v>
      </c>
      <c r="F84" s="147" t="s">
        <v>507</v>
      </c>
      <c r="G84" s="147" t="s">
        <v>211</v>
      </c>
      <c r="H84" s="147">
        <v>8</v>
      </c>
      <c r="I84" s="148">
        <v>1280</v>
      </c>
      <c r="J84" s="147" t="s">
        <v>343</v>
      </c>
      <c r="K84" s="147" t="s">
        <v>343</v>
      </c>
      <c r="L84" s="147" t="s">
        <v>343</v>
      </c>
      <c r="M84" s="147" t="s">
        <v>343</v>
      </c>
      <c r="N84" s="147" t="s">
        <v>343</v>
      </c>
      <c r="O84" s="147" t="s">
        <v>343</v>
      </c>
      <c r="P84" s="147" t="s">
        <v>343</v>
      </c>
      <c r="Q84" s="147" t="s">
        <v>343</v>
      </c>
      <c r="R84" s="147" t="s">
        <v>343</v>
      </c>
      <c r="S84" s="147" t="s">
        <v>343</v>
      </c>
      <c r="T84" s="147" t="s">
        <v>343</v>
      </c>
      <c r="U84" s="147" t="s">
        <v>343</v>
      </c>
      <c r="V84" s="148">
        <v>1580</v>
      </c>
      <c r="W84" s="148">
        <v>1230</v>
      </c>
      <c r="X84" s="148">
        <v>1230</v>
      </c>
      <c r="Y84" s="148">
        <v>1260</v>
      </c>
      <c r="Z84" s="148">
        <v>1230</v>
      </c>
      <c r="AA84" s="148">
        <v>1230</v>
      </c>
      <c r="AB84" s="148">
        <v>1290</v>
      </c>
      <c r="AC84" s="148">
        <v>1320</v>
      </c>
      <c r="AD84" s="148">
        <v>10370</v>
      </c>
      <c r="AE84" s="148">
        <v>10370</v>
      </c>
      <c r="AF84" s="148">
        <v>1580</v>
      </c>
      <c r="AG84" s="148">
        <v>8790</v>
      </c>
      <c r="AH84" s="147" t="s">
        <v>248</v>
      </c>
      <c r="AI84" s="147">
        <v>8</v>
      </c>
      <c r="AJ84" s="147" t="s">
        <v>509</v>
      </c>
    </row>
    <row r="85" spans="1:36">
      <c r="A85" s="147" t="s">
        <v>690</v>
      </c>
      <c r="B85" s="147" t="s">
        <v>502</v>
      </c>
      <c r="C85" s="147" t="s">
        <v>503</v>
      </c>
      <c r="D85" s="147" t="s">
        <v>505</v>
      </c>
      <c r="E85" s="147">
        <v>14</v>
      </c>
      <c r="F85" s="147" t="s">
        <v>507</v>
      </c>
      <c r="G85" s="147" t="s">
        <v>122</v>
      </c>
      <c r="H85" s="147">
        <v>31</v>
      </c>
      <c r="I85" s="148">
        <v>1115</v>
      </c>
      <c r="J85" s="147" t="s">
        <v>343</v>
      </c>
      <c r="K85" s="148">
        <v>520</v>
      </c>
      <c r="L85" s="148">
        <v>520</v>
      </c>
      <c r="M85" s="148">
        <v>770</v>
      </c>
      <c r="N85" s="148">
        <v>520</v>
      </c>
      <c r="O85" s="148">
        <v>660</v>
      </c>
      <c r="P85" s="148">
        <v>730</v>
      </c>
      <c r="Q85" s="148">
        <v>730</v>
      </c>
      <c r="R85" s="148">
        <v>870</v>
      </c>
      <c r="S85" s="148">
        <v>660</v>
      </c>
      <c r="T85" s="148">
        <v>660</v>
      </c>
      <c r="U85" s="148">
        <v>775</v>
      </c>
      <c r="V85" s="148">
        <v>775</v>
      </c>
      <c r="W85" s="148">
        <v>726</v>
      </c>
      <c r="X85" s="148">
        <v>803</v>
      </c>
      <c r="Y85" s="148">
        <v>803</v>
      </c>
      <c r="Z85" s="148">
        <v>880</v>
      </c>
      <c r="AA85" s="148">
        <v>1115</v>
      </c>
      <c r="AB85" s="148">
        <v>1115</v>
      </c>
      <c r="AC85" s="148">
        <v>1115</v>
      </c>
      <c r="AD85" s="148">
        <v>14747</v>
      </c>
      <c r="AE85" s="148">
        <v>10297</v>
      </c>
      <c r="AF85" s="148">
        <v>8190</v>
      </c>
      <c r="AG85" s="148">
        <v>6557</v>
      </c>
      <c r="AH85" s="147" t="s">
        <v>248</v>
      </c>
      <c r="AI85" s="147">
        <v>19</v>
      </c>
      <c r="AJ85" s="147" t="s">
        <v>509</v>
      </c>
    </row>
    <row r="86" spans="1:36">
      <c r="A86" s="147" t="s">
        <v>691</v>
      </c>
      <c r="B86" s="147" t="s">
        <v>567</v>
      </c>
      <c r="C86" s="147" t="s">
        <v>662</v>
      </c>
      <c r="D86" s="147" t="s">
        <v>343</v>
      </c>
      <c r="E86" s="147" t="s">
        <v>343</v>
      </c>
      <c r="F86" s="147" t="s">
        <v>640</v>
      </c>
      <c r="G86" s="147" t="s">
        <v>133</v>
      </c>
      <c r="H86" s="147">
        <v>12</v>
      </c>
      <c r="I86" s="148">
        <v>828.33333333333337</v>
      </c>
      <c r="J86" s="147" t="s">
        <v>211</v>
      </c>
      <c r="K86" s="148">
        <v>940</v>
      </c>
      <c r="L86" s="148">
        <v>450</v>
      </c>
      <c r="M86" s="148">
        <v>3098.55</v>
      </c>
      <c r="N86" s="148">
        <v>380</v>
      </c>
      <c r="O86" s="148">
        <v>1020</v>
      </c>
      <c r="P86" s="148">
        <v>1590</v>
      </c>
      <c r="Q86" s="148">
        <v>1340</v>
      </c>
      <c r="R86" s="148">
        <v>1770</v>
      </c>
      <c r="S86" s="148">
        <v>1745</v>
      </c>
      <c r="T86" s="148">
        <v>1720</v>
      </c>
      <c r="U86" s="148">
        <v>1270</v>
      </c>
      <c r="V86" s="148">
        <v>1250</v>
      </c>
      <c r="W86" s="148">
        <v>1250</v>
      </c>
      <c r="X86" s="148">
        <v>1060</v>
      </c>
      <c r="Y86" s="148">
        <v>175</v>
      </c>
      <c r="Z86" s="147" t="s">
        <v>343</v>
      </c>
      <c r="AA86" s="147" t="s">
        <v>343</v>
      </c>
      <c r="AB86" s="147" t="s">
        <v>343</v>
      </c>
      <c r="AC86" s="147" t="s">
        <v>343</v>
      </c>
      <c r="AD86" s="148">
        <v>19058.55</v>
      </c>
      <c r="AE86" s="148">
        <v>10240</v>
      </c>
      <c r="AF86" s="148">
        <v>16573.55</v>
      </c>
      <c r="AG86" s="148">
        <v>2485</v>
      </c>
      <c r="AH86" s="147" t="s">
        <v>244</v>
      </c>
      <c r="AI86" s="147">
        <v>15</v>
      </c>
      <c r="AJ86" s="147" t="s">
        <v>510</v>
      </c>
    </row>
    <row r="87" spans="1:36">
      <c r="A87" s="147" t="s">
        <v>692</v>
      </c>
      <c r="B87" s="147" t="s">
        <v>502</v>
      </c>
      <c r="C87" s="147" t="s">
        <v>503</v>
      </c>
      <c r="D87" s="147" t="s">
        <v>505</v>
      </c>
      <c r="E87" s="147">
        <v>13</v>
      </c>
      <c r="F87" s="147" t="s">
        <v>507</v>
      </c>
      <c r="G87" s="147" t="s">
        <v>122</v>
      </c>
      <c r="H87" s="147">
        <v>31</v>
      </c>
      <c r="I87" s="148">
        <v>971.33333333333337</v>
      </c>
      <c r="J87" s="147" t="s">
        <v>343</v>
      </c>
      <c r="K87" s="148">
        <v>525</v>
      </c>
      <c r="L87" s="148">
        <v>360</v>
      </c>
      <c r="M87" s="148">
        <v>610</v>
      </c>
      <c r="N87" s="148">
        <v>640</v>
      </c>
      <c r="O87" s="148">
        <v>640</v>
      </c>
      <c r="P87" s="148">
        <v>710</v>
      </c>
      <c r="Q87" s="148">
        <v>710</v>
      </c>
      <c r="R87" s="148">
        <v>710</v>
      </c>
      <c r="S87" s="148">
        <v>710</v>
      </c>
      <c r="T87" s="148">
        <v>710</v>
      </c>
      <c r="U87" s="148">
        <v>750</v>
      </c>
      <c r="V87" s="148">
        <v>750</v>
      </c>
      <c r="W87" s="148">
        <v>843</v>
      </c>
      <c r="X87" s="148">
        <v>1023</v>
      </c>
      <c r="Y87" s="148">
        <v>843</v>
      </c>
      <c r="Z87" s="148">
        <v>920</v>
      </c>
      <c r="AA87" s="148">
        <v>920</v>
      </c>
      <c r="AB87" s="148">
        <v>997</v>
      </c>
      <c r="AC87" s="148">
        <v>997</v>
      </c>
      <c r="AD87" s="148">
        <v>14368</v>
      </c>
      <c r="AE87" s="148">
        <v>10173</v>
      </c>
      <c r="AF87" s="148">
        <v>7825</v>
      </c>
      <c r="AG87" s="148">
        <v>6543</v>
      </c>
      <c r="AH87" s="147" t="s">
        <v>248</v>
      </c>
      <c r="AI87" s="147">
        <v>19</v>
      </c>
      <c r="AJ87" s="147" t="s">
        <v>509</v>
      </c>
    </row>
    <row r="88" spans="1:36">
      <c r="A88" s="147" t="s">
        <v>693</v>
      </c>
      <c r="B88" s="147" t="s">
        <v>567</v>
      </c>
      <c r="C88" s="147" t="s">
        <v>637</v>
      </c>
      <c r="D88" s="147" t="s">
        <v>343</v>
      </c>
      <c r="E88" s="147" t="s">
        <v>343</v>
      </c>
      <c r="F88" s="147" t="s">
        <v>640</v>
      </c>
      <c r="G88" s="147" t="s">
        <v>695</v>
      </c>
      <c r="H88" s="147">
        <v>45</v>
      </c>
      <c r="I88" s="148">
        <v>850</v>
      </c>
      <c r="J88" s="147" t="s">
        <v>627</v>
      </c>
      <c r="K88" s="148">
        <v>895</v>
      </c>
      <c r="L88" s="148">
        <v>820</v>
      </c>
      <c r="M88" s="148">
        <v>820</v>
      </c>
      <c r="N88" s="148">
        <v>820</v>
      </c>
      <c r="O88" s="148">
        <v>820</v>
      </c>
      <c r="P88" s="148">
        <v>820</v>
      </c>
      <c r="Q88" s="148">
        <v>820</v>
      </c>
      <c r="R88" s="148">
        <v>820</v>
      </c>
      <c r="S88" s="148">
        <v>820</v>
      </c>
      <c r="T88" s="148">
        <v>820</v>
      </c>
      <c r="U88" s="148">
        <v>850</v>
      </c>
      <c r="V88" s="148">
        <v>850</v>
      </c>
      <c r="W88" s="148">
        <v>850</v>
      </c>
      <c r="X88" s="148">
        <v>865</v>
      </c>
      <c r="Y88" s="148">
        <v>850</v>
      </c>
      <c r="Z88" s="148">
        <v>850</v>
      </c>
      <c r="AA88" s="148">
        <v>850</v>
      </c>
      <c r="AB88" s="148">
        <v>850</v>
      </c>
      <c r="AC88" s="148">
        <v>850</v>
      </c>
      <c r="AD88" s="148">
        <v>15940</v>
      </c>
      <c r="AE88" s="148">
        <v>10125</v>
      </c>
      <c r="AF88" s="148">
        <v>9975</v>
      </c>
      <c r="AG88" s="148">
        <v>5965</v>
      </c>
      <c r="AH88" s="147" t="s">
        <v>248</v>
      </c>
      <c r="AI88" s="147">
        <v>19</v>
      </c>
      <c r="AJ88" s="147" t="s">
        <v>509</v>
      </c>
    </row>
    <row r="89" spans="1:36">
      <c r="A89" s="147" t="s">
        <v>696</v>
      </c>
      <c r="B89" s="147" t="s">
        <v>502</v>
      </c>
      <c r="C89" s="147" t="s">
        <v>503</v>
      </c>
      <c r="D89" s="147" t="s">
        <v>505</v>
      </c>
      <c r="E89" s="147">
        <v>11</v>
      </c>
      <c r="F89" s="147" t="s">
        <v>507</v>
      </c>
      <c r="G89" s="147" t="s">
        <v>697</v>
      </c>
      <c r="H89" s="147">
        <v>39</v>
      </c>
      <c r="I89" s="148">
        <v>1038</v>
      </c>
      <c r="J89" s="147" t="s">
        <v>343</v>
      </c>
      <c r="K89" s="148">
        <v>907</v>
      </c>
      <c r="L89" s="148">
        <v>712</v>
      </c>
      <c r="M89" s="148">
        <v>623</v>
      </c>
      <c r="N89" s="148">
        <v>534</v>
      </c>
      <c r="O89" s="148">
        <v>610</v>
      </c>
      <c r="P89" s="148">
        <v>695</v>
      </c>
      <c r="Q89" s="148">
        <v>695</v>
      </c>
      <c r="R89" s="148">
        <v>695</v>
      </c>
      <c r="S89" s="148">
        <v>780</v>
      </c>
      <c r="T89" s="148">
        <v>780</v>
      </c>
      <c r="U89" s="148">
        <v>780</v>
      </c>
      <c r="V89" s="147" t="s">
        <v>343</v>
      </c>
      <c r="W89" s="148">
        <v>1020</v>
      </c>
      <c r="X89" s="148">
        <v>950</v>
      </c>
      <c r="Y89" s="148">
        <v>950</v>
      </c>
      <c r="Z89" s="148">
        <v>950</v>
      </c>
      <c r="AA89" s="148">
        <v>1067</v>
      </c>
      <c r="AB89" s="148">
        <v>1067</v>
      </c>
      <c r="AC89" s="148">
        <v>980</v>
      </c>
      <c r="AD89" s="148">
        <v>14795</v>
      </c>
      <c r="AE89" s="148">
        <v>10019</v>
      </c>
      <c r="AF89" s="148">
        <v>7811</v>
      </c>
      <c r="AG89" s="148">
        <v>6984</v>
      </c>
      <c r="AH89" s="147" t="s">
        <v>248</v>
      </c>
      <c r="AI89" s="147">
        <v>18</v>
      </c>
      <c r="AJ89" s="147" t="s">
        <v>509</v>
      </c>
    </row>
    <row r="90" spans="1:36">
      <c r="A90" s="147" t="s">
        <v>698</v>
      </c>
      <c r="B90" s="147" t="s">
        <v>502</v>
      </c>
      <c r="C90" s="147" t="s">
        <v>503</v>
      </c>
      <c r="D90" s="147" t="s">
        <v>612</v>
      </c>
      <c r="E90" s="147">
        <v>21</v>
      </c>
      <c r="F90" s="147" t="s">
        <v>507</v>
      </c>
      <c r="G90" s="147" t="s">
        <v>133</v>
      </c>
      <c r="H90" s="147">
        <v>20</v>
      </c>
      <c r="I90" s="148">
        <v>1069.5</v>
      </c>
      <c r="J90" s="147" t="s">
        <v>343</v>
      </c>
      <c r="K90" s="148">
        <v>750</v>
      </c>
      <c r="L90" s="148">
        <v>1065</v>
      </c>
      <c r="M90" s="148">
        <v>750</v>
      </c>
      <c r="N90" s="148">
        <v>750</v>
      </c>
      <c r="O90" s="148">
        <v>750</v>
      </c>
      <c r="P90" s="148">
        <v>750</v>
      </c>
      <c r="Q90" s="148">
        <v>750</v>
      </c>
      <c r="R90" s="148">
        <v>750</v>
      </c>
      <c r="S90" s="148">
        <v>765</v>
      </c>
      <c r="T90" s="148">
        <v>750</v>
      </c>
      <c r="U90" s="148">
        <v>750</v>
      </c>
      <c r="V90" s="148">
        <v>750</v>
      </c>
      <c r="W90" s="148">
        <v>700</v>
      </c>
      <c r="X90" s="148">
        <v>1015</v>
      </c>
      <c r="Y90" s="148">
        <v>665</v>
      </c>
      <c r="Z90" s="148">
        <v>665</v>
      </c>
      <c r="AA90" s="148">
        <v>630</v>
      </c>
      <c r="AB90" s="148">
        <v>1098</v>
      </c>
      <c r="AC90" s="148">
        <v>1480.5</v>
      </c>
      <c r="AD90" s="148">
        <v>15583.5</v>
      </c>
      <c r="AE90" s="148">
        <v>10018.5</v>
      </c>
      <c r="AF90" s="148">
        <v>9330</v>
      </c>
      <c r="AG90" s="148">
        <v>6253.5</v>
      </c>
      <c r="AH90" s="147" t="s">
        <v>248</v>
      </c>
      <c r="AI90" s="147">
        <v>19</v>
      </c>
      <c r="AJ90" s="147" t="s">
        <v>509</v>
      </c>
    </row>
    <row r="91" spans="1:36">
      <c r="A91" s="147" t="s">
        <v>699</v>
      </c>
      <c r="B91" s="147" t="s">
        <v>502</v>
      </c>
      <c r="C91" s="147" t="s">
        <v>503</v>
      </c>
      <c r="D91" s="147" t="s">
        <v>505</v>
      </c>
      <c r="E91" s="147">
        <v>19</v>
      </c>
      <c r="F91" s="147" t="s">
        <v>507</v>
      </c>
      <c r="G91" s="147" t="s">
        <v>202</v>
      </c>
      <c r="H91" s="147">
        <v>17</v>
      </c>
      <c r="I91" s="148">
        <v>1105.6666666666667</v>
      </c>
      <c r="J91" s="147" t="s">
        <v>343</v>
      </c>
      <c r="K91" s="147" t="s">
        <v>343</v>
      </c>
      <c r="L91" s="147" t="s">
        <v>343</v>
      </c>
      <c r="M91" s="148">
        <v>350</v>
      </c>
      <c r="N91" s="148">
        <v>150</v>
      </c>
      <c r="O91" s="148">
        <v>990</v>
      </c>
      <c r="P91" s="148">
        <v>570</v>
      </c>
      <c r="Q91" s="148">
        <v>570</v>
      </c>
      <c r="R91" s="148">
        <v>570</v>
      </c>
      <c r="S91" s="148">
        <v>640</v>
      </c>
      <c r="T91" s="148">
        <v>640</v>
      </c>
      <c r="U91" s="148">
        <v>675</v>
      </c>
      <c r="V91" s="148">
        <v>600</v>
      </c>
      <c r="W91" s="148">
        <v>600</v>
      </c>
      <c r="X91" s="148">
        <v>675</v>
      </c>
      <c r="Y91" s="148">
        <v>780</v>
      </c>
      <c r="Z91" s="148">
        <v>957</v>
      </c>
      <c r="AA91" s="148">
        <v>957</v>
      </c>
      <c r="AB91" s="148">
        <v>1111</v>
      </c>
      <c r="AC91" s="148">
        <v>1249</v>
      </c>
      <c r="AD91" s="148">
        <v>12084</v>
      </c>
      <c r="AE91" s="148">
        <v>9454</v>
      </c>
      <c r="AF91" s="148">
        <v>5755</v>
      </c>
      <c r="AG91" s="148">
        <v>6329</v>
      </c>
      <c r="AH91" s="147" t="s">
        <v>248</v>
      </c>
      <c r="AI91" s="147">
        <v>17</v>
      </c>
      <c r="AJ91" s="147" t="s">
        <v>509</v>
      </c>
    </row>
    <row r="92" spans="1:36">
      <c r="A92" s="147" t="s">
        <v>700</v>
      </c>
      <c r="B92" s="147" t="s">
        <v>502</v>
      </c>
      <c r="C92" s="147" t="s">
        <v>503</v>
      </c>
      <c r="D92" s="147" t="s">
        <v>505</v>
      </c>
      <c r="E92" s="147">
        <v>19</v>
      </c>
      <c r="F92" s="147" t="s">
        <v>507</v>
      </c>
      <c r="G92" s="147" t="s">
        <v>203</v>
      </c>
      <c r="H92" s="147">
        <v>16</v>
      </c>
      <c r="I92" s="148">
        <v>1076.6666666666667</v>
      </c>
      <c r="J92" s="147" t="s">
        <v>343</v>
      </c>
      <c r="K92" s="147" t="s">
        <v>343</v>
      </c>
      <c r="L92" s="147" t="s">
        <v>343</v>
      </c>
      <c r="M92" s="147" t="s">
        <v>343</v>
      </c>
      <c r="N92" s="148">
        <v>640</v>
      </c>
      <c r="O92" s="148">
        <v>340</v>
      </c>
      <c r="P92" s="148">
        <v>403.75</v>
      </c>
      <c r="Q92" s="148">
        <v>550</v>
      </c>
      <c r="R92" s="148">
        <v>625</v>
      </c>
      <c r="S92" s="148">
        <v>700</v>
      </c>
      <c r="T92" s="148">
        <v>700</v>
      </c>
      <c r="U92" s="148">
        <v>700</v>
      </c>
      <c r="V92" s="148">
        <v>700</v>
      </c>
      <c r="W92" s="148">
        <v>820</v>
      </c>
      <c r="X92" s="148">
        <v>625</v>
      </c>
      <c r="Y92" s="148">
        <v>700</v>
      </c>
      <c r="Z92" s="148">
        <v>649</v>
      </c>
      <c r="AA92" s="148">
        <v>880</v>
      </c>
      <c r="AB92" s="148">
        <v>1034</v>
      </c>
      <c r="AC92" s="148">
        <v>1316</v>
      </c>
      <c r="AD92" s="148">
        <v>11382.75</v>
      </c>
      <c r="AE92" s="148">
        <v>9449</v>
      </c>
      <c r="AF92" s="148">
        <v>5358.75</v>
      </c>
      <c r="AG92" s="148">
        <v>6024</v>
      </c>
      <c r="AH92" s="147" t="s">
        <v>248</v>
      </c>
      <c r="AI92" s="147">
        <v>16</v>
      </c>
      <c r="AJ92" s="147" t="s">
        <v>509</v>
      </c>
    </row>
    <row r="93" spans="1:36">
      <c r="A93" s="147" t="s">
        <v>701</v>
      </c>
      <c r="B93" s="147" t="s">
        <v>502</v>
      </c>
      <c r="C93" s="147" t="s">
        <v>503</v>
      </c>
      <c r="D93" s="147" t="s">
        <v>505</v>
      </c>
      <c r="E93" s="147">
        <v>9</v>
      </c>
      <c r="F93" s="147" t="s">
        <v>560</v>
      </c>
      <c r="G93" s="147" t="s">
        <v>210</v>
      </c>
      <c r="H93" s="147">
        <v>9</v>
      </c>
      <c r="I93" s="148">
        <v>955</v>
      </c>
      <c r="J93" s="147" t="s">
        <v>343</v>
      </c>
      <c r="K93" s="147" t="s">
        <v>343</v>
      </c>
      <c r="L93" s="147" t="s">
        <v>343</v>
      </c>
      <c r="M93" s="147" t="s">
        <v>343</v>
      </c>
      <c r="N93" s="147" t="s">
        <v>343</v>
      </c>
      <c r="O93" s="147" t="s">
        <v>343</v>
      </c>
      <c r="P93" s="147" t="s">
        <v>343</v>
      </c>
      <c r="Q93" s="147" t="s">
        <v>343</v>
      </c>
      <c r="R93" s="147" t="s">
        <v>343</v>
      </c>
      <c r="S93" s="147" t="s">
        <v>343</v>
      </c>
      <c r="T93" s="147" t="s">
        <v>343</v>
      </c>
      <c r="U93" s="148">
        <v>1468.75</v>
      </c>
      <c r="V93" s="148">
        <v>1071.25</v>
      </c>
      <c r="W93" s="148">
        <v>866.25</v>
      </c>
      <c r="X93" s="148">
        <v>955</v>
      </c>
      <c r="Y93" s="148">
        <v>955</v>
      </c>
      <c r="Z93" s="148">
        <v>955</v>
      </c>
      <c r="AA93" s="148">
        <v>955</v>
      </c>
      <c r="AB93" s="148">
        <v>955</v>
      </c>
      <c r="AC93" s="148">
        <v>955</v>
      </c>
      <c r="AD93" s="148">
        <v>9136.25</v>
      </c>
      <c r="AE93" s="148">
        <v>9136.25</v>
      </c>
      <c r="AF93" s="148">
        <v>2540</v>
      </c>
      <c r="AG93" s="148">
        <v>6596.25</v>
      </c>
      <c r="AH93" s="147" t="s">
        <v>248</v>
      </c>
      <c r="AI93" s="147">
        <v>9</v>
      </c>
      <c r="AJ93" s="147" t="s">
        <v>509</v>
      </c>
    </row>
    <row r="94" spans="1:36">
      <c r="A94" s="147" t="s">
        <v>702</v>
      </c>
      <c r="B94" s="147" t="s">
        <v>502</v>
      </c>
      <c r="C94" s="147" t="s">
        <v>503</v>
      </c>
      <c r="D94" s="147" t="s">
        <v>505</v>
      </c>
      <c r="E94" s="147">
        <v>8</v>
      </c>
      <c r="F94" s="147" t="s">
        <v>560</v>
      </c>
      <c r="G94" s="147" t="s">
        <v>203</v>
      </c>
      <c r="H94" s="147">
        <v>16</v>
      </c>
      <c r="I94" s="148">
        <v>922</v>
      </c>
      <c r="J94" s="147" t="s">
        <v>343</v>
      </c>
      <c r="K94" s="147" t="s">
        <v>343</v>
      </c>
      <c r="L94" s="147" t="s">
        <v>343</v>
      </c>
      <c r="M94" s="147" t="s">
        <v>343</v>
      </c>
      <c r="N94" s="148">
        <v>903.75</v>
      </c>
      <c r="O94" s="148">
        <v>503.75</v>
      </c>
      <c r="P94" s="148">
        <v>503.75</v>
      </c>
      <c r="Q94" s="148">
        <v>575</v>
      </c>
      <c r="R94" s="148">
        <v>575</v>
      </c>
      <c r="S94" s="148">
        <v>575</v>
      </c>
      <c r="T94" s="148">
        <v>670</v>
      </c>
      <c r="U94" s="148">
        <v>575</v>
      </c>
      <c r="V94" s="148">
        <v>575</v>
      </c>
      <c r="W94" s="148">
        <v>860</v>
      </c>
      <c r="X94" s="148">
        <v>860</v>
      </c>
      <c r="Y94" s="148">
        <v>860</v>
      </c>
      <c r="Z94" s="148">
        <v>806</v>
      </c>
      <c r="AA94" s="148">
        <v>806</v>
      </c>
      <c r="AB94" s="148">
        <v>806</v>
      </c>
      <c r="AC94" s="148">
        <v>1154</v>
      </c>
      <c r="AD94" s="148">
        <v>11608.25</v>
      </c>
      <c r="AE94" s="148">
        <v>9122</v>
      </c>
      <c r="AF94" s="148">
        <v>5456.25</v>
      </c>
      <c r="AG94" s="148">
        <v>6152</v>
      </c>
      <c r="AH94" s="147" t="s">
        <v>248</v>
      </c>
      <c r="AI94" s="147">
        <v>16</v>
      </c>
      <c r="AJ94" s="147" t="s">
        <v>509</v>
      </c>
    </row>
    <row r="95" spans="1:36">
      <c r="A95" s="147" t="s">
        <v>703</v>
      </c>
      <c r="B95" s="147" t="s">
        <v>502</v>
      </c>
      <c r="C95" s="147" t="s">
        <v>503</v>
      </c>
      <c r="D95" s="147" t="s">
        <v>505</v>
      </c>
      <c r="E95" s="147">
        <v>11</v>
      </c>
      <c r="F95" s="147" t="s">
        <v>560</v>
      </c>
      <c r="G95" s="147" t="s">
        <v>206</v>
      </c>
      <c r="H95" s="147">
        <v>13</v>
      </c>
      <c r="I95" s="148">
        <v>1284</v>
      </c>
      <c r="J95" s="147" t="s">
        <v>343</v>
      </c>
      <c r="K95" s="147" t="s">
        <v>343</v>
      </c>
      <c r="L95" s="147" t="s">
        <v>343</v>
      </c>
      <c r="M95" s="147" t="s">
        <v>343</v>
      </c>
      <c r="N95" s="147" t="s">
        <v>343</v>
      </c>
      <c r="O95" s="147" t="s">
        <v>343</v>
      </c>
      <c r="P95" s="147" t="s">
        <v>343</v>
      </c>
      <c r="Q95" s="148">
        <v>740</v>
      </c>
      <c r="R95" s="148">
        <v>480</v>
      </c>
      <c r="S95" s="148">
        <v>470</v>
      </c>
      <c r="T95" s="148">
        <v>470</v>
      </c>
      <c r="U95" s="148">
        <v>470</v>
      </c>
      <c r="V95" s="148">
        <v>470</v>
      </c>
      <c r="W95" s="148">
        <v>505</v>
      </c>
      <c r="X95" s="148">
        <v>565</v>
      </c>
      <c r="Y95" s="148">
        <v>505</v>
      </c>
      <c r="Z95" s="148">
        <v>1310</v>
      </c>
      <c r="AA95" s="148">
        <v>1310</v>
      </c>
      <c r="AB95" s="148">
        <v>1310</v>
      </c>
      <c r="AC95" s="148">
        <v>1232</v>
      </c>
      <c r="AD95" s="148">
        <v>9837</v>
      </c>
      <c r="AE95" s="148">
        <v>9097</v>
      </c>
      <c r="AF95" s="148">
        <v>3100</v>
      </c>
      <c r="AG95" s="148">
        <v>6737</v>
      </c>
      <c r="AH95" s="147" t="s">
        <v>248</v>
      </c>
      <c r="AI95" s="147">
        <v>13</v>
      </c>
      <c r="AJ95" s="147" t="s">
        <v>509</v>
      </c>
    </row>
    <row r="96" spans="1:36">
      <c r="A96" s="147" t="s">
        <v>704</v>
      </c>
      <c r="B96" s="147" t="s">
        <v>567</v>
      </c>
      <c r="C96" s="147" t="s">
        <v>637</v>
      </c>
      <c r="D96" s="147" t="s">
        <v>343</v>
      </c>
      <c r="E96" s="147" t="s">
        <v>343</v>
      </c>
      <c r="F96" s="147" t="s">
        <v>640</v>
      </c>
      <c r="G96" s="147" t="s">
        <v>639</v>
      </c>
      <c r="H96" s="147">
        <v>63</v>
      </c>
      <c r="I96" s="148">
        <v>750</v>
      </c>
      <c r="J96" s="147" t="s">
        <v>627</v>
      </c>
      <c r="K96" s="148">
        <v>635</v>
      </c>
      <c r="L96" s="148">
        <v>575</v>
      </c>
      <c r="M96" s="148">
        <v>575</v>
      </c>
      <c r="N96" s="148">
        <v>725</v>
      </c>
      <c r="O96" s="148">
        <v>725</v>
      </c>
      <c r="P96" s="148">
        <v>725</v>
      </c>
      <c r="Q96" s="148">
        <v>725</v>
      </c>
      <c r="R96" s="148">
        <v>725</v>
      </c>
      <c r="S96" s="148">
        <v>725</v>
      </c>
      <c r="T96" s="148">
        <v>725</v>
      </c>
      <c r="U96" s="148">
        <v>725</v>
      </c>
      <c r="V96" s="148">
        <v>725</v>
      </c>
      <c r="W96" s="148">
        <v>725</v>
      </c>
      <c r="X96" s="148">
        <v>770</v>
      </c>
      <c r="Y96" s="148">
        <v>725</v>
      </c>
      <c r="Z96" s="148">
        <v>750</v>
      </c>
      <c r="AA96" s="148">
        <v>750</v>
      </c>
      <c r="AB96" s="148">
        <v>750</v>
      </c>
      <c r="AC96" s="148">
        <v>750</v>
      </c>
      <c r="AD96" s="148">
        <v>13530</v>
      </c>
      <c r="AE96" s="148">
        <v>8845</v>
      </c>
      <c r="AF96" s="148">
        <v>8310</v>
      </c>
      <c r="AG96" s="148">
        <v>5220</v>
      </c>
      <c r="AH96" s="147" t="s">
        <v>248</v>
      </c>
      <c r="AI96" s="147">
        <v>19</v>
      </c>
      <c r="AJ96" s="147" t="s">
        <v>509</v>
      </c>
    </row>
    <row r="97" spans="1:36">
      <c r="A97" s="147" t="s">
        <v>706</v>
      </c>
      <c r="B97" s="147" t="s">
        <v>502</v>
      </c>
      <c r="C97" s="147" t="s">
        <v>503</v>
      </c>
      <c r="D97" s="147" t="s">
        <v>505</v>
      </c>
      <c r="E97" s="147">
        <v>27</v>
      </c>
      <c r="F97" s="147" t="s">
        <v>507</v>
      </c>
      <c r="G97" s="147" t="s">
        <v>245</v>
      </c>
      <c r="H97" s="147">
        <v>4</v>
      </c>
      <c r="I97" s="148">
        <v>1829.6666666666667</v>
      </c>
      <c r="J97" s="147" t="s">
        <v>343</v>
      </c>
      <c r="K97" s="147" t="s">
        <v>343</v>
      </c>
      <c r="L97" s="147" t="s">
        <v>343</v>
      </c>
      <c r="M97" s="147" t="s">
        <v>343</v>
      </c>
      <c r="N97" s="147" t="s">
        <v>343</v>
      </c>
      <c r="O97" s="147" t="s">
        <v>343</v>
      </c>
      <c r="P97" s="147" t="s">
        <v>343</v>
      </c>
      <c r="Q97" s="147" t="s">
        <v>343</v>
      </c>
      <c r="R97" s="147" t="s">
        <v>343</v>
      </c>
      <c r="S97" s="147" t="s">
        <v>343</v>
      </c>
      <c r="T97" s="147" t="s">
        <v>343</v>
      </c>
      <c r="U97" s="147" t="s">
        <v>343</v>
      </c>
      <c r="V97" s="147" t="s">
        <v>343</v>
      </c>
      <c r="W97" s="147" t="s">
        <v>343</v>
      </c>
      <c r="X97" s="147" t="s">
        <v>343</v>
      </c>
      <c r="Y97" s="147" t="s">
        <v>343</v>
      </c>
      <c r="Z97" s="148">
        <v>3326</v>
      </c>
      <c r="AA97" s="148">
        <v>1785</v>
      </c>
      <c r="AB97" s="148">
        <v>1785</v>
      </c>
      <c r="AC97" s="148">
        <v>1919</v>
      </c>
      <c r="AD97" s="148">
        <v>8815</v>
      </c>
      <c r="AE97" s="148">
        <v>8815</v>
      </c>
      <c r="AF97" s="148">
        <v>0</v>
      </c>
      <c r="AG97" s="148">
        <v>8815</v>
      </c>
      <c r="AH97" s="147" t="s">
        <v>248</v>
      </c>
      <c r="AI97" s="147">
        <v>4</v>
      </c>
      <c r="AJ97" s="147" t="s">
        <v>509</v>
      </c>
    </row>
    <row r="98" spans="1:36">
      <c r="A98" s="147" t="s">
        <v>707</v>
      </c>
      <c r="B98" s="147" t="s">
        <v>502</v>
      </c>
      <c r="C98" s="147" t="s">
        <v>503</v>
      </c>
      <c r="D98" s="147" t="s">
        <v>505</v>
      </c>
      <c r="E98" s="147">
        <v>22</v>
      </c>
      <c r="F98" s="147" t="s">
        <v>507</v>
      </c>
      <c r="G98" s="147" t="s">
        <v>202</v>
      </c>
      <c r="H98" s="147">
        <v>17</v>
      </c>
      <c r="I98" s="148">
        <v>932.66666666666663</v>
      </c>
      <c r="J98" s="147" t="s">
        <v>343</v>
      </c>
      <c r="K98" s="147" t="s">
        <v>343</v>
      </c>
      <c r="L98" s="147" t="s">
        <v>343</v>
      </c>
      <c r="M98" s="148">
        <v>917.5</v>
      </c>
      <c r="N98" s="148">
        <v>531.25</v>
      </c>
      <c r="O98" s="148">
        <v>595</v>
      </c>
      <c r="P98" s="148">
        <v>625</v>
      </c>
      <c r="Q98" s="148">
        <v>775</v>
      </c>
      <c r="R98" s="148">
        <v>775</v>
      </c>
      <c r="S98" s="148">
        <v>850</v>
      </c>
      <c r="T98" s="148">
        <v>850</v>
      </c>
      <c r="U98" s="148">
        <v>775</v>
      </c>
      <c r="V98" s="148">
        <v>625</v>
      </c>
      <c r="W98" s="148">
        <v>550</v>
      </c>
      <c r="X98" s="148">
        <v>745</v>
      </c>
      <c r="Y98" s="148">
        <v>418</v>
      </c>
      <c r="Z98" s="148">
        <v>418</v>
      </c>
      <c r="AA98" s="148">
        <v>726</v>
      </c>
      <c r="AB98" s="148">
        <v>957</v>
      </c>
      <c r="AC98" s="148">
        <v>1115</v>
      </c>
      <c r="AD98" s="148">
        <v>12247.75</v>
      </c>
      <c r="AE98" s="148">
        <v>8804</v>
      </c>
      <c r="AF98" s="148">
        <v>7318.75</v>
      </c>
      <c r="AG98" s="148">
        <v>4929</v>
      </c>
      <c r="AH98" s="147" t="s">
        <v>248</v>
      </c>
      <c r="AI98" s="147">
        <v>17</v>
      </c>
      <c r="AJ98" s="147" t="s">
        <v>509</v>
      </c>
    </row>
    <row r="99" spans="1:36">
      <c r="A99" s="147" t="s">
        <v>708</v>
      </c>
      <c r="B99" s="147" t="s">
        <v>502</v>
      </c>
      <c r="C99" s="147" t="s">
        <v>683</v>
      </c>
      <c r="D99" s="147" t="s">
        <v>343</v>
      </c>
      <c r="E99" s="147" t="s">
        <v>343</v>
      </c>
      <c r="F99" s="147" t="s">
        <v>709</v>
      </c>
      <c r="G99" s="147" t="s">
        <v>122</v>
      </c>
      <c r="H99" s="147">
        <v>31</v>
      </c>
      <c r="I99" s="148">
        <v>418</v>
      </c>
      <c r="J99" s="147" t="s">
        <v>343</v>
      </c>
      <c r="K99" s="148">
        <v>475</v>
      </c>
      <c r="L99" s="148">
        <v>400</v>
      </c>
      <c r="M99" s="148">
        <v>400</v>
      </c>
      <c r="N99" s="148">
        <v>400</v>
      </c>
      <c r="O99" s="148">
        <v>400</v>
      </c>
      <c r="P99" s="148">
        <v>400</v>
      </c>
      <c r="Q99" s="148">
        <v>400</v>
      </c>
      <c r="R99" s="148">
        <v>400</v>
      </c>
      <c r="S99" s="148">
        <v>1225</v>
      </c>
      <c r="T99" s="148">
        <v>3090</v>
      </c>
      <c r="U99" s="148">
        <v>400</v>
      </c>
      <c r="V99" s="148">
        <v>400</v>
      </c>
      <c r="W99" s="148">
        <v>418</v>
      </c>
      <c r="X99" s="148">
        <v>583</v>
      </c>
      <c r="Y99" s="148">
        <v>418</v>
      </c>
      <c r="Z99" s="148">
        <v>418</v>
      </c>
      <c r="AA99" s="148">
        <v>418</v>
      </c>
      <c r="AB99" s="148">
        <v>418</v>
      </c>
      <c r="AC99" s="148">
        <v>418</v>
      </c>
      <c r="AD99" s="148">
        <v>11481</v>
      </c>
      <c r="AE99" s="148">
        <v>8606</v>
      </c>
      <c r="AF99" s="148">
        <v>8390</v>
      </c>
      <c r="AG99" s="148">
        <v>3091</v>
      </c>
      <c r="AH99" s="147" t="s">
        <v>248</v>
      </c>
      <c r="AI99" s="147">
        <v>19</v>
      </c>
      <c r="AJ99" s="147" t="s">
        <v>509</v>
      </c>
    </row>
    <row r="100" spans="1:36">
      <c r="A100" s="147" t="s">
        <v>711</v>
      </c>
      <c r="B100" s="147" t="s">
        <v>502</v>
      </c>
      <c r="C100" s="147" t="s">
        <v>503</v>
      </c>
      <c r="D100" s="147" t="s">
        <v>612</v>
      </c>
      <c r="E100" s="147">
        <v>5</v>
      </c>
      <c r="F100" s="147" t="s">
        <v>507</v>
      </c>
      <c r="G100" s="147" t="s">
        <v>123</v>
      </c>
      <c r="H100" s="147">
        <v>30</v>
      </c>
      <c r="I100" s="148">
        <v>692</v>
      </c>
      <c r="J100" s="147" t="s">
        <v>343</v>
      </c>
      <c r="K100" s="148">
        <v>460</v>
      </c>
      <c r="L100" s="148">
        <v>510</v>
      </c>
      <c r="M100" s="148">
        <v>510</v>
      </c>
      <c r="N100" s="148">
        <v>510</v>
      </c>
      <c r="O100" s="148">
        <v>850</v>
      </c>
      <c r="P100" s="148">
        <v>600</v>
      </c>
      <c r="Q100" s="148">
        <v>600</v>
      </c>
      <c r="R100" s="148">
        <v>690</v>
      </c>
      <c r="S100" s="148">
        <v>690</v>
      </c>
      <c r="T100" s="148">
        <v>780</v>
      </c>
      <c r="U100" s="148">
        <v>815</v>
      </c>
      <c r="V100" s="148">
        <v>815</v>
      </c>
      <c r="W100" s="148">
        <v>420</v>
      </c>
      <c r="X100" s="148">
        <v>909</v>
      </c>
      <c r="Y100" s="148">
        <v>789</v>
      </c>
      <c r="Z100" s="148">
        <v>595</v>
      </c>
      <c r="AA100" s="148">
        <v>692</v>
      </c>
      <c r="AB100" s="148">
        <v>692</v>
      </c>
      <c r="AC100" s="148">
        <v>692</v>
      </c>
      <c r="AD100" s="148">
        <v>12619</v>
      </c>
      <c r="AE100" s="148">
        <v>8579</v>
      </c>
      <c r="AF100" s="148">
        <v>7830</v>
      </c>
      <c r="AG100" s="148">
        <v>4789</v>
      </c>
      <c r="AH100" s="147" t="s">
        <v>248</v>
      </c>
      <c r="AI100" s="147">
        <v>19</v>
      </c>
      <c r="AJ100" s="147" t="s">
        <v>509</v>
      </c>
    </row>
    <row r="101" spans="1:36">
      <c r="A101" s="147" t="s">
        <v>712</v>
      </c>
      <c r="B101" s="147" t="s">
        <v>567</v>
      </c>
      <c r="C101" s="147" t="s">
        <v>503</v>
      </c>
      <c r="D101" s="147" t="s">
        <v>621</v>
      </c>
      <c r="E101" s="147">
        <v>90</v>
      </c>
      <c r="F101" s="147" t="s">
        <v>568</v>
      </c>
      <c r="G101" s="147" t="s">
        <v>210</v>
      </c>
      <c r="H101" s="147">
        <v>3</v>
      </c>
      <c r="I101" s="148">
        <v>2853.3333333333335</v>
      </c>
      <c r="J101" s="147" t="s">
        <v>243</v>
      </c>
      <c r="K101" s="147" t="s">
        <v>343</v>
      </c>
      <c r="L101" s="147" t="s">
        <v>343</v>
      </c>
      <c r="M101" s="147" t="s">
        <v>343</v>
      </c>
      <c r="N101" s="147" t="s">
        <v>343</v>
      </c>
      <c r="O101" s="147" t="s">
        <v>343</v>
      </c>
      <c r="P101" s="147" t="s">
        <v>343</v>
      </c>
      <c r="Q101" s="147" t="s">
        <v>343</v>
      </c>
      <c r="R101" s="147" t="s">
        <v>343</v>
      </c>
      <c r="S101" s="147" t="s">
        <v>343</v>
      </c>
      <c r="T101" s="147" t="s">
        <v>343</v>
      </c>
      <c r="U101" s="148">
        <v>3947.5</v>
      </c>
      <c r="V101" s="148">
        <v>2665</v>
      </c>
      <c r="W101" s="148">
        <v>1947.5</v>
      </c>
      <c r="X101" s="148">
        <v>0</v>
      </c>
      <c r="Y101" s="147" t="s">
        <v>343</v>
      </c>
      <c r="Z101" s="147" t="s">
        <v>343</v>
      </c>
      <c r="AA101" s="147" t="s">
        <v>343</v>
      </c>
      <c r="AB101" s="147" t="s">
        <v>343</v>
      </c>
      <c r="AC101" s="147" t="s">
        <v>343</v>
      </c>
      <c r="AD101" s="148">
        <v>8560</v>
      </c>
      <c r="AE101" s="148">
        <v>8560</v>
      </c>
      <c r="AF101" s="148">
        <v>6612.5</v>
      </c>
      <c r="AG101" s="148">
        <v>1947.5</v>
      </c>
      <c r="AH101" s="147" t="s">
        <v>242</v>
      </c>
      <c r="AI101" s="147">
        <v>3</v>
      </c>
      <c r="AJ101" s="147" t="s">
        <v>510</v>
      </c>
    </row>
    <row r="102" spans="1:36">
      <c r="A102" s="147" t="s">
        <v>714</v>
      </c>
      <c r="B102" s="147" t="s">
        <v>502</v>
      </c>
      <c r="C102" s="147" t="s">
        <v>503</v>
      </c>
      <c r="D102" s="147" t="s">
        <v>505</v>
      </c>
      <c r="E102" s="147">
        <v>12</v>
      </c>
      <c r="F102" s="147" t="s">
        <v>560</v>
      </c>
      <c r="G102" s="147" t="s">
        <v>593</v>
      </c>
      <c r="H102" s="147">
        <v>32</v>
      </c>
      <c r="I102" s="148">
        <v>1300</v>
      </c>
      <c r="J102" s="147" t="s">
        <v>343</v>
      </c>
      <c r="K102" s="148">
        <v>675</v>
      </c>
      <c r="L102" s="148">
        <v>495</v>
      </c>
      <c r="M102" s="148">
        <v>495</v>
      </c>
      <c r="N102" s="148">
        <v>425</v>
      </c>
      <c r="O102" s="148">
        <v>425</v>
      </c>
      <c r="P102" s="148">
        <v>425</v>
      </c>
      <c r="Q102" s="148">
        <v>425</v>
      </c>
      <c r="R102" s="148">
        <v>425</v>
      </c>
      <c r="S102" s="148">
        <v>425</v>
      </c>
      <c r="T102" s="148">
        <v>425</v>
      </c>
      <c r="U102" s="148">
        <v>425</v>
      </c>
      <c r="V102" s="148">
        <v>450</v>
      </c>
      <c r="W102" s="148">
        <v>615</v>
      </c>
      <c r="X102" s="148">
        <v>450</v>
      </c>
      <c r="Y102" s="148">
        <v>630</v>
      </c>
      <c r="Z102" s="148">
        <v>630</v>
      </c>
      <c r="AA102" s="148">
        <v>1020</v>
      </c>
      <c r="AB102" s="148">
        <v>1440</v>
      </c>
      <c r="AC102" s="148">
        <v>1440</v>
      </c>
      <c r="AD102" s="148">
        <v>11740</v>
      </c>
      <c r="AE102" s="148">
        <v>8375</v>
      </c>
      <c r="AF102" s="148">
        <v>5515</v>
      </c>
      <c r="AG102" s="148">
        <v>6225</v>
      </c>
      <c r="AH102" s="147" t="s">
        <v>248</v>
      </c>
      <c r="AI102" s="147">
        <v>19</v>
      </c>
      <c r="AJ102" s="147" t="s">
        <v>509</v>
      </c>
    </row>
    <row r="103" spans="1:36">
      <c r="A103" s="147" t="s">
        <v>715</v>
      </c>
      <c r="B103" s="147" t="s">
        <v>502</v>
      </c>
      <c r="C103" s="147" t="s">
        <v>503</v>
      </c>
      <c r="D103" s="147" t="s">
        <v>505</v>
      </c>
      <c r="E103" s="147">
        <v>12</v>
      </c>
      <c r="F103" s="147" t="s">
        <v>507</v>
      </c>
      <c r="G103" s="147" t="s">
        <v>128</v>
      </c>
      <c r="H103" s="147">
        <v>25</v>
      </c>
      <c r="I103" s="148">
        <v>726.66666666666663</v>
      </c>
      <c r="J103" s="147" t="s">
        <v>343</v>
      </c>
      <c r="K103" s="148">
        <v>560</v>
      </c>
      <c r="L103" s="148">
        <v>560</v>
      </c>
      <c r="M103" s="148">
        <v>560</v>
      </c>
      <c r="N103" s="148">
        <v>560</v>
      </c>
      <c r="O103" s="148">
        <v>560</v>
      </c>
      <c r="P103" s="148">
        <v>560</v>
      </c>
      <c r="Q103" s="148">
        <v>595</v>
      </c>
      <c r="R103" s="148">
        <v>595</v>
      </c>
      <c r="S103" s="148">
        <v>595</v>
      </c>
      <c r="T103" s="148">
        <v>660</v>
      </c>
      <c r="U103" s="148">
        <v>660</v>
      </c>
      <c r="V103" s="148">
        <v>660</v>
      </c>
      <c r="W103" s="148">
        <v>725</v>
      </c>
      <c r="X103" s="148">
        <v>725</v>
      </c>
      <c r="Y103" s="148">
        <v>725</v>
      </c>
      <c r="Z103" s="148">
        <v>725</v>
      </c>
      <c r="AA103" s="148">
        <v>725</v>
      </c>
      <c r="AB103" s="148">
        <v>725</v>
      </c>
      <c r="AC103" s="148">
        <v>730</v>
      </c>
      <c r="AD103" s="148">
        <v>12205</v>
      </c>
      <c r="AE103" s="148">
        <v>8250</v>
      </c>
      <c r="AF103" s="148">
        <v>7125</v>
      </c>
      <c r="AG103" s="148">
        <v>5080</v>
      </c>
      <c r="AH103" s="147" t="s">
        <v>248</v>
      </c>
      <c r="AI103" s="147">
        <v>19</v>
      </c>
      <c r="AJ103" s="147" t="s">
        <v>509</v>
      </c>
    </row>
    <row r="104" spans="1:36">
      <c r="A104" s="147" t="s">
        <v>716</v>
      </c>
      <c r="B104" s="147" t="s">
        <v>567</v>
      </c>
      <c r="C104" s="147" t="s">
        <v>503</v>
      </c>
      <c r="D104" s="147" t="s">
        <v>621</v>
      </c>
      <c r="E104" s="147">
        <v>48</v>
      </c>
      <c r="F104" s="147" t="s">
        <v>507</v>
      </c>
      <c r="G104" s="147" t="s">
        <v>201</v>
      </c>
      <c r="H104" s="147">
        <v>6</v>
      </c>
      <c r="I104" s="148">
        <v>2715</v>
      </c>
      <c r="J104" s="147" t="s">
        <v>207</v>
      </c>
      <c r="K104" s="147" t="s">
        <v>343</v>
      </c>
      <c r="L104" s="148">
        <v>1620</v>
      </c>
      <c r="M104" s="148">
        <v>2380</v>
      </c>
      <c r="N104" s="148">
        <v>1800</v>
      </c>
      <c r="O104" s="148">
        <v>2100</v>
      </c>
      <c r="P104" s="148">
        <v>2563.5</v>
      </c>
      <c r="Q104" s="148">
        <v>468.5</v>
      </c>
      <c r="R104" s="147" t="s">
        <v>343</v>
      </c>
      <c r="S104" s="147" t="s">
        <v>343</v>
      </c>
      <c r="T104" s="147" t="s">
        <v>343</v>
      </c>
      <c r="U104" s="147" t="s">
        <v>343</v>
      </c>
      <c r="V104" s="147" t="s">
        <v>343</v>
      </c>
      <c r="W104" s="147" t="s">
        <v>343</v>
      </c>
      <c r="X104" s="147" t="s">
        <v>343</v>
      </c>
      <c r="Y104" s="147" t="s">
        <v>343</v>
      </c>
      <c r="Z104" s="147" t="s">
        <v>343</v>
      </c>
      <c r="AA104" s="148">
        <v>4145</v>
      </c>
      <c r="AB104" s="148">
        <v>2000</v>
      </c>
      <c r="AC104" s="148">
        <v>2000</v>
      </c>
      <c r="AD104" s="148">
        <v>19077</v>
      </c>
      <c r="AE104" s="148">
        <v>8145</v>
      </c>
      <c r="AF104" s="148">
        <v>10932</v>
      </c>
      <c r="AG104" s="148">
        <v>8145</v>
      </c>
      <c r="AH104" s="147" t="s">
        <v>248</v>
      </c>
      <c r="AI104" s="147">
        <v>9</v>
      </c>
      <c r="AJ104" s="147" t="s">
        <v>509</v>
      </c>
    </row>
    <row r="105" spans="1:36">
      <c r="A105" s="147" t="s">
        <v>717</v>
      </c>
      <c r="B105" s="147" t="s">
        <v>502</v>
      </c>
      <c r="C105" s="147" t="s">
        <v>503</v>
      </c>
      <c r="D105" s="147" t="s">
        <v>505</v>
      </c>
      <c r="E105" s="147">
        <v>12</v>
      </c>
      <c r="F105" s="147" t="s">
        <v>507</v>
      </c>
      <c r="G105" s="147" t="s">
        <v>129</v>
      </c>
      <c r="H105" s="147">
        <v>24</v>
      </c>
      <c r="I105" s="148">
        <v>775</v>
      </c>
      <c r="J105" s="147" t="s">
        <v>343</v>
      </c>
      <c r="K105" s="148">
        <v>395</v>
      </c>
      <c r="L105" s="148">
        <v>395</v>
      </c>
      <c r="M105" s="148">
        <v>395</v>
      </c>
      <c r="N105" s="148">
        <v>395</v>
      </c>
      <c r="O105" s="148">
        <v>395</v>
      </c>
      <c r="P105" s="148">
        <v>395</v>
      </c>
      <c r="Q105" s="148">
        <v>395</v>
      </c>
      <c r="R105" s="148">
        <v>440</v>
      </c>
      <c r="S105" s="148">
        <v>350</v>
      </c>
      <c r="T105" s="148">
        <v>350</v>
      </c>
      <c r="U105" s="148">
        <v>350</v>
      </c>
      <c r="V105" s="148">
        <v>425</v>
      </c>
      <c r="W105" s="148">
        <v>500</v>
      </c>
      <c r="X105" s="148">
        <v>1775</v>
      </c>
      <c r="Y105" s="148">
        <v>800</v>
      </c>
      <c r="Z105" s="148">
        <v>725</v>
      </c>
      <c r="AA105" s="148">
        <v>725</v>
      </c>
      <c r="AB105" s="148">
        <v>725</v>
      </c>
      <c r="AC105" s="148">
        <v>875</v>
      </c>
      <c r="AD105" s="148">
        <v>10805</v>
      </c>
      <c r="AE105" s="148">
        <v>8040</v>
      </c>
      <c r="AF105" s="148">
        <v>4680</v>
      </c>
      <c r="AG105" s="148">
        <v>6125</v>
      </c>
      <c r="AH105" s="147" t="s">
        <v>248</v>
      </c>
      <c r="AI105" s="147">
        <v>19</v>
      </c>
      <c r="AJ105" s="147" t="s">
        <v>509</v>
      </c>
    </row>
    <row r="106" spans="1:36">
      <c r="A106" s="147" t="s">
        <v>718</v>
      </c>
      <c r="B106" s="147" t="s">
        <v>502</v>
      </c>
      <c r="C106" s="147" t="s">
        <v>503</v>
      </c>
      <c r="D106" s="147" t="s">
        <v>505</v>
      </c>
      <c r="E106" s="147">
        <v>7</v>
      </c>
      <c r="F106" s="147" t="s">
        <v>507</v>
      </c>
      <c r="G106" s="147" t="s">
        <v>131</v>
      </c>
      <c r="H106" s="147">
        <v>22</v>
      </c>
      <c r="I106" s="148">
        <v>813.33333333333337</v>
      </c>
      <c r="J106" s="147" t="s">
        <v>343</v>
      </c>
      <c r="K106" s="148">
        <v>466</v>
      </c>
      <c r="L106" s="148">
        <v>466</v>
      </c>
      <c r="M106" s="148">
        <v>466</v>
      </c>
      <c r="N106" s="148">
        <v>387</v>
      </c>
      <c r="O106" s="148">
        <v>387</v>
      </c>
      <c r="P106" s="148">
        <v>387</v>
      </c>
      <c r="Q106" s="148">
        <v>387</v>
      </c>
      <c r="R106" s="148">
        <v>387</v>
      </c>
      <c r="S106" s="148">
        <v>387</v>
      </c>
      <c r="T106" s="148">
        <v>500</v>
      </c>
      <c r="U106" s="148">
        <v>560</v>
      </c>
      <c r="V106" s="148">
        <v>645</v>
      </c>
      <c r="W106" s="148">
        <v>900</v>
      </c>
      <c r="X106" s="148">
        <v>730</v>
      </c>
      <c r="Y106" s="148">
        <v>730</v>
      </c>
      <c r="Z106" s="148">
        <v>730</v>
      </c>
      <c r="AA106" s="148">
        <v>730</v>
      </c>
      <c r="AB106" s="148">
        <v>980</v>
      </c>
      <c r="AC106" s="148">
        <v>730</v>
      </c>
      <c r="AD106" s="148">
        <v>10955</v>
      </c>
      <c r="AE106" s="148">
        <v>8009</v>
      </c>
      <c r="AF106" s="148">
        <v>5425</v>
      </c>
      <c r="AG106" s="148">
        <v>5530</v>
      </c>
      <c r="AH106" s="147" t="s">
        <v>248</v>
      </c>
      <c r="AI106" s="147">
        <v>19</v>
      </c>
      <c r="AJ106" s="147" t="s">
        <v>509</v>
      </c>
    </row>
    <row r="107" spans="1:36">
      <c r="A107" s="147" t="s">
        <v>719</v>
      </c>
      <c r="B107" s="147" t="s">
        <v>19</v>
      </c>
      <c r="C107" s="147" t="s">
        <v>503</v>
      </c>
      <c r="D107" s="147" t="s">
        <v>612</v>
      </c>
      <c r="E107" s="147">
        <v>79</v>
      </c>
      <c r="F107" s="147" t="s">
        <v>507</v>
      </c>
      <c r="G107" s="147" t="s">
        <v>245</v>
      </c>
      <c r="H107" s="147">
        <v>4</v>
      </c>
      <c r="I107" s="148">
        <v>1600</v>
      </c>
      <c r="J107" s="147" t="s">
        <v>343</v>
      </c>
      <c r="K107" s="147" t="s">
        <v>343</v>
      </c>
      <c r="L107" s="147" t="s">
        <v>343</v>
      </c>
      <c r="M107" s="147" t="s">
        <v>343</v>
      </c>
      <c r="N107" s="147" t="s">
        <v>343</v>
      </c>
      <c r="O107" s="147" t="s">
        <v>343</v>
      </c>
      <c r="P107" s="147" t="s">
        <v>343</v>
      </c>
      <c r="Q107" s="147" t="s">
        <v>343</v>
      </c>
      <c r="R107" s="147" t="s">
        <v>343</v>
      </c>
      <c r="S107" s="147" t="s">
        <v>343</v>
      </c>
      <c r="T107" s="147" t="s">
        <v>343</v>
      </c>
      <c r="U107" s="147" t="s">
        <v>343</v>
      </c>
      <c r="V107" s="147" t="s">
        <v>343</v>
      </c>
      <c r="W107" s="147" t="s">
        <v>343</v>
      </c>
      <c r="X107" s="147" t="s">
        <v>343</v>
      </c>
      <c r="Y107" s="147" t="s">
        <v>343</v>
      </c>
      <c r="Z107" s="148">
        <v>3160</v>
      </c>
      <c r="AA107" s="148">
        <v>1640</v>
      </c>
      <c r="AB107" s="148">
        <v>1580</v>
      </c>
      <c r="AC107" s="148">
        <v>1580</v>
      </c>
      <c r="AD107" s="148">
        <v>7960</v>
      </c>
      <c r="AE107" s="148">
        <v>7960</v>
      </c>
      <c r="AF107" s="148">
        <v>0</v>
      </c>
      <c r="AG107" s="148">
        <v>7960</v>
      </c>
      <c r="AH107" s="147" t="s">
        <v>248</v>
      </c>
      <c r="AI107" s="147">
        <v>4</v>
      </c>
      <c r="AJ107" s="147" t="s">
        <v>509</v>
      </c>
    </row>
    <row r="108" spans="1:36">
      <c r="A108" s="147" t="s">
        <v>722</v>
      </c>
      <c r="B108" s="147" t="s">
        <v>502</v>
      </c>
      <c r="C108" s="147" t="s">
        <v>503</v>
      </c>
      <c r="D108" s="147" t="s">
        <v>343</v>
      </c>
      <c r="E108" s="147">
        <v>29</v>
      </c>
      <c r="F108" s="147" t="s">
        <v>507</v>
      </c>
      <c r="G108" s="147" t="s">
        <v>246</v>
      </c>
      <c r="H108" s="147">
        <v>3</v>
      </c>
      <c r="I108" s="148">
        <v>2639</v>
      </c>
      <c r="J108" s="147" t="s">
        <v>343</v>
      </c>
      <c r="K108" s="147" t="s">
        <v>343</v>
      </c>
      <c r="L108" s="147" t="s">
        <v>343</v>
      </c>
      <c r="M108" s="147" t="s">
        <v>343</v>
      </c>
      <c r="N108" s="147" t="s">
        <v>343</v>
      </c>
      <c r="O108" s="147" t="s">
        <v>343</v>
      </c>
      <c r="P108" s="147" t="s">
        <v>343</v>
      </c>
      <c r="Q108" s="147" t="s">
        <v>343</v>
      </c>
      <c r="R108" s="147" t="s">
        <v>343</v>
      </c>
      <c r="S108" s="147" t="s">
        <v>343</v>
      </c>
      <c r="T108" s="147" t="s">
        <v>343</v>
      </c>
      <c r="U108" s="147" t="s">
        <v>343</v>
      </c>
      <c r="V108" s="147" t="s">
        <v>343</v>
      </c>
      <c r="W108" s="147" t="s">
        <v>343</v>
      </c>
      <c r="X108" s="147" t="s">
        <v>343</v>
      </c>
      <c r="Y108" s="147" t="s">
        <v>343</v>
      </c>
      <c r="Z108" s="147" t="s">
        <v>343</v>
      </c>
      <c r="AA108" s="148">
        <v>3903</v>
      </c>
      <c r="AB108" s="148">
        <v>2007</v>
      </c>
      <c r="AC108" s="148">
        <v>2007</v>
      </c>
      <c r="AD108" s="148">
        <v>7917</v>
      </c>
      <c r="AE108" s="148">
        <v>7917</v>
      </c>
      <c r="AF108" s="148">
        <v>0</v>
      </c>
      <c r="AG108" s="148">
        <v>7917</v>
      </c>
      <c r="AH108" s="147" t="s">
        <v>248</v>
      </c>
      <c r="AI108" s="147">
        <v>3</v>
      </c>
      <c r="AJ108" s="147" t="s">
        <v>509</v>
      </c>
    </row>
    <row r="109" spans="1:36">
      <c r="A109" s="147" t="s">
        <v>725</v>
      </c>
      <c r="B109" s="147" t="s">
        <v>502</v>
      </c>
      <c r="C109" s="147" t="s">
        <v>503</v>
      </c>
      <c r="D109" s="147" t="s">
        <v>505</v>
      </c>
      <c r="E109" s="147">
        <v>6</v>
      </c>
      <c r="F109" s="147" t="s">
        <v>560</v>
      </c>
      <c r="G109" s="147" t="s">
        <v>125</v>
      </c>
      <c r="H109" s="147">
        <v>28</v>
      </c>
      <c r="I109" s="148">
        <v>572</v>
      </c>
      <c r="J109" s="147" t="s">
        <v>343</v>
      </c>
      <c r="K109" s="148">
        <v>711</v>
      </c>
      <c r="L109" s="148">
        <v>891</v>
      </c>
      <c r="M109" s="148">
        <v>711</v>
      </c>
      <c r="N109" s="148">
        <v>775</v>
      </c>
      <c r="O109" s="148">
        <v>550</v>
      </c>
      <c r="P109" s="148">
        <v>775</v>
      </c>
      <c r="Q109" s="148">
        <v>775</v>
      </c>
      <c r="R109" s="148">
        <v>775</v>
      </c>
      <c r="S109" s="148">
        <v>775</v>
      </c>
      <c r="T109" s="148">
        <v>700</v>
      </c>
      <c r="U109" s="148">
        <v>700</v>
      </c>
      <c r="V109" s="148">
        <v>700</v>
      </c>
      <c r="W109" s="148">
        <v>700</v>
      </c>
      <c r="X109" s="148">
        <v>550</v>
      </c>
      <c r="Y109" s="148">
        <v>655</v>
      </c>
      <c r="Z109" s="148">
        <v>572</v>
      </c>
      <c r="AA109" s="148">
        <v>572</v>
      </c>
      <c r="AB109" s="148">
        <v>572</v>
      </c>
      <c r="AC109" s="148">
        <v>572</v>
      </c>
      <c r="AD109" s="148">
        <v>13031</v>
      </c>
      <c r="AE109" s="148">
        <v>7843</v>
      </c>
      <c r="AF109" s="148">
        <v>8838</v>
      </c>
      <c r="AG109" s="148">
        <v>4193</v>
      </c>
      <c r="AH109" s="147" t="s">
        <v>248</v>
      </c>
      <c r="AI109" s="147">
        <v>19</v>
      </c>
      <c r="AJ109" s="147" t="s">
        <v>509</v>
      </c>
    </row>
    <row r="110" spans="1:36">
      <c r="A110" s="147" t="s">
        <v>726</v>
      </c>
      <c r="B110" s="147" t="s">
        <v>502</v>
      </c>
      <c r="C110" s="147" t="s">
        <v>503</v>
      </c>
      <c r="D110" s="147" t="s">
        <v>505</v>
      </c>
      <c r="E110" s="147">
        <v>6</v>
      </c>
      <c r="F110" s="147" t="s">
        <v>507</v>
      </c>
      <c r="G110" s="147" t="s">
        <v>122</v>
      </c>
      <c r="H110" s="147">
        <v>31</v>
      </c>
      <c r="I110" s="148">
        <v>567.66666666666663</v>
      </c>
      <c r="J110" s="147" t="s">
        <v>343</v>
      </c>
      <c r="K110" s="148">
        <v>710</v>
      </c>
      <c r="L110" s="148">
        <v>500</v>
      </c>
      <c r="M110" s="148">
        <v>500</v>
      </c>
      <c r="N110" s="148">
        <v>500</v>
      </c>
      <c r="O110" s="148">
        <v>575</v>
      </c>
      <c r="P110" s="148">
        <v>650</v>
      </c>
      <c r="Q110" s="148">
        <v>650</v>
      </c>
      <c r="R110" s="148">
        <v>650</v>
      </c>
      <c r="S110" s="148">
        <v>650</v>
      </c>
      <c r="T110" s="148">
        <v>650</v>
      </c>
      <c r="U110" s="148">
        <v>725</v>
      </c>
      <c r="V110" s="148">
        <v>575</v>
      </c>
      <c r="W110" s="148">
        <v>696</v>
      </c>
      <c r="X110" s="148">
        <v>904</v>
      </c>
      <c r="Y110" s="148">
        <v>619</v>
      </c>
      <c r="Z110" s="148">
        <v>619</v>
      </c>
      <c r="AA110" s="148">
        <v>619</v>
      </c>
      <c r="AB110" s="148">
        <v>619</v>
      </c>
      <c r="AC110" s="148">
        <v>465</v>
      </c>
      <c r="AD110" s="148">
        <v>11876</v>
      </c>
      <c r="AE110" s="148">
        <v>7791</v>
      </c>
      <c r="AF110" s="148">
        <v>7335</v>
      </c>
      <c r="AG110" s="148">
        <v>4541</v>
      </c>
      <c r="AH110" s="147" t="s">
        <v>248</v>
      </c>
      <c r="AI110" s="147">
        <v>19</v>
      </c>
      <c r="AJ110" s="147" t="s">
        <v>509</v>
      </c>
    </row>
    <row r="111" spans="1:36">
      <c r="A111" s="147" t="s">
        <v>727</v>
      </c>
      <c r="B111" s="147" t="s">
        <v>502</v>
      </c>
      <c r="C111" s="147" t="s">
        <v>503</v>
      </c>
      <c r="D111" s="147" t="s">
        <v>505</v>
      </c>
      <c r="E111" s="147">
        <v>8</v>
      </c>
      <c r="F111" s="147" t="s">
        <v>507</v>
      </c>
      <c r="G111" s="147" t="s">
        <v>130</v>
      </c>
      <c r="H111" s="147">
        <v>23</v>
      </c>
      <c r="I111" s="148">
        <v>650</v>
      </c>
      <c r="J111" s="147" t="s">
        <v>343</v>
      </c>
      <c r="K111" s="148">
        <v>474</v>
      </c>
      <c r="L111" s="148">
        <v>545</v>
      </c>
      <c r="M111" s="148">
        <v>395</v>
      </c>
      <c r="N111" s="148">
        <v>474</v>
      </c>
      <c r="O111" s="148">
        <v>474</v>
      </c>
      <c r="P111" s="148">
        <v>553</v>
      </c>
      <c r="Q111" s="148">
        <v>553</v>
      </c>
      <c r="R111" s="148">
        <v>553</v>
      </c>
      <c r="S111" s="148">
        <v>575</v>
      </c>
      <c r="T111" s="148">
        <v>500</v>
      </c>
      <c r="U111" s="148">
        <v>575</v>
      </c>
      <c r="V111" s="148">
        <v>500</v>
      </c>
      <c r="W111" s="148">
        <v>725</v>
      </c>
      <c r="X111" s="148">
        <v>845</v>
      </c>
      <c r="Y111" s="148">
        <v>650</v>
      </c>
      <c r="Z111" s="148">
        <v>650</v>
      </c>
      <c r="AA111" s="148">
        <v>575</v>
      </c>
      <c r="AB111" s="148">
        <v>650</v>
      </c>
      <c r="AC111" s="148">
        <v>725</v>
      </c>
      <c r="AD111" s="148">
        <v>10991</v>
      </c>
      <c r="AE111" s="148">
        <v>7523</v>
      </c>
      <c r="AF111" s="148">
        <v>6171</v>
      </c>
      <c r="AG111" s="148">
        <v>4820</v>
      </c>
      <c r="AH111" s="147" t="s">
        <v>248</v>
      </c>
      <c r="AI111" s="147">
        <v>19</v>
      </c>
      <c r="AJ111" s="147" t="s">
        <v>509</v>
      </c>
    </row>
    <row r="112" spans="1:36">
      <c r="A112" s="147" t="s">
        <v>728</v>
      </c>
      <c r="B112" s="147" t="s">
        <v>567</v>
      </c>
      <c r="C112" s="147" t="s">
        <v>503</v>
      </c>
      <c r="D112" s="147" t="s">
        <v>505</v>
      </c>
      <c r="E112" s="147">
        <v>0</v>
      </c>
      <c r="F112" s="147" t="s">
        <v>507</v>
      </c>
      <c r="G112" s="147" t="s">
        <v>127</v>
      </c>
      <c r="H112" s="147">
        <v>24</v>
      </c>
      <c r="I112" s="148">
        <v>775</v>
      </c>
      <c r="J112" s="147" t="s">
        <v>247</v>
      </c>
      <c r="K112" s="148">
        <v>385</v>
      </c>
      <c r="L112" s="148">
        <v>325</v>
      </c>
      <c r="M112" s="148">
        <v>325</v>
      </c>
      <c r="N112" s="148">
        <v>325</v>
      </c>
      <c r="O112" s="148">
        <v>325</v>
      </c>
      <c r="P112" s="148">
        <v>325</v>
      </c>
      <c r="Q112" s="148">
        <v>490</v>
      </c>
      <c r="R112" s="148">
        <v>490</v>
      </c>
      <c r="S112" s="148">
        <v>665</v>
      </c>
      <c r="T112" s="148">
        <v>665</v>
      </c>
      <c r="U112" s="148">
        <v>775</v>
      </c>
      <c r="V112" s="148">
        <v>775</v>
      </c>
      <c r="W112" s="148">
        <v>940</v>
      </c>
      <c r="X112" s="148">
        <v>775</v>
      </c>
      <c r="Y112" s="148">
        <v>775</v>
      </c>
      <c r="Z112" s="148">
        <v>775</v>
      </c>
      <c r="AA112" s="148">
        <v>775</v>
      </c>
      <c r="AB112" s="147" t="s">
        <v>343</v>
      </c>
      <c r="AC112" s="147" t="s">
        <v>343</v>
      </c>
      <c r="AD112" s="148">
        <v>9910</v>
      </c>
      <c r="AE112" s="148">
        <v>7410</v>
      </c>
      <c r="AF112" s="148">
        <v>5870</v>
      </c>
      <c r="AG112" s="148">
        <v>4040</v>
      </c>
      <c r="AH112" s="147" t="s">
        <v>246</v>
      </c>
      <c r="AI112" s="147">
        <v>17</v>
      </c>
      <c r="AJ112" s="147" t="s">
        <v>510</v>
      </c>
    </row>
    <row r="113" spans="1:36">
      <c r="A113" s="147" t="s">
        <v>729</v>
      </c>
      <c r="B113" s="147" t="s">
        <v>502</v>
      </c>
      <c r="C113" s="147" t="s">
        <v>503</v>
      </c>
      <c r="D113" s="147" t="s">
        <v>505</v>
      </c>
      <c r="E113" s="147">
        <v>6</v>
      </c>
      <c r="F113" s="147" t="s">
        <v>507</v>
      </c>
      <c r="G113" s="147" t="s">
        <v>660</v>
      </c>
      <c r="H113" s="147">
        <v>41</v>
      </c>
      <c r="I113" s="148">
        <v>659.66666666666663</v>
      </c>
      <c r="J113" s="147" t="s">
        <v>343</v>
      </c>
      <c r="K113" s="148">
        <v>595</v>
      </c>
      <c r="L113" s="148">
        <v>445</v>
      </c>
      <c r="M113" s="148">
        <v>575</v>
      </c>
      <c r="N113" s="148">
        <v>385</v>
      </c>
      <c r="O113" s="148">
        <v>730</v>
      </c>
      <c r="P113" s="148">
        <v>575</v>
      </c>
      <c r="Q113" s="148">
        <v>385</v>
      </c>
      <c r="R113" s="148">
        <v>480</v>
      </c>
      <c r="S113" s="148">
        <v>480</v>
      </c>
      <c r="T113" s="148">
        <v>480</v>
      </c>
      <c r="U113" s="148">
        <v>480</v>
      </c>
      <c r="V113" s="148">
        <v>575</v>
      </c>
      <c r="W113" s="148">
        <v>670</v>
      </c>
      <c r="X113" s="148">
        <v>775</v>
      </c>
      <c r="Y113" s="148">
        <v>692</v>
      </c>
      <c r="Z113" s="148">
        <v>789</v>
      </c>
      <c r="AA113" s="148">
        <v>789</v>
      </c>
      <c r="AB113" s="148">
        <v>692</v>
      </c>
      <c r="AC113" s="148">
        <v>498</v>
      </c>
      <c r="AD113" s="148">
        <v>11090</v>
      </c>
      <c r="AE113" s="148">
        <v>7400</v>
      </c>
      <c r="AF113" s="148">
        <v>6185</v>
      </c>
      <c r="AG113" s="148">
        <v>4905</v>
      </c>
      <c r="AH113" s="147" t="s">
        <v>248</v>
      </c>
      <c r="AI113" s="147">
        <v>19</v>
      </c>
      <c r="AJ113" s="147" t="s">
        <v>509</v>
      </c>
    </row>
    <row r="114" spans="1:36">
      <c r="A114" s="147" t="s">
        <v>730</v>
      </c>
      <c r="B114" s="147" t="s">
        <v>502</v>
      </c>
      <c r="C114" s="147" t="s">
        <v>503</v>
      </c>
      <c r="D114" s="147" t="s">
        <v>505</v>
      </c>
      <c r="E114" s="147">
        <v>8</v>
      </c>
      <c r="F114" s="147" t="s">
        <v>507</v>
      </c>
      <c r="G114" s="147" t="s">
        <v>202</v>
      </c>
      <c r="H114" s="147">
        <v>17</v>
      </c>
      <c r="I114" s="148">
        <v>649</v>
      </c>
      <c r="J114" s="147" t="s">
        <v>343</v>
      </c>
      <c r="K114" s="147" t="s">
        <v>343</v>
      </c>
      <c r="L114" s="147" t="s">
        <v>343</v>
      </c>
      <c r="M114" s="148">
        <v>640</v>
      </c>
      <c r="N114" s="148">
        <v>340</v>
      </c>
      <c r="O114" s="148">
        <v>340</v>
      </c>
      <c r="P114" s="148">
        <v>400</v>
      </c>
      <c r="Q114" s="148">
        <v>400</v>
      </c>
      <c r="R114" s="148">
        <v>400</v>
      </c>
      <c r="S114" s="148">
        <v>400</v>
      </c>
      <c r="T114" s="148">
        <v>400</v>
      </c>
      <c r="U114" s="148">
        <v>400</v>
      </c>
      <c r="V114" s="148">
        <v>400</v>
      </c>
      <c r="W114" s="148">
        <v>400</v>
      </c>
      <c r="X114" s="148">
        <v>1536.5</v>
      </c>
      <c r="Y114" s="148">
        <v>495</v>
      </c>
      <c r="Z114" s="148">
        <v>868.5</v>
      </c>
      <c r="AA114" s="148">
        <v>572</v>
      </c>
      <c r="AB114" s="148">
        <v>649</v>
      </c>
      <c r="AC114" s="148">
        <v>726</v>
      </c>
      <c r="AD114" s="148">
        <v>9367</v>
      </c>
      <c r="AE114" s="148">
        <v>7247</v>
      </c>
      <c r="AF114" s="148">
        <v>4120</v>
      </c>
      <c r="AG114" s="148">
        <v>5247</v>
      </c>
      <c r="AH114" s="147" t="s">
        <v>248</v>
      </c>
      <c r="AI114" s="147">
        <v>17</v>
      </c>
      <c r="AJ114" s="147" t="s">
        <v>509</v>
      </c>
    </row>
    <row r="115" spans="1:36">
      <c r="A115" s="147" t="s">
        <v>731</v>
      </c>
      <c r="B115" s="147" t="s">
        <v>567</v>
      </c>
      <c r="C115" s="147" t="s">
        <v>662</v>
      </c>
      <c r="D115" s="147" t="s">
        <v>343</v>
      </c>
      <c r="E115" s="147" t="s">
        <v>343</v>
      </c>
      <c r="F115" s="147" t="s">
        <v>640</v>
      </c>
      <c r="G115" s="147" t="s">
        <v>208</v>
      </c>
      <c r="H115" s="147">
        <v>3</v>
      </c>
      <c r="I115" s="148">
        <v>2400</v>
      </c>
      <c r="J115" s="147" t="s">
        <v>211</v>
      </c>
      <c r="K115" s="147" t="s">
        <v>343</v>
      </c>
      <c r="L115" s="147" t="s">
        <v>343</v>
      </c>
      <c r="M115" s="147" t="s">
        <v>343</v>
      </c>
      <c r="N115" s="147" t="s">
        <v>343</v>
      </c>
      <c r="O115" s="147" t="s">
        <v>343</v>
      </c>
      <c r="P115" s="147" t="s">
        <v>343</v>
      </c>
      <c r="Q115" s="147" t="s">
        <v>343</v>
      </c>
      <c r="R115" s="147" t="s">
        <v>343</v>
      </c>
      <c r="S115" s="148">
        <v>415</v>
      </c>
      <c r="T115" s="148">
        <v>3580</v>
      </c>
      <c r="U115" s="148">
        <v>3205</v>
      </c>
      <c r="V115" s="147" t="s">
        <v>343</v>
      </c>
      <c r="W115" s="147" t="s">
        <v>343</v>
      </c>
      <c r="X115" s="147" t="s">
        <v>343</v>
      </c>
      <c r="Y115" s="147" t="s">
        <v>343</v>
      </c>
      <c r="Z115" s="147" t="s">
        <v>343</v>
      </c>
      <c r="AA115" s="147" t="s">
        <v>343</v>
      </c>
      <c r="AB115" s="147" t="s">
        <v>343</v>
      </c>
      <c r="AC115" s="147" t="s">
        <v>343</v>
      </c>
      <c r="AD115" s="148">
        <v>7200</v>
      </c>
      <c r="AE115" s="148">
        <v>7200</v>
      </c>
      <c r="AF115" s="148">
        <v>7200</v>
      </c>
      <c r="AG115" s="148">
        <v>0</v>
      </c>
      <c r="AH115" s="147" t="s">
        <v>210</v>
      </c>
      <c r="AI115" s="147">
        <v>3</v>
      </c>
      <c r="AJ115" s="147" t="s">
        <v>510</v>
      </c>
    </row>
    <row r="116" spans="1:36">
      <c r="A116" s="147" t="s">
        <v>732</v>
      </c>
      <c r="B116" s="147" t="s">
        <v>567</v>
      </c>
      <c r="C116" s="147" t="s">
        <v>733</v>
      </c>
      <c r="D116" s="147" t="s">
        <v>343</v>
      </c>
      <c r="E116" s="147" t="s">
        <v>343</v>
      </c>
      <c r="F116" s="147" t="s">
        <v>640</v>
      </c>
      <c r="G116" s="147" t="s">
        <v>208</v>
      </c>
      <c r="H116" s="147">
        <v>11</v>
      </c>
      <c r="I116" s="148">
        <v>2358.3333333333335</v>
      </c>
      <c r="J116" s="147" t="s">
        <v>343</v>
      </c>
      <c r="K116" s="147" t="s">
        <v>343</v>
      </c>
      <c r="L116" s="147" t="s">
        <v>343</v>
      </c>
      <c r="M116" s="147" t="s">
        <v>343</v>
      </c>
      <c r="N116" s="147" t="s">
        <v>343</v>
      </c>
      <c r="O116" s="147" t="s">
        <v>343</v>
      </c>
      <c r="P116" s="147" t="s">
        <v>343</v>
      </c>
      <c r="Q116" s="147" t="s">
        <v>343</v>
      </c>
      <c r="R116" s="147" t="s">
        <v>343</v>
      </c>
      <c r="S116" s="148">
        <v>3537.5</v>
      </c>
      <c r="T116" s="147" t="s">
        <v>343</v>
      </c>
      <c r="U116" s="147" t="s">
        <v>343</v>
      </c>
      <c r="V116" s="148">
        <v>875</v>
      </c>
      <c r="W116" s="147" t="s">
        <v>343</v>
      </c>
      <c r="X116" s="147" t="s">
        <v>343</v>
      </c>
      <c r="Y116" s="148">
        <v>0</v>
      </c>
      <c r="Z116" s="148">
        <v>2662.5</v>
      </c>
      <c r="AA116" s="147" t="s">
        <v>343</v>
      </c>
      <c r="AB116" s="147" t="s">
        <v>343</v>
      </c>
      <c r="AC116" s="147" t="s">
        <v>343</v>
      </c>
      <c r="AD116" s="148">
        <v>7075</v>
      </c>
      <c r="AE116" s="148">
        <v>7075</v>
      </c>
      <c r="AF116" s="148">
        <v>4412.5</v>
      </c>
      <c r="AG116" s="148">
        <v>2662.5</v>
      </c>
      <c r="AH116" s="147" t="s">
        <v>245</v>
      </c>
      <c r="AI116" s="147">
        <v>3</v>
      </c>
      <c r="AJ116" s="147" t="s">
        <v>510</v>
      </c>
    </row>
    <row r="117" spans="1:36">
      <c r="A117" s="147" t="s">
        <v>734</v>
      </c>
      <c r="B117" s="147" t="s">
        <v>502</v>
      </c>
      <c r="C117" s="147" t="s">
        <v>683</v>
      </c>
      <c r="D117" s="147" t="s">
        <v>343</v>
      </c>
      <c r="E117" s="147" t="s">
        <v>343</v>
      </c>
      <c r="F117" s="147" t="s">
        <v>709</v>
      </c>
      <c r="G117" s="147" t="s">
        <v>126</v>
      </c>
      <c r="H117" s="147">
        <v>27</v>
      </c>
      <c r="I117" s="148">
        <v>669.33333333333337</v>
      </c>
      <c r="J117" s="147" t="s">
        <v>343</v>
      </c>
      <c r="K117" s="148">
        <v>395</v>
      </c>
      <c r="L117" s="148">
        <v>395</v>
      </c>
      <c r="M117" s="148">
        <v>395</v>
      </c>
      <c r="N117" s="148">
        <v>395</v>
      </c>
      <c r="O117" s="148">
        <v>474</v>
      </c>
      <c r="P117" s="148">
        <v>560</v>
      </c>
      <c r="Q117" s="148">
        <v>560</v>
      </c>
      <c r="R117" s="148">
        <v>560</v>
      </c>
      <c r="S117" s="148">
        <v>560</v>
      </c>
      <c r="T117" s="148">
        <v>560</v>
      </c>
      <c r="U117" s="148">
        <v>560</v>
      </c>
      <c r="V117" s="148">
        <v>560</v>
      </c>
      <c r="W117" s="148">
        <v>560</v>
      </c>
      <c r="X117" s="148">
        <v>560</v>
      </c>
      <c r="Y117" s="148">
        <v>560</v>
      </c>
      <c r="Z117" s="148">
        <v>558.91</v>
      </c>
      <c r="AA117" s="148">
        <v>560</v>
      </c>
      <c r="AB117" s="148">
        <v>724</v>
      </c>
      <c r="AC117" s="148">
        <v>724</v>
      </c>
      <c r="AD117" s="148">
        <v>10220.91</v>
      </c>
      <c r="AE117" s="148">
        <v>7046.91</v>
      </c>
      <c r="AF117" s="148">
        <v>5974</v>
      </c>
      <c r="AG117" s="148">
        <v>4246.91</v>
      </c>
      <c r="AH117" s="147" t="s">
        <v>248</v>
      </c>
      <c r="AI117" s="147">
        <v>19</v>
      </c>
      <c r="AJ117" s="147" t="s">
        <v>509</v>
      </c>
    </row>
    <row r="118" spans="1:36">
      <c r="A118" s="147" t="s">
        <v>735</v>
      </c>
      <c r="B118" s="147" t="s">
        <v>567</v>
      </c>
      <c r="C118" s="147" t="s">
        <v>637</v>
      </c>
      <c r="D118" s="147" t="s">
        <v>343</v>
      </c>
      <c r="E118" s="147" t="s">
        <v>343</v>
      </c>
      <c r="F118" s="147" t="s">
        <v>640</v>
      </c>
      <c r="G118" s="147" t="s">
        <v>737</v>
      </c>
      <c r="H118" s="147">
        <v>52</v>
      </c>
      <c r="I118" s="148">
        <v>600</v>
      </c>
      <c r="J118" s="147" t="s">
        <v>627</v>
      </c>
      <c r="K118" s="148">
        <v>550</v>
      </c>
      <c r="L118" s="148">
        <v>550</v>
      </c>
      <c r="M118" s="148">
        <v>550</v>
      </c>
      <c r="N118" s="148">
        <v>580</v>
      </c>
      <c r="O118" s="148">
        <v>580</v>
      </c>
      <c r="P118" s="148">
        <v>580</v>
      </c>
      <c r="Q118" s="148">
        <v>580</v>
      </c>
      <c r="R118" s="148">
        <v>580</v>
      </c>
      <c r="S118" s="148">
        <v>580</v>
      </c>
      <c r="T118" s="148">
        <v>580</v>
      </c>
      <c r="U118" s="148">
        <v>580</v>
      </c>
      <c r="V118" s="148">
        <v>580</v>
      </c>
      <c r="W118" s="148">
        <v>580</v>
      </c>
      <c r="X118" s="148">
        <v>580</v>
      </c>
      <c r="Y118" s="148">
        <v>580</v>
      </c>
      <c r="Z118" s="148">
        <v>600</v>
      </c>
      <c r="AA118" s="148">
        <v>600</v>
      </c>
      <c r="AB118" s="148">
        <v>600</v>
      </c>
      <c r="AC118" s="148">
        <v>600</v>
      </c>
      <c r="AD118" s="148">
        <v>11010</v>
      </c>
      <c r="AE118" s="148">
        <v>7040</v>
      </c>
      <c r="AF118" s="148">
        <v>6870</v>
      </c>
      <c r="AG118" s="148">
        <v>4140</v>
      </c>
      <c r="AH118" s="147" t="s">
        <v>248</v>
      </c>
      <c r="AI118" s="147">
        <v>19</v>
      </c>
      <c r="AJ118" s="147" t="s">
        <v>509</v>
      </c>
    </row>
    <row r="119" spans="1:36">
      <c r="A119" s="147" t="s">
        <v>738</v>
      </c>
      <c r="B119" s="147" t="s">
        <v>502</v>
      </c>
      <c r="C119" s="147" t="s">
        <v>503</v>
      </c>
      <c r="D119" s="147" t="s">
        <v>505</v>
      </c>
      <c r="E119" s="147">
        <v>8</v>
      </c>
      <c r="F119" s="147" t="s">
        <v>507</v>
      </c>
      <c r="G119" s="147" t="s">
        <v>127</v>
      </c>
      <c r="H119" s="147">
        <v>26</v>
      </c>
      <c r="I119" s="148">
        <v>446.33333333333331</v>
      </c>
      <c r="J119" s="147" t="s">
        <v>343</v>
      </c>
      <c r="K119" s="148">
        <v>525</v>
      </c>
      <c r="L119" s="148">
        <v>420</v>
      </c>
      <c r="M119" s="148">
        <v>420</v>
      </c>
      <c r="N119" s="148">
        <v>420</v>
      </c>
      <c r="O119" s="148">
        <v>420</v>
      </c>
      <c r="P119" s="148">
        <v>445</v>
      </c>
      <c r="Q119" s="148">
        <v>445</v>
      </c>
      <c r="R119" s="148">
        <v>445</v>
      </c>
      <c r="S119" s="148">
        <v>445</v>
      </c>
      <c r="T119" s="148">
        <v>1210</v>
      </c>
      <c r="U119" s="148">
        <v>445</v>
      </c>
      <c r="V119" s="148">
        <v>445</v>
      </c>
      <c r="W119" s="148">
        <v>535</v>
      </c>
      <c r="X119" s="148">
        <v>445</v>
      </c>
      <c r="Y119" s="148">
        <v>1210</v>
      </c>
      <c r="Z119" s="148">
        <v>445</v>
      </c>
      <c r="AA119" s="148">
        <v>445</v>
      </c>
      <c r="AB119" s="148">
        <v>447</v>
      </c>
      <c r="AC119" s="148">
        <v>447</v>
      </c>
      <c r="AD119" s="148">
        <v>10059</v>
      </c>
      <c r="AE119" s="148">
        <v>6964</v>
      </c>
      <c r="AF119" s="148">
        <v>6085</v>
      </c>
      <c r="AG119" s="148">
        <v>3974</v>
      </c>
      <c r="AH119" s="147" t="s">
        <v>248</v>
      </c>
      <c r="AI119" s="147">
        <v>19</v>
      </c>
      <c r="AJ119" s="147" t="s">
        <v>509</v>
      </c>
    </row>
    <row r="120" spans="1:36">
      <c r="A120" s="147" t="s">
        <v>739</v>
      </c>
      <c r="B120" s="147" t="s">
        <v>502</v>
      </c>
      <c r="C120" s="147" t="s">
        <v>503</v>
      </c>
      <c r="D120" s="147" t="s">
        <v>505</v>
      </c>
      <c r="E120" s="147">
        <v>8</v>
      </c>
      <c r="F120" s="147" t="s">
        <v>507</v>
      </c>
      <c r="G120" s="147" t="s">
        <v>242</v>
      </c>
      <c r="H120" s="147">
        <v>7</v>
      </c>
      <c r="I120" s="148">
        <v>910</v>
      </c>
      <c r="J120" s="147" t="s">
        <v>343</v>
      </c>
      <c r="K120" s="147" t="s">
        <v>343</v>
      </c>
      <c r="L120" s="147" t="s">
        <v>343</v>
      </c>
      <c r="M120" s="147" t="s">
        <v>343</v>
      </c>
      <c r="N120" s="147" t="s">
        <v>343</v>
      </c>
      <c r="O120" s="147" t="s">
        <v>343</v>
      </c>
      <c r="P120" s="147" t="s">
        <v>343</v>
      </c>
      <c r="Q120" s="147" t="s">
        <v>343</v>
      </c>
      <c r="R120" s="147" t="s">
        <v>343</v>
      </c>
      <c r="S120" s="147" t="s">
        <v>343</v>
      </c>
      <c r="T120" s="147" t="s">
        <v>343</v>
      </c>
      <c r="U120" s="147" t="s">
        <v>343</v>
      </c>
      <c r="V120" s="147" t="s">
        <v>343</v>
      </c>
      <c r="W120" s="148">
        <v>1783.75</v>
      </c>
      <c r="X120" s="148">
        <v>1108.75</v>
      </c>
      <c r="Y120" s="148">
        <v>163.75</v>
      </c>
      <c r="Z120" s="148">
        <v>910</v>
      </c>
      <c r="AA120" s="148">
        <v>910</v>
      </c>
      <c r="AB120" s="148">
        <v>910</v>
      </c>
      <c r="AC120" s="148">
        <v>910</v>
      </c>
      <c r="AD120" s="148">
        <v>6696.25</v>
      </c>
      <c r="AE120" s="148">
        <v>6696.25</v>
      </c>
      <c r="AF120" s="148">
        <v>0</v>
      </c>
      <c r="AG120" s="148">
        <v>6696.25</v>
      </c>
      <c r="AH120" s="147" t="s">
        <v>248</v>
      </c>
      <c r="AI120" s="147">
        <v>7</v>
      </c>
      <c r="AJ120" s="147" t="s">
        <v>509</v>
      </c>
    </row>
    <row r="121" spans="1:36">
      <c r="A121" s="147" t="s">
        <v>740</v>
      </c>
      <c r="B121" s="147" t="s">
        <v>502</v>
      </c>
      <c r="C121" s="147" t="s">
        <v>503</v>
      </c>
      <c r="D121" s="147" t="s">
        <v>505</v>
      </c>
      <c r="E121" s="147">
        <v>8</v>
      </c>
      <c r="F121" s="147" t="s">
        <v>560</v>
      </c>
      <c r="G121" s="147" t="s">
        <v>202</v>
      </c>
      <c r="H121" s="147">
        <v>17</v>
      </c>
      <c r="I121" s="148">
        <v>649</v>
      </c>
      <c r="J121" s="147" t="s">
        <v>343</v>
      </c>
      <c r="K121" s="147" t="s">
        <v>343</v>
      </c>
      <c r="L121" s="147" t="s">
        <v>343</v>
      </c>
      <c r="M121" s="148">
        <v>350</v>
      </c>
      <c r="N121" s="148">
        <v>150</v>
      </c>
      <c r="O121" s="148">
        <v>360</v>
      </c>
      <c r="P121" s="148">
        <v>280</v>
      </c>
      <c r="Q121" s="148">
        <v>430</v>
      </c>
      <c r="R121" s="148">
        <v>430</v>
      </c>
      <c r="S121" s="148">
        <v>430</v>
      </c>
      <c r="T121" s="148">
        <v>430</v>
      </c>
      <c r="U121" s="148">
        <v>525</v>
      </c>
      <c r="V121" s="148">
        <v>525</v>
      </c>
      <c r="W121" s="148">
        <v>525</v>
      </c>
      <c r="X121" s="148">
        <v>630</v>
      </c>
      <c r="Y121" s="148">
        <v>525</v>
      </c>
      <c r="Z121" s="148">
        <v>649</v>
      </c>
      <c r="AA121" s="148">
        <v>649</v>
      </c>
      <c r="AB121" s="148">
        <v>649</v>
      </c>
      <c r="AC121" s="148">
        <v>649</v>
      </c>
      <c r="AD121" s="148">
        <v>8186</v>
      </c>
      <c r="AE121" s="148">
        <v>6616</v>
      </c>
      <c r="AF121" s="148">
        <v>3910</v>
      </c>
      <c r="AG121" s="148">
        <v>4276</v>
      </c>
      <c r="AH121" s="147" t="s">
        <v>248</v>
      </c>
      <c r="AI121" s="147">
        <v>17</v>
      </c>
      <c r="AJ121" s="147" t="s">
        <v>509</v>
      </c>
    </row>
    <row r="122" spans="1:36">
      <c r="A122" s="147" t="s">
        <v>741</v>
      </c>
      <c r="B122" s="147" t="s">
        <v>502</v>
      </c>
      <c r="C122" s="147" t="s">
        <v>503</v>
      </c>
      <c r="D122" s="147" t="s">
        <v>505</v>
      </c>
      <c r="E122" s="147">
        <v>3</v>
      </c>
      <c r="F122" s="147" t="s">
        <v>560</v>
      </c>
      <c r="G122" s="147" t="s">
        <v>128</v>
      </c>
      <c r="H122" s="147">
        <v>25</v>
      </c>
      <c r="I122" s="148">
        <v>493</v>
      </c>
      <c r="J122" s="147" t="s">
        <v>343</v>
      </c>
      <c r="K122" s="148">
        <v>570</v>
      </c>
      <c r="L122" s="148">
        <v>810</v>
      </c>
      <c r="M122" s="148">
        <v>570</v>
      </c>
      <c r="N122" s="148">
        <v>570</v>
      </c>
      <c r="O122" s="148">
        <v>570</v>
      </c>
      <c r="P122" s="148">
        <v>570</v>
      </c>
      <c r="Q122" s="148">
        <v>555</v>
      </c>
      <c r="R122" s="148">
        <v>555</v>
      </c>
      <c r="S122" s="148">
        <v>555</v>
      </c>
      <c r="T122" s="148">
        <v>555</v>
      </c>
      <c r="U122" s="148">
        <v>555</v>
      </c>
      <c r="V122" s="148">
        <v>535</v>
      </c>
      <c r="W122" s="148">
        <v>535</v>
      </c>
      <c r="X122" s="148">
        <v>775</v>
      </c>
      <c r="Y122" s="148">
        <v>535</v>
      </c>
      <c r="Z122" s="148">
        <v>535</v>
      </c>
      <c r="AA122" s="148">
        <v>518</v>
      </c>
      <c r="AB122" s="148">
        <v>468</v>
      </c>
      <c r="AC122" s="148">
        <v>493</v>
      </c>
      <c r="AD122" s="148">
        <v>10829</v>
      </c>
      <c r="AE122" s="148">
        <v>6614</v>
      </c>
      <c r="AF122" s="148">
        <v>6970</v>
      </c>
      <c r="AG122" s="148">
        <v>3859</v>
      </c>
      <c r="AH122" s="147" t="s">
        <v>248</v>
      </c>
      <c r="AI122" s="147">
        <v>19</v>
      </c>
      <c r="AJ122" s="147" t="s">
        <v>509</v>
      </c>
    </row>
    <row r="123" spans="1:36">
      <c r="A123" s="147" t="s">
        <v>742</v>
      </c>
      <c r="B123" s="147" t="s">
        <v>502</v>
      </c>
      <c r="C123" s="147" t="s">
        <v>503</v>
      </c>
      <c r="D123" s="147" t="s">
        <v>505</v>
      </c>
      <c r="E123" s="147">
        <v>6</v>
      </c>
      <c r="F123" s="147" t="s">
        <v>560</v>
      </c>
      <c r="G123" s="147" t="s">
        <v>130</v>
      </c>
      <c r="H123" s="147">
        <v>23</v>
      </c>
      <c r="I123" s="148">
        <v>630</v>
      </c>
      <c r="J123" s="147" t="s">
        <v>343</v>
      </c>
      <c r="K123" s="148">
        <v>350</v>
      </c>
      <c r="L123" s="148">
        <v>440</v>
      </c>
      <c r="M123" s="148">
        <v>350</v>
      </c>
      <c r="N123" s="148">
        <v>350</v>
      </c>
      <c r="O123" s="148">
        <v>350</v>
      </c>
      <c r="P123" s="148">
        <v>350</v>
      </c>
      <c r="Q123" s="148">
        <v>350</v>
      </c>
      <c r="R123" s="148">
        <v>350</v>
      </c>
      <c r="S123" s="148">
        <v>510</v>
      </c>
      <c r="T123" s="148">
        <v>510</v>
      </c>
      <c r="U123" s="148">
        <v>510</v>
      </c>
      <c r="V123" s="148">
        <v>510</v>
      </c>
      <c r="W123" s="148">
        <v>530</v>
      </c>
      <c r="X123" s="148">
        <v>620</v>
      </c>
      <c r="Y123" s="148">
        <v>530</v>
      </c>
      <c r="Z123" s="148">
        <v>630</v>
      </c>
      <c r="AA123" s="148">
        <v>630</v>
      </c>
      <c r="AB123" s="148">
        <v>630</v>
      </c>
      <c r="AC123" s="148">
        <v>630</v>
      </c>
      <c r="AD123" s="148">
        <v>9130</v>
      </c>
      <c r="AE123" s="148">
        <v>6590</v>
      </c>
      <c r="AF123" s="148">
        <v>4930</v>
      </c>
      <c r="AG123" s="148">
        <v>4200</v>
      </c>
      <c r="AH123" s="147" t="s">
        <v>248</v>
      </c>
      <c r="AI123" s="147">
        <v>19</v>
      </c>
      <c r="AJ123" s="147" t="s">
        <v>509</v>
      </c>
    </row>
    <row r="124" spans="1:36">
      <c r="A124" s="147" t="s">
        <v>743</v>
      </c>
      <c r="B124" s="147" t="s">
        <v>502</v>
      </c>
      <c r="C124" s="147" t="s">
        <v>503</v>
      </c>
      <c r="D124" s="147" t="s">
        <v>505</v>
      </c>
      <c r="E124" s="147">
        <v>4</v>
      </c>
      <c r="F124" s="147" t="s">
        <v>560</v>
      </c>
      <c r="G124" s="147" t="s">
        <v>209</v>
      </c>
      <c r="H124" s="147">
        <v>10</v>
      </c>
      <c r="I124" s="148">
        <v>650</v>
      </c>
      <c r="J124" s="147" t="s">
        <v>343</v>
      </c>
      <c r="K124" s="147" t="s">
        <v>343</v>
      </c>
      <c r="L124" s="147" t="s">
        <v>343</v>
      </c>
      <c r="M124" s="147" t="s">
        <v>343</v>
      </c>
      <c r="N124" s="147" t="s">
        <v>343</v>
      </c>
      <c r="O124" s="147" t="s">
        <v>343</v>
      </c>
      <c r="P124" s="147" t="s">
        <v>343</v>
      </c>
      <c r="Q124" s="147" t="s">
        <v>343</v>
      </c>
      <c r="R124" s="147" t="s">
        <v>343</v>
      </c>
      <c r="S124" s="147" t="s">
        <v>343</v>
      </c>
      <c r="T124" s="148">
        <v>925</v>
      </c>
      <c r="U124" s="148">
        <v>736.25</v>
      </c>
      <c r="V124" s="148">
        <v>650</v>
      </c>
      <c r="W124" s="148">
        <v>650</v>
      </c>
      <c r="X124" s="148">
        <v>263.86</v>
      </c>
      <c r="Y124" s="148">
        <v>650</v>
      </c>
      <c r="Z124" s="148">
        <v>650</v>
      </c>
      <c r="AA124" s="148">
        <v>650</v>
      </c>
      <c r="AB124" s="148">
        <v>650</v>
      </c>
      <c r="AC124" s="148">
        <v>650</v>
      </c>
      <c r="AD124" s="148">
        <v>6475.1100000000006</v>
      </c>
      <c r="AE124" s="148">
        <v>6475.1100000000006</v>
      </c>
      <c r="AF124" s="148">
        <v>2311.25</v>
      </c>
      <c r="AG124" s="148">
        <v>4163.8600000000006</v>
      </c>
      <c r="AH124" s="147" t="s">
        <v>248</v>
      </c>
      <c r="AI124" s="147">
        <v>10</v>
      </c>
      <c r="AJ124" s="147" t="s">
        <v>509</v>
      </c>
    </row>
    <row r="125" spans="1:36">
      <c r="A125" s="147" t="s">
        <v>744</v>
      </c>
      <c r="B125" s="147" t="s">
        <v>502</v>
      </c>
      <c r="C125" s="147" t="s">
        <v>503</v>
      </c>
      <c r="D125" s="147" t="s">
        <v>505</v>
      </c>
      <c r="E125" s="147">
        <v>15</v>
      </c>
      <c r="F125" s="147" t="s">
        <v>560</v>
      </c>
      <c r="G125" s="147" t="s">
        <v>127</v>
      </c>
      <c r="H125" s="147">
        <v>26</v>
      </c>
      <c r="I125" s="148">
        <v>476.66666666666669</v>
      </c>
      <c r="J125" s="147" t="s">
        <v>343</v>
      </c>
      <c r="K125" s="148">
        <v>325</v>
      </c>
      <c r="L125" s="148">
        <v>325</v>
      </c>
      <c r="M125" s="148">
        <v>325</v>
      </c>
      <c r="N125" s="148">
        <v>325</v>
      </c>
      <c r="O125" s="148">
        <v>325</v>
      </c>
      <c r="P125" s="148">
        <v>325</v>
      </c>
      <c r="Q125" s="148">
        <v>325</v>
      </c>
      <c r="R125" s="148">
        <v>600</v>
      </c>
      <c r="S125" s="148">
        <v>600</v>
      </c>
      <c r="T125" s="148">
        <v>600</v>
      </c>
      <c r="U125" s="148">
        <v>600</v>
      </c>
      <c r="V125" s="148">
        <v>420</v>
      </c>
      <c r="W125" s="148">
        <v>600</v>
      </c>
      <c r="X125" s="148">
        <v>510</v>
      </c>
      <c r="Y125" s="148">
        <v>600</v>
      </c>
      <c r="Z125" s="148">
        <v>510</v>
      </c>
      <c r="AA125" s="148">
        <v>430</v>
      </c>
      <c r="AB125" s="148">
        <v>500</v>
      </c>
      <c r="AC125" s="148">
        <v>500</v>
      </c>
      <c r="AD125" s="148">
        <v>8745</v>
      </c>
      <c r="AE125" s="148">
        <v>6470</v>
      </c>
      <c r="AF125" s="148">
        <v>5095</v>
      </c>
      <c r="AG125" s="148">
        <v>3650</v>
      </c>
      <c r="AH125" s="147" t="s">
        <v>248</v>
      </c>
      <c r="AI125" s="147">
        <v>19</v>
      </c>
      <c r="AJ125" s="147" t="s">
        <v>509</v>
      </c>
    </row>
    <row r="126" spans="1:36">
      <c r="A126" s="147" t="s">
        <v>745</v>
      </c>
      <c r="B126" s="147" t="s">
        <v>567</v>
      </c>
      <c r="C126" s="147" t="s">
        <v>637</v>
      </c>
      <c r="D126" s="147" t="s">
        <v>343</v>
      </c>
      <c r="E126" s="147" t="s">
        <v>343</v>
      </c>
      <c r="F126" s="147" t="s">
        <v>640</v>
      </c>
      <c r="G126" s="147" t="s">
        <v>747</v>
      </c>
      <c r="H126" s="147">
        <v>57</v>
      </c>
      <c r="I126" s="148">
        <v>535</v>
      </c>
      <c r="J126" s="147" t="s">
        <v>627</v>
      </c>
      <c r="K126" s="148">
        <v>560</v>
      </c>
      <c r="L126" s="148">
        <v>515</v>
      </c>
      <c r="M126" s="148">
        <v>515</v>
      </c>
      <c r="N126" s="148">
        <v>515</v>
      </c>
      <c r="O126" s="148">
        <v>515</v>
      </c>
      <c r="P126" s="148">
        <v>515</v>
      </c>
      <c r="Q126" s="148">
        <v>515</v>
      </c>
      <c r="R126" s="148">
        <v>515</v>
      </c>
      <c r="S126" s="148">
        <v>515</v>
      </c>
      <c r="T126" s="148">
        <v>515</v>
      </c>
      <c r="U126" s="148">
        <v>535</v>
      </c>
      <c r="V126" s="148">
        <v>535</v>
      </c>
      <c r="W126" s="148">
        <v>535</v>
      </c>
      <c r="X126" s="148">
        <v>550</v>
      </c>
      <c r="Y126" s="148">
        <v>535</v>
      </c>
      <c r="Z126" s="148">
        <v>535</v>
      </c>
      <c r="AA126" s="148">
        <v>535</v>
      </c>
      <c r="AB126" s="148">
        <v>535</v>
      </c>
      <c r="AC126" s="148">
        <v>535</v>
      </c>
      <c r="AD126" s="148">
        <v>10025</v>
      </c>
      <c r="AE126" s="148">
        <v>6375</v>
      </c>
      <c r="AF126" s="148">
        <v>6265</v>
      </c>
      <c r="AG126" s="148">
        <v>3760</v>
      </c>
      <c r="AH126" s="147" t="s">
        <v>248</v>
      </c>
      <c r="AI126" s="147">
        <v>19</v>
      </c>
      <c r="AJ126" s="147" t="s">
        <v>509</v>
      </c>
    </row>
    <row r="127" spans="1:36">
      <c r="A127" s="147" t="s">
        <v>748</v>
      </c>
      <c r="B127" s="147" t="s">
        <v>502</v>
      </c>
      <c r="C127" s="147" t="s">
        <v>503</v>
      </c>
      <c r="D127" s="147" t="s">
        <v>505</v>
      </c>
      <c r="E127" s="147">
        <v>4</v>
      </c>
      <c r="F127" s="147" t="s">
        <v>560</v>
      </c>
      <c r="G127" s="147" t="s">
        <v>602</v>
      </c>
      <c r="H127" s="147">
        <v>35</v>
      </c>
      <c r="I127" s="148">
        <v>520</v>
      </c>
      <c r="J127" s="147" t="s">
        <v>343</v>
      </c>
      <c r="K127" s="148">
        <v>575</v>
      </c>
      <c r="L127" s="148">
        <v>446</v>
      </c>
      <c r="M127" s="148">
        <v>515</v>
      </c>
      <c r="N127" s="148">
        <v>515</v>
      </c>
      <c r="O127" s="148">
        <v>515</v>
      </c>
      <c r="P127" s="148">
        <v>515</v>
      </c>
      <c r="Q127" s="148">
        <v>515</v>
      </c>
      <c r="R127" s="148">
        <v>515</v>
      </c>
      <c r="S127" s="148">
        <v>520</v>
      </c>
      <c r="T127" s="148">
        <v>520</v>
      </c>
      <c r="U127" s="148">
        <v>520</v>
      </c>
      <c r="V127" s="148">
        <v>520</v>
      </c>
      <c r="W127" s="148">
        <v>520</v>
      </c>
      <c r="X127" s="148">
        <v>565</v>
      </c>
      <c r="Y127" s="148">
        <v>520</v>
      </c>
      <c r="Z127" s="148">
        <v>520</v>
      </c>
      <c r="AA127" s="148">
        <v>520</v>
      </c>
      <c r="AB127" s="148">
        <v>520</v>
      </c>
      <c r="AC127" s="148">
        <v>520</v>
      </c>
      <c r="AD127" s="148">
        <v>9876</v>
      </c>
      <c r="AE127" s="148">
        <v>6280</v>
      </c>
      <c r="AF127" s="148">
        <v>6191</v>
      </c>
      <c r="AG127" s="148">
        <v>3685</v>
      </c>
      <c r="AH127" s="147" t="s">
        <v>248</v>
      </c>
      <c r="AI127" s="147">
        <v>19</v>
      </c>
      <c r="AJ127" s="147" t="s">
        <v>509</v>
      </c>
    </row>
    <row r="128" spans="1:36">
      <c r="A128" s="147" t="s">
        <v>749</v>
      </c>
      <c r="B128" s="147" t="s">
        <v>502</v>
      </c>
      <c r="C128" s="147" t="s">
        <v>503</v>
      </c>
      <c r="D128" s="147" t="s">
        <v>612</v>
      </c>
      <c r="E128" s="147">
        <v>17</v>
      </c>
      <c r="F128" s="147" t="s">
        <v>507</v>
      </c>
      <c r="G128" s="147" t="s">
        <v>210</v>
      </c>
      <c r="H128" s="147">
        <v>9</v>
      </c>
      <c r="I128" s="148">
        <v>1040</v>
      </c>
      <c r="J128" s="147" t="s">
        <v>343</v>
      </c>
      <c r="K128" s="147" t="s">
        <v>343</v>
      </c>
      <c r="L128" s="147" t="s">
        <v>343</v>
      </c>
      <c r="M128" s="147" t="s">
        <v>343</v>
      </c>
      <c r="N128" s="147" t="s">
        <v>343</v>
      </c>
      <c r="O128" s="147" t="s">
        <v>343</v>
      </c>
      <c r="P128" s="147" t="s">
        <v>343</v>
      </c>
      <c r="Q128" s="147" t="s">
        <v>343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8">
        <v>950</v>
      </c>
      <c r="W128" s="148">
        <v>525</v>
      </c>
      <c r="X128" s="148">
        <v>560</v>
      </c>
      <c r="Y128" s="148">
        <v>560</v>
      </c>
      <c r="Z128" s="148">
        <v>560</v>
      </c>
      <c r="AA128" s="148">
        <v>1040</v>
      </c>
      <c r="AB128" s="148">
        <v>1040</v>
      </c>
      <c r="AC128" s="148">
        <v>1040</v>
      </c>
      <c r="AD128" s="148">
        <v>6275</v>
      </c>
      <c r="AE128" s="148">
        <v>6275</v>
      </c>
      <c r="AF128" s="148">
        <v>950</v>
      </c>
      <c r="AG128" s="148">
        <v>5325</v>
      </c>
      <c r="AH128" s="147" t="s">
        <v>248</v>
      </c>
      <c r="AI128" s="147">
        <v>8</v>
      </c>
      <c r="AJ128" s="147" t="s">
        <v>509</v>
      </c>
    </row>
    <row r="129" spans="1:36">
      <c r="A129" s="147" t="s">
        <v>750</v>
      </c>
      <c r="B129" s="147" t="s">
        <v>19</v>
      </c>
      <c r="C129" s="147" t="s">
        <v>503</v>
      </c>
      <c r="D129" s="147" t="s">
        <v>621</v>
      </c>
      <c r="E129" s="147">
        <v>23</v>
      </c>
      <c r="F129" s="147" t="s">
        <v>507</v>
      </c>
      <c r="G129" s="147" t="s">
        <v>245</v>
      </c>
      <c r="H129" s="147">
        <v>4</v>
      </c>
      <c r="I129" s="148">
        <v>1327</v>
      </c>
      <c r="J129" s="147" t="s">
        <v>343</v>
      </c>
      <c r="K129" s="147" t="s">
        <v>343</v>
      </c>
      <c r="L129" s="147" t="s">
        <v>343</v>
      </c>
      <c r="M129" s="147" t="s">
        <v>343</v>
      </c>
      <c r="N129" s="147" t="s">
        <v>343</v>
      </c>
      <c r="O129" s="147" t="s">
        <v>343</v>
      </c>
      <c r="P129" s="147" t="s">
        <v>343</v>
      </c>
      <c r="Q129" s="147" t="s">
        <v>343</v>
      </c>
      <c r="R129" s="147" t="s">
        <v>343</v>
      </c>
      <c r="S129" s="147" t="s">
        <v>343</v>
      </c>
      <c r="T129" s="147" t="s">
        <v>343</v>
      </c>
      <c r="U129" s="147" t="s">
        <v>343</v>
      </c>
      <c r="V129" s="147" t="s">
        <v>343</v>
      </c>
      <c r="W129" s="147" t="s">
        <v>343</v>
      </c>
      <c r="X129" s="147" t="s">
        <v>343</v>
      </c>
      <c r="Y129" s="147" t="s">
        <v>343</v>
      </c>
      <c r="Z129" s="148">
        <v>2273</v>
      </c>
      <c r="AA129" s="148">
        <v>1286</v>
      </c>
      <c r="AB129" s="148">
        <v>1295</v>
      </c>
      <c r="AC129" s="148">
        <v>1400</v>
      </c>
      <c r="AD129" s="148">
        <v>6254</v>
      </c>
      <c r="AE129" s="148">
        <v>6254</v>
      </c>
      <c r="AF129" s="148">
        <v>0</v>
      </c>
      <c r="AG129" s="148">
        <v>6254</v>
      </c>
      <c r="AH129" s="147" t="s">
        <v>248</v>
      </c>
      <c r="AI129" s="147">
        <v>4</v>
      </c>
      <c r="AJ129" s="147" t="s">
        <v>509</v>
      </c>
    </row>
    <row r="130" spans="1:36">
      <c r="A130" s="147" t="s">
        <v>751</v>
      </c>
      <c r="B130" s="147" t="s">
        <v>19</v>
      </c>
      <c r="C130" s="147" t="s">
        <v>503</v>
      </c>
      <c r="D130" s="147" t="s">
        <v>343</v>
      </c>
      <c r="E130" s="147">
        <v>83</v>
      </c>
      <c r="F130" s="147" t="s">
        <v>507</v>
      </c>
      <c r="G130" s="147" t="s">
        <v>248</v>
      </c>
      <c r="H130" s="147">
        <v>1</v>
      </c>
      <c r="I130" s="148">
        <v>6252</v>
      </c>
      <c r="J130" s="147" t="s">
        <v>343</v>
      </c>
      <c r="K130" s="147" t="s">
        <v>343</v>
      </c>
      <c r="L130" s="147" t="s">
        <v>343</v>
      </c>
      <c r="M130" s="147" t="s">
        <v>343</v>
      </c>
      <c r="N130" s="147" t="s">
        <v>343</v>
      </c>
      <c r="O130" s="147" t="s">
        <v>343</v>
      </c>
      <c r="P130" s="147" t="s">
        <v>343</v>
      </c>
      <c r="Q130" s="147" t="s">
        <v>343</v>
      </c>
      <c r="R130" s="147" t="s">
        <v>343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8">
        <v>6252</v>
      </c>
      <c r="AD130" s="148">
        <v>6252</v>
      </c>
      <c r="AE130" s="148">
        <v>6252</v>
      </c>
      <c r="AF130" s="148">
        <v>0</v>
      </c>
      <c r="AG130" s="148">
        <v>6252</v>
      </c>
      <c r="AH130" s="147" t="s">
        <v>248</v>
      </c>
      <c r="AI130" s="147">
        <v>1</v>
      </c>
      <c r="AJ130" s="147" t="s">
        <v>509</v>
      </c>
    </row>
    <row r="131" spans="1:36">
      <c r="A131" s="147" t="s">
        <v>752</v>
      </c>
      <c r="B131" s="147" t="s">
        <v>502</v>
      </c>
      <c r="C131" s="147" t="s">
        <v>503</v>
      </c>
      <c r="D131" s="147" t="s">
        <v>612</v>
      </c>
      <c r="E131" s="147">
        <v>47</v>
      </c>
      <c r="F131" s="147" t="s">
        <v>507</v>
      </c>
      <c r="G131" s="147" t="s">
        <v>246</v>
      </c>
      <c r="H131" s="147">
        <v>3</v>
      </c>
      <c r="I131" s="148">
        <v>2063</v>
      </c>
      <c r="J131" s="147" t="s">
        <v>343</v>
      </c>
      <c r="K131" s="147" t="s">
        <v>343</v>
      </c>
      <c r="L131" s="147" t="s">
        <v>343</v>
      </c>
      <c r="M131" s="147" t="s">
        <v>343</v>
      </c>
      <c r="N131" s="147" t="s">
        <v>343</v>
      </c>
      <c r="O131" s="147" t="s">
        <v>343</v>
      </c>
      <c r="P131" s="147" t="s">
        <v>343</v>
      </c>
      <c r="Q131" s="147" t="s">
        <v>343</v>
      </c>
      <c r="R131" s="147" t="s">
        <v>343</v>
      </c>
      <c r="S131" s="147" t="s">
        <v>343</v>
      </c>
      <c r="T131" s="147" t="s">
        <v>343</v>
      </c>
      <c r="U131" s="147" t="s">
        <v>343</v>
      </c>
      <c r="V131" s="147" t="s">
        <v>343</v>
      </c>
      <c r="W131" s="147" t="s">
        <v>343</v>
      </c>
      <c r="X131" s="147" t="s">
        <v>343</v>
      </c>
      <c r="Y131" s="147" t="s">
        <v>343</v>
      </c>
      <c r="Z131" s="147" t="s">
        <v>343</v>
      </c>
      <c r="AA131" s="148">
        <v>1180</v>
      </c>
      <c r="AB131" s="148">
        <v>2676</v>
      </c>
      <c r="AC131" s="148">
        <v>2333</v>
      </c>
      <c r="AD131" s="148">
        <v>6189</v>
      </c>
      <c r="AE131" s="148">
        <v>6189</v>
      </c>
      <c r="AF131" s="148">
        <v>0</v>
      </c>
      <c r="AG131" s="148">
        <v>6189</v>
      </c>
      <c r="AH131" s="147" t="s">
        <v>248</v>
      </c>
      <c r="AI131" s="147">
        <v>3</v>
      </c>
      <c r="AJ131" s="147" t="s">
        <v>509</v>
      </c>
    </row>
    <row r="132" spans="1:36">
      <c r="A132" s="147" t="s">
        <v>753</v>
      </c>
      <c r="B132" s="147" t="s">
        <v>567</v>
      </c>
      <c r="C132" s="147" t="s">
        <v>662</v>
      </c>
      <c r="D132" s="147" t="s">
        <v>343</v>
      </c>
      <c r="E132" s="147" t="s">
        <v>343</v>
      </c>
      <c r="F132" s="147" t="s">
        <v>640</v>
      </c>
      <c r="G132" s="147" t="s">
        <v>205</v>
      </c>
      <c r="H132" s="147">
        <v>6</v>
      </c>
      <c r="I132" s="148">
        <v>1574</v>
      </c>
      <c r="J132" s="147" t="s">
        <v>211</v>
      </c>
      <c r="K132" s="147" t="s">
        <v>343</v>
      </c>
      <c r="L132" s="147" t="s">
        <v>343</v>
      </c>
      <c r="M132" s="147" t="s">
        <v>343</v>
      </c>
      <c r="N132" s="147" t="s">
        <v>343</v>
      </c>
      <c r="O132" s="147" t="s">
        <v>343</v>
      </c>
      <c r="P132" s="148">
        <v>2089</v>
      </c>
      <c r="Q132" s="148">
        <v>3029</v>
      </c>
      <c r="R132" s="148">
        <v>1440</v>
      </c>
      <c r="S132" s="148">
        <v>1574</v>
      </c>
      <c r="T132" s="148">
        <v>1708</v>
      </c>
      <c r="U132" s="148">
        <v>1440</v>
      </c>
      <c r="V132" s="147" t="s">
        <v>343</v>
      </c>
      <c r="W132" s="147" t="s">
        <v>343</v>
      </c>
      <c r="X132" s="147" t="s">
        <v>343</v>
      </c>
      <c r="Y132" s="147" t="s">
        <v>343</v>
      </c>
      <c r="Z132" s="147" t="s">
        <v>343</v>
      </c>
      <c r="AA132" s="147" t="s">
        <v>343</v>
      </c>
      <c r="AB132" s="147" t="s">
        <v>343</v>
      </c>
      <c r="AC132" s="147" t="s">
        <v>343</v>
      </c>
      <c r="AD132" s="148">
        <v>11280</v>
      </c>
      <c r="AE132" s="148">
        <v>6162</v>
      </c>
      <c r="AF132" s="148">
        <v>11280</v>
      </c>
      <c r="AG132" s="148">
        <v>0</v>
      </c>
      <c r="AH132" s="147" t="s">
        <v>210</v>
      </c>
      <c r="AI132" s="147">
        <v>6</v>
      </c>
      <c r="AJ132" s="147" t="s">
        <v>510</v>
      </c>
    </row>
    <row r="133" spans="1:36">
      <c r="A133" s="147" t="s">
        <v>754</v>
      </c>
      <c r="B133" s="147" t="s">
        <v>502</v>
      </c>
      <c r="C133" s="147" t="s">
        <v>503</v>
      </c>
      <c r="D133" s="147" t="s">
        <v>612</v>
      </c>
      <c r="E133" s="147">
        <v>5</v>
      </c>
      <c r="F133" s="147" t="s">
        <v>560</v>
      </c>
      <c r="G133" s="147" t="s">
        <v>207</v>
      </c>
      <c r="H133" s="147">
        <v>12</v>
      </c>
      <c r="I133" s="148">
        <v>200</v>
      </c>
      <c r="J133" s="147" t="s">
        <v>343</v>
      </c>
      <c r="K133" s="147" t="s">
        <v>343</v>
      </c>
      <c r="L133" s="147" t="s">
        <v>343</v>
      </c>
      <c r="M133" s="147" t="s">
        <v>343</v>
      </c>
      <c r="N133" s="147" t="s">
        <v>343</v>
      </c>
      <c r="O133" s="147" t="s">
        <v>343</v>
      </c>
      <c r="P133" s="147" t="s">
        <v>343</v>
      </c>
      <c r="Q133" s="147" t="s">
        <v>343</v>
      </c>
      <c r="R133" s="148">
        <v>990</v>
      </c>
      <c r="S133" s="148">
        <v>640</v>
      </c>
      <c r="T133" s="148">
        <v>640</v>
      </c>
      <c r="U133" s="148">
        <v>675</v>
      </c>
      <c r="V133" s="148">
        <v>675</v>
      </c>
      <c r="W133" s="148">
        <v>600</v>
      </c>
      <c r="X133" s="148">
        <v>705</v>
      </c>
      <c r="Y133" s="148">
        <v>240</v>
      </c>
      <c r="Z133" s="148">
        <v>240</v>
      </c>
      <c r="AA133" s="148">
        <v>200</v>
      </c>
      <c r="AB133" s="148">
        <v>200</v>
      </c>
      <c r="AC133" s="148">
        <v>200</v>
      </c>
      <c r="AD133" s="148">
        <v>6005</v>
      </c>
      <c r="AE133" s="148">
        <v>6005</v>
      </c>
      <c r="AF133" s="148">
        <v>3620</v>
      </c>
      <c r="AG133" s="148">
        <v>2385</v>
      </c>
      <c r="AH133" s="147" t="s">
        <v>248</v>
      </c>
      <c r="AI133" s="147">
        <v>12</v>
      </c>
      <c r="AJ133" s="147" t="s">
        <v>509</v>
      </c>
    </row>
    <row r="134" spans="1:36">
      <c r="A134" s="147" t="s">
        <v>755</v>
      </c>
      <c r="B134" s="147" t="s">
        <v>567</v>
      </c>
      <c r="C134" s="147" t="s">
        <v>662</v>
      </c>
      <c r="D134" s="147" t="s">
        <v>343</v>
      </c>
      <c r="E134" s="147" t="s">
        <v>343</v>
      </c>
      <c r="F134" s="147" t="s">
        <v>640</v>
      </c>
      <c r="G134" s="147" t="s">
        <v>245</v>
      </c>
      <c r="H134" s="147">
        <v>4</v>
      </c>
      <c r="I134" s="148">
        <v>1500</v>
      </c>
      <c r="J134" s="147" t="s">
        <v>627</v>
      </c>
      <c r="K134" s="147" t="s">
        <v>343</v>
      </c>
      <c r="L134" s="147" t="s">
        <v>343</v>
      </c>
      <c r="M134" s="147" t="s">
        <v>343</v>
      </c>
      <c r="N134" s="147" t="s">
        <v>343</v>
      </c>
      <c r="O134" s="147" t="s">
        <v>343</v>
      </c>
      <c r="P134" s="147" t="s">
        <v>343</v>
      </c>
      <c r="Q134" s="147" t="s">
        <v>343</v>
      </c>
      <c r="R134" s="147" t="s">
        <v>343</v>
      </c>
      <c r="S134" s="147" t="s">
        <v>343</v>
      </c>
      <c r="T134" s="147" t="s">
        <v>343</v>
      </c>
      <c r="U134" s="147" t="s">
        <v>343</v>
      </c>
      <c r="V134" s="147" t="s">
        <v>343</v>
      </c>
      <c r="W134" s="147" t="s">
        <v>343</v>
      </c>
      <c r="X134" s="147" t="s">
        <v>343</v>
      </c>
      <c r="Y134" s="147" t="s">
        <v>343</v>
      </c>
      <c r="Z134" s="148">
        <v>1500</v>
      </c>
      <c r="AA134" s="148">
        <v>1500</v>
      </c>
      <c r="AB134" s="148">
        <v>1500</v>
      </c>
      <c r="AC134" s="148">
        <v>1500</v>
      </c>
      <c r="AD134" s="148">
        <v>6000</v>
      </c>
      <c r="AE134" s="148">
        <v>6000</v>
      </c>
      <c r="AF134" s="148">
        <v>0</v>
      </c>
      <c r="AG134" s="148">
        <v>6000</v>
      </c>
      <c r="AH134" s="147" t="s">
        <v>248</v>
      </c>
      <c r="AI134" s="147">
        <v>4</v>
      </c>
      <c r="AJ134" s="147" t="s">
        <v>509</v>
      </c>
    </row>
    <row r="135" spans="1:36">
      <c r="A135" s="147" t="s">
        <v>756</v>
      </c>
      <c r="B135" s="147" t="s">
        <v>502</v>
      </c>
      <c r="C135" s="147" t="s">
        <v>503</v>
      </c>
      <c r="D135" s="147" t="s">
        <v>505</v>
      </c>
      <c r="E135" s="147">
        <v>10</v>
      </c>
      <c r="F135" s="147" t="s">
        <v>507</v>
      </c>
      <c r="G135" s="147" t="s">
        <v>203</v>
      </c>
      <c r="H135" s="147">
        <v>16</v>
      </c>
      <c r="I135" s="148">
        <v>546.33333333333337</v>
      </c>
      <c r="J135" s="147" t="s">
        <v>343</v>
      </c>
      <c r="K135" s="147" t="s">
        <v>343</v>
      </c>
      <c r="L135" s="147" t="s">
        <v>343</v>
      </c>
      <c r="M135" s="147" t="s">
        <v>343</v>
      </c>
      <c r="N135" s="148">
        <v>778.75</v>
      </c>
      <c r="O135" s="148">
        <v>340</v>
      </c>
      <c r="P135" s="148">
        <v>340</v>
      </c>
      <c r="Q135" s="148">
        <v>400</v>
      </c>
      <c r="R135" s="148">
        <v>400</v>
      </c>
      <c r="S135" s="148">
        <v>625</v>
      </c>
      <c r="T135" s="148">
        <v>400</v>
      </c>
      <c r="U135" s="148">
        <v>475</v>
      </c>
      <c r="V135" s="148">
        <v>475</v>
      </c>
      <c r="W135" s="148">
        <v>475</v>
      </c>
      <c r="X135" s="148">
        <v>520</v>
      </c>
      <c r="Y135" s="148">
        <v>475</v>
      </c>
      <c r="Z135" s="148">
        <v>495</v>
      </c>
      <c r="AA135" s="148">
        <v>495</v>
      </c>
      <c r="AB135" s="148">
        <v>495</v>
      </c>
      <c r="AC135" s="148">
        <v>649</v>
      </c>
      <c r="AD135" s="148">
        <v>7837.75</v>
      </c>
      <c r="AE135" s="148">
        <v>5979</v>
      </c>
      <c r="AF135" s="148">
        <v>4233.75</v>
      </c>
      <c r="AG135" s="148">
        <v>3604</v>
      </c>
      <c r="AH135" s="147" t="s">
        <v>248</v>
      </c>
      <c r="AI135" s="147">
        <v>16</v>
      </c>
      <c r="AJ135" s="147" t="s">
        <v>509</v>
      </c>
    </row>
    <row r="136" spans="1:36">
      <c r="A136" s="147" t="s">
        <v>758</v>
      </c>
      <c r="B136" s="147" t="s">
        <v>502</v>
      </c>
      <c r="C136" s="147" t="s">
        <v>503</v>
      </c>
      <c r="D136" s="147" t="s">
        <v>505</v>
      </c>
      <c r="E136" s="147">
        <v>16</v>
      </c>
      <c r="F136" s="147" t="s">
        <v>507</v>
      </c>
      <c r="G136" s="147" t="s">
        <v>126</v>
      </c>
      <c r="H136" s="147">
        <v>27</v>
      </c>
      <c r="I136" s="148">
        <v>495</v>
      </c>
      <c r="J136" s="147" t="s">
        <v>343</v>
      </c>
      <c r="K136" s="148">
        <v>385</v>
      </c>
      <c r="L136" s="148">
        <v>325</v>
      </c>
      <c r="M136" s="148">
        <v>325</v>
      </c>
      <c r="N136" s="148">
        <v>325</v>
      </c>
      <c r="O136" s="148">
        <v>325</v>
      </c>
      <c r="P136" s="148">
        <v>360</v>
      </c>
      <c r="Q136" s="148">
        <v>360</v>
      </c>
      <c r="R136" s="148">
        <v>360</v>
      </c>
      <c r="S136" s="148">
        <v>360</v>
      </c>
      <c r="T136" s="148">
        <v>360</v>
      </c>
      <c r="U136" s="148">
        <v>375</v>
      </c>
      <c r="V136" s="148">
        <v>375</v>
      </c>
      <c r="W136" s="148">
        <v>450</v>
      </c>
      <c r="X136" s="148">
        <v>555</v>
      </c>
      <c r="Y136" s="148">
        <v>675</v>
      </c>
      <c r="Z136" s="148">
        <v>975</v>
      </c>
      <c r="AA136" s="148">
        <v>400</v>
      </c>
      <c r="AB136" s="148">
        <v>560</v>
      </c>
      <c r="AC136" s="148">
        <v>525</v>
      </c>
      <c r="AD136" s="148">
        <v>8375</v>
      </c>
      <c r="AE136" s="148">
        <v>5970</v>
      </c>
      <c r="AF136" s="148">
        <v>4235</v>
      </c>
      <c r="AG136" s="148">
        <v>4140</v>
      </c>
      <c r="AH136" s="147" t="s">
        <v>248</v>
      </c>
      <c r="AI136" s="147">
        <v>19</v>
      </c>
      <c r="AJ136" s="147" t="s">
        <v>509</v>
      </c>
    </row>
    <row r="137" spans="1:36">
      <c r="A137" s="147" t="s">
        <v>759</v>
      </c>
      <c r="B137" s="147" t="s">
        <v>502</v>
      </c>
      <c r="C137" s="147" t="s">
        <v>503</v>
      </c>
      <c r="D137" s="147" t="s">
        <v>621</v>
      </c>
      <c r="E137" s="147">
        <v>11</v>
      </c>
      <c r="F137" s="147" t="s">
        <v>507</v>
      </c>
      <c r="G137" s="147" t="s">
        <v>211</v>
      </c>
      <c r="H137" s="147">
        <v>8</v>
      </c>
      <c r="I137" s="148">
        <v>840</v>
      </c>
      <c r="J137" s="147" t="s">
        <v>343</v>
      </c>
      <c r="K137" s="147" t="s">
        <v>343</v>
      </c>
      <c r="L137" s="147" t="s">
        <v>343</v>
      </c>
      <c r="M137" s="147" t="s">
        <v>343</v>
      </c>
      <c r="N137" s="147" t="s">
        <v>343</v>
      </c>
      <c r="O137" s="147" t="s">
        <v>343</v>
      </c>
      <c r="P137" s="147" t="s">
        <v>343</v>
      </c>
      <c r="Q137" s="147" t="s">
        <v>343</v>
      </c>
      <c r="R137" s="147" t="s">
        <v>343</v>
      </c>
      <c r="S137" s="147" t="s">
        <v>343</v>
      </c>
      <c r="T137" s="147" t="s">
        <v>343</v>
      </c>
      <c r="U137" s="147" t="s">
        <v>343</v>
      </c>
      <c r="V137" s="148">
        <v>700</v>
      </c>
      <c r="W137" s="148">
        <v>600</v>
      </c>
      <c r="X137" s="148">
        <v>720</v>
      </c>
      <c r="Y137" s="148">
        <v>720</v>
      </c>
      <c r="Z137" s="148">
        <v>700</v>
      </c>
      <c r="AA137" s="148">
        <v>780</v>
      </c>
      <c r="AB137" s="148">
        <v>880</v>
      </c>
      <c r="AC137" s="148">
        <v>860</v>
      </c>
      <c r="AD137" s="148">
        <v>5960</v>
      </c>
      <c r="AE137" s="148">
        <v>5960</v>
      </c>
      <c r="AF137" s="148">
        <v>700</v>
      </c>
      <c r="AG137" s="148">
        <v>5260</v>
      </c>
      <c r="AH137" s="147" t="s">
        <v>248</v>
      </c>
      <c r="AI137" s="147">
        <v>8</v>
      </c>
      <c r="AJ137" s="147" t="s">
        <v>509</v>
      </c>
    </row>
    <row r="138" spans="1:36">
      <c r="A138" s="147" t="s">
        <v>760</v>
      </c>
      <c r="B138" s="147" t="s">
        <v>502</v>
      </c>
      <c r="C138" s="147" t="s">
        <v>503</v>
      </c>
      <c r="D138" s="147" t="s">
        <v>505</v>
      </c>
      <c r="E138" s="147">
        <v>6</v>
      </c>
      <c r="F138" s="147" t="s">
        <v>560</v>
      </c>
      <c r="G138" s="147" t="s">
        <v>206</v>
      </c>
      <c r="H138" s="147">
        <v>13</v>
      </c>
      <c r="I138" s="148">
        <v>653.9666666666667</v>
      </c>
      <c r="J138" s="147" t="s">
        <v>343</v>
      </c>
      <c r="K138" s="147" t="s">
        <v>343</v>
      </c>
      <c r="L138" s="147" t="s">
        <v>343</v>
      </c>
      <c r="M138" s="147" t="s">
        <v>343</v>
      </c>
      <c r="N138" s="147" t="s">
        <v>343</v>
      </c>
      <c r="O138" s="147" t="s">
        <v>343</v>
      </c>
      <c r="P138" s="147" t="s">
        <v>343</v>
      </c>
      <c r="Q138" s="148">
        <v>896.25</v>
      </c>
      <c r="R138" s="148">
        <v>331.5</v>
      </c>
      <c r="S138" s="148">
        <v>331.5</v>
      </c>
      <c r="T138" s="148">
        <v>390</v>
      </c>
      <c r="U138" s="148">
        <v>390</v>
      </c>
      <c r="V138" s="148">
        <v>470</v>
      </c>
      <c r="W138" s="148">
        <v>470</v>
      </c>
      <c r="X138" s="148">
        <v>635</v>
      </c>
      <c r="Y138" s="148">
        <v>470</v>
      </c>
      <c r="Z138" s="148">
        <v>470</v>
      </c>
      <c r="AA138" s="148">
        <v>660</v>
      </c>
      <c r="AB138" s="148">
        <v>660</v>
      </c>
      <c r="AC138" s="148">
        <v>641.9</v>
      </c>
      <c r="AD138" s="148">
        <v>6816.15</v>
      </c>
      <c r="AE138" s="148">
        <v>5919.9</v>
      </c>
      <c r="AF138" s="148">
        <v>2809.25</v>
      </c>
      <c r="AG138" s="148">
        <v>4006.9</v>
      </c>
      <c r="AH138" s="147" t="s">
        <v>248</v>
      </c>
      <c r="AI138" s="147">
        <v>13</v>
      </c>
      <c r="AJ138" s="147" t="s">
        <v>509</v>
      </c>
    </row>
    <row r="139" spans="1:36">
      <c r="A139" s="147" t="s">
        <v>761</v>
      </c>
      <c r="B139" s="147" t="s">
        <v>502</v>
      </c>
      <c r="C139" s="147" t="s">
        <v>683</v>
      </c>
      <c r="D139" s="147" t="s">
        <v>343</v>
      </c>
      <c r="E139" s="147">
        <v>0</v>
      </c>
      <c r="F139" s="147" t="s">
        <v>507</v>
      </c>
      <c r="G139" s="147" t="s">
        <v>762</v>
      </c>
      <c r="H139" s="147">
        <v>47</v>
      </c>
      <c r="I139" s="148">
        <v>500</v>
      </c>
      <c r="J139" s="147" t="s">
        <v>343</v>
      </c>
      <c r="K139" s="148">
        <v>564</v>
      </c>
      <c r="L139" s="148">
        <v>395</v>
      </c>
      <c r="M139" s="148">
        <v>395</v>
      </c>
      <c r="N139" s="148">
        <v>395</v>
      </c>
      <c r="O139" s="148">
        <v>474</v>
      </c>
      <c r="P139" s="148">
        <v>474</v>
      </c>
      <c r="Q139" s="148">
        <v>632</v>
      </c>
      <c r="R139" s="148">
        <v>316</v>
      </c>
      <c r="S139" s="148">
        <v>500</v>
      </c>
      <c r="T139" s="148">
        <v>500</v>
      </c>
      <c r="U139" s="148">
        <v>500</v>
      </c>
      <c r="V139" s="148">
        <v>500</v>
      </c>
      <c r="W139" s="148">
        <v>500</v>
      </c>
      <c r="X139" s="148">
        <v>515</v>
      </c>
      <c r="Y139" s="148">
        <v>500</v>
      </c>
      <c r="Z139" s="148">
        <v>500</v>
      </c>
      <c r="AA139" s="148">
        <v>500</v>
      </c>
      <c r="AB139" s="148">
        <v>500</v>
      </c>
      <c r="AC139" s="148">
        <v>500</v>
      </c>
      <c r="AD139" s="148">
        <v>9160</v>
      </c>
      <c r="AE139" s="148">
        <v>5831</v>
      </c>
      <c r="AF139" s="148">
        <v>5645</v>
      </c>
      <c r="AG139" s="148">
        <v>3515</v>
      </c>
      <c r="AH139" s="147" t="s">
        <v>248</v>
      </c>
      <c r="AI139" s="147">
        <v>19</v>
      </c>
      <c r="AJ139" s="147" t="s">
        <v>509</v>
      </c>
    </row>
    <row r="140" spans="1:36">
      <c r="A140" s="147" t="s">
        <v>763</v>
      </c>
      <c r="B140" s="147" t="s">
        <v>567</v>
      </c>
      <c r="C140" s="147" t="s">
        <v>637</v>
      </c>
      <c r="D140" s="147" t="s">
        <v>343</v>
      </c>
      <c r="E140" s="147" t="s">
        <v>343</v>
      </c>
      <c r="F140" s="147" t="s">
        <v>640</v>
      </c>
      <c r="G140" s="147" t="s">
        <v>764</v>
      </c>
      <c r="H140" s="147">
        <v>36</v>
      </c>
      <c r="I140" s="148">
        <v>485</v>
      </c>
      <c r="J140" s="147" t="s">
        <v>627</v>
      </c>
      <c r="K140" s="148">
        <v>485</v>
      </c>
      <c r="L140" s="148">
        <v>470</v>
      </c>
      <c r="M140" s="148">
        <v>470</v>
      </c>
      <c r="N140" s="148">
        <v>470</v>
      </c>
      <c r="O140" s="148">
        <v>470</v>
      </c>
      <c r="P140" s="148">
        <v>470</v>
      </c>
      <c r="Q140" s="148">
        <v>470</v>
      </c>
      <c r="R140" s="148">
        <v>485</v>
      </c>
      <c r="S140" s="148">
        <v>485</v>
      </c>
      <c r="T140" s="148">
        <v>485</v>
      </c>
      <c r="U140" s="148">
        <v>485</v>
      </c>
      <c r="V140" s="148">
        <v>485</v>
      </c>
      <c r="W140" s="148">
        <v>485</v>
      </c>
      <c r="X140" s="148">
        <v>485</v>
      </c>
      <c r="Y140" s="148">
        <v>485</v>
      </c>
      <c r="Z140" s="148">
        <v>485</v>
      </c>
      <c r="AA140" s="148">
        <v>485</v>
      </c>
      <c r="AB140" s="148">
        <v>485</v>
      </c>
      <c r="AC140" s="148">
        <v>485</v>
      </c>
      <c r="AD140" s="148">
        <v>9125</v>
      </c>
      <c r="AE140" s="148">
        <v>5820</v>
      </c>
      <c r="AF140" s="148">
        <v>5730</v>
      </c>
      <c r="AG140" s="148">
        <v>3395</v>
      </c>
      <c r="AH140" s="147" t="s">
        <v>248</v>
      </c>
      <c r="AI140" s="147">
        <v>19</v>
      </c>
      <c r="AJ140" s="147" t="s">
        <v>509</v>
      </c>
    </row>
    <row r="141" spans="1:36">
      <c r="A141" s="147" t="s">
        <v>765</v>
      </c>
      <c r="B141" s="147" t="s">
        <v>502</v>
      </c>
      <c r="C141" s="147" t="s">
        <v>683</v>
      </c>
      <c r="D141" s="147" t="s">
        <v>343</v>
      </c>
      <c r="E141" s="147" t="s">
        <v>343</v>
      </c>
      <c r="F141" s="147" t="s">
        <v>709</v>
      </c>
      <c r="G141" s="147" t="s">
        <v>204</v>
      </c>
      <c r="H141" s="147">
        <v>15</v>
      </c>
      <c r="I141" s="148">
        <v>495</v>
      </c>
      <c r="J141" s="147" t="s">
        <v>343</v>
      </c>
      <c r="K141" s="147" t="s">
        <v>343</v>
      </c>
      <c r="L141" s="147" t="s">
        <v>343</v>
      </c>
      <c r="M141" s="147" t="s">
        <v>343</v>
      </c>
      <c r="N141" s="147" t="s">
        <v>343</v>
      </c>
      <c r="O141" s="148">
        <v>640</v>
      </c>
      <c r="P141" s="148">
        <v>403.75</v>
      </c>
      <c r="Q141" s="148">
        <v>403.75</v>
      </c>
      <c r="R141" s="148">
        <v>475</v>
      </c>
      <c r="S141" s="148">
        <v>475</v>
      </c>
      <c r="T141" s="148">
        <v>475</v>
      </c>
      <c r="U141" s="148">
        <v>475</v>
      </c>
      <c r="V141" s="148">
        <v>475</v>
      </c>
      <c r="W141" s="148">
        <v>475</v>
      </c>
      <c r="X141" s="148">
        <v>475</v>
      </c>
      <c r="Y141" s="148">
        <v>475</v>
      </c>
      <c r="Z141" s="148">
        <v>475</v>
      </c>
      <c r="AA141" s="148">
        <v>495</v>
      </c>
      <c r="AB141" s="148">
        <v>495</v>
      </c>
      <c r="AC141" s="148">
        <v>495</v>
      </c>
      <c r="AD141" s="148">
        <v>7207.5</v>
      </c>
      <c r="AE141" s="148">
        <v>5760</v>
      </c>
      <c r="AF141" s="148">
        <v>3822.5</v>
      </c>
      <c r="AG141" s="148">
        <v>3385</v>
      </c>
      <c r="AH141" s="147" t="s">
        <v>248</v>
      </c>
      <c r="AI141" s="147">
        <v>15</v>
      </c>
      <c r="AJ141" s="147" t="s">
        <v>509</v>
      </c>
    </row>
    <row r="142" spans="1:36">
      <c r="A142" s="147" t="s">
        <v>766</v>
      </c>
      <c r="B142" s="147" t="s">
        <v>502</v>
      </c>
      <c r="C142" s="147" t="s">
        <v>683</v>
      </c>
      <c r="D142" s="147" t="s">
        <v>343</v>
      </c>
      <c r="E142" s="147" t="s">
        <v>343</v>
      </c>
      <c r="F142" s="147" t="s">
        <v>709</v>
      </c>
      <c r="G142" s="147" t="s">
        <v>128</v>
      </c>
      <c r="H142" s="147">
        <v>25</v>
      </c>
      <c r="I142" s="148">
        <v>406</v>
      </c>
      <c r="J142" s="147" t="s">
        <v>343</v>
      </c>
      <c r="K142" s="148">
        <v>395</v>
      </c>
      <c r="L142" s="148">
        <v>395</v>
      </c>
      <c r="M142" s="148">
        <v>395</v>
      </c>
      <c r="N142" s="148">
        <v>395</v>
      </c>
      <c r="O142" s="148">
        <v>395</v>
      </c>
      <c r="P142" s="148">
        <v>395</v>
      </c>
      <c r="Q142" s="148">
        <v>400</v>
      </c>
      <c r="R142" s="148">
        <v>400</v>
      </c>
      <c r="S142" s="148">
        <v>400</v>
      </c>
      <c r="T142" s="148">
        <v>1225</v>
      </c>
      <c r="U142" s="148">
        <v>400</v>
      </c>
      <c r="V142" s="148">
        <v>400</v>
      </c>
      <c r="W142" s="148">
        <v>400</v>
      </c>
      <c r="X142" s="148">
        <v>400</v>
      </c>
      <c r="Y142" s="148">
        <v>400</v>
      </c>
      <c r="Z142" s="148">
        <v>400</v>
      </c>
      <c r="AA142" s="148">
        <v>400</v>
      </c>
      <c r="AB142" s="148">
        <v>400</v>
      </c>
      <c r="AC142" s="148">
        <v>418</v>
      </c>
      <c r="AD142" s="148">
        <v>8413</v>
      </c>
      <c r="AE142" s="148">
        <v>5643</v>
      </c>
      <c r="AF142" s="148">
        <v>5595</v>
      </c>
      <c r="AG142" s="148">
        <v>2818</v>
      </c>
      <c r="AH142" s="147" t="s">
        <v>248</v>
      </c>
      <c r="AI142" s="147">
        <v>19</v>
      </c>
      <c r="AJ142" s="147" t="s">
        <v>509</v>
      </c>
    </row>
    <row r="143" spans="1:36">
      <c r="A143" s="147" t="s">
        <v>767</v>
      </c>
      <c r="B143" s="147" t="s">
        <v>567</v>
      </c>
      <c r="C143" s="147" t="s">
        <v>637</v>
      </c>
      <c r="D143" s="147" t="s">
        <v>343</v>
      </c>
      <c r="E143" s="147" t="s">
        <v>343</v>
      </c>
      <c r="F143" s="147" t="s">
        <v>640</v>
      </c>
      <c r="G143" s="147" t="s">
        <v>737</v>
      </c>
      <c r="H143" s="147">
        <v>52</v>
      </c>
      <c r="I143" s="148">
        <v>460</v>
      </c>
      <c r="J143" s="147" t="s">
        <v>627</v>
      </c>
      <c r="K143" s="148">
        <v>500</v>
      </c>
      <c r="L143" s="148">
        <v>440</v>
      </c>
      <c r="M143" s="148">
        <v>440</v>
      </c>
      <c r="N143" s="148">
        <v>440</v>
      </c>
      <c r="O143" s="148">
        <v>440</v>
      </c>
      <c r="P143" s="148">
        <v>440</v>
      </c>
      <c r="Q143" s="148">
        <v>460</v>
      </c>
      <c r="R143" s="148">
        <v>460</v>
      </c>
      <c r="S143" s="148">
        <v>460</v>
      </c>
      <c r="T143" s="148">
        <v>460</v>
      </c>
      <c r="U143" s="148">
        <v>460</v>
      </c>
      <c r="V143" s="148">
        <v>460</v>
      </c>
      <c r="W143" s="148">
        <v>460</v>
      </c>
      <c r="X143" s="148">
        <v>520</v>
      </c>
      <c r="Y143" s="148">
        <v>460</v>
      </c>
      <c r="Z143" s="148">
        <v>460</v>
      </c>
      <c r="AA143" s="148">
        <v>460</v>
      </c>
      <c r="AB143" s="148">
        <v>460</v>
      </c>
      <c r="AC143" s="148">
        <v>460</v>
      </c>
      <c r="AD143" s="148">
        <v>8740</v>
      </c>
      <c r="AE143" s="148">
        <v>5580</v>
      </c>
      <c r="AF143" s="148">
        <v>5460</v>
      </c>
      <c r="AG143" s="148">
        <v>3280</v>
      </c>
      <c r="AH143" s="147" t="s">
        <v>248</v>
      </c>
      <c r="AI143" s="147">
        <v>19</v>
      </c>
      <c r="AJ143" s="147" t="s">
        <v>509</v>
      </c>
    </row>
    <row r="144" spans="1:36">
      <c r="A144" s="147" t="s">
        <v>768</v>
      </c>
      <c r="B144" s="147" t="s">
        <v>567</v>
      </c>
      <c r="C144" s="147" t="s">
        <v>503</v>
      </c>
      <c r="D144" s="147" t="s">
        <v>505</v>
      </c>
      <c r="E144" s="147">
        <v>0</v>
      </c>
      <c r="F144" s="147" t="s">
        <v>507</v>
      </c>
      <c r="G144" s="147" t="s">
        <v>127</v>
      </c>
      <c r="H144" s="147">
        <v>24</v>
      </c>
      <c r="I144" s="148">
        <v>486.33333333333331</v>
      </c>
      <c r="J144" s="147" t="s">
        <v>247</v>
      </c>
      <c r="K144" s="148">
        <v>560</v>
      </c>
      <c r="L144" s="148">
        <v>680</v>
      </c>
      <c r="M144" s="148">
        <v>560</v>
      </c>
      <c r="N144" s="148">
        <v>560</v>
      </c>
      <c r="O144" s="148">
        <v>560</v>
      </c>
      <c r="P144" s="148">
        <v>588</v>
      </c>
      <c r="Q144" s="148">
        <v>588</v>
      </c>
      <c r="R144" s="148">
        <v>588</v>
      </c>
      <c r="S144" s="148">
        <v>588</v>
      </c>
      <c r="T144" s="148">
        <v>588</v>
      </c>
      <c r="U144" s="148">
        <v>588</v>
      </c>
      <c r="V144" s="148">
        <v>588</v>
      </c>
      <c r="W144" s="148">
        <v>588</v>
      </c>
      <c r="X144" s="148">
        <v>588</v>
      </c>
      <c r="Y144" s="148">
        <v>649</v>
      </c>
      <c r="Z144" s="148">
        <v>344</v>
      </c>
      <c r="AA144" s="148">
        <v>466</v>
      </c>
      <c r="AB144" s="147" t="s">
        <v>343</v>
      </c>
      <c r="AC144" s="147" t="s">
        <v>343</v>
      </c>
      <c r="AD144" s="148">
        <v>9671</v>
      </c>
      <c r="AE144" s="148">
        <v>5575</v>
      </c>
      <c r="AF144" s="148">
        <v>7036</v>
      </c>
      <c r="AG144" s="148">
        <v>2635</v>
      </c>
      <c r="AH144" s="147" t="s">
        <v>246</v>
      </c>
      <c r="AI144" s="147">
        <v>17</v>
      </c>
      <c r="AJ144" s="147" t="s">
        <v>510</v>
      </c>
    </row>
    <row r="145" spans="1:36">
      <c r="A145" s="147" t="s">
        <v>770</v>
      </c>
      <c r="B145" s="147" t="s">
        <v>502</v>
      </c>
      <c r="C145" s="147" t="s">
        <v>683</v>
      </c>
      <c r="D145" s="147" t="s">
        <v>343</v>
      </c>
      <c r="E145" s="147" t="s">
        <v>343</v>
      </c>
      <c r="F145" s="147" t="s">
        <v>709</v>
      </c>
      <c r="G145" s="147" t="s">
        <v>127</v>
      </c>
      <c r="H145" s="147">
        <v>26</v>
      </c>
      <c r="I145" s="148">
        <v>358.33333333333331</v>
      </c>
      <c r="J145" s="147" t="s">
        <v>343</v>
      </c>
      <c r="K145" s="148">
        <v>330</v>
      </c>
      <c r="L145" s="148">
        <v>300</v>
      </c>
      <c r="M145" s="148">
        <v>300</v>
      </c>
      <c r="N145" s="148">
        <v>300</v>
      </c>
      <c r="O145" s="148">
        <v>300</v>
      </c>
      <c r="P145" s="148">
        <v>325</v>
      </c>
      <c r="Q145" s="148">
        <v>325</v>
      </c>
      <c r="R145" s="148">
        <v>325</v>
      </c>
      <c r="S145" s="148">
        <v>325</v>
      </c>
      <c r="T145" s="148">
        <v>1090</v>
      </c>
      <c r="U145" s="148">
        <v>325</v>
      </c>
      <c r="V145" s="148">
        <v>325</v>
      </c>
      <c r="W145" s="148">
        <v>325</v>
      </c>
      <c r="X145" s="148">
        <v>355</v>
      </c>
      <c r="Y145" s="148">
        <v>1090</v>
      </c>
      <c r="Z145" s="148">
        <v>325</v>
      </c>
      <c r="AA145" s="148">
        <v>325</v>
      </c>
      <c r="AB145" s="148">
        <v>375</v>
      </c>
      <c r="AC145" s="148">
        <v>375</v>
      </c>
      <c r="AD145" s="148">
        <v>7740</v>
      </c>
      <c r="AE145" s="148">
        <v>5560</v>
      </c>
      <c r="AF145" s="148">
        <v>4570</v>
      </c>
      <c r="AG145" s="148">
        <v>3170</v>
      </c>
      <c r="AH145" s="147" t="s">
        <v>248</v>
      </c>
      <c r="AI145" s="147">
        <v>19</v>
      </c>
      <c r="AJ145" s="147" t="s">
        <v>509</v>
      </c>
    </row>
    <row r="146" spans="1:36">
      <c r="A146" s="147" t="s">
        <v>772</v>
      </c>
      <c r="B146" s="147" t="s">
        <v>502</v>
      </c>
      <c r="C146" s="147" t="s">
        <v>683</v>
      </c>
      <c r="D146" s="147" t="s">
        <v>343</v>
      </c>
      <c r="E146" s="147" t="s">
        <v>343</v>
      </c>
      <c r="F146" s="147" t="s">
        <v>709</v>
      </c>
      <c r="G146" s="147" t="s">
        <v>211</v>
      </c>
      <c r="H146" s="147">
        <v>8</v>
      </c>
      <c r="I146" s="148">
        <v>725</v>
      </c>
      <c r="J146" s="147" t="s">
        <v>343</v>
      </c>
      <c r="K146" s="147" t="s">
        <v>343</v>
      </c>
      <c r="L146" s="147" t="s">
        <v>343</v>
      </c>
      <c r="M146" s="147" t="s">
        <v>343</v>
      </c>
      <c r="N146" s="147" t="s">
        <v>343</v>
      </c>
      <c r="O146" s="147" t="s">
        <v>343</v>
      </c>
      <c r="P146" s="147" t="s">
        <v>343</v>
      </c>
      <c r="Q146" s="147" t="s">
        <v>343</v>
      </c>
      <c r="R146" s="147" t="s">
        <v>343</v>
      </c>
      <c r="S146" s="147" t="s">
        <v>343</v>
      </c>
      <c r="T146" s="147" t="s">
        <v>343</v>
      </c>
      <c r="U146" s="147" t="s">
        <v>343</v>
      </c>
      <c r="V146" s="148">
        <v>695</v>
      </c>
      <c r="W146" s="148">
        <v>616.25</v>
      </c>
      <c r="X146" s="148">
        <v>616.25</v>
      </c>
      <c r="Y146" s="148">
        <v>725</v>
      </c>
      <c r="Z146" s="148">
        <v>725</v>
      </c>
      <c r="AA146" s="148">
        <v>725</v>
      </c>
      <c r="AB146" s="148">
        <v>725</v>
      </c>
      <c r="AC146" s="148">
        <v>725</v>
      </c>
      <c r="AD146" s="148">
        <v>5552.5</v>
      </c>
      <c r="AE146" s="148">
        <v>5552.5</v>
      </c>
      <c r="AF146" s="148">
        <v>695</v>
      </c>
      <c r="AG146" s="148">
        <v>4857.5</v>
      </c>
      <c r="AH146" s="147" t="s">
        <v>248</v>
      </c>
      <c r="AI146" s="147">
        <v>8</v>
      </c>
      <c r="AJ146" s="147" t="s">
        <v>509</v>
      </c>
    </row>
    <row r="147" spans="1:36">
      <c r="A147" s="147" t="s">
        <v>773</v>
      </c>
      <c r="B147" s="147" t="s">
        <v>567</v>
      </c>
      <c r="C147" s="147" t="s">
        <v>503</v>
      </c>
      <c r="D147" s="147" t="s">
        <v>505</v>
      </c>
      <c r="E147" s="147">
        <v>4</v>
      </c>
      <c r="F147" s="147" t="s">
        <v>568</v>
      </c>
      <c r="G147" s="147" t="s">
        <v>129</v>
      </c>
      <c r="H147" s="147">
        <v>24</v>
      </c>
      <c r="I147" s="148">
        <v>350</v>
      </c>
      <c r="J147" s="147" t="s">
        <v>627</v>
      </c>
      <c r="K147" s="148">
        <v>553</v>
      </c>
      <c r="L147" s="148">
        <v>568</v>
      </c>
      <c r="M147" s="148">
        <v>553</v>
      </c>
      <c r="N147" s="148">
        <v>553</v>
      </c>
      <c r="O147" s="148">
        <v>553</v>
      </c>
      <c r="P147" s="148">
        <v>553</v>
      </c>
      <c r="Q147" s="148">
        <v>553</v>
      </c>
      <c r="R147" s="148">
        <v>575</v>
      </c>
      <c r="S147" s="148">
        <v>575</v>
      </c>
      <c r="T147" s="148">
        <v>575</v>
      </c>
      <c r="U147" s="148">
        <v>575</v>
      </c>
      <c r="V147" s="148">
        <v>575</v>
      </c>
      <c r="W147" s="148">
        <v>575</v>
      </c>
      <c r="X147" s="148">
        <v>350</v>
      </c>
      <c r="Y147" s="148">
        <v>350</v>
      </c>
      <c r="Z147" s="148">
        <v>350</v>
      </c>
      <c r="AA147" s="148">
        <v>350</v>
      </c>
      <c r="AB147" s="148">
        <v>350</v>
      </c>
      <c r="AC147" s="148">
        <v>350</v>
      </c>
      <c r="AD147" s="148">
        <v>9436</v>
      </c>
      <c r="AE147" s="148">
        <v>5550</v>
      </c>
      <c r="AF147" s="148">
        <v>6761</v>
      </c>
      <c r="AG147" s="148">
        <v>2675</v>
      </c>
      <c r="AH147" s="147" t="s">
        <v>248</v>
      </c>
      <c r="AI147" s="147">
        <v>19</v>
      </c>
      <c r="AJ147" s="147" t="s">
        <v>509</v>
      </c>
    </row>
    <row r="148" spans="1:36">
      <c r="A148" s="147" t="s">
        <v>775</v>
      </c>
      <c r="B148" s="147" t="s">
        <v>567</v>
      </c>
      <c r="C148" s="147" t="s">
        <v>683</v>
      </c>
      <c r="D148" s="147" t="s">
        <v>343</v>
      </c>
      <c r="E148" s="147" t="s">
        <v>343</v>
      </c>
      <c r="F148" s="147" t="s">
        <v>640</v>
      </c>
      <c r="G148" s="147" t="s">
        <v>132</v>
      </c>
      <c r="H148" s="147">
        <v>19</v>
      </c>
      <c r="I148" s="148">
        <v>500</v>
      </c>
      <c r="J148" s="147" t="s">
        <v>247</v>
      </c>
      <c r="K148" s="148">
        <v>550</v>
      </c>
      <c r="L148" s="148">
        <v>450</v>
      </c>
      <c r="M148" s="148">
        <v>450</v>
      </c>
      <c r="N148" s="148">
        <v>450</v>
      </c>
      <c r="O148" s="148">
        <v>450</v>
      </c>
      <c r="P148" s="148">
        <v>450</v>
      </c>
      <c r="Q148" s="148">
        <v>450</v>
      </c>
      <c r="R148" s="148">
        <v>450</v>
      </c>
      <c r="S148" s="148">
        <v>500</v>
      </c>
      <c r="T148" s="148">
        <v>600</v>
      </c>
      <c r="U148" s="148">
        <v>600</v>
      </c>
      <c r="V148" s="148">
        <v>600</v>
      </c>
      <c r="W148" s="148">
        <v>645</v>
      </c>
      <c r="X148" s="148">
        <v>600</v>
      </c>
      <c r="Y148" s="148">
        <v>500</v>
      </c>
      <c r="Z148" s="148">
        <v>500</v>
      </c>
      <c r="AA148" s="148">
        <v>500</v>
      </c>
      <c r="AB148" s="147" t="s">
        <v>343</v>
      </c>
      <c r="AC148" s="147" t="s">
        <v>343</v>
      </c>
      <c r="AD148" s="148">
        <v>8745</v>
      </c>
      <c r="AE148" s="148">
        <v>5495</v>
      </c>
      <c r="AF148" s="148">
        <v>6000</v>
      </c>
      <c r="AG148" s="148">
        <v>2745</v>
      </c>
      <c r="AH148" s="147" t="s">
        <v>246</v>
      </c>
      <c r="AI148" s="147">
        <v>17</v>
      </c>
      <c r="AJ148" s="147" t="s">
        <v>510</v>
      </c>
    </row>
    <row r="149" spans="1:36">
      <c r="A149" s="147" t="s">
        <v>776</v>
      </c>
      <c r="B149" s="147" t="s">
        <v>502</v>
      </c>
      <c r="C149" s="147" t="s">
        <v>503</v>
      </c>
      <c r="D149" s="147" t="s">
        <v>505</v>
      </c>
      <c r="E149" s="147">
        <v>17</v>
      </c>
      <c r="F149" s="147" t="s">
        <v>507</v>
      </c>
      <c r="G149" s="147" t="s">
        <v>244</v>
      </c>
      <c r="H149" s="147">
        <v>5</v>
      </c>
      <c r="I149" s="148">
        <v>1119.4666666666667</v>
      </c>
      <c r="J149" s="147" t="s">
        <v>343</v>
      </c>
      <c r="K149" s="147" t="s">
        <v>343</v>
      </c>
      <c r="L149" s="147" t="s">
        <v>343</v>
      </c>
      <c r="M149" s="147" t="s">
        <v>343</v>
      </c>
      <c r="N149" s="147" t="s">
        <v>343</v>
      </c>
      <c r="O149" s="147" t="s">
        <v>343</v>
      </c>
      <c r="P149" s="147" t="s">
        <v>343</v>
      </c>
      <c r="Q149" s="147" t="s">
        <v>343</v>
      </c>
      <c r="R149" s="147" t="s">
        <v>343</v>
      </c>
      <c r="S149" s="147" t="s">
        <v>343</v>
      </c>
      <c r="T149" s="147" t="s">
        <v>343</v>
      </c>
      <c r="U149" s="147" t="s">
        <v>343</v>
      </c>
      <c r="V149" s="147" t="s">
        <v>343</v>
      </c>
      <c r="W149" s="147" t="s">
        <v>343</v>
      </c>
      <c r="X149" s="147" t="s">
        <v>343</v>
      </c>
      <c r="Y149" s="148">
        <v>1425</v>
      </c>
      <c r="Z149" s="148">
        <v>705</v>
      </c>
      <c r="AA149" s="148">
        <v>947.4</v>
      </c>
      <c r="AB149" s="148">
        <v>1094</v>
      </c>
      <c r="AC149" s="148">
        <v>1317</v>
      </c>
      <c r="AD149" s="148">
        <v>5488.4</v>
      </c>
      <c r="AE149" s="148">
        <v>5488.4</v>
      </c>
      <c r="AF149" s="148">
        <v>0</v>
      </c>
      <c r="AG149" s="148">
        <v>5488.4</v>
      </c>
      <c r="AH149" s="147" t="s">
        <v>248</v>
      </c>
      <c r="AI149" s="147">
        <v>5</v>
      </c>
      <c r="AJ149" s="147" t="s">
        <v>509</v>
      </c>
    </row>
    <row r="150" spans="1:36">
      <c r="A150" s="147" t="s">
        <v>777</v>
      </c>
      <c r="B150" s="147" t="s">
        <v>502</v>
      </c>
      <c r="C150" s="147" t="s">
        <v>503</v>
      </c>
      <c r="D150" s="147" t="s">
        <v>505</v>
      </c>
      <c r="E150" s="147">
        <v>4</v>
      </c>
      <c r="F150" s="147" t="s">
        <v>560</v>
      </c>
      <c r="G150" s="147" t="s">
        <v>203</v>
      </c>
      <c r="H150" s="147">
        <v>16</v>
      </c>
      <c r="I150" s="148">
        <v>495</v>
      </c>
      <c r="J150" s="147" t="s">
        <v>343</v>
      </c>
      <c r="K150" s="147" t="s">
        <v>343</v>
      </c>
      <c r="L150" s="147" t="s">
        <v>343</v>
      </c>
      <c r="M150" s="147" t="s">
        <v>343</v>
      </c>
      <c r="N150" s="148">
        <v>640</v>
      </c>
      <c r="O150" s="148">
        <v>340</v>
      </c>
      <c r="P150" s="148">
        <v>340</v>
      </c>
      <c r="Q150" s="148">
        <v>400</v>
      </c>
      <c r="R150" s="148">
        <v>400</v>
      </c>
      <c r="S150" s="148">
        <v>400</v>
      </c>
      <c r="T150" s="148">
        <v>400</v>
      </c>
      <c r="U150" s="148">
        <v>400</v>
      </c>
      <c r="V150" s="148">
        <v>400</v>
      </c>
      <c r="W150" s="148">
        <v>400</v>
      </c>
      <c r="X150" s="148">
        <v>550</v>
      </c>
      <c r="Y150" s="148">
        <v>475</v>
      </c>
      <c r="Z150" s="148">
        <v>495</v>
      </c>
      <c r="AA150" s="148">
        <v>495</v>
      </c>
      <c r="AB150" s="148">
        <v>495</v>
      </c>
      <c r="AC150" s="148">
        <v>495</v>
      </c>
      <c r="AD150" s="148">
        <v>7125</v>
      </c>
      <c r="AE150" s="148">
        <v>5405</v>
      </c>
      <c r="AF150" s="148">
        <v>3720</v>
      </c>
      <c r="AG150" s="148">
        <v>3405</v>
      </c>
      <c r="AH150" s="147" t="s">
        <v>248</v>
      </c>
      <c r="AI150" s="147">
        <v>16</v>
      </c>
      <c r="AJ150" s="147" t="s">
        <v>509</v>
      </c>
    </row>
    <row r="151" spans="1:36">
      <c r="A151" s="147" t="s">
        <v>778</v>
      </c>
      <c r="B151" s="147" t="s">
        <v>567</v>
      </c>
      <c r="C151" s="147" t="s">
        <v>637</v>
      </c>
      <c r="D151" s="147" t="s">
        <v>343</v>
      </c>
      <c r="E151" s="147" t="s">
        <v>343</v>
      </c>
      <c r="F151" s="147" t="s">
        <v>640</v>
      </c>
      <c r="G151" s="147" t="s">
        <v>639</v>
      </c>
      <c r="H151" s="147">
        <v>63</v>
      </c>
      <c r="I151" s="148">
        <v>455</v>
      </c>
      <c r="J151" s="147" t="s">
        <v>343</v>
      </c>
      <c r="K151" s="148">
        <v>495</v>
      </c>
      <c r="L151" s="148">
        <v>435</v>
      </c>
      <c r="M151" s="148">
        <v>435</v>
      </c>
      <c r="N151" s="148">
        <v>435</v>
      </c>
      <c r="O151" s="148">
        <v>435</v>
      </c>
      <c r="P151" s="148">
        <v>435</v>
      </c>
      <c r="Q151" s="148">
        <v>435</v>
      </c>
      <c r="R151" s="148">
        <v>435</v>
      </c>
      <c r="S151" s="148">
        <v>435</v>
      </c>
      <c r="T151" s="148">
        <v>435</v>
      </c>
      <c r="U151" s="148">
        <v>455</v>
      </c>
      <c r="V151" s="148">
        <v>455</v>
      </c>
      <c r="W151" s="148">
        <v>455</v>
      </c>
      <c r="X151" s="148">
        <v>455</v>
      </c>
      <c r="Y151" s="148">
        <v>455</v>
      </c>
      <c r="Z151" s="148">
        <v>455</v>
      </c>
      <c r="AA151" s="148">
        <v>455</v>
      </c>
      <c r="AB151" s="148">
        <v>455</v>
      </c>
      <c r="AC151" s="148">
        <v>455</v>
      </c>
      <c r="AD151" s="148">
        <v>8505</v>
      </c>
      <c r="AE151" s="148">
        <v>5400</v>
      </c>
      <c r="AF151" s="148">
        <v>5320</v>
      </c>
      <c r="AG151" s="148">
        <v>3185</v>
      </c>
      <c r="AH151" s="147" t="s">
        <v>248</v>
      </c>
      <c r="AI151" s="147">
        <v>19</v>
      </c>
      <c r="AJ151" s="147" t="s">
        <v>509</v>
      </c>
    </row>
    <row r="152" spans="1:36">
      <c r="A152" s="147" t="s">
        <v>780</v>
      </c>
      <c r="B152" s="147" t="s">
        <v>567</v>
      </c>
      <c r="C152" s="147" t="s">
        <v>637</v>
      </c>
      <c r="D152" s="147" t="s">
        <v>343</v>
      </c>
      <c r="E152" s="147" t="s">
        <v>343</v>
      </c>
      <c r="F152" s="147" t="s">
        <v>640</v>
      </c>
      <c r="G152" s="147" t="s">
        <v>782</v>
      </c>
      <c r="H152" s="147">
        <v>43</v>
      </c>
      <c r="I152" s="148">
        <v>455</v>
      </c>
      <c r="J152" s="147" t="s">
        <v>627</v>
      </c>
      <c r="K152" s="148">
        <v>440</v>
      </c>
      <c r="L152" s="148">
        <v>455</v>
      </c>
      <c r="M152" s="148">
        <v>440</v>
      </c>
      <c r="N152" s="148">
        <v>440</v>
      </c>
      <c r="O152" s="148">
        <v>440</v>
      </c>
      <c r="P152" s="148">
        <v>440</v>
      </c>
      <c r="Q152" s="148">
        <v>440</v>
      </c>
      <c r="R152" s="148">
        <v>440</v>
      </c>
      <c r="S152" s="148">
        <v>440</v>
      </c>
      <c r="T152" s="148">
        <v>440</v>
      </c>
      <c r="U152" s="148">
        <v>440</v>
      </c>
      <c r="V152" s="148">
        <v>440</v>
      </c>
      <c r="W152" s="148">
        <v>455</v>
      </c>
      <c r="X152" s="148">
        <v>455</v>
      </c>
      <c r="Y152" s="148">
        <v>455</v>
      </c>
      <c r="Z152" s="148">
        <v>455</v>
      </c>
      <c r="AA152" s="148">
        <v>455</v>
      </c>
      <c r="AB152" s="148">
        <v>455</v>
      </c>
      <c r="AC152" s="148">
        <v>455</v>
      </c>
      <c r="AD152" s="148">
        <v>8480</v>
      </c>
      <c r="AE152" s="148">
        <v>5385</v>
      </c>
      <c r="AF152" s="148">
        <v>5295</v>
      </c>
      <c r="AG152" s="148">
        <v>3185</v>
      </c>
      <c r="AH152" s="147" t="s">
        <v>248</v>
      </c>
      <c r="AI152" s="147">
        <v>19</v>
      </c>
      <c r="AJ152" s="147" t="s">
        <v>509</v>
      </c>
    </row>
    <row r="153" spans="1:36">
      <c r="A153" s="147" t="s">
        <v>783</v>
      </c>
      <c r="B153" s="147" t="s">
        <v>502</v>
      </c>
      <c r="C153" s="147" t="s">
        <v>683</v>
      </c>
      <c r="D153" s="147" t="s">
        <v>343</v>
      </c>
      <c r="E153" s="147" t="s">
        <v>343</v>
      </c>
      <c r="F153" s="147" t="s">
        <v>709</v>
      </c>
      <c r="G153" s="147" t="s">
        <v>131</v>
      </c>
      <c r="H153" s="147">
        <v>22</v>
      </c>
      <c r="I153" s="148">
        <v>425</v>
      </c>
      <c r="J153" s="147" t="s">
        <v>343</v>
      </c>
      <c r="K153" s="148">
        <v>395</v>
      </c>
      <c r="L153" s="148">
        <v>785</v>
      </c>
      <c r="M153" s="148">
        <v>395</v>
      </c>
      <c r="N153" s="148">
        <v>395</v>
      </c>
      <c r="O153" s="148">
        <v>395</v>
      </c>
      <c r="P153" s="148">
        <v>395</v>
      </c>
      <c r="Q153" s="148">
        <v>395</v>
      </c>
      <c r="R153" s="148">
        <v>395</v>
      </c>
      <c r="S153" s="148">
        <v>395</v>
      </c>
      <c r="T153" s="148">
        <v>425</v>
      </c>
      <c r="U153" s="148">
        <v>425</v>
      </c>
      <c r="V153" s="148">
        <v>425</v>
      </c>
      <c r="W153" s="148">
        <v>425</v>
      </c>
      <c r="X153" s="148">
        <v>665</v>
      </c>
      <c r="Y153" s="148">
        <v>425</v>
      </c>
      <c r="Z153" s="148">
        <v>425</v>
      </c>
      <c r="AA153" s="148">
        <v>425</v>
      </c>
      <c r="AB153" s="148">
        <v>425</v>
      </c>
      <c r="AC153" s="148">
        <v>425</v>
      </c>
      <c r="AD153" s="148">
        <v>8435</v>
      </c>
      <c r="AE153" s="148">
        <v>5280</v>
      </c>
      <c r="AF153" s="148">
        <v>5220</v>
      </c>
      <c r="AG153" s="148">
        <v>3215</v>
      </c>
      <c r="AH153" s="147" t="s">
        <v>248</v>
      </c>
      <c r="AI153" s="147">
        <v>19</v>
      </c>
      <c r="AJ153" s="147" t="s">
        <v>509</v>
      </c>
    </row>
    <row r="154" spans="1:36">
      <c r="A154" s="147" t="s">
        <v>784</v>
      </c>
      <c r="B154" s="147" t="s">
        <v>502</v>
      </c>
      <c r="C154" s="147" t="s">
        <v>683</v>
      </c>
      <c r="D154" s="147" t="s">
        <v>343</v>
      </c>
      <c r="E154" s="147" t="s">
        <v>343</v>
      </c>
      <c r="F154" s="147" t="s">
        <v>709</v>
      </c>
      <c r="G154" s="147" t="s">
        <v>200</v>
      </c>
      <c r="H154" s="147">
        <v>19</v>
      </c>
      <c r="I154" s="148">
        <v>406.66666666666669</v>
      </c>
      <c r="J154" s="147" t="s">
        <v>343</v>
      </c>
      <c r="K154" s="148">
        <v>474</v>
      </c>
      <c r="L154" s="148">
        <v>568</v>
      </c>
      <c r="M154" s="148">
        <v>553</v>
      </c>
      <c r="N154" s="148">
        <v>553</v>
      </c>
      <c r="O154" s="148">
        <v>237</v>
      </c>
      <c r="P154" s="148">
        <v>400</v>
      </c>
      <c r="Q154" s="148">
        <v>450</v>
      </c>
      <c r="R154" s="148">
        <v>450</v>
      </c>
      <c r="S154" s="148">
        <v>450</v>
      </c>
      <c r="T154" s="148">
        <v>500</v>
      </c>
      <c r="U154" s="148">
        <v>450</v>
      </c>
      <c r="V154" s="148">
        <v>450</v>
      </c>
      <c r="W154" s="148">
        <v>450</v>
      </c>
      <c r="X154" s="148">
        <v>400</v>
      </c>
      <c r="Y154" s="148">
        <v>400</v>
      </c>
      <c r="Z154" s="148">
        <v>400</v>
      </c>
      <c r="AA154" s="148">
        <v>400</v>
      </c>
      <c r="AB154" s="148">
        <v>410</v>
      </c>
      <c r="AC154" s="148">
        <v>410</v>
      </c>
      <c r="AD154" s="148">
        <v>8405</v>
      </c>
      <c r="AE154" s="148">
        <v>5170</v>
      </c>
      <c r="AF154" s="148">
        <v>5535</v>
      </c>
      <c r="AG154" s="148">
        <v>2870</v>
      </c>
      <c r="AH154" s="147" t="s">
        <v>248</v>
      </c>
      <c r="AI154" s="147">
        <v>19</v>
      </c>
      <c r="AJ154" s="147" t="s">
        <v>509</v>
      </c>
    </row>
    <row r="155" spans="1:36">
      <c r="A155" s="147" t="s">
        <v>785</v>
      </c>
      <c r="B155" s="147" t="s">
        <v>502</v>
      </c>
      <c r="C155" s="147" t="s">
        <v>503</v>
      </c>
      <c r="D155" s="147" t="s">
        <v>505</v>
      </c>
      <c r="E155" s="147">
        <v>13</v>
      </c>
      <c r="F155" s="147" t="s">
        <v>507</v>
      </c>
      <c r="G155" s="147" t="s">
        <v>245</v>
      </c>
      <c r="H155" s="147">
        <v>4</v>
      </c>
      <c r="I155" s="148">
        <v>1265</v>
      </c>
      <c r="J155" s="147" t="s">
        <v>343</v>
      </c>
      <c r="K155" s="147" t="s">
        <v>343</v>
      </c>
      <c r="L155" s="147" t="s">
        <v>343</v>
      </c>
      <c r="M155" s="147" t="s">
        <v>343</v>
      </c>
      <c r="N155" s="147" t="s">
        <v>343</v>
      </c>
      <c r="O155" s="147" t="s">
        <v>343</v>
      </c>
      <c r="P155" s="147" t="s">
        <v>343</v>
      </c>
      <c r="Q155" s="147" t="s">
        <v>343</v>
      </c>
      <c r="R155" s="147" t="s">
        <v>343</v>
      </c>
      <c r="S155" s="147" t="s">
        <v>343</v>
      </c>
      <c r="T155" s="147" t="s">
        <v>343</v>
      </c>
      <c r="U155" s="147" t="s">
        <v>343</v>
      </c>
      <c r="V155" s="147" t="s">
        <v>343</v>
      </c>
      <c r="W155" s="147" t="s">
        <v>343</v>
      </c>
      <c r="X155" s="147" t="s">
        <v>343</v>
      </c>
      <c r="Y155" s="147" t="s">
        <v>343</v>
      </c>
      <c r="Z155" s="148">
        <v>1360</v>
      </c>
      <c r="AA155" s="148">
        <v>1430</v>
      </c>
      <c r="AB155" s="148">
        <v>1430</v>
      </c>
      <c r="AC155" s="148">
        <v>935</v>
      </c>
      <c r="AD155" s="148">
        <v>5155</v>
      </c>
      <c r="AE155" s="148">
        <v>5155</v>
      </c>
      <c r="AF155" s="148">
        <v>0</v>
      </c>
      <c r="AG155" s="148">
        <v>5155</v>
      </c>
      <c r="AH155" s="147" t="s">
        <v>248</v>
      </c>
      <c r="AI155" s="147">
        <v>4</v>
      </c>
      <c r="AJ155" s="147" t="s">
        <v>509</v>
      </c>
    </row>
    <row r="156" spans="1:36">
      <c r="A156" s="147" t="s">
        <v>787</v>
      </c>
      <c r="B156" s="147" t="s">
        <v>502</v>
      </c>
      <c r="C156" s="147" t="s">
        <v>503</v>
      </c>
      <c r="D156" s="147" t="s">
        <v>505</v>
      </c>
      <c r="E156" s="147">
        <v>5</v>
      </c>
      <c r="F156" s="147" t="s">
        <v>560</v>
      </c>
      <c r="G156" s="147" t="s">
        <v>207</v>
      </c>
      <c r="H156" s="147">
        <v>12</v>
      </c>
      <c r="I156" s="148">
        <v>596.62</v>
      </c>
      <c r="J156" s="147" t="s">
        <v>343</v>
      </c>
      <c r="K156" s="147" t="s">
        <v>343</v>
      </c>
      <c r="L156" s="147" t="s">
        <v>343</v>
      </c>
      <c r="M156" s="147" t="s">
        <v>343</v>
      </c>
      <c r="N156" s="147" t="s">
        <v>343</v>
      </c>
      <c r="O156" s="147" t="s">
        <v>343</v>
      </c>
      <c r="P156" s="147" t="s">
        <v>343</v>
      </c>
      <c r="Q156" s="147" t="s">
        <v>343</v>
      </c>
      <c r="R156" s="147" t="s">
        <v>343</v>
      </c>
      <c r="S156" s="147" t="s">
        <v>343</v>
      </c>
      <c r="T156" s="147" t="s">
        <v>343</v>
      </c>
      <c r="U156" s="148">
        <v>715</v>
      </c>
      <c r="V156" s="148">
        <v>490</v>
      </c>
      <c r="W156" s="148">
        <v>490</v>
      </c>
      <c r="X156" s="148">
        <v>520</v>
      </c>
      <c r="Y156" s="148">
        <v>520</v>
      </c>
      <c r="Z156" s="148">
        <v>625</v>
      </c>
      <c r="AA156" s="148">
        <v>625</v>
      </c>
      <c r="AB156" s="148">
        <v>539.86</v>
      </c>
      <c r="AC156" s="148">
        <v>625</v>
      </c>
      <c r="AD156" s="148">
        <v>5149.8599999999997</v>
      </c>
      <c r="AE156" s="148">
        <v>5149.8599999999997</v>
      </c>
      <c r="AF156" s="148">
        <v>1205</v>
      </c>
      <c r="AG156" s="148">
        <v>3944.86</v>
      </c>
      <c r="AH156" s="147" t="s">
        <v>248</v>
      </c>
      <c r="AI156" s="147">
        <v>9</v>
      </c>
      <c r="AJ156" s="147" t="s">
        <v>509</v>
      </c>
    </row>
    <row r="157" spans="1:36">
      <c r="A157" s="147" t="s">
        <v>788</v>
      </c>
      <c r="B157" s="147" t="s">
        <v>502</v>
      </c>
      <c r="C157" s="147" t="s">
        <v>683</v>
      </c>
      <c r="D157" s="147" t="s">
        <v>343</v>
      </c>
      <c r="E157" s="147" t="s">
        <v>343</v>
      </c>
      <c r="F157" s="147" t="s">
        <v>709</v>
      </c>
      <c r="G157" s="147" t="s">
        <v>207</v>
      </c>
      <c r="H157" s="147">
        <v>12</v>
      </c>
      <c r="I157" s="148">
        <v>410</v>
      </c>
      <c r="J157" s="147" t="s">
        <v>343</v>
      </c>
      <c r="K157" s="147" t="s">
        <v>343</v>
      </c>
      <c r="L157" s="147" t="s">
        <v>343</v>
      </c>
      <c r="M157" s="147" t="s">
        <v>343</v>
      </c>
      <c r="N157" s="147" t="s">
        <v>343</v>
      </c>
      <c r="O157" s="147" t="s">
        <v>343</v>
      </c>
      <c r="P157" s="147" t="s">
        <v>343</v>
      </c>
      <c r="Q157" s="147" t="s">
        <v>343</v>
      </c>
      <c r="R157" s="148">
        <v>425</v>
      </c>
      <c r="S157" s="148">
        <v>350</v>
      </c>
      <c r="T157" s="148">
        <v>350</v>
      </c>
      <c r="U157" s="148">
        <v>410</v>
      </c>
      <c r="V157" s="148">
        <v>410</v>
      </c>
      <c r="W157" s="148">
        <v>622.5</v>
      </c>
      <c r="X157" s="148">
        <v>500</v>
      </c>
      <c r="Y157" s="148">
        <v>410</v>
      </c>
      <c r="Z157" s="148">
        <v>410</v>
      </c>
      <c r="AA157" s="148">
        <v>410</v>
      </c>
      <c r="AB157" s="148">
        <v>410</v>
      </c>
      <c r="AC157" s="148">
        <v>410</v>
      </c>
      <c r="AD157" s="148">
        <v>5117.5</v>
      </c>
      <c r="AE157" s="148">
        <v>5117.5</v>
      </c>
      <c r="AF157" s="148">
        <v>1945</v>
      </c>
      <c r="AG157" s="148">
        <v>3172.5</v>
      </c>
      <c r="AH157" s="147" t="s">
        <v>248</v>
      </c>
      <c r="AI157" s="147">
        <v>12</v>
      </c>
      <c r="AJ157" s="147" t="s">
        <v>509</v>
      </c>
    </row>
    <row r="158" spans="1:36">
      <c r="A158" s="147" t="s">
        <v>789</v>
      </c>
      <c r="B158" s="147" t="s">
        <v>567</v>
      </c>
      <c r="C158" s="147" t="s">
        <v>503</v>
      </c>
      <c r="D158" s="147" t="s">
        <v>343</v>
      </c>
      <c r="E158" s="147">
        <v>14</v>
      </c>
      <c r="F158" s="147" t="s">
        <v>568</v>
      </c>
      <c r="G158" s="147" t="s">
        <v>790</v>
      </c>
      <c r="H158" s="147">
        <v>44</v>
      </c>
      <c r="I158" s="148">
        <v>666.66666666666663</v>
      </c>
      <c r="J158" s="147" t="s">
        <v>343</v>
      </c>
      <c r="K158" s="148">
        <v>755</v>
      </c>
      <c r="L158" s="148">
        <v>560</v>
      </c>
      <c r="M158" s="148">
        <v>475</v>
      </c>
      <c r="N158" s="148">
        <v>475</v>
      </c>
      <c r="O158" s="148">
        <v>475</v>
      </c>
      <c r="P158" s="148">
        <v>475</v>
      </c>
      <c r="Q158" s="148">
        <v>475</v>
      </c>
      <c r="R158" s="148">
        <v>560</v>
      </c>
      <c r="S158" s="148">
        <v>560</v>
      </c>
      <c r="T158" s="148">
        <v>815</v>
      </c>
      <c r="U158" s="148">
        <v>560</v>
      </c>
      <c r="V158" s="148">
        <v>585</v>
      </c>
      <c r="W158" s="148">
        <v>670</v>
      </c>
      <c r="X158" s="148">
        <v>1045</v>
      </c>
      <c r="Y158" s="148">
        <v>285</v>
      </c>
      <c r="Z158" s="147" t="s">
        <v>343</v>
      </c>
      <c r="AA158" s="147" t="s">
        <v>343</v>
      </c>
      <c r="AB158" s="147" t="s">
        <v>343</v>
      </c>
      <c r="AC158" s="147" t="s">
        <v>343</v>
      </c>
      <c r="AD158" s="148">
        <v>8770</v>
      </c>
      <c r="AE158" s="148">
        <v>5080</v>
      </c>
      <c r="AF158" s="148">
        <v>6770</v>
      </c>
      <c r="AG158" s="148">
        <v>2000</v>
      </c>
      <c r="AH158" s="147" t="s">
        <v>244</v>
      </c>
      <c r="AI158" s="147">
        <v>15</v>
      </c>
      <c r="AJ158" s="147" t="s">
        <v>510</v>
      </c>
    </row>
    <row r="159" spans="1:36">
      <c r="A159" s="147" t="s">
        <v>791</v>
      </c>
      <c r="B159" s="147" t="s">
        <v>502</v>
      </c>
      <c r="C159" s="147" t="s">
        <v>683</v>
      </c>
      <c r="D159" s="147" t="s">
        <v>343</v>
      </c>
      <c r="E159" s="147">
        <v>0</v>
      </c>
      <c r="F159" s="147" t="s">
        <v>507</v>
      </c>
      <c r="G159" s="147" t="s">
        <v>695</v>
      </c>
      <c r="H159" s="147">
        <v>45</v>
      </c>
      <c r="I159" s="148">
        <v>425</v>
      </c>
      <c r="J159" s="147" t="s">
        <v>343</v>
      </c>
      <c r="K159" s="148">
        <v>400</v>
      </c>
      <c r="L159" s="148">
        <v>400</v>
      </c>
      <c r="M159" s="148">
        <v>470</v>
      </c>
      <c r="N159" s="148">
        <v>330</v>
      </c>
      <c r="O159" s="148">
        <v>400</v>
      </c>
      <c r="P159" s="148">
        <v>400</v>
      </c>
      <c r="Q159" s="148">
        <v>400</v>
      </c>
      <c r="R159" s="148">
        <v>400</v>
      </c>
      <c r="S159" s="148">
        <v>400</v>
      </c>
      <c r="T159" s="148">
        <v>400</v>
      </c>
      <c r="U159" s="148">
        <v>425</v>
      </c>
      <c r="V159" s="148">
        <v>425</v>
      </c>
      <c r="W159" s="148">
        <v>425</v>
      </c>
      <c r="X159" s="148">
        <v>425</v>
      </c>
      <c r="Y159" s="148">
        <v>425</v>
      </c>
      <c r="Z159" s="148">
        <v>425</v>
      </c>
      <c r="AA159" s="148">
        <v>425</v>
      </c>
      <c r="AB159" s="148">
        <v>425</v>
      </c>
      <c r="AC159" s="148">
        <v>425</v>
      </c>
      <c r="AD159" s="148">
        <v>7825</v>
      </c>
      <c r="AE159" s="148">
        <v>5025</v>
      </c>
      <c r="AF159" s="148">
        <v>4850</v>
      </c>
      <c r="AG159" s="148">
        <v>2975</v>
      </c>
      <c r="AH159" s="147" t="s">
        <v>248</v>
      </c>
      <c r="AI159" s="147">
        <v>19</v>
      </c>
      <c r="AJ159" s="147" t="s">
        <v>509</v>
      </c>
    </row>
    <row r="160" spans="1:36">
      <c r="A160" s="147" t="s">
        <v>792</v>
      </c>
      <c r="B160" s="147" t="s">
        <v>502</v>
      </c>
      <c r="C160" s="147" t="s">
        <v>683</v>
      </c>
      <c r="D160" s="147" t="s">
        <v>343</v>
      </c>
      <c r="E160" s="147">
        <v>11</v>
      </c>
      <c r="F160" s="147" t="s">
        <v>507</v>
      </c>
      <c r="G160" s="147" t="s">
        <v>575</v>
      </c>
      <c r="H160" s="147">
        <v>33</v>
      </c>
      <c r="I160" s="148">
        <v>425</v>
      </c>
      <c r="J160" s="147" t="s">
        <v>343</v>
      </c>
      <c r="K160" s="148">
        <v>400</v>
      </c>
      <c r="L160" s="148">
        <v>400</v>
      </c>
      <c r="M160" s="148">
        <v>400</v>
      </c>
      <c r="N160" s="148">
        <v>400</v>
      </c>
      <c r="O160" s="148">
        <v>400</v>
      </c>
      <c r="P160" s="148">
        <v>400</v>
      </c>
      <c r="Q160" s="148">
        <v>400</v>
      </c>
      <c r="R160" s="148">
        <v>400</v>
      </c>
      <c r="S160" s="148">
        <v>400</v>
      </c>
      <c r="T160" s="148">
        <v>400</v>
      </c>
      <c r="U160" s="148">
        <v>425</v>
      </c>
      <c r="V160" s="148">
        <v>425</v>
      </c>
      <c r="W160" s="148">
        <v>425</v>
      </c>
      <c r="X160" s="148">
        <v>425</v>
      </c>
      <c r="Y160" s="148">
        <v>425</v>
      </c>
      <c r="Z160" s="148">
        <v>425</v>
      </c>
      <c r="AA160" s="148">
        <v>425</v>
      </c>
      <c r="AB160" s="148">
        <v>425</v>
      </c>
      <c r="AC160" s="148">
        <v>425</v>
      </c>
      <c r="AD160" s="148">
        <v>7825</v>
      </c>
      <c r="AE160" s="148">
        <v>5025</v>
      </c>
      <c r="AF160" s="148">
        <v>4850</v>
      </c>
      <c r="AG160" s="148">
        <v>2975</v>
      </c>
      <c r="AH160" s="147" t="s">
        <v>248</v>
      </c>
      <c r="AI160" s="147">
        <v>19</v>
      </c>
      <c r="AJ160" s="147" t="s">
        <v>509</v>
      </c>
    </row>
    <row r="161" spans="1:36">
      <c r="A161" s="147" t="s">
        <v>793</v>
      </c>
      <c r="B161" s="147" t="s">
        <v>502</v>
      </c>
      <c r="C161" s="147" t="s">
        <v>503</v>
      </c>
      <c r="D161" s="147" t="s">
        <v>505</v>
      </c>
      <c r="E161" s="147">
        <v>2</v>
      </c>
      <c r="F161" s="147" t="s">
        <v>507</v>
      </c>
      <c r="G161" s="147" t="s">
        <v>127</v>
      </c>
      <c r="H161" s="147">
        <v>26</v>
      </c>
      <c r="I161" s="148">
        <v>452</v>
      </c>
      <c r="J161" s="147" t="s">
        <v>343</v>
      </c>
      <c r="K161" s="148">
        <v>395</v>
      </c>
      <c r="L161" s="148">
        <v>395</v>
      </c>
      <c r="M161" s="148">
        <v>395</v>
      </c>
      <c r="N161" s="148">
        <v>395</v>
      </c>
      <c r="O161" s="148">
        <v>395</v>
      </c>
      <c r="P161" s="148">
        <v>400</v>
      </c>
      <c r="Q161" s="148">
        <v>400</v>
      </c>
      <c r="R161" s="148">
        <v>400</v>
      </c>
      <c r="S161" s="148">
        <v>400</v>
      </c>
      <c r="T161" s="148">
        <v>400</v>
      </c>
      <c r="U161" s="148">
        <v>400</v>
      </c>
      <c r="V161" s="148">
        <v>400</v>
      </c>
      <c r="W161" s="148">
        <v>445</v>
      </c>
      <c r="X161" s="148">
        <v>400</v>
      </c>
      <c r="Y161" s="148">
        <v>400</v>
      </c>
      <c r="Z161" s="148">
        <v>400</v>
      </c>
      <c r="AA161" s="148">
        <v>400</v>
      </c>
      <c r="AB161" s="148">
        <v>478</v>
      </c>
      <c r="AC161" s="148">
        <v>478</v>
      </c>
      <c r="AD161" s="148">
        <v>7776</v>
      </c>
      <c r="AE161" s="148">
        <v>5001</v>
      </c>
      <c r="AF161" s="148">
        <v>4775</v>
      </c>
      <c r="AG161" s="148">
        <v>3001</v>
      </c>
      <c r="AH161" s="147" t="s">
        <v>248</v>
      </c>
      <c r="AI161" s="147">
        <v>19</v>
      </c>
      <c r="AJ161" s="147" t="s">
        <v>509</v>
      </c>
    </row>
    <row r="162" spans="1:36">
      <c r="A162" s="147" t="s">
        <v>794</v>
      </c>
      <c r="B162" s="147" t="s">
        <v>502</v>
      </c>
      <c r="C162" s="147" t="s">
        <v>683</v>
      </c>
      <c r="D162" s="147" t="s">
        <v>343</v>
      </c>
      <c r="E162" s="147" t="s">
        <v>343</v>
      </c>
      <c r="F162" s="147" t="s">
        <v>709</v>
      </c>
      <c r="G162" s="147" t="s">
        <v>206</v>
      </c>
      <c r="H162" s="147">
        <v>13</v>
      </c>
      <c r="I162" s="148">
        <v>406</v>
      </c>
      <c r="J162" s="147" t="s">
        <v>343</v>
      </c>
      <c r="K162" s="147" t="s">
        <v>343</v>
      </c>
      <c r="L162" s="147" t="s">
        <v>343</v>
      </c>
      <c r="M162" s="147" t="s">
        <v>343</v>
      </c>
      <c r="N162" s="147" t="s">
        <v>343</v>
      </c>
      <c r="O162" s="147" t="s">
        <v>343</v>
      </c>
      <c r="P162" s="147" t="s">
        <v>343</v>
      </c>
      <c r="Q162" s="148">
        <v>640</v>
      </c>
      <c r="R162" s="148">
        <v>595</v>
      </c>
      <c r="S162" s="148">
        <v>340</v>
      </c>
      <c r="T162" s="148">
        <v>400</v>
      </c>
      <c r="U162" s="148">
        <v>400</v>
      </c>
      <c r="V162" s="148">
        <v>400</v>
      </c>
      <c r="W162" s="148">
        <v>400</v>
      </c>
      <c r="X162" s="148">
        <v>430</v>
      </c>
      <c r="Y162" s="148">
        <v>400</v>
      </c>
      <c r="Z162" s="148">
        <v>400</v>
      </c>
      <c r="AA162" s="148">
        <v>400</v>
      </c>
      <c r="AB162" s="148">
        <v>400</v>
      </c>
      <c r="AC162" s="148">
        <v>418</v>
      </c>
      <c r="AD162" s="148">
        <v>5623</v>
      </c>
      <c r="AE162" s="148">
        <v>4983</v>
      </c>
      <c r="AF162" s="148">
        <v>2775</v>
      </c>
      <c r="AG162" s="148">
        <v>2848</v>
      </c>
      <c r="AH162" s="147" t="s">
        <v>248</v>
      </c>
      <c r="AI162" s="147">
        <v>13</v>
      </c>
      <c r="AJ162" s="147" t="s">
        <v>509</v>
      </c>
    </row>
    <row r="163" spans="1:36">
      <c r="A163" s="147" t="s">
        <v>795</v>
      </c>
      <c r="B163" s="147" t="s">
        <v>567</v>
      </c>
      <c r="C163" s="147" t="s">
        <v>637</v>
      </c>
      <c r="D163" s="147" t="s">
        <v>343</v>
      </c>
      <c r="E163" s="147" t="s">
        <v>343</v>
      </c>
      <c r="F163" s="147" t="s">
        <v>640</v>
      </c>
      <c r="G163" s="147" t="s">
        <v>122</v>
      </c>
      <c r="H163" s="147">
        <v>31</v>
      </c>
      <c r="I163" s="148">
        <v>410</v>
      </c>
      <c r="J163" s="147" t="s">
        <v>627</v>
      </c>
      <c r="K163" s="148">
        <v>395</v>
      </c>
      <c r="L163" s="148">
        <v>395</v>
      </c>
      <c r="M163" s="148">
        <v>395</v>
      </c>
      <c r="N163" s="148">
        <v>395</v>
      </c>
      <c r="O163" s="148">
        <v>395</v>
      </c>
      <c r="P163" s="148">
        <v>395</v>
      </c>
      <c r="Q163" s="148">
        <v>395</v>
      </c>
      <c r="R163" s="148">
        <v>410</v>
      </c>
      <c r="S163" s="148">
        <v>410</v>
      </c>
      <c r="T163" s="148">
        <v>410</v>
      </c>
      <c r="U163" s="148">
        <v>410</v>
      </c>
      <c r="V163" s="148">
        <v>410</v>
      </c>
      <c r="W163" s="148">
        <v>410</v>
      </c>
      <c r="X163" s="148">
        <v>410</v>
      </c>
      <c r="Y163" s="148">
        <v>410</v>
      </c>
      <c r="Z163" s="148">
        <v>410</v>
      </c>
      <c r="AA163" s="148">
        <v>410</v>
      </c>
      <c r="AB163" s="148">
        <v>410</v>
      </c>
      <c r="AC163" s="148">
        <v>410</v>
      </c>
      <c r="AD163" s="148">
        <v>7685</v>
      </c>
      <c r="AE163" s="148">
        <v>4920</v>
      </c>
      <c r="AF163" s="148">
        <v>4815</v>
      </c>
      <c r="AG163" s="148">
        <v>2870</v>
      </c>
      <c r="AH163" s="147" t="s">
        <v>248</v>
      </c>
      <c r="AI163" s="147">
        <v>19</v>
      </c>
      <c r="AJ163" s="147" t="s">
        <v>509</v>
      </c>
    </row>
    <row r="164" spans="1:36">
      <c r="A164" s="147" t="s">
        <v>797</v>
      </c>
      <c r="B164" s="147" t="s">
        <v>502</v>
      </c>
      <c r="C164" s="147" t="s">
        <v>503</v>
      </c>
      <c r="D164" s="147" t="s">
        <v>505</v>
      </c>
      <c r="E164" s="147">
        <v>4</v>
      </c>
      <c r="F164" s="147" t="s">
        <v>560</v>
      </c>
      <c r="G164" s="147" t="s">
        <v>203</v>
      </c>
      <c r="H164" s="147">
        <v>16</v>
      </c>
      <c r="I164" s="148">
        <v>418</v>
      </c>
      <c r="J164" s="147" t="s">
        <v>343</v>
      </c>
      <c r="K164" s="147" t="s">
        <v>343</v>
      </c>
      <c r="L164" s="147" t="s">
        <v>343</v>
      </c>
      <c r="M164" s="147" t="s">
        <v>343</v>
      </c>
      <c r="N164" s="148">
        <v>640</v>
      </c>
      <c r="O164" s="148">
        <v>340</v>
      </c>
      <c r="P164" s="148">
        <v>340</v>
      </c>
      <c r="Q164" s="148">
        <v>400</v>
      </c>
      <c r="R164" s="148">
        <v>400</v>
      </c>
      <c r="S164" s="148">
        <v>400</v>
      </c>
      <c r="T164" s="148">
        <v>400</v>
      </c>
      <c r="U164" s="148">
        <v>400</v>
      </c>
      <c r="V164" s="148">
        <v>400</v>
      </c>
      <c r="W164" s="148">
        <v>400</v>
      </c>
      <c r="X164" s="148">
        <v>400</v>
      </c>
      <c r="Y164" s="148">
        <v>445</v>
      </c>
      <c r="Z164" s="148">
        <v>418</v>
      </c>
      <c r="AA164" s="148">
        <v>418</v>
      </c>
      <c r="AB164" s="148">
        <v>418</v>
      </c>
      <c r="AC164" s="148">
        <v>418</v>
      </c>
      <c r="AD164" s="148">
        <v>6637</v>
      </c>
      <c r="AE164" s="148">
        <v>4917</v>
      </c>
      <c r="AF164" s="148">
        <v>3720</v>
      </c>
      <c r="AG164" s="148">
        <v>2917</v>
      </c>
      <c r="AH164" s="147" t="s">
        <v>248</v>
      </c>
      <c r="AI164" s="147">
        <v>16</v>
      </c>
      <c r="AJ164" s="147" t="s">
        <v>509</v>
      </c>
    </row>
    <row r="165" spans="1:36">
      <c r="A165" s="147" t="s">
        <v>798</v>
      </c>
      <c r="B165" s="147" t="s">
        <v>502</v>
      </c>
      <c r="C165" s="147" t="s">
        <v>683</v>
      </c>
      <c r="D165" s="147" t="s">
        <v>343</v>
      </c>
      <c r="E165" s="147" t="s">
        <v>343</v>
      </c>
      <c r="F165" s="147" t="s">
        <v>709</v>
      </c>
      <c r="G165" s="147" t="s">
        <v>799</v>
      </c>
      <c r="H165" s="147">
        <v>48</v>
      </c>
      <c r="I165" s="148">
        <v>400</v>
      </c>
      <c r="J165" s="147" t="s">
        <v>343</v>
      </c>
      <c r="K165" s="148">
        <v>395</v>
      </c>
      <c r="L165" s="148">
        <v>455</v>
      </c>
      <c r="M165" s="148">
        <v>395</v>
      </c>
      <c r="N165" s="148">
        <v>395</v>
      </c>
      <c r="O165" s="148">
        <v>395</v>
      </c>
      <c r="P165" s="148">
        <v>395</v>
      </c>
      <c r="Q165" s="148">
        <v>395</v>
      </c>
      <c r="R165" s="148">
        <v>400</v>
      </c>
      <c r="S165" s="148">
        <v>400</v>
      </c>
      <c r="T165" s="148">
        <v>400</v>
      </c>
      <c r="U165" s="148">
        <v>400</v>
      </c>
      <c r="V165" s="148">
        <v>400</v>
      </c>
      <c r="W165" s="148">
        <v>400</v>
      </c>
      <c r="X165" s="148">
        <v>400</v>
      </c>
      <c r="Y165" s="148">
        <v>400</v>
      </c>
      <c r="Z165" s="148">
        <v>475</v>
      </c>
      <c r="AA165" s="148">
        <v>400</v>
      </c>
      <c r="AB165" s="148">
        <v>400</v>
      </c>
      <c r="AC165" s="148">
        <v>400</v>
      </c>
      <c r="AD165" s="148">
        <v>7700</v>
      </c>
      <c r="AE165" s="148">
        <v>4875</v>
      </c>
      <c r="AF165" s="148">
        <v>4825</v>
      </c>
      <c r="AG165" s="148">
        <v>2875</v>
      </c>
      <c r="AH165" s="147" t="s">
        <v>248</v>
      </c>
      <c r="AI165" s="147">
        <v>19</v>
      </c>
      <c r="AJ165" s="147" t="s">
        <v>509</v>
      </c>
    </row>
    <row r="166" spans="1:36">
      <c r="A166" s="147" t="s">
        <v>800</v>
      </c>
      <c r="B166" s="147" t="s">
        <v>502</v>
      </c>
      <c r="C166" s="147" t="s">
        <v>683</v>
      </c>
      <c r="D166" s="147" t="s">
        <v>343</v>
      </c>
      <c r="E166" s="147">
        <v>12</v>
      </c>
      <c r="F166" s="147" t="s">
        <v>507</v>
      </c>
      <c r="G166" s="147" t="s">
        <v>205</v>
      </c>
      <c r="H166" s="147">
        <v>14</v>
      </c>
      <c r="I166" s="148">
        <v>412</v>
      </c>
      <c r="J166" s="147" t="s">
        <v>343</v>
      </c>
      <c r="K166" s="147" t="s">
        <v>343</v>
      </c>
      <c r="L166" s="147" t="s">
        <v>343</v>
      </c>
      <c r="M166" s="147" t="s">
        <v>343</v>
      </c>
      <c r="N166" s="147" t="s">
        <v>343</v>
      </c>
      <c r="O166" s="147" t="s">
        <v>343</v>
      </c>
      <c r="P166" s="148">
        <v>400</v>
      </c>
      <c r="Q166" s="148">
        <v>400</v>
      </c>
      <c r="R166" s="148">
        <v>400</v>
      </c>
      <c r="S166" s="148">
        <v>400</v>
      </c>
      <c r="T166" s="148">
        <v>400</v>
      </c>
      <c r="U166" s="148">
        <v>400</v>
      </c>
      <c r="V166" s="148">
        <v>400</v>
      </c>
      <c r="W166" s="148">
        <v>400</v>
      </c>
      <c r="X166" s="148">
        <v>430</v>
      </c>
      <c r="Y166" s="148">
        <v>400</v>
      </c>
      <c r="Z166" s="148">
        <v>400</v>
      </c>
      <c r="AA166" s="148">
        <v>400</v>
      </c>
      <c r="AB166" s="148">
        <v>418</v>
      </c>
      <c r="AC166" s="148">
        <v>418</v>
      </c>
      <c r="AD166" s="148">
        <v>5666</v>
      </c>
      <c r="AE166" s="148">
        <v>4866</v>
      </c>
      <c r="AF166" s="148">
        <v>2800</v>
      </c>
      <c r="AG166" s="148">
        <v>2866</v>
      </c>
      <c r="AH166" s="147" t="s">
        <v>248</v>
      </c>
      <c r="AI166" s="147">
        <v>14</v>
      </c>
      <c r="AJ166" s="147" t="s">
        <v>509</v>
      </c>
    </row>
    <row r="167" spans="1:36">
      <c r="A167" s="147" t="s">
        <v>801</v>
      </c>
      <c r="B167" s="147" t="s">
        <v>567</v>
      </c>
      <c r="C167" s="147" t="s">
        <v>637</v>
      </c>
      <c r="D167" s="147" t="s">
        <v>343</v>
      </c>
      <c r="E167" s="147" t="s">
        <v>343</v>
      </c>
      <c r="F167" s="147" t="s">
        <v>640</v>
      </c>
      <c r="G167" s="147" t="s">
        <v>762</v>
      </c>
      <c r="H167" s="147">
        <v>47</v>
      </c>
      <c r="I167" s="148">
        <v>405</v>
      </c>
      <c r="J167" s="147" t="s">
        <v>627</v>
      </c>
      <c r="K167" s="148">
        <v>395</v>
      </c>
      <c r="L167" s="148">
        <v>425</v>
      </c>
      <c r="M167" s="148">
        <v>395</v>
      </c>
      <c r="N167" s="148">
        <v>395</v>
      </c>
      <c r="O167" s="148">
        <v>395</v>
      </c>
      <c r="P167" s="148">
        <v>395</v>
      </c>
      <c r="Q167" s="148">
        <v>395</v>
      </c>
      <c r="R167" s="148">
        <v>395</v>
      </c>
      <c r="S167" s="148">
        <v>405</v>
      </c>
      <c r="T167" s="148">
        <v>405</v>
      </c>
      <c r="U167" s="148">
        <v>405</v>
      </c>
      <c r="V167" s="148">
        <v>405</v>
      </c>
      <c r="W167" s="148">
        <v>405</v>
      </c>
      <c r="X167" s="148">
        <v>420</v>
      </c>
      <c r="Y167" s="148">
        <v>405</v>
      </c>
      <c r="Z167" s="148">
        <v>405</v>
      </c>
      <c r="AA167" s="148">
        <v>405</v>
      </c>
      <c r="AB167" s="148">
        <v>405</v>
      </c>
      <c r="AC167" s="148">
        <v>405</v>
      </c>
      <c r="AD167" s="148">
        <v>7660</v>
      </c>
      <c r="AE167" s="148">
        <v>4865</v>
      </c>
      <c r="AF167" s="148">
        <v>4810</v>
      </c>
      <c r="AG167" s="148">
        <v>2850</v>
      </c>
      <c r="AH167" s="147" t="s">
        <v>248</v>
      </c>
      <c r="AI167" s="147">
        <v>19</v>
      </c>
      <c r="AJ167" s="147" t="s">
        <v>509</v>
      </c>
    </row>
    <row r="168" spans="1:36">
      <c r="A168" s="147" t="s">
        <v>802</v>
      </c>
      <c r="B168" s="147" t="s">
        <v>502</v>
      </c>
      <c r="C168" s="147" t="s">
        <v>683</v>
      </c>
      <c r="D168" s="147" t="s">
        <v>343</v>
      </c>
      <c r="E168" s="147" t="s">
        <v>343</v>
      </c>
      <c r="F168" s="147" t="s">
        <v>709</v>
      </c>
      <c r="G168" s="147" t="s">
        <v>204</v>
      </c>
      <c r="H168" s="147">
        <v>15</v>
      </c>
      <c r="I168" s="148">
        <v>418</v>
      </c>
      <c r="J168" s="147" t="s">
        <v>343</v>
      </c>
      <c r="K168" s="147" t="s">
        <v>343</v>
      </c>
      <c r="L168" s="147" t="s">
        <v>343</v>
      </c>
      <c r="M168" s="147" t="s">
        <v>343</v>
      </c>
      <c r="N168" s="147" t="s">
        <v>343</v>
      </c>
      <c r="O168" s="148">
        <v>340</v>
      </c>
      <c r="P168" s="148">
        <v>340</v>
      </c>
      <c r="Q168" s="148">
        <v>340</v>
      </c>
      <c r="R168" s="148">
        <v>400</v>
      </c>
      <c r="S168" s="148">
        <v>400</v>
      </c>
      <c r="T168" s="148">
        <v>400</v>
      </c>
      <c r="U168" s="148">
        <v>400</v>
      </c>
      <c r="V168" s="148">
        <v>400</v>
      </c>
      <c r="W168" s="148">
        <v>400</v>
      </c>
      <c r="X168" s="148">
        <v>400</v>
      </c>
      <c r="Y168" s="148">
        <v>400</v>
      </c>
      <c r="Z168" s="148">
        <v>400</v>
      </c>
      <c r="AA168" s="148">
        <v>418</v>
      </c>
      <c r="AB168" s="148">
        <v>418</v>
      </c>
      <c r="AC168" s="148">
        <v>418</v>
      </c>
      <c r="AD168" s="148">
        <v>5874</v>
      </c>
      <c r="AE168" s="148">
        <v>4854</v>
      </c>
      <c r="AF168" s="148">
        <v>3020</v>
      </c>
      <c r="AG168" s="148">
        <v>2854</v>
      </c>
      <c r="AH168" s="147" t="s">
        <v>248</v>
      </c>
      <c r="AI168" s="147">
        <v>15</v>
      </c>
      <c r="AJ168" s="147" t="s">
        <v>509</v>
      </c>
    </row>
    <row r="169" spans="1:36">
      <c r="A169" s="147" t="s">
        <v>803</v>
      </c>
      <c r="B169" s="147" t="s">
        <v>502</v>
      </c>
      <c r="C169" s="147" t="s">
        <v>683</v>
      </c>
      <c r="D169" s="147" t="s">
        <v>343</v>
      </c>
      <c r="E169" s="147" t="s">
        <v>343</v>
      </c>
      <c r="F169" s="147" t="s">
        <v>709</v>
      </c>
      <c r="G169" s="147" t="s">
        <v>593</v>
      </c>
      <c r="H169" s="147">
        <v>32</v>
      </c>
      <c r="I169" s="148">
        <v>400</v>
      </c>
      <c r="J169" s="147" t="s">
        <v>343</v>
      </c>
      <c r="K169" s="148">
        <v>415</v>
      </c>
      <c r="L169" s="148">
        <v>400</v>
      </c>
      <c r="M169" s="148">
        <v>400</v>
      </c>
      <c r="N169" s="148">
        <v>400</v>
      </c>
      <c r="O169" s="148">
        <v>400</v>
      </c>
      <c r="P169" s="148">
        <v>400</v>
      </c>
      <c r="Q169" s="148">
        <v>400</v>
      </c>
      <c r="R169" s="148">
        <v>400</v>
      </c>
      <c r="S169" s="148">
        <v>400</v>
      </c>
      <c r="T169" s="148">
        <v>400</v>
      </c>
      <c r="U169" s="148">
        <v>400</v>
      </c>
      <c r="V169" s="148">
        <v>400</v>
      </c>
      <c r="W169" s="148">
        <v>400</v>
      </c>
      <c r="X169" s="148">
        <v>430</v>
      </c>
      <c r="Y169" s="148">
        <v>400</v>
      </c>
      <c r="Z169" s="148">
        <v>400</v>
      </c>
      <c r="AA169" s="148">
        <v>400</v>
      </c>
      <c r="AB169" s="148">
        <v>400</v>
      </c>
      <c r="AC169" s="148">
        <v>400</v>
      </c>
      <c r="AD169" s="148">
        <v>7645</v>
      </c>
      <c r="AE169" s="148">
        <v>4830</v>
      </c>
      <c r="AF169" s="148">
        <v>4815</v>
      </c>
      <c r="AG169" s="148">
        <v>2830</v>
      </c>
      <c r="AH169" s="147" t="s">
        <v>248</v>
      </c>
      <c r="AI169" s="147">
        <v>19</v>
      </c>
      <c r="AJ169" s="147" t="s">
        <v>509</v>
      </c>
    </row>
    <row r="170" spans="1:36">
      <c r="A170" s="147" t="s">
        <v>804</v>
      </c>
      <c r="B170" s="147" t="s">
        <v>567</v>
      </c>
      <c r="C170" s="147" t="s">
        <v>683</v>
      </c>
      <c r="D170" s="147" t="s">
        <v>343</v>
      </c>
      <c r="E170" s="147" t="s">
        <v>343</v>
      </c>
      <c r="F170" s="147" t="s">
        <v>640</v>
      </c>
      <c r="G170" s="147" t="s">
        <v>203</v>
      </c>
      <c r="H170" s="147">
        <v>16</v>
      </c>
      <c r="I170" s="148">
        <v>648.33333333333337</v>
      </c>
      <c r="J170" s="147" t="s">
        <v>343</v>
      </c>
      <c r="K170" s="147" t="s">
        <v>343</v>
      </c>
      <c r="L170" s="147" t="s">
        <v>343</v>
      </c>
      <c r="M170" s="147" t="s">
        <v>343</v>
      </c>
      <c r="N170" s="148">
        <v>878.75</v>
      </c>
      <c r="O170" s="148">
        <v>503.75</v>
      </c>
      <c r="P170" s="148">
        <v>503.75</v>
      </c>
      <c r="Q170" s="148">
        <v>575</v>
      </c>
      <c r="R170" s="148">
        <v>575</v>
      </c>
      <c r="S170" s="148">
        <v>575</v>
      </c>
      <c r="T170" s="148">
        <v>575</v>
      </c>
      <c r="U170" s="148">
        <v>575</v>
      </c>
      <c r="V170" s="148">
        <v>575</v>
      </c>
      <c r="W170" s="148">
        <v>575</v>
      </c>
      <c r="X170" s="148">
        <v>795</v>
      </c>
      <c r="Y170" s="148">
        <v>575</v>
      </c>
      <c r="Z170" s="147" t="s">
        <v>343</v>
      </c>
      <c r="AA170" s="147" t="s">
        <v>343</v>
      </c>
      <c r="AB170" s="147" t="s">
        <v>343</v>
      </c>
      <c r="AC170" s="147" t="s">
        <v>343</v>
      </c>
      <c r="AD170" s="148">
        <v>7281.25</v>
      </c>
      <c r="AE170" s="148">
        <v>4820</v>
      </c>
      <c r="AF170" s="148">
        <v>5336.25</v>
      </c>
      <c r="AG170" s="148">
        <v>1945</v>
      </c>
      <c r="AH170" s="147" t="s">
        <v>244</v>
      </c>
      <c r="AI170" s="147">
        <v>12</v>
      </c>
      <c r="AJ170" s="147" t="s">
        <v>510</v>
      </c>
    </row>
    <row r="171" spans="1:36">
      <c r="A171" s="147" t="s">
        <v>805</v>
      </c>
      <c r="B171" s="147" t="s">
        <v>502</v>
      </c>
      <c r="C171" s="147" t="s">
        <v>503</v>
      </c>
      <c r="D171" s="147" t="s">
        <v>621</v>
      </c>
      <c r="E171" s="147">
        <v>15</v>
      </c>
      <c r="F171" s="147" t="s">
        <v>507</v>
      </c>
      <c r="G171" s="147" t="s">
        <v>246</v>
      </c>
      <c r="H171" s="147">
        <v>3</v>
      </c>
      <c r="I171" s="148">
        <v>1592.6666666666667</v>
      </c>
      <c r="J171" s="147" t="s">
        <v>343</v>
      </c>
      <c r="K171" s="147" t="s">
        <v>343</v>
      </c>
      <c r="L171" s="147" t="s">
        <v>343</v>
      </c>
      <c r="M171" s="147" t="s">
        <v>343</v>
      </c>
      <c r="N171" s="147" t="s">
        <v>343</v>
      </c>
      <c r="O171" s="147" t="s">
        <v>343</v>
      </c>
      <c r="P171" s="147" t="s">
        <v>343</v>
      </c>
      <c r="Q171" s="147" t="s">
        <v>343</v>
      </c>
      <c r="R171" s="147" t="s">
        <v>343</v>
      </c>
      <c r="S171" s="147" t="s">
        <v>343</v>
      </c>
      <c r="T171" s="147" t="s">
        <v>343</v>
      </c>
      <c r="U171" s="147" t="s">
        <v>343</v>
      </c>
      <c r="V171" s="147" t="s">
        <v>343</v>
      </c>
      <c r="W171" s="147" t="s">
        <v>343</v>
      </c>
      <c r="X171" s="147" t="s">
        <v>343</v>
      </c>
      <c r="Y171" s="147" t="s">
        <v>343</v>
      </c>
      <c r="Z171" s="147" t="s">
        <v>343</v>
      </c>
      <c r="AA171" s="148">
        <v>2696</v>
      </c>
      <c r="AB171" s="148">
        <v>974</v>
      </c>
      <c r="AC171" s="148">
        <v>1108</v>
      </c>
      <c r="AD171" s="148">
        <v>4778</v>
      </c>
      <c r="AE171" s="148">
        <v>4778</v>
      </c>
      <c r="AF171" s="148">
        <v>0</v>
      </c>
      <c r="AG171" s="148">
        <v>4778</v>
      </c>
      <c r="AH171" s="147" t="s">
        <v>248</v>
      </c>
      <c r="AI171" s="147">
        <v>3</v>
      </c>
      <c r="AJ171" s="147" t="s">
        <v>509</v>
      </c>
    </row>
    <row r="172" spans="1:36">
      <c r="A172" s="147" t="s">
        <v>806</v>
      </c>
      <c r="B172" s="147" t="s">
        <v>567</v>
      </c>
      <c r="C172" s="147" t="s">
        <v>637</v>
      </c>
      <c r="D172" s="147" t="s">
        <v>343</v>
      </c>
      <c r="E172" s="147" t="s">
        <v>343</v>
      </c>
      <c r="F172" s="147" t="s">
        <v>640</v>
      </c>
      <c r="G172" s="147" t="s">
        <v>639</v>
      </c>
      <c r="H172" s="147">
        <v>63</v>
      </c>
      <c r="I172" s="148">
        <v>400</v>
      </c>
      <c r="J172" s="147" t="s">
        <v>627</v>
      </c>
      <c r="K172" s="148">
        <v>385</v>
      </c>
      <c r="L172" s="148">
        <v>385</v>
      </c>
      <c r="M172" s="148">
        <v>385</v>
      </c>
      <c r="N172" s="148">
        <v>385</v>
      </c>
      <c r="O172" s="148">
        <v>385</v>
      </c>
      <c r="P172" s="148">
        <v>385</v>
      </c>
      <c r="Q172" s="148">
        <v>385</v>
      </c>
      <c r="R172" s="148">
        <v>385</v>
      </c>
      <c r="S172" s="148">
        <v>385</v>
      </c>
      <c r="T172" s="148">
        <v>385</v>
      </c>
      <c r="U172" s="148">
        <v>385</v>
      </c>
      <c r="V172" s="148">
        <v>385</v>
      </c>
      <c r="W172" s="148">
        <v>400</v>
      </c>
      <c r="X172" s="148">
        <v>400</v>
      </c>
      <c r="Y172" s="148">
        <v>400</v>
      </c>
      <c r="Z172" s="148">
        <v>400</v>
      </c>
      <c r="AA172" s="148">
        <v>400</v>
      </c>
      <c r="AB172" s="148">
        <v>400</v>
      </c>
      <c r="AC172" s="148">
        <v>400</v>
      </c>
      <c r="AD172" s="148">
        <v>7420</v>
      </c>
      <c r="AE172" s="148">
        <v>4725</v>
      </c>
      <c r="AF172" s="148">
        <v>4620</v>
      </c>
      <c r="AG172" s="148">
        <v>2800</v>
      </c>
      <c r="AH172" s="147" t="s">
        <v>248</v>
      </c>
      <c r="AI172" s="147">
        <v>19</v>
      </c>
      <c r="AJ172" s="147" t="s">
        <v>509</v>
      </c>
    </row>
    <row r="173" spans="1:36">
      <c r="A173" s="147" t="s">
        <v>808</v>
      </c>
      <c r="B173" s="147" t="s">
        <v>502</v>
      </c>
      <c r="C173" s="147" t="s">
        <v>503</v>
      </c>
      <c r="D173" s="147" t="s">
        <v>612</v>
      </c>
      <c r="E173" s="147">
        <v>10</v>
      </c>
      <c r="F173" s="147" t="s">
        <v>507</v>
      </c>
      <c r="G173" s="147" t="s">
        <v>205</v>
      </c>
      <c r="H173" s="147">
        <v>14</v>
      </c>
      <c r="I173" s="148">
        <v>363.3</v>
      </c>
      <c r="J173" s="147" t="s">
        <v>343</v>
      </c>
      <c r="K173" s="147" t="s">
        <v>343</v>
      </c>
      <c r="L173" s="147" t="s">
        <v>343</v>
      </c>
      <c r="M173" s="147" t="s">
        <v>343</v>
      </c>
      <c r="N173" s="147" t="s">
        <v>343</v>
      </c>
      <c r="O173" s="147" t="s">
        <v>343</v>
      </c>
      <c r="P173" s="148">
        <v>350</v>
      </c>
      <c r="Q173" s="148">
        <v>360</v>
      </c>
      <c r="R173" s="148">
        <v>400</v>
      </c>
      <c r="S173" s="148">
        <v>400</v>
      </c>
      <c r="T173" s="148">
        <v>420</v>
      </c>
      <c r="U173" s="148">
        <v>530</v>
      </c>
      <c r="V173" s="148">
        <v>625</v>
      </c>
      <c r="W173" s="148">
        <v>345</v>
      </c>
      <c r="X173" s="148">
        <v>300</v>
      </c>
      <c r="Y173" s="148">
        <v>300</v>
      </c>
      <c r="Z173" s="148">
        <v>300</v>
      </c>
      <c r="AA173" s="148">
        <v>360</v>
      </c>
      <c r="AB173" s="148">
        <v>360</v>
      </c>
      <c r="AC173" s="148">
        <v>369.9</v>
      </c>
      <c r="AD173" s="148">
        <v>5419.9</v>
      </c>
      <c r="AE173" s="148">
        <v>4709.8999999999996</v>
      </c>
      <c r="AF173" s="148">
        <v>3085</v>
      </c>
      <c r="AG173" s="148">
        <v>2334.9</v>
      </c>
      <c r="AH173" s="147" t="s">
        <v>248</v>
      </c>
      <c r="AI173" s="147">
        <v>14</v>
      </c>
      <c r="AJ173" s="147" t="s">
        <v>509</v>
      </c>
    </row>
    <row r="174" spans="1:36">
      <c r="A174" s="147" t="s">
        <v>809</v>
      </c>
      <c r="B174" s="147" t="s">
        <v>502</v>
      </c>
      <c r="C174" s="147" t="s">
        <v>503</v>
      </c>
      <c r="D174" s="147" t="s">
        <v>505</v>
      </c>
      <c r="E174" s="147">
        <v>2</v>
      </c>
      <c r="F174" s="147" t="s">
        <v>507</v>
      </c>
      <c r="G174" s="147" t="s">
        <v>206</v>
      </c>
      <c r="H174" s="147">
        <v>13</v>
      </c>
      <c r="I174" s="148">
        <v>386</v>
      </c>
      <c r="J174" s="147" t="s">
        <v>343</v>
      </c>
      <c r="K174" s="147" t="s">
        <v>343</v>
      </c>
      <c r="L174" s="147" t="s">
        <v>343</v>
      </c>
      <c r="M174" s="147" t="s">
        <v>343</v>
      </c>
      <c r="N174" s="147" t="s">
        <v>343</v>
      </c>
      <c r="O174" s="147" t="s">
        <v>343</v>
      </c>
      <c r="P174" s="147" t="s">
        <v>343</v>
      </c>
      <c r="Q174" s="148">
        <v>340</v>
      </c>
      <c r="R174" s="148">
        <v>340</v>
      </c>
      <c r="S174" s="148">
        <v>340</v>
      </c>
      <c r="T174" s="148">
        <v>400</v>
      </c>
      <c r="U174" s="148">
        <v>400</v>
      </c>
      <c r="V174" s="148">
        <v>400</v>
      </c>
      <c r="W174" s="148">
        <v>430</v>
      </c>
      <c r="X174" s="148">
        <v>400</v>
      </c>
      <c r="Y174" s="148">
        <v>400</v>
      </c>
      <c r="Z174" s="148">
        <v>400</v>
      </c>
      <c r="AA174" s="148">
        <v>400</v>
      </c>
      <c r="AB174" s="148">
        <v>400</v>
      </c>
      <c r="AC174" s="148">
        <v>358</v>
      </c>
      <c r="AD174" s="148">
        <v>5008</v>
      </c>
      <c r="AE174" s="148">
        <v>4668</v>
      </c>
      <c r="AF174" s="148">
        <v>2220</v>
      </c>
      <c r="AG174" s="148">
        <v>2788</v>
      </c>
      <c r="AH174" s="147" t="s">
        <v>248</v>
      </c>
      <c r="AI174" s="147">
        <v>13</v>
      </c>
      <c r="AJ174" s="147" t="s">
        <v>509</v>
      </c>
    </row>
    <row r="175" spans="1:36">
      <c r="A175" s="147" t="s">
        <v>811</v>
      </c>
      <c r="B175" s="147" t="s">
        <v>567</v>
      </c>
      <c r="C175" s="147" t="s">
        <v>637</v>
      </c>
      <c r="D175" s="147" t="s">
        <v>343</v>
      </c>
      <c r="E175" s="147" t="s">
        <v>343</v>
      </c>
      <c r="F175" s="147" t="s">
        <v>640</v>
      </c>
      <c r="G175" s="147" t="s">
        <v>813</v>
      </c>
      <c r="H175" s="147">
        <v>58</v>
      </c>
      <c r="I175" s="148">
        <v>385</v>
      </c>
      <c r="J175" s="147" t="s">
        <v>627</v>
      </c>
      <c r="K175" s="148">
        <v>480</v>
      </c>
      <c r="L175" s="148">
        <v>375</v>
      </c>
      <c r="M175" s="148">
        <v>375</v>
      </c>
      <c r="N175" s="148">
        <v>375</v>
      </c>
      <c r="O175" s="148">
        <v>375</v>
      </c>
      <c r="P175" s="148">
        <v>375</v>
      </c>
      <c r="Q175" s="148">
        <v>375</v>
      </c>
      <c r="R175" s="148">
        <v>375</v>
      </c>
      <c r="S175" s="148">
        <v>375</v>
      </c>
      <c r="T175" s="148">
        <v>385</v>
      </c>
      <c r="U175" s="148">
        <v>385</v>
      </c>
      <c r="V175" s="148">
        <v>385</v>
      </c>
      <c r="W175" s="148">
        <v>385</v>
      </c>
      <c r="X175" s="148">
        <v>445</v>
      </c>
      <c r="Y175" s="148">
        <v>385</v>
      </c>
      <c r="Z175" s="148">
        <v>385</v>
      </c>
      <c r="AA175" s="148">
        <v>385</v>
      </c>
      <c r="AB175" s="148">
        <v>385</v>
      </c>
      <c r="AC175" s="148">
        <v>385</v>
      </c>
      <c r="AD175" s="148">
        <v>7390</v>
      </c>
      <c r="AE175" s="148">
        <v>4660</v>
      </c>
      <c r="AF175" s="148">
        <v>4635</v>
      </c>
      <c r="AG175" s="148">
        <v>2755</v>
      </c>
      <c r="AH175" s="147" t="s">
        <v>248</v>
      </c>
      <c r="AI175" s="147">
        <v>19</v>
      </c>
      <c r="AJ175" s="147" t="s">
        <v>509</v>
      </c>
    </row>
    <row r="176" spans="1:36">
      <c r="A176" s="147" t="s">
        <v>814</v>
      </c>
      <c r="B176" s="147" t="s">
        <v>567</v>
      </c>
      <c r="C176" s="147" t="s">
        <v>503</v>
      </c>
      <c r="D176" s="147" t="s">
        <v>505</v>
      </c>
      <c r="E176" s="147">
        <v>0</v>
      </c>
      <c r="F176" s="147" t="s">
        <v>507</v>
      </c>
      <c r="G176" s="147" t="s">
        <v>204</v>
      </c>
      <c r="H176" s="147">
        <v>12</v>
      </c>
      <c r="I176" s="148">
        <v>540</v>
      </c>
      <c r="J176" s="147" t="s">
        <v>246</v>
      </c>
      <c r="K176" s="147" t="s">
        <v>343</v>
      </c>
      <c r="L176" s="147" t="s">
        <v>343</v>
      </c>
      <c r="M176" s="147" t="s">
        <v>343</v>
      </c>
      <c r="N176" s="147" t="s">
        <v>343</v>
      </c>
      <c r="O176" s="148">
        <v>820</v>
      </c>
      <c r="P176" s="148">
        <v>520</v>
      </c>
      <c r="Q176" s="148">
        <v>520</v>
      </c>
      <c r="R176" s="148">
        <v>500</v>
      </c>
      <c r="S176" s="148">
        <v>500</v>
      </c>
      <c r="T176" s="148">
        <v>490</v>
      </c>
      <c r="U176" s="148">
        <v>490</v>
      </c>
      <c r="V176" s="148">
        <v>520</v>
      </c>
      <c r="W176" s="148">
        <v>520</v>
      </c>
      <c r="X176" s="148">
        <v>580</v>
      </c>
      <c r="Y176" s="148">
        <v>520</v>
      </c>
      <c r="Z176" s="148">
        <v>520</v>
      </c>
      <c r="AA176" s="147" t="s">
        <v>343</v>
      </c>
      <c r="AB176" s="147" t="s">
        <v>343</v>
      </c>
      <c r="AC176" s="147" t="s">
        <v>343</v>
      </c>
      <c r="AD176" s="148">
        <v>6500</v>
      </c>
      <c r="AE176" s="148">
        <v>4640</v>
      </c>
      <c r="AF176" s="148">
        <v>4360</v>
      </c>
      <c r="AG176" s="148">
        <v>2140</v>
      </c>
      <c r="AH176" s="147" t="s">
        <v>245</v>
      </c>
      <c r="AI176" s="147">
        <v>12</v>
      </c>
      <c r="AJ176" s="147" t="s">
        <v>510</v>
      </c>
    </row>
    <row r="177" spans="1:36">
      <c r="A177" s="147" t="s">
        <v>815</v>
      </c>
      <c r="B177" s="147" t="s">
        <v>567</v>
      </c>
      <c r="C177" s="147" t="s">
        <v>503</v>
      </c>
      <c r="D177" s="147" t="s">
        <v>505</v>
      </c>
      <c r="E177" s="147">
        <v>0</v>
      </c>
      <c r="F177" s="147" t="s">
        <v>507</v>
      </c>
      <c r="G177" s="147" t="s">
        <v>123</v>
      </c>
      <c r="H177" s="147">
        <v>29</v>
      </c>
      <c r="I177" s="148">
        <v>358</v>
      </c>
      <c r="J177" s="147" t="s">
        <v>248</v>
      </c>
      <c r="K177" s="148">
        <v>585</v>
      </c>
      <c r="L177" s="148">
        <v>475</v>
      </c>
      <c r="M177" s="148">
        <v>550</v>
      </c>
      <c r="N177" s="148">
        <v>550</v>
      </c>
      <c r="O177" s="148">
        <v>550</v>
      </c>
      <c r="P177" s="148">
        <v>550</v>
      </c>
      <c r="Q177" s="148">
        <v>550</v>
      </c>
      <c r="R177" s="148">
        <v>550</v>
      </c>
      <c r="S177" s="148">
        <v>400</v>
      </c>
      <c r="T177" s="148">
        <v>400</v>
      </c>
      <c r="U177" s="148">
        <v>400</v>
      </c>
      <c r="V177" s="148">
        <v>400</v>
      </c>
      <c r="W177" s="148">
        <v>685</v>
      </c>
      <c r="X177" s="148">
        <v>358</v>
      </c>
      <c r="Y177" s="148">
        <v>358</v>
      </c>
      <c r="Z177" s="148">
        <v>358</v>
      </c>
      <c r="AA177" s="148">
        <v>358</v>
      </c>
      <c r="AB177" s="148">
        <v>358</v>
      </c>
      <c r="AC177" s="147" t="s">
        <v>343</v>
      </c>
      <c r="AD177" s="148">
        <v>8435</v>
      </c>
      <c r="AE177" s="148">
        <v>4625</v>
      </c>
      <c r="AF177" s="148">
        <v>5960</v>
      </c>
      <c r="AG177" s="148">
        <v>2475</v>
      </c>
      <c r="AH177" s="147" t="s">
        <v>247</v>
      </c>
      <c r="AI177" s="147">
        <v>18</v>
      </c>
      <c r="AJ177" s="147" t="s">
        <v>509</v>
      </c>
    </row>
    <row r="178" spans="1:36">
      <c r="A178" s="147" t="s">
        <v>816</v>
      </c>
      <c r="B178" s="147" t="s">
        <v>567</v>
      </c>
      <c r="C178" s="147" t="s">
        <v>637</v>
      </c>
      <c r="D178" s="147" t="s">
        <v>343</v>
      </c>
      <c r="E178" s="147" t="s">
        <v>343</v>
      </c>
      <c r="F178" s="147" t="s">
        <v>640</v>
      </c>
      <c r="G178" s="147" t="s">
        <v>602</v>
      </c>
      <c r="H178" s="147">
        <v>35</v>
      </c>
      <c r="I178" s="148">
        <v>385</v>
      </c>
      <c r="J178" s="147" t="s">
        <v>627</v>
      </c>
      <c r="K178" s="148">
        <v>375</v>
      </c>
      <c r="L178" s="148">
        <v>375</v>
      </c>
      <c r="M178" s="148">
        <v>375</v>
      </c>
      <c r="N178" s="148">
        <v>375</v>
      </c>
      <c r="O178" s="148">
        <v>375</v>
      </c>
      <c r="P178" s="148">
        <v>375</v>
      </c>
      <c r="Q178" s="148">
        <v>375</v>
      </c>
      <c r="R178" s="148">
        <v>375</v>
      </c>
      <c r="S178" s="148">
        <v>375</v>
      </c>
      <c r="T178" s="148">
        <v>385</v>
      </c>
      <c r="U178" s="148">
        <v>385</v>
      </c>
      <c r="V178" s="148">
        <v>385</v>
      </c>
      <c r="W178" s="148">
        <v>385</v>
      </c>
      <c r="X178" s="148">
        <v>385</v>
      </c>
      <c r="Y178" s="148">
        <v>385</v>
      </c>
      <c r="Z178" s="148">
        <v>385</v>
      </c>
      <c r="AA178" s="148">
        <v>385</v>
      </c>
      <c r="AB178" s="148">
        <v>385</v>
      </c>
      <c r="AC178" s="148">
        <v>385</v>
      </c>
      <c r="AD178" s="148">
        <v>7225</v>
      </c>
      <c r="AE178" s="148">
        <v>4600</v>
      </c>
      <c r="AF178" s="148">
        <v>4530</v>
      </c>
      <c r="AG178" s="148">
        <v>2695</v>
      </c>
      <c r="AH178" s="147" t="s">
        <v>248</v>
      </c>
      <c r="AI178" s="147">
        <v>19</v>
      </c>
      <c r="AJ178" s="147" t="s">
        <v>509</v>
      </c>
    </row>
    <row r="179" spans="1:36">
      <c r="A179" s="147" t="s">
        <v>818</v>
      </c>
      <c r="B179" s="147" t="s">
        <v>502</v>
      </c>
      <c r="C179" s="147" t="s">
        <v>503</v>
      </c>
      <c r="D179" s="147" t="s">
        <v>505</v>
      </c>
      <c r="E179" s="147">
        <v>3</v>
      </c>
      <c r="F179" s="147" t="s">
        <v>560</v>
      </c>
      <c r="G179" s="147" t="s">
        <v>126</v>
      </c>
      <c r="H179" s="147">
        <v>27</v>
      </c>
      <c r="I179" s="148">
        <v>389.33333333333331</v>
      </c>
      <c r="J179" s="147" t="s">
        <v>343</v>
      </c>
      <c r="K179" s="148">
        <v>400</v>
      </c>
      <c r="L179" s="148">
        <v>325</v>
      </c>
      <c r="M179" s="148">
        <v>325</v>
      </c>
      <c r="N179" s="148">
        <v>575</v>
      </c>
      <c r="O179" s="148">
        <v>325</v>
      </c>
      <c r="P179" s="148">
        <v>325</v>
      </c>
      <c r="Q179" s="148">
        <v>430</v>
      </c>
      <c r="R179" s="148">
        <v>360</v>
      </c>
      <c r="S179" s="148">
        <v>360</v>
      </c>
      <c r="T179" s="148">
        <v>360</v>
      </c>
      <c r="U179" s="148">
        <v>375</v>
      </c>
      <c r="V179" s="148">
        <v>375</v>
      </c>
      <c r="W179" s="148">
        <v>465</v>
      </c>
      <c r="X179" s="148">
        <v>375</v>
      </c>
      <c r="Y179" s="148">
        <v>375</v>
      </c>
      <c r="Z179" s="148">
        <v>375</v>
      </c>
      <c r="AA179" s="148">
        <v>375</v>
      </c>
      <c r="AB179" s="148">
        <v>375</v>
      </c>
      <c r="AC179" s="148">
        <v>418</v>
      </c>
      <c r="AD179" s="148">
        <v>7293</v>
      </c>
      <c r="AE179" s="148">
        <v>4588</v>
      </c>
      <c r="AF179" s="148">
        <v>4535</v>
      </c>
      <c r="AG179" s="148">
        <v>2758</v>
      </c>
      <c r="AH179" s="147" t="s">
        <v>248</v>
      </c>
      <c r="AI179" s="147">
        <v>19</v>
      </c>
      <c r="AJ179" s="147" t="s">
        <v>509</v>
      </c>
    </row>
    <row r="180" spans="1:36">
      <c r="A180" s="147" t="s">
        <v>819</v>
      </c>
      <c r="B180" s="147" t="s">
        <v>502</v>
      </c>
      <c r="C180" s="147" t="s">
        <v>683</v>
      </c>
      <c r="D180" s="147" t="s">
        <v>343</v>
      </c>
      <c r="E180" s="147">
        <v>0</v>
      </c>
      <c r="F180" s="147" t="s">
        <v>507</v>
      </c>
      <c r="G180" s="147" t="s">
        <v>577</v>
      </c>
      <c r="H180" s="147">
        <v>42</v>
      </c>
      <c r="I180" s="148">
        <v>410</v>
      </c>
      <c r="J180" s="147" t="s">
        <v>343</v>
      </c>
      <c r="K180" s="148">
        <v>500</v>
      </c>
      <c r="L180" s="148">
        <v>425</v>
      </c>
      <c r="M180" s="148">
        <v>300</v>
      </c>
      <c r="N180" s="148">
        <v>300</v>
      </c>
      <c r="O180" s="148">
        <v>400</v>
      </c>
      <c r="P180" s="148">
        <v>400</v>
      </c>
      <c r="Q180" s="148">
        <v>400</v>
      </c>
      <c r="R180" s="148">
        <v>400</v>
      </c>
      <c r="S180" s="148">
        <v>200</v>
      </c>
      <c r="T180" s="148">
        <v>350</v>
      </c>
      <c r="U180" s="148">
        <v>350</v>
      </c>
      <c r="V180" s="148">
        <v>350</v>
      </c>
      <c r="W180" s="148">
        <v>350</v>
      </c>
      <c r="X180" s="148">
        <v>485</v>
      </c>
      <c r="Y180" s="148">
        <v>410</v>
      </c>
      <c r="Z180" s="148">
        <v>410</v>
      </c>
      <c r="AA180" s="148">
        <v>410</v>
      </c>
      <c r="AB180" s="148">
        <v>410</v>
      </c>
      <c r="AC180" s="148">
        <v>410</v>
      </c>
      <c r="AD180" s="148">
        <v>7260</v>
      </c>
      <c r="AE180" s="148">
        <v>4535</v>
      </c>
      <c r="AF180" s="148">
        <v>4375</v>
      </c>
      <c r="AG180" s="148">
        <v>2885</v>
      </c>
      <c r="AH180" s="147" t="s">
        <v>248</v>
      </c>
      <c r="AI180" s="147">
        <v>19</v>
      </c>
      <c r="AJ180" s="147" t="s">
        <v>509</v>
      </c>
    </row>
    <row r="181" spans="1:36">
      <c r="A181" s="147" t="s">
        <v>820</v>
      </c>
      <c r="B181" s="147" t="s">
        <v>502</v>
      </c>
      <c r="C181" s="147" t="s">
        <v>683</v>
      </c>
      <c r="D181" s="147" t="s">
        <v>343</v>
      </c>
      <c r="E181" s="147">
        <v>2</v>
      </c>
      <c r="F181" s="147" t="s">
        <v>507</v>
      </c>
      <c r="G181" s="147" t="s">
        <v>209</v>
      </c>
      <c r="H181" s="147">
        <v>10</v>
      </c>
      <c r="I181" s="148">
        <v>420</v>
      </c>
      <c r="J181" s="147" t="s">
        <v>343</v>
      </c>
      <c r="K181" s="147" t="s">
        <v>343</v>
      </c>
      <c r="L181" s="147" t="s">
        <v>343</v>
      </c>
      <c r="M181" s="147" t="s">
        <v>343</v>
      </c>
      <c r="N181" s="147" t="s">
        <v>343</v>
      </c>
      <c r="O181" s="147" t="s">
        <v>343</v>
      </c>
      <c r="P181" s="147" t="s">
        <v>343</v>
      </c>
      <c r="Q181" s="147" t="s">
        <v>343</v>
      </c>
      <c r="R181" s="147" t="s">
        <v>343</v>
      </c>
      <c r="S181" s="147" t="s">
        <v>343</v>
      </c>
      <c r="T181" s="148">
        <v>700</v>
      </c>
      <c r="U181" s="148">
        <v>400</v>
      </c>
      <c r="V181" s="148">
        <v>420</v>
      </c>
      <c r="W181" s="148">
        <v>270</v>
      </c>
      <c r="X181" s="148">
        <v>525</v>
      </c>
      <c r="Y181" s="148">
        <v>420</v>
      </c>
      <c r="Z181" s="148">
        <v>420</v>
      </c>
      <c r="AA181" s="148">
        <v>420</v>
      </c>
      <c r="AB181" s="148">
        <v>420</v>
      </c>
      <c r="AC181" s="148">
        <v>420</v>
      </c>
      <c r="AD181" s="148">
        <v>4415</v>
      </c>
      <c r="AE181" s="148">
        <v>4415</v>
      </c>
      <c r="AF181" s="148">
        <v>1520</v>
      </c>
      <c r="AG181" s="148">
        <v>2895</v>
      </c>
      <c r="AH181" s="147" t="s">
        <v>248</v>
      </c>
      <c r="AI181" s="147">
        <v>10</v>
      </c>
      <c r="AJ181" s="147" t="s">
        <v>509</v>
      </c>
    </row>
    <row r="182" spans="1:36">
      <c r="A182" s="147" t="s">
        <v>821</v>
      </c>
      <c r="B182" s="147" t="s">
        <v>567</v>
      </c>
      <c r="C182" s="147" t="s">
        <v>683</v>
      </c>
      <c r="D182" s="147" t="s">
        <v>343</v>
      </c>
      <c r="E182" s="147" t="s">
        <v>343</v>
      </c>
      <c r="F182" s="147" t="s">
        <v>640</v>
      </c>
      <c r="G182" s="147" t="s">
        <v>205</v>
      </c>
      <c r="H182" s="147">
        <v>12</v>
      </c>
      <c r="I182" s="148">
        <v>306.66666666666669</v>
      </c>
      <c r="J182" s="147" t="s">
        <v>247</v>
      </c>
      <c r="K182" s="147" t="s">
        <v>343</v>
      </c>
      <c r="L182" s="147" t="s">
        <v>343</v>
      </c>
      <c r="M182" s="147" t="s">
        <v>343</v>
      </c>
      <c r="N182" s="147" t="s">
        <v>343</v>
      </c>
      <c r="O182" s="147" t="s">
        <v>343</v>
      </c>
      <c r="P182" s="148">
        <v>660</v>
      </c>
      <c r="Q182" s="148">
        <v>619.25</v>
      </c>
      <c r="R182" s="148">
        <v>360</v>
      </c>
      <c r="S182" s="148">
        <v>420</v>
      </c>
      <c r="T182" s="148">
        <v>440</v>
      </c>
      <c r="U182" s="148">
        <v>440</v>
      </c>
      <c r="V182" s="148">
        <v>440</v>
      </c>
      <c r="W182" s="148">
        <v>440</v>
      </c>
      <c r="X182" s="148">
        <v>500</v>
      </c>
      <c r="Y182" s="148">
        <v>440</v>
      </c>
      <c r="Z182" s="148">
        <v>440</v>
      </c>
      <c r="AA182" s="148">
        <v>440</v>
      </c>
      <c r="AB182" s="148">
        <v>40</v>
      </c>
      <c r="AC182" s="147" t="s">
        <v>343</v>
      </c>
      <c r="AD182" s="148">
        <v>5679.25</v>
      </c>
      <c r="AE182" s="148">
        <v>4400</v>
      </c>
      <c r="AF182" s="148">
        <v>3379.25</v>
      </c>
      <c r="AG182" s="148">
        <v>2300</v>
      </c>
      <c r="AH182" s="147" t="s">
        <v>247</v>
      </c>
      <c r="AI182" s="147">
        <v>13</v>
      </c>
      <c r="AJ182" s="147" t="s">
        <v>509</v>
      </c>
    </row>
    <row r="183" spans="1:36">
      <c r="A183" s="147" t="s">
        <v>822</v>
      </c>
      <c r="B183" s="147" t="s">
        <v>567</v>
      </c>
      <c r="C183" s="147" t="s">
        <v>683</v>
      </c>
      <c r="D183" s="147" t="s">
        <v>343</v>
      </c>
      <c r="E183" s="147">
        <v>25</v>
      </c>
      <c r="F183" s="147" t="s">
        <v>507</v>
      </c>
      <c r="G183" s="147" t="s">
        <v>131</v>
      </c>
      <c r="H183" s="147">
        <v>21</v>
      </c>
      <c r="I183" s="148">
        <v>400</v>
      </c>
      <c r="J183" s="147" t="s">
        <v>248</v>
      </c>
      <c r="K183" s="148">
        <v>395</v>
      </c>
      <c r="L183" s="148">
        <v>395</v>
      </c>
      <c r="M183" s="148">
        <v>395</v>
      </c>
      <c r="N183" s="148">
        <v>395</v>
      </c>
      <c r="O183" s="148">
        <v>395</v>
      </c>
      <c r="P183" s="148">
        <v>395</v>
      </c>
      <c r="Q183" s="148">
        <v>395</v>
      </c>
      <c r="R183" s="148">
        <v>395</v>
      </c>
      <c r="S183" s="148">
        <v>395</v>
      </c>
      <c r="T183" s="148">
        <v>400</v>
      </c>
      <c r="U183" s="148">
        <v>400</v>
      </c>
      <c r="V183" s="148">
        <v>400</v>
      </c>
      <c r="W183" s="148">
        <v>400</v>
      </c>
      <c r="X183" s="148">
        <v>400</v>
      </c>
      <c r="Y183" s="148">
        <v>400</v>
      </c>
      <c r="Z183" s="148">
        <v>400</v>
      </c>
      <c r="AA183" s="148">
        <v>400</v>
      </c>
      <c r="AB183" s="148">
        <v>400</v>
      </c>
      <c r="AC183" s="147" t="s">
        <v>343</v>
      </c>
      <c r="AD183" s="148">
        <v>7155</v>
      </c>
      <c r="AE183" s="148">
        <v>4390</v>
      </c>
      <c r="AF183" s="148">
        <v>4755</v>
      </c>
      <c r="AG183" s="148">
        <v>2400</v>
      </c>
      <c r="AH183" s="147" t="s">
        <v>247</v>
      </c>
      <c r="AI183" s="147">
        <v>18</v>
      </c>
      <c r="AJ183" s="147" t="s">
        <v>509</v>
      </c>
    </row>
    <row r="184" spans="1:36">
      <c r="A184" s="147" t="s">
        <v>823</v>
      </c>
      <c r="B184" s="147" t="s">
        <v>567</v>
      </c>
      <c r="C184" s="147" t="s">
        <v>503</v>
      </c>
      <c r="D184" s="147" t="s">
        <v>505</v>
      </c>
      <c r="E184" s="147">
        <v>4</v>
      </c>
      <c r="F184" s="147" t="s">
        <v>568</v>
      </c>
      <c r="G184" s="147" t="s">
        <v>206</v>
      </c>
      <c r="H184" s="147">
        <v>12</v>
      </c>
      <c r="I184" s="148">
        <v>400</v>
      </c>
      <c r="J184" s="147" t="s">
        <v>248</v>
      </c>
      <c r="K184" s="147" t="s">
        <v>343</v>
      </c>
      <c r="L184" s="147" t="s">
        <v>343</v>
      </c>
      <c r="M184" s="147" t="s">
        <v>343</v>
      </c>
      <c r="N184" s="147" t="s">
        <v>343</v>
      </c>
      <c r="O184" s="147" t="s">
        <v>343</v>
      </c>
      <c r="P184" s="147" t="s">
        <v>343</v>
      </c>
      <c r="Q184" s="147" t="s">
        <v>343</v>
      </c>
      <c r="R184" s="148">
        <v>490</v>
      </c>
      <c r="S184" s="148">
        <v>340</v>
      </c>
      <c r="T184" s="148">
        <v>340</v>
      </c>
      <c r="U184" s="148">
        <v>400</v>
      </c>
      <c r="V184" s="148">
        <v>400</v>
      </c>
      <c r="W184" s="148">
        <v>400</v>
      </c>
      <c r="X184" s="148">
        <v>400</v>
      </c>
      <c r="Y184" s="148">
        <v>400</v>
      </c>
      <c r="Z184" s="148">
        <v>400</v>
      </c>
      <c r="AA184" s="148">
        <v>400</v>
      </c>
      <c r="AB184" s="148">
        <v>400</v>
      </c>
      <c r="AC184" s="147" t="s">
        <v>343</v>
      </c>
      <c r="AD184" s="148">
        <v>4370</v>
      </c>
      <c r="AE184" s="148">
        <v>4370</v>
      </c>
      <c r="AF184" s="148">
        <v>1970</v>
      </c>
      <c r="AG184" s="148">
        <v>2400</v>
      </c>
      <c r="AH184" s="147" t="s">
        <v>247</v>
      </c>
      <c r="AI184" s="147">
        <v>11</v>
      </c>
      <c r="AJ184" s="147" t="s">
        <v>509</v>
      </c>
    </row>
    <row r="185" spans="1:36">
      <c r="A185" s="147" t="s">
        <v>824</v>
      </c>
      <c r="B185" s="147" t="s">
        <v>567</v>
      </c>
      <c r="C185" s="147" t="s">
        <v>637</v>
      </c>
      <c r="D185" s="147" t="s">
        <v>343</v>
      </c>
      <c r="E185" s="147" t="s">
        <v>343</v>
      </c>
      <c r="F185" s="147" t="s">
        <v>640</v>
      </c>
      <c r="G185" s="147" t="s">
        <v>205</v>
      </c>
      <c r="H185" s="147">
        <v>12</v>
      </c>
      <c r="I185" s="148">
        <v>340</v>
      </c>
      <c r="J185" s="147" t="s">
        <v>247</v>
      </c>
      <c r="K185" s="147" t="s">
        <v>343</v>
      </c>
      <c r="L185" s="147" t="s">
        <v>343</v>
      </c>
      <c r="M185" s="147" t="s">
        <v>343</v>
      </c>
      <c r="N185" s="147" t="s">
        <v>343</v>
      </c>
      <c r="O185" s="147" t="s">
        <v>343</v>
      </c>
      <c r="P185" s="148">
        <v>340</v>
      </c>
      <c r="Q185" s="148">
        <v>340</v>
      </c>
      <c r="R185" s="148">
        <v>340</v>
      </c>
      <c r="S185" s="148">
        <v>1285</v>
      </c>
      <c r="T185" s="148">
        <v>340</v>
      </c>
      <c r="U185" s="148">
        <v>340</v>
      </c>
      <c r="V185" s="148">
        <v>340</v>
      </c>
      <c r="W185" s="148">
        <v>340</v>
      </c>
      <c r="X185" s="148">
        <v>340</v>
      </c>
      <c r="Y185" s="148">
        <v>340</v>
      </c>
      <c r="Z185" s="148">
        <v>340</v>
      </c>
      <c r="AA185" s="148">
        <v>340</v>
      </c>
      <c r="AB185" s="147" t="s">
        <v>343</v>
      </c>
      <c r="AC185" s="147" t="s">
        <v>343</v>
      </c>
      <c r="AD185" s="148">
        <v>5025</v>
      </c>
      <c r="AE185" s="148">
        <v>4345</v>
      </c>
      <c r="AF185" s="148">
        <v>3325</v>
      </c>
      <c r="AG185" s="148">
        <v>1700</v>
      </c>
      <c r="AH185" s="147" t="s">
        <v>246</v>
      </c>
      <c r="AI185" s="147">
        <v>12</v>
      </c>
      <c r="AJ185" s="147" t="s">
        <v>510</v>
      </c>
    </row>
    <row r="186" spans="1:36">
      <c r="A186" s="147" t="s">
        <v>825</v>
      </c>
      <c r="B186" s="147" t="s">
        <v>567</v>
      </c>
      <c r="C186" s="147" t="s">
        <v>662</v>
      </c>
      <c r="D186" s="147" t="s">
        <v>343</v>
      </c>
      <c r="E186" s="147" t="s">
        <v>343</v>
      </c>
      <c r="F186" s="147" t="s">
        <v>640</v>
      </c>
      <c r="G186" s="147" t="s">
        <v>129</v>
      </c>
      <c r="H186" s="147">
        <v>17</v>
      </c>
      <c r="I186" s="148">
        <v>851.66666666666663</v>
      </c>
      <c r="J186" s="147" t="s">
        <v>242</v>
      </c>
      <c r="K186" s="148">
        <v>515</v>
      </c>
      <c r="L186" s="148">
        <v>395</v>
      </c>
      <c r="M186" s="148">
        <v>395</v>
      </c>
      <c r="N186" s="148">
        <v>395</v>
      </c>
      <c r="O186" s="148">
        <v>395</v>
      </c>
      <c r="P186" s="148">
        <v>395</v>
      </c>
      <c r="Q186" s="148">
        <v>395</v>
      </c>
      <c r="R186" s="148">
        <v>440</v>
      </c>
      <c r="S186" s="148">
        <v>440</v>
      </c>
      <c r="T186" s="148">
        <v>440</v>
      </c>
      <c r="U186" s="148">
        <v>440</v>
      </c>
      <c r="V186" s="148">
        <v>440</v>
      </c>
      <c r="W186" s="148">
        <v>2025</v>
      </c>
      <c r="X186" s="148">
        <v>90</v>
      </c>
      <c r="Y186" s="147" t="s">
        <v>343</v>
      </c>
      <c r="Z186" s="147" t="s">
        <v>343</v>
      </c>
      <c r="AA186" s="147" t="s">
        <v>343</v>
      </c>
      <c r="AB186" s="147" t="s">
        <v>343</v>
      </c>
      <c r="AC186" s="147" t="s">
        <v>343</v>
      </c>
      <c r="AD186" s="148">
        <v>7200</v>
      </c>
      <c r="AE186" s="148">
        <v>4315</v>
      </c>
      <c r="AF186" s="148">
        <v>5085</v>
      </c>
      <c r="AG186" s="148">
        <v>2115</v>
      </c>
      <c r="AH186" s="147" t="s">
        <v>243</v>
      </c>
      <c r="AI186" s="147">
        <v>14</v>
      </c>
      <c r="AJ186" s="147" t="s">
        <v>510</v>
      </c>
    </row>
    <row r="187" spans="1:36">
      <c r="A187" s="147" t="s">
        <v>826</v>
      </c>
      <c r="B187" s="147" t="s">
        <v>502</v>
      </c>
      <c r="C187" s="147" t="s">
        <v>503</v>
      </c>
      <c r="D187" s="147" t="s">
        <v>505</v>
      </c>
      <c r="E187" s="147">
        <v>8</v>
      </c>
      <c r="F187" s="147" t="s">
        <v>507</v>
      </c>
      <c r="G187" s="147" t="s">
        <v>242</v>
      </c>
      <c r="H187" s="147">
        <v>7</v>
      </c>
      <c r="I187" s="148">
        <v>719</v>
      </c>
      <c r="J187" s="147" t="s">
        <v>343</v>
      </c>
      <c r="K187" s="147" t="s">
        <v>343</v>
      </c>
      <c r="L187" s="147" t="s">
        <v>343</v>
      </c>
      <c r="M187" s="147" t="s">
        <v>343</v>
      </c>
      <c r="N187" s="147" t="s">
        <v>343</v>
      </c>
      <c r="O187" s="147" t="s">
        <v>343</v>
      </c>
      <c r="P187" s="147" t="s">
        <v>343</v>
      </c>
      <c r="Q187" s="147" t="s">
        <v>343</v>
      </c>
      <c r="R187" s="147" t="s">
        <v>343</v>
      </c>
      <c r="S187" s="147" t="s">
        <v>343</v>
      </c>
      <c r="T187" s="147" t="s">
        <v>343</v>
      </c>
      <c r="U187" s="147" t="s">
        <v>343</v>
      </c>
      <c r="V187" s="147" t="s">
        <v>343</v>
      </c>
      <c r="W187" s="148">
        <v>701</v>
      </c>
      <c r="X187" s="148">
        <v>393</v>
      </c>
      <c r="Y187" s="148">
        <v>393</v>
      </c>
      <c r="Z187" s="148">
        <v>632</v>
      </c>
      <c r="AA187" s="148">
        <v>719</v>
      </c>
      <c r="AB187" s="148">
        <v>719</v>
      </c>
      <c r="AC187" s="148">
        <v>719</v>
      </c>
      <c r="AD187" s="148">
        <v>4276</v>
      </c>
      <c r="AE187" s="148">
        <v>4276</v>
      </c>
      <c r="AF187" s="148">
        <v>0</v>
      </c>
      <c r="AG187" s="148">
        <v>4276</v>
      </c>
      <c r="AH187" s="147" t="s">
        <v>248</v>
      </c>
      <c r="AI187" s="147">
        <v>7</v>
      </c>
      <c r="AJ187" s="147" t="s">
        <v>509</v>
      </c>
    </row>
    <row r="188" spans="1:36">
      <c r="A188" s="147" t="s">
        <v>827</v>
      </c>
      <c r="B188" s="147" t="s">
        <v>502</v>
      </c>
      <c r="C188" s="147" t="s">
        <v>637</v>
      </c>
      <c r="D188" s="147" t="s">
        <v>343</v>
      </c>
      <c r="E188" s="147" t="s">
        <v>343</v>
      </c>
      <c r="F188" s="147" t="s">
        <v>673</v>
      </c>
      <c r="G188" s="147" t="s">
        <v>639</v>
      </c>
      <c r="H188" s="147">
        <v>63</v>
      </c>
      <c r="I188" s="148">
        <v>355</v>
      </c>
      <c r="J188" s="147" t="s">
        <v>343</v>
      </c>
      <c r="K188" s="148">
        <v>400</v>
      </c>
      <c r="L188" s="148">
        <v>355</v>
      </c>
      <c r="M188" s="148">
        <v>355</v>
      </c>
      <c r="N188" s="148">
        <v>355</v>
      </c>
      <c r="O188" s="148">
        <v>355</v>
      </c>
      <c r="P188" s="148">
        <v>355</v>
      </c>
      <c r="Q188" s="148">
        <v>355</v>
      </c>
      <c r="R188" s="148">
        <v>355</v>
      </c>
      <c r="S188" s="148">
        <v>370</v>
      </c>
      <c r="T188" s="148">
        <v>370</v>
      </c>
      <c r="U188" s="148">
        <v>325</v>
      </c>
      <c r="V188" s="148">
        <v>355</v>
      </c>
      <c r="W188" s="148">
        <v>355</v>
      </c>
      <c r="X188" s="148">
        <v>370</v>
      </c>
      <c r="Y188" s="148">
        <v>355</v>
      </c>
      <c r="Z188" s="148">
        <v>355</v>
      </c>
      <c r="AA188" s="148">
        <v>355</v>
      </c>
      <c r="AB188" s="148">
        <v>355</v>
      </c>
      <c r="AC188" s="148">
        <v>355</v>
      </c>
      <c r="AD188" s="148">
        <v>6805</v>
      </c>
      <c r="AE188" s="148">
        <v>4275</v>
      </c>
      <c r="AF188" s="148">
        <v>4305</v>
      </c>
      <c r="AG188" s="148">
        <v>2500</v>
      </c>
      <c r="AH188" s="147" t="s">
        <v>248</v>
      </c>
      <c r="AI188" s="147">
        <v>19</v>
      </c>
      <c r="AJ188" s="147" t="s">
        <v>509</v>
      </c>
    </row>
    <row r="189" spans="1:36">
      <c r="A189" s="147" t="s">
        <v>829</v>
      </c>
      <c r="B189" s="147" t="s">
        <v>502</v>
      </c>
      <c r="C189" s="147" t="s">
        <v>503</v>
      </c>
      <c r="D189" s="147" t="s">
        <v>612</v>
      </c>
      <c r="E189" s="147">
        <v>5</v>
      </c>
      <c r="F189" s="147" t="s">
        <v>560</v>
      </c>
      <c r="G189" s="147" t="s">
        <v>205</v>
      </c>
      <c r="H189" s="147">
        <v>14</v>
      </c>
      <c r="I189" s="148">
        <v>360</v>
      </c>
      <c r="J189" s="147" t="s">
        <v>343</v>
      </c>
      <c r="K189" s="147" t="s">
        <v>343</v>
      </c>
      <c r="L189" s="147" t="s">
        <v>343</v>
      </c>
      <c r="M189" s="147" t="s">
        <v>343</v>
      </c>
      <c r="N189" s="147" t="s">
        <v>343</v>
      </c>
      <c r="O189" s="147" t="s">
        <v>343</v>
      </c>
      <c r="P189" s="148">
        <v>350</v>
      </c>
      <c r="Q189" s="148">
        <v>375</v>
      </c>
      <c r="R189" s="148">
        <v>415</v>
      </c>
      <c r="S189" s="148">
        <v>565</v>
      </c>
      <c r="T189" s="148">
        <v>565</v>
      </c>
      <c r="U189" s="148">
        <v>240</v>
      </c>
      <c r="V189" s="148">
        <v>300</v>
      </c>
      <c r="W189" s="148">
        <v>300</v>
      </c>
      <c r="X189" s="148">
        <v>60</v>
      </c>
      <c r="Y189" s="148">
        <v>360</v>
      </c>
      <c r="Z189" s="148">
        <v>360</v>
      </c>
      <c r="AA189" s="148">
        <v>360</v>
      </c>
      <c r="AB189" s="148">
        <v>360</v>
      </c>
      <c r="AC189" s="148">
        <v>360</v>
      </c>
      <c r="AD189" s="148">
        <v>4970</v>
      </c>
      <c r="AE189" s="148">
        <v>4245</v>
      </c>
      <c r="AF189" s="148">
        <v>2810</v>
      </c>
      <c r="AG189" s="148">
        <v>2160</v>
      </c>
      <c r="AH189" s="147" t="s">
        <v>248</v>
      </c>
      <c r="AI189" s="147">
        <v>14</v>
      </c>
      <c r="AJ189" s="147" t="s">
        <v>509</v>
      </c>
    </row>
    <row r="190" spans="1:36">
      <c r="A190" s="147" t="s">
        <v>830</v>
      </c>
      <c r="B190" s="147" t="s">
        <v>502</v>
      </c>
      <c r="C190" s="147" t="s">
        <v>503</v>
      </c>
      <c r="D190" s="147" t="s">
        <v>621</v>
      </c>
      <c r="E190" s="147">
        <v>8</v>
      </c>
      <c r="F190" s="147" t="s">
        <v>507</v>
      </c>
      <c r="G190" s="147" t="s">
        <v>244</v>
      </c>
      <c r="H190" s="147">
        <v>5</v>
      </c>
      <c r="I190" s="148">
        <v>899.33333333333337</v>
      </c>
      <c r="J190" s="147" t="s">
        <v>343</v>
      </c>
      <c r="K190" s="147" t="s">
        <v>343</v>
      </c>
      <c r="L190" s="147" t="s">
        <v>343</v>
      </c>
      <c r="M190" s="147" t="s">
        <v>343</v>
      </c>
      <c r="N190" s="147" t="s">
        <v>343</v>
      </c>
      <c r="O190" s="147" t="s">
        <v>343</v>
      </c>
      <c r="P190" s="147" t="s">
        <v>343</v>
      </c>
      <c r="Q190" s="147" t="s">
        <v>343</v>
      </c>
      <c r="R190" s="147" t="s">
        <v>343</v>
      </c>
      <c r="S190" s="147" t="s">
        <v>343</v>
      </c>
      <c r="T190" s="147" t="s">
        <v>343</v>
      </c>
      <c r="U190" s="147" t="s">
        <v>343</v>
      </c>
      <c r="V190" s="147" t="s">
        <v>343</v>
      </c>
      <c r="W190" s="147" t="s">
        <v>343</v>
      </c>
      <c r="X190" s="147" t="s">
        <v>343</v>
      </c>
      <c r="Y190" s="148">
        <v>854</v>
      </c>
      <c r="Z190" s="148">
        <v>652</v>
      </c>
      <c r="AA190" s="148">
        <v>886</v>
      </c>
      <c r="AB190" s="148">
        <v>926</v>
      </c>
      <c r="AC190" s="148">
        <v>886</v>
      </c>
      <c r="AD190" s="148">
        <v>4204</v>
      </c>
      <c r="AE190" s="148">
        <v>4204</v>
      </c>
      <c r="AF190" s="148">
        <v>0</v>
      </c>
      <c r="AG190" s="148">
        <v>4204</v>
      </c>
      <c r="AH190" s="147" t="s">
        <v>248</v>
      </c>
      <c r="AI190" s="147">
        <v>5</v>
      </c>
      <c r="AJ190" s="147" t="s">
        <v>509</v>
      </c>
    </row>
    <row r="191" spans="1:36">
      <c r="A191" s="147" t="s">
        <v>831</v>
      </c>
      <c r="B191" s="147" t="s">
        <v>19</v>
      </c>
      <c r="C191" s="147" t="s">
        <v>503</v>
      </c>
      <c r="D191" s="147" t="s">
        <v>343</v>
      </c>
      <c r="E191" s="147">
        <v>21</v>
      </c>
      <c r="F191" s="147" t="s">
        <v>507</v>
      </c>
      <c r="G191" s="147" t="s">
        <v>247</v>
      </c>
      <c r="H191" s="147">
        <v>2</v>
      </c>
      <c r="I191" s="148">
        <v>1986</v>
      </c>
      <c r="J191" s="147" t="s">
        <v>343</v>
      </c>
      <c r="K191" s="147" t="s">
        <v>343</v>
      </c>
      <c r="L191" s="147" t="s">
        <v>343</v>
      </c>
      <c r="M191" s="147" t="s">
        <v>343</v>
      </c>
      <c r="N191" s="147" t="s">
        <v>343</v>
      </c>
      <c r="O191" s="147" t="s">
        <v>343</v>
      </c>
      <c r="P191" s="147" t="s">
        <v>343</v>
      </c>
      <c r="Q191" s="147" t="s">
        <v>343</v>
      </c>
      <c r="R191" s="147" t="s">
        <v>343</v>
      </c>
      <c r="S191" s="147" t="s">
        <v>343</v>
      </c>
      <c r="T191" s="147" t="s">
        <v>343</v>
      </c>
      <c r="U191" s="147" t="s">
        <v>343</v>
      </c>
      <c r="V191" s="147" t="s">
        <v>343</v>
      </c>
      <c r="W191" s="147" t="s">
        <v>343</v>
      </c>
      <c r="X191" s="147" t="s">
        <v>343</v>
      </c>
      <c r="Y191" s="147" t="s">
        <v>343</v>
      </c>
      <c r="Z191" s="147" t="s">
        <v>343</v>
      </c>
      <c r="AA191" s="147" t="s">
        <v>343</v>
      </c>
      <c r="AB191" s="148">
        <v>2656</v>
      </c>
      <c r="AC191" s="148">
        <v>1316</v>
      </c>
      <c r="AD191" s="148">
        <v>3972</v>
      </c>
      <c r="AE191" s="148">
        <v>3972</v>
      </c>
      <c r="AF191" s="148">
        <v>0</v>
      </c>
      <c r="AG191" s="148">
        <v>3972</v>
      </c>
      <c r="AH191" s="147" t="s">
        <v>248</v>
      </c>
      <c r="AI191" s="147">
        <v>2</v>
      </c>
      <c r="AJ191" s="147" t="s">
        <v>509</v>
      </c>
    </row>
    <row r="192" spans="1:36">
      <c r="A192" s="147" t="s">
        <v>832</v>
      </c>
      <c r="B192" s="147" t="s">
        <v>567</v>
      </c>
      <c r="C192" s="147" t="s">
        <v>683</v>
      </c>
      <c r="D192" s="147" t="s">
        <v>343</v>
      </c>
      <c r="E192" s="147" t="s">
        <v>343</v>
      </c>
      <c r="F192" s="147" t="s">
        <v>640</v>
      </c>
      <c r="G192" s="147" t="s">
        <v>207</v>
      </c>
      <c r="H192" s="147">
        <v>9</v>
      </c>
      <c r="I192" s="148">
        <v>400</v>
      </c>
      <c r="J192" s="147" t="s">
        <v>246</v>
      </c>
      <c r="K192" s="147" t="s">
        <v>343</v>
      </c>
      <c r="L192" s="147" t="s">
        <v>343</v>
      </c>
      <c r="M192" s="147" t="s">
        <v>343</v>
      </c>
      <c r="N192" s="147" t="s">
        <v>343</v>
      </c>
      <c r="O192" s="147" t="s">
        <v>343</v>
      </c>
      <c r="P192" s="147" t="s">
        <v>343</v>
      </c>
      <c r="Q192" s="147" t="s">
        <v>343</v>
      </c>
      <c r="R192" s="148">
        <v>350</v>
      </c>
      <c r="S192" s="148">
        <v>690</v>
      </c>
      <c r="T192" s="148">
        <v>350</v>
      </c>
      <c r="U192" s="148">
        <v>400</v>
      </c>
      <c r="V192" s="148">
        <v>400</v>
      </c>
      <c r="W192" s="148">
        <v>550</v>
      </c>
      <c r="X192" s="148">
        <v>400</v>
      </c>
      <c r="Y192" s="148">
        <v>400</v>
      </c>
      <c r="Z192" s="148">
        <v>400</v>
      </c>
      <c r="AA192" s="148">
        <v>0</v>
      </c>
      <c r="AB192" s="147" t="s">
        <v>343</v>
      </c>
      <c r="AC192" s="147" t="s">
        <v>343</v>
      </c>
      <c r="AD192" s="148">
        <v>3940</v>
      </c>
      <c r="AE192" s="148">
        <v>3940</v>
      </c>
      <c r="AF192" s="148">
        <v>2190</v>
      </c>
      <c r="AG192" s="148">
        <v>1750</v>
      </c>
      <c r="AH192" s="147" t="s">
        <v>245</v>
      </c>
      <c r="AI192" s="147">
        <v>9</v>
      </c>
      <c r="AJ192" s="147" t="s">
        <v>510</v>
      </c>
    </row>
    <row r="193" spans="1:36">
      <c r="A193" s="147" t="s">
        <v>833</v>
      </c>
      <c r="B193" s="147" t="s">
        <v>567</v>
      </c>
      <c r="C193" s="147" t="s">
        <v>503</v>
      </c>
      <c r="D193" s="147" t="s">
        <v>505</v>
      </c>
      <c r="E193" s="147">
        <v>4</v>
      </c>
      <c r="F193" s="147" t="s">
        <v>568</v>
      </c>
      <c r="G193" s="147" t="s">
        <v>203</v>
      </c>
      <c r="H193" s="147">
        <v>12</v>
      </c>
      <c r="I193" s="148">
        <v>523.33333333333337</v>
      </c>
      <c r="J193" s="147" t="s">
        <v>245</v>
      </c>
      <c r="K193" s="147" t="s">
        <v>343</v>
      </c>
      <c r="L193" s="147" t="s">
        <v>343</v>
      </c>
      <c r="M193" s="147" t="s">
        <v>343</v>
      </c>
      <c r="N193" s="148">
        <v>350</v>
      </c>
      <c r="O193" s="147" t="s">
        <v>343</v>
      </c>
      <c r="P193" s="147" t="s">
        <v>343</v>
      </c>
      <c r="Q193" s="148">
        <v>360</v>
      </c>
      <c r="R193" s="148">
        <v>420</v>
      </c>
      <c r="S193" s="148">
        <v>420</v>
      </c>
      <c r="T193" s="148">
        <v>420</v>
      </c>
      <c r="U193" s="148">
        <v>380</v>
      </c>
      <c r="V193" s="148">
        <v>590</v>
      </c>
      <c r="W193" s="148">
        <v>610</v>
      </c>
      <c r="X193" s="148">
        <v>560</v>
      </c>
      <c r="Y193" s="148">
        <v>400</v>
      </c>
      <c r="Z193" s="147" t="s">
        <v>343</v>
      </c>
      <c r="AA193" s="147" t="s">
        <v>343</v>
      </c>
      <c r="AB193" s="147" t="s">
        <v>343</v>
      </c>
      <c r="AC193" s="147" t="s">
        <v>343</v>
      </c>
      <c r="AD193" s="148">
        <v>4510</v>
      </c>
      <c r="AE193" s="148">
        <v>3800</v>
      </c>
      <c r="AF193" s="148">
        <v>2940</v>
      </c>
      <c r="AG193" s="148">
        <v>1570</v>
      </c>
      <c r="AH193" s="147" t="s">
        <v>244</v>
      </c>
      <c r="AI193" s="147">
        <v>10</v>
      </c>
      <c r="AJ193" s="147" t="s">
        <v>510</v>
      </c>
    </row>
    <row r="194" spans="1:36">
      <c r="A194" s="147" t="s">
        <v>834</v>
      </c>
      <c r="B194" s="147" t="s">
        <v>567</v>
      </c>
      <c r="C194" s="147" t="s">
        <v>503</v>
      </c>
      <c r="D194" s="147" t="s">
        <v>505</v>
      </c>
      <c r="E194" s="147">
        <v>2</v>
      </c>
      <c r="F194" s="147" t="s">
        <v>560</v>
      </c>
      <c r="G194" s="147" t="s">
        <v>123</v>
      </c>
      <c r="H194" s="147">
        <v>18</v>
      </c>
      <c r="I194" s="148">
        <v>584.66666666666663</v>
      </c>
      <c r="J194" s="147" t="s">
        <v>207</v>
      </c>
      <c r="K194" s="148">
        <v>570</v>
      </c>
      <c r="L194" s="148">
        <v>420</v>
      </c>
      <c r="M194" s="148">
        <v>420</v>
      </c>
      <c r="N194" s="148">
        <v>420</v>
      </c>
      <c r="O194" s="148">
        <v>420</v>
      </c>
      <c r="P194" s="148">
        <v>420</v>
      </c>
      <c r="Q194" s="148">
        <v>420</v>
      </c>
      <c r="R194" s="147" t="s">
        <v>343</v>
      </c>
      <c r="S194" s="147" t="s">
        <v>343</v>
      </c>
      <c r="T194" s="147" t="s">
        <v>343</v>
      </c>
      <c r="U194" s="147" t="s">
        <v>343</v>
      </c>
      <c r="V194" s="147" t="s">
        <v>343</v>
      </c>
      <c r="W194" s="148">
        <v>726</v>
      </c>
      <c r="X194" s="148">
        <v>438</v>
      </c>
      <c r="Y194" s="148">
        <v>438</v>
      </c>
      <c r="Z194" s="148">
        <v>418</v>
      </c>
      <c r="AA194" s="148">
        <v>918</v>
      </c>
      <c r="AB194" s="148">
        <v>418</v>
      </c>
      <c r="AC194" s="148">
        <v>418</v>
      </c>
      <c r="AD194" s="148">
        <v>6864</v>
      </c>
      <c r="AE194" s="148">
        <v>3774</v>
      </c>
      <c r="AF194" s="148">
        <v>3090</v>
      </c>
      <c r="AG194" s="148">
        <v>3774</v>
      </c>
      <c r="AH194" s="147" t="s">
        <v>248</v>
      </c>
      <c r="AI194" s="147">
        <v>14</v>
      </c>
      <c r="AJ194" s="147" t="s">
        <v>509</v>
      </c>
    </row>
    <row r="195" spans="1:36">
      <c r="A195" s="147" t="s">
        <v>835</v>
      </c>
      <c r="B195" s="147" t="s">
        <v>502</v>
      </c>
      <c r="C195" s="147" t="s">
        <v>503</v>
      </c>
      <c r="D195" s="147" t="s">
        <v>621</v>
      </c>
      <c r="E195" s="147">
        <v>22</v>
      </c>
      <c r="F195" s="147" t="s">
        <v>507</v>
      </c>
      <c r="G195" s="147" t="s">
        <v>246</v>
      </c>
      <c r="H195" s="147">
        <v>3</v>
      </c>
      <c r="I195" s="148">
        <v>1256.3333333333333</v>
      </c>
      <c r="J195" s="147" t="s">
        <v>343</v>
      </c>
      <c r="K195" s="147" t="s">
        <v>343</v>
      </c>
      <c r="L195" s="147" t="s">
        <v>343</v>
      </c>
      <c r="M195" s="147" t="s">
        <v>343</v>
      </c>
      <c r="N195" s="147" t="s">
        <v>343</v>
      </c>
      <c r="O195" s="147" t="s">
        <v>343</v>
      </c>
      <c r="P195" s="147" t="s">
        <v>343</v>
      </c>
      <c r="Q195" s="147" t="s">
        <v>343</v>
      </c>
      <c r="R195" s="147" t="s">
        <v>343</v>
      </c>
      <c r="S195" s="147" t="s">
        <v>343</v>
      </c>
      <c r="T195" s="147" t="s">
        <v>343</v>
      </c>
      <c r="U195" s="147" t="s">
        <v>343</v>
      </c>
      <c r="V195" s="147" t="s">
        <v>343</v>
      </c>
      <c r="W195" s="147" t="s">
        <v>343</v>
      </c>
      <c r="X195" s="147" t="s">
        <v>343</v>
      </c>
      <c r="Y195" s="147" t="s">
        <v>343</v>
      </c>
      <c r="Z195" s="147" t="s">
        <v>343</v>
      </c>
      <c r="AA195" s="148">
        <v>2087</v>
      </c>
      <c r="AB195" s="148">
        <v>797</v>
      </c>
      <c r="AC195" s="148">
        <v>885</v>
      </c>
      <c r="AD195" s="148">
        <v>3769</v>
      </c>
      <c r="AE195" s="148">
        <v>3769</v>
      </c>
      <c r="AF195" s="148">
        <v>0</v>
      </c>
      <c r="AG195" s="148">
        <v>3769</v>
      </c>
      <c r="AH195" s="147" t="s">
        <v>248</v>
      </c>
      <c r="AI195" s="147">
        <v>3</v>
      </c>
      <c r="AJ195" s="147" t="s">
        <v>509</v>
      </c>
    </row>
    <row r="196" spans="1:36">
      <c r="A196" s="147" t="s">
        <v>836</v>
      </c>
      <c r="B196" s="147" t="s">
        <v>502</v>
      </c>
      <c r="C196" s="147" t="s">
        <v>503</v>
      </c>
      <c r="D196" s="147" t="s">
        <v>505</v>
      </c>
      <c r="E196" s="147">
        <v>6</v>
      </c>
      <c r="F196" s="147" t="s">
        <v>507</v>
      </c>
      <c r="G196" s="147" t="s">
        <v>211</v>
      </c>
      <c r="H196" s="147">
        <v>8</v>
      </c>
      <c r="I196" s="148">
        <v>425</v>
      </c>
      <c r="J196" s="147" t="s">
        <v>343</v>
      </c>
      <c r="K196" s="147" t="s">
        <v>343</v>
      </c>
      <c r="L196" s="147" t="s">
        <v>343</v>
      </c>
      <c r="M196" s="147" t="s">
        <v>343</v>
      </c>
      <c r="N196" s="147" t="s">
        <v>343</v>
      </c>
      <c r="O196" s="147" t="s">
        <v>343</v>
      </c>
      <c r="P196" s="147" t="s">
        <v>343</v>
      </c>
      <c r="Q196" s="147" t="s">
        <v>343</v>
      </c>
      <c r="R196" s="147" t="s">
        <v>343</v>
      </c>
      <c r="S196" s="147" t="s">
        <v>343</v>
      </c>
      <c r="T196" s="147" t="s">
        <v>343</v>
      </c>
      <c r="U196" s="147" t="s">
        <v>343</v>
      </c>
      <c r="V196" s="148">
        <v>700</v>
      </c>
      <c r="W196" s="148">
        <v>570</v>
      </c>
      <c r="X196" s="148">
        <v>415</v>
      </c>
      <c r="Y196" s="148">
        <v>400</v>
      </c>
      <c r="Z196" s="148">
        <v>400</v>
      </c>
      <c r="AA196" s="148">
        <v>400</v>
      </c>
      <c r="AB196" s="148">
        <v>400</v>
      </c>
      <c r="AC196" s="148">
        <v>475</v>
      </c>
      <c r="AD196" s="148">
        <v>3760</v>
      </c>
      <c r="AE196" s="148">
        <v>3760</v>
      </c>
      <c r="AF196" s="148">
        <v>700</v>
      </c>
      <c r="AG196" s="148">
        <v>3060</v>
      </c>
      <c r="AH196" s="147" t="s">
        <v>248</v>
      </c>
      <c r="AI196" s="147">
        <v>8</v>
      </c>
      <c r="AJ196" s="147" t="s">
        <v>509</v>
      </c>
    </row>
    <row r="197" spans="1:36">
      <c r="A197" s="147" t="s">
        <v>837</v>
      </c>
      <c r="B197" s="147" t="s">
        <v>567</v>
      </c>
      <c r="C197" s="147" t="s">
        <v>503</v>
      </c>
      <c r="D197" s="147" t="s">
        <v>621</v>
      </c>
      <c r="E197" s="147">
        <v>14</v>
      </c>
      <c r="F197" s="147" t="s">
        <v>507</v>
      </c>
      <c r="G197" s="147" t="s">
        <v>243</v>
      </c>
      <c r="H197" s="147">
        <v>5</v>
      </c>
      <c r="I197" s="148">
        <v>632.33333333333337</v>
      </c>
      <c r="J197" s="147" t="s">
        <v>248</v>
      </c>
      <c r="K197" s="147" t="s">
        <v>343</v>
      </c>
      <c r="L197" s="147" t="s">
        <v>343</v>
      </c>
      <c r="M197" s="147" t="s">
        <v>343</v>
      </c>
      <c r="N197" s="147" t="s">
        <v>343</v>
      </c>
      <c r="O197" s="147" t="s">
        <v>343</v>
      </c>
      <c r="P197" s="147" t="s">
        <v>343</v>
      </c>
      <c r="Q197" s="147" t="s">
        <v>343</v>
      </c>
      <c r="R197" s="147" t="s">
        <v>343</v>
      </c>
      <c r="S197" s="147" t="s">
        <v>343</v>
      </c>
      <c r="T197" s="147" t="s">
        <v>343</v>
      </c>
      <c r="U197" s="147" t="s">
        <v>343</v>
      </c>
      <c r="V197" s="147" t="s">
        <v>343</v>
      </c>
      <c r="W197" s="147" t="s">
        <v>343</v>
      </c>
      <c r="X197" s="148">
        <v>1053</v>
      </c>
      <c r="Y197" s="148">
        <v>798</v>
      </c>
      <c r="Z197" s="148">
        <v>623</v>
      </c>
      <c r="AA197" s="148">
        <v>668</v>
      </c>
      <c r="AB197" s="148">
        <v>606</v>
      </c>
      <c r="AC197" s="147" t="s">
        <v>343</v>
      </c>
      <c r="AD197" s="148">
        <v>3748</v>
      </c>
      <c r="AE197" s="148">
        <v>3748</v>
      </c>
      <c r="AF197" s="148">
        <v>0</v>
      </c>
      <c r="AG197" s="148">
        <v>3748</v>
      </c>
      <c r="AH197" s="147" t="s">
        <v>247</v>
      </c>
      <c r="AI197" s="147">
        <v>5</v>
      </c>
      <c r="AJ197" s="147" t="s">
        <v>509</v>
      </c>
    </row>
    <row r="198" spans="1:36">
      <c r="A198" s="147" t="s">
        <v>839</v>
      </c>
      <c r="B198" s="147" t="s">
        <v>502</v>
      </c>
      <c r="C198" s="147" t="s">
        <v>503</v>
      </c>
      <c r="D198" s="147" t="s">
        <v>612</v>
      </c>
      <c r="E198" s="147">
        <v>25</v>
      </c>
      <c r="F198" s="147" t="s">
        <v>560</v>
      </c>
      <c r="G198" s="147" t="s">
        <v>245</v>
      </c>
      <c r="H198" s="147">
        <v>4</v>
      </c>
      <c r="I198" s="148">
        <v>760</v>
      </c>
      <c r="J198" s="147" t="s">
        <v>343</v>
      </c>
      <c r="K198" s="147" t="s">
        <v>343</v>
      </c>
      <c r="L198" s="147" t="s">
        <v>343</v>
      </c>
      <c r="M198" s="147" t="s">
        <v>343</v>
      </c>
      <c r="N198" s="147" t="s">
        <v>343</v>
      </c>
      <c r="O198" s="147" t="s">
        <v>343</v>
      </c>
      <c r="P198" s="147" t="s">
        <v>343</v>
      </c>
      <c r="Q198" s="147" t="s">
        <v>343</v>
      </c>
      <c r="R198" s="147" t="s">
        <v>343</v>
      </c>
      <c r="S198" s="147" t="s">
        <v>343</v>
      </c>
      <c r="T198" s="147" t="s">
        <v>343</v>
      </c>
      <c r="U198" s="147" t="s">
        <v>343</v>
      </c>
      <c r="V198" s="147" t="s">
        <v>343</v>
      </c>
      <c r="W198" s="147" t="s">
        <v>343</v>
      </c>
      <c r="X198" s="147" t="s">
        <v>343</v>
      </c>
      <c r="Y198" s="147" t="s">
        <v>343</v>
      </c>
      <c r="Z198" s="148">
        <v>1380</v>
      </c>
      <c r="AA198" s="148">
        <v>780</v>
      </c>
      <c r="AB198" s="148">
        <v>750</v>
      </c>
      <c r="AC198" s="148">
        <v>750</v>
      </c>
      <c r="AD198" s="148">
        <v>3660</v>
      </c>
      <c r="AE198" s="148">
        <v>3660</v>
      </c>
      <c r="AF198" s="148">
        <v>0</v>
      </c>
      <c r="AG198" s="148">
        <v>3660</v>
      </c>
      <c r="AH198" s="147" t="s">
        <v>248</v>
      </c>
      <c r="AI198" s="147">
        <v>4</v>
      </c>
      <c r="AJ198" s="147" t="s">
        <v>509</v>
      </c>
    </row>
    <row r="199" spans="1:36">
      <c r="A199" s="147" t="s">
        <v>840</v>
      </c>
      <c r="B199" s="147" t="s">
        <v>502</v>
      </c>
      <c r="C199" s="147" t="s">
        <v>683</v>
      </c>
      <c r="D199" s="147" t="s">
        <v>343</v>
      </c>
      <c r="E199" s="147" t="s">
        <v>343</v>
      </c>
      <c r="F199" s="147" t="s">
        <v>709</v>
      </c>
      <c r="G199" s="147" t="s">
        <v>125</v>
      </c>
      <c r="H199" s="147">
        <v>28</v>
      </c>
      <c r="I199" s="148">
        <v>306.66666666666669</v>
      </c>
      <c r="J199" s="147" t="s">
        <v>343</v>
      </c>
      <c r="K199" s="148">
        <v>320</v>
      </c>
      <c r="L199" s="148">
        <v>320</v>
      </c>
      <c r="M199" s="148">
        <v>320</v>
      </c>
      <c r="N199" s="148">
        <v>320</v>
      </c>
      <c r="O199" s="148">
        <v>320</v>
      </c>
      <c r="P199" s="148">
        <v>300</v>
      </c>
      <c r="Q199" s="148">
        <v>300</v>
      </c>
      <c r="R199" s="148">
        <v>300</v>
      </c>
      <c r="S199" s="148">
        <v>300</v>
      </c>
      <c r="T199" s="148">
        <v>300</v>
      </c>
      <c r="U199" s="148">
        <v>300</v>
      </c>
      <c r="V199" s="148">
        <v>300</v>
      </c>
      <c r="W199" s="148">
        <v>300</v>
      </c>
      <c r="X199" s="148">
        <v>300</v>
      </c>
      <c r="Y199" s="148">
        <v>300</v>
      </c>
      <c r="Z199" s="148">
        <v>300</v>
      </c>
      <c r="AA199" s="148">
        <v>300</v>
      </c>
      <c r="AB199" s="148">
        <v>310</v>
      </c>
      <c r="AC199" s="148">
        <v>310</v>
      </c>
      <c r="AD199" s="148">
        <v>5820</v>
      </c>
      <c r="AE199" s="148">
        <v>3620</v>
      </c>
      <c r="AF199" s="148">
        <v>3700</v>
      </c>
      <c r="AG199" s="148">
        <v>2120</v>
      </c>
      <c r="AH199" s="147" t="s">
        <v>248</v>
      </c>
      <c r="AI199" s="147">
        <v>19</v>
      </c>
      <c r="AJ199" s="147" t="s">
        <v>509</v>
      </c>
    </row>
    <row r="200" spans="1:36">
      <c r="A200" s="147" t="s">
        <v>841</v>
      </c>
      <c r="B200" s="147" t="s">
        <v>502</v>
      </c>
      <c r="C200" s="147" t="s">
        <v>503</v>
      </c>
      <c r="D200" s="147" t="s">
        <v>505</v>
      </c>
      <c r="E200" s="147">
        <v>2</v>
      </c>
      <c r="F200" s="147" t="s">
        <v>560</v>
      </c>
      <c r="G200" s="147" t="s">
        <v>208</v>
      </c>
      <c r="H200" s="147">
        <v>11</v>
      </c>
      <c r="I200" s="148">
        <v>407.12333333333328</v>
      </c>
      <c r="J200" s="147" t="s">
        <v>343</v>
      </c>
      <c r="K200" s="147" t="s">
        <v>343</v>
      </c>
      <c r="L200" s="147" t="s">
        <v>343</v>
      </c>
      <c r="M200" s="147" t="s">
        <v>343</v>
      </c>
      <c r="N200" s="147" t="s">
        <v>343</v>
      </c>
      <c r="O200" s="147" t="s">
        <v>343</v>
      </c>
      <c r="P200" s="147" t="s">
        <v>343</v>
      </c>
      <c r="Q200" s="147" t="s">
        <v>343</v>
      </c>
      <c r="R200" s="147" t="s">
        <v>343</v>
      </c>
      <c r="S200" s="147" t="s">
        <v>343</v>
      </c>
      <c r="T200" s="148">
        <v>440</v>
      </c>
      <c r="U200" s="148">
        <v>290</v>
      </c>
      <c r="V200" s="148">
        <v>290</v>
      </c>
      <c r="W200" s="148">
        <v>290</v>
      </c>
      <c r="X200" s="148">
        <v>305</v>
      </c>
      <c r="Y200" s="148">
        <v>290</v>
      </c>
      <c r="Z200" s="148">
        <v>440</v>
      </c>
      <c r="AA200" s="148">
        <v>440</v>
      </c>
      <c r="AB200" s="148">
        <v>341.37</v>
      </c>
      <c r="AC200" s="148">
        <v>440</v>
      </c>
      <c r="AD200" s="148">
        <v>3566.37</v>
      </c>
      <c r="AE200" s="148">
        <v>3566.37</v>
      </c>
      <c r="AF200" s="148">
        <v>1020</v>
      </c>
      <c r="AG200" s="148">
        <v>2546.37</v>
      </c>
      <c r="AH200" s="147" t="s">
        <v>248</v>
      </c>
      <c r="AI200" s="147">
        <v>10</v>
      </c>
      <c r="AJ200" s="147" t="s">
        <v>509</v>
      </c>
    </row>
    <row r="201" spans="1:36">
      <c r="A201" s="147" t="s">
        <v>842</v>
      </c>
      <c r="B201" s="147" t="s">
        <v>502</v>
      </c>
      <c r="C201" s="147" t="s">
        <v>683</v>
      </c>
      <c r="D201" s="147" t="s">
        <v>343</v>
      </c>
      <c r="E201" s="147" t="s">
        <v>343</v>
      </c>
      <c r="F201" s="147" t="s">
        <v>709</v>
      </c>
      <c r="G201" s="147" t="s">
        <v>210</v>
      </c>
      <c r="H201" s="147">
        <v>9</v>
      </c>
      <c r="I201" s="148">
        <v>400</v>
      </c>
      <c r="J201" s="147" t="s">
        <v>343</v>
      </c>
      <c r="K201" s="147" t="s">
        <v>343</v>
      </c>
      <c r="L201" s="147" t="s">
        <v>343</v>
      </c>
      <c r="M201" s="147" t="s">
        <v>343</v>
      </c>
      <c r="N201" s="147" t="s">
        <v>343</v>
      </c>
      <c r="O201" s="147" t="s">
        <v>343</v>
      </c>
      <c r="P201" s="147" t="s">
        <v>343</v>
      </c>
      <c r="Q201" s="147" t="s">
        <v>343</v>
      </c>
      <c r="R201" s="147" t="s">
        <v>343</v>
      </c>
      <c r="S201" s="147" t="s">
        <v>343</v>
      </c>
      <c r="T201" s="147" t="s">
        <v>343</v>
      </c>
      <c r="U201" s="148">
        <v>350</v>
      </c>
      <c r="V201" s="148">
        <v>350</v>
      </c>
      <c r="W201" s="148">
        <v>400</v>
      </c>
      <c r="X201" s="148">
        <v>400</v>
      </c>
      <c r="Y201" s="148">
        <v>400</v>
      </c>
      <c r="Z201" s="148">
        <v>400</v>
      </c>
      <c r="AA201" s="148">
        <v>400</v>
      </c>
      <c r="AB201" s="148">
        <v>400</v>
      </c>
      <c r="AC201" s="148">
        <v>400</v>
      </c>
      <c r="AD201" s="148">
        <v>3500</v>
      </c>
      <c r="AE201" s="148">
        <v>3500</v>
      </c>
      <c r="AF201" s="148">
        <v>700</v>
      </c>
      <c r="AG201" s="148">
        <v>2800</v>
      </c>
      <c r="AH201" s="147" t="s">
        <v>248</v>
      </c>
      <c r="AI201" s="147">
        <v>9</v>
      </c>
      <c r="AJ201" s="147" t="s">
        <v>509</v>
      </c>
    </row>
    <row r="202" spans="1:36">
      <c r="A202" s="147" t="s">
        <v>843</v>
      </c>
      <c r="B202" s="147" t="s">
        <v>567</v>
      </c>
      <c r="C202" s="147" t="s">
        <v>503</v>
      </c>
      <c r="D202" s="147" t="s">
        <v>505</v>
      </c>
      <c r="E202" s="147">
        <v>4</v>
      </c>
      <c r="F202" s="147" t="s">
        <v>568</v>
      </c>
      <c r="G202" s="147" t="s">
        <v>128</v>
      </c>
      <c r="H202" s="147">
        <v>21</v>
      </c>
      <c r="I202" s="148">
        <v>400</v>
      </c>
      <c r="J202" s="147" t="s">
        <v>245</v>
      </c>
      <c r="K202" s="148">
        <v>395</v>
      </c>
      <c r="L202" s="148">
        <v>395</v>
      </c>
      <c r="M202" s="148">
        <v>395</v>
      </c>
      <c r="N202" s="148">
        <v>395</v>
      </c>
      <c r="O202" s="148">
        <v>395</v>
      </c>
      <c r="P202" s="148">
        <v>395</v>
      </c>
      <c r="Q202" s="148">
        <v>400</v>
      </c>
      <c r="R202" s="148">
        <v>400</v>
      </c>
      <c r="S202" s="148">
        <v>400</v>
      </c>
      <c r="T202" s="148">
        <v>655</v>
      </c>
      <c r="U202" s="148">
        <v>400</v>
      </c>
      <c r="V202" s="148">
        <v>400</v>
      </c>
      <c r="W202" s="148">
        <v>400</v>
      </c>
      <c r="X202" s="148">
        <v>400</v>
      </c>
      <c r="Y202" s="148">
        <v>400</v>
      </c>
      <c r="Z202" s="147" t="s">
        <v>343</v>
      </c>
      <c r="AA202" s="147" t="s">
        <v>343</v>
      </c>
      <c r="AB202" s="147" t="s">
        <v>343</v>
      </c>
      <c r="AC202" s="147" t="s">
        <v>343</v>
      </c>
      <c r="AD202" s="148">
        <v>6225</v>
      </c>
      <c r="AE202" s="148">
        <v>3455</v>
      </c>
      <c r="AF202" s="148">
        <v>5025</v>
      </c>
      <c r="AG202" s="148">
        <v>1200</v>
      </c>
      <c r="AH202" s="147" t="s">
        <v>244</v>
      </c>
      <c r="AI202" s="147">
        <v>15</v>
      </c>
      <c r="AJ202" s="147" t="s">
        <v>510</v>
      </c>
    </row>
    <row r="203" spans="1:36">
      <c r="A203" s="147" t="s">
        <v>844</v>
      </c>
      <c r="B203" s="147" t="s">
        <v>567</v>
      </c>
      <c r="C203" s="147" t="s">
        <v>637</v>
      </c>
      <c r="D203" s="147" t="s">
        <v>343</v>
      </c>
      <c r="E203" s="147" t="s">
        <v>343</v>
      </c>
      <c r="F203" s="147" t="s">
        <v>640</v>
      </c>
      <c r="G203" s="147" t="s">
        <v>762</v>
      </c>
      <c r="H203" s="147">
        <v>47</v>
      </c>
      <c r="I203" s="148">
        <v>285</v>
      </c>
      <c r="J203" s="147" t="s">
        <v>627</v>
      </c>
      <c r="K203" s="148">
        <v>335</v>
      </c>
      <c r="L203" s="148">
        <v>275</v>
      </c>
      <c r="M203" s="148">
        <v>275</v>
      </c>
      <c r="N203" s="148">
        <v>275</v>
      </c>
      <c r="O203" s="148">
        <v>275</v>
      </c>
      <c r="P203" s="148">
        <v>275</v>
      </c>
      <c r="Q203" s="148">
        <v>275</v>
      </c>
      <c r="R203" s="148">
        <v>275</v>
      </c>
      <c r="S203" s="148">
        <v>285</v>
      </c>
      <c r="T203" s="148">
        <v>285</v>
      </c>
      <c r="U203" s="148">
        <v>285</v>
      </c>
      <c r="V203" s="148">
        <v>285</v>
      </c>
      <c r="W203" s="148">
        <v>285</v>
      </c>
      <c r="X203" s="148">
        <v>315</v>
      </c>
      <c r="Y203" s="148">
        <v>285</v>
      </c>
      <c r="Z203" s="148">
        <v>285</v>
      </c>
      <c r="AA203" s="148">
        <v>285</v>
      </c>
      <c r="AB203" s="148">
        <v>285</v>
      </c>
      <c r="AC203" s="148">
        <v>285</v>
      </c>
      <c r="AD203" s="148">
        <v>5425</v>
      </c>
      <c r="AE203" s="148">
        <v>3440</v>
      </c>
      <c r="AF203" s="148">
        <v>3400</v>
      </c>
      <c r="AG203" s="148">
        <v>2025</v>
      </c>
      <c r="AH203" s="147" t="s">
        <v>248</v>
      </c>
      <c r="AI203" s="147">
        <v>19</v>
      </c>
      <c r="AJ203" s="147" t="s">
        <v>509</v>
      </c>
    </row>
    <row r="204" spans="1:36">
      <c r="A204" s="147" t="s">
        <v>845</v>
      </c>
      <c r="B204" s="147" t="s">
        <v>567</v>
      </c>
      <c r="C204" s="147" t="s">
        <v>683</v>
      </c>
      <c r="D204" s="147" t="s">
        <v>343</v>
      </c>
      <c r="E204" s="147" t="s">
        <v>343</v>
      </c>
      <c r="F204" s="147" t="s">
        <v>640</v>
      </c>
      <c r="G204" s="147" t="s">
        <v>211</v>
      </c>
      <c r="H204" s="147">
        <v>6</v>
      </c>
      <c r="I204" s="148">
        <v>560</v>
      </c>
      <c r="J204" s="147" t="s">
        <v>247</v>
      </c>
      <c r="K204" s="147" t="s">
        <v>343</v>
      </c>
      <c r="L204" s="147" t="s">
        <v>343</v>
      </c>
      <c r="M204" s="147" t="s">
        <v>343</v>
      </c>
      <c r="N204" s="147" t="s">
        <v>343</v>
      </c>
      <c r="O204" s="147" t="s">
        <v>343</v>
      </c>
      <c r="P204" s="147" t="s">
        <v>343</v>
      </c>
      <c r="Q204" s="147" t="s">
        <v>343</v>
      </c>
      <c r="R204" s="147" t="s">
        <v>343</v>
      </c>
      <c r="S204" s="147" t="s">
        <v>343</v>
      </c>
      <c r="T204" s="147" t="s">
        <v>343</v>
      </c>
      <c r="U204" s="147" t="s">
        <v>343</v>
      </c>
      <c r="V204" s="148">
        <v>640</v>
      </c>
      <c r="W204" s="148">
        <v>425</v>
      </c>
      <c r="X204" s="148">
        <v>595</v>
      </c>
      <c r="Y204" s="148">
        <v>700</v>
      </c>
      <c r="Z204" s="148">
        <v>420</v>
      </c>
      <c r="AA204" s="148">
        <v>560</v>
      </c>
      <c r="AB204" s="147" t="s">
        <v>343</v>
      </c>
      <c r="AC204" s="147" t="s">
        <v>343</v>
      </c>
      <c r="AD204" s="148">
        <v>3340</v>
      </c>
      <c r="AE204" s="148">
        <v>3340</v>
      </c>
      <c r="AF204" s="148">
        <v>640</v>
      </c>
      <c r="AG204" s="148">
        <v>2700</v>
      </c>
      <c r="AH204" s="147" t="s">
        <v>246</v>
      </c>
      <c r="AI204" s="147">
        <v>6</v>
      </c>
      <c r="AJ204" s="147" t="s">
        <v>510</v>
      </c>
    </row>
    <row r="205" spans="1:36">
      <c r="A205" s="147" t="s">
        <v>846</v>
      </c>
      <c r="B205" s="147" t="s">
        <v>19</v>
      </c>
      <c r="C205" s="147" t="s">
        <v>503</v>
      </c>
      <c r="D205" s="147" t="s">
        <v>343</v>
      </c>
      <c r="E205" s="147">
        <v>15</v>
      </c>
      <c r="F205" s="147" t="s">
        <v>507</v>
      </c>
      <c r="G205" s="147" t="s">
        <v>247</v>
      </c>
      <c r="H205" s="147">
        <v>2</v>
      </c>
      <c r="I205" s="148">
        <v>1662.5</v>
      </c>
      <c r="J205" s="147" t="s">
        <v>343</v>
      </c>
      <c r="K205" s="147" t="s">
        <v>343</v>
      </c>
      <c r="L205" s="147" t="s">
        <v>343</v>
      </c>
      <c r="M205" s="147" t="s">
        <v>343</v>
      </c>
      <c r="N205" s="147" t="s">
        <v>343</v>
      </c>
      <c r="O205" s="147" t="s">
        <v>343</v>
      </c>
      <c r="P205" s="147" t="s">
        <v>343</v>
      </c>
      <c r="Q205" s="147" t="s">
        <v>343</v>
      </c>
      <c r="R205" s="147" t="s">
        <v>343</v>
      </c>
      <c r="S205" s="147" t="s">
        <v>343</v>
      </c>
      <c r="T205" s="147" t="s">
        <v>343</v>
      </c>
      <c r="U205" s="147" t="s">
        <v>343</v>
      </c>
      <c r="V205" s="147" t="s">
        <v>343</v>
      </c>
      <c r="W205" s="147" t="s">
        <v>343</v>
      </c>
      <c r="X205" s="147" t="s">
        <v>343</v>
      </c>
      <c r="Y205" s="147" t="s">
        <v>343</v>
      </c>
      <c r="Z205" s="147" t="s">
        <v>343</v>
      </c>
      <c r="AA205" s="147" t="s">
        <v>343</v>
      </c>
      <c r="AB205" s="148">
        <v>2360</v>
      </c>
      <c r="AC205" s="148">
        <v>965</v>
      </c>
      <c r="AD205" s="148">
        <v>3325</v>
      </c>
      <c r="AE205" s="148">
        <v>3325</v>
      </c>
      <c r="AF205" s="148">
        <v>0</v>
      </c>
      <c r="AG205" s="148">
        <v>3325</v>
      </c>
      <c r="AH205" s="147" t="s">
        <v>248</v>
      </c>
      <c r="AI205" s="147">
        <v>2</v>
      </c>
      <c r="AJ205" s="147" t="s">
        <v>509</v>
      </c>
    </row>
    <row r="206" spans="1:36">
      <c r="A206" s="147" t="s">
        <v>848</v>
      </c>
      <c r="B206" s="147" t="s">
        <v>502</v>
      </c>
      <c r="C206" s="147" t="s">
        <v>503</v>
      </c>
      <c r="D206" s="147" t="s">
        <v>621</v>
      </c>
      <c r="E206" s="147">
        <v>10</v>
      </c>
      <c r="F206" s="147" t="s">
        <v>507</v>
      </c>
      <c r="G206" s="147" t="s">
        <v>243</v>
      </c>
      <c r="H206" s="147">
        <v>6</v>
      </c>
      <c r="I206" s="148">
        <v>585.33333333333337</v>
      </c>
      <c r="J206" s="147" t="s">
        <v>343</v>
      </c>
      <c r="K206" s="147" t="s">
        <v>343</v>
      </c>
      <c r="L206" s="147" t="s">
        <v>343</v>
      </c>
      <c r="M206" s="147" t="s">
        <v>343</v>
      </c>
      <c r="N206" s="147" t="s">
        <v>343</v>
      </c>
      <c r="O206" s="147" t="s">
        <v>343</v>
      </c>
      <c r="P206" s="147" t="s">
        <v>343</v>
      </c>
      <c r="Q206" s="147" t="s">
        <v>343</v>
      </c>
      <c r="R206" s="147" t="s">
        <v>343</v>
      </c>
      <c r="S206" s="147" t="s">
        <v>343</v>
      </c>
      <c r="T206" s="147" t="s">
        <v>343</v>
      </c>
      <c r="U206" s="147" t="s">
        <v>343</v>
      </c>
      <c r="V206" s="147" t="s">
        <v>343</v>
      </c>
      <c r="W206" s="147" t="s">
        <v>343</v>
      </c>
      <c r="X206" s="148">
        <v>668</v>
      </c>
      <c r="Y206" s="148">
        <v>390</v>
      </c>
      <c r="Z206" s="148">
        <v>464</v>
      </c>
      <c r="AA206" s="148">
        <v>544</v>
      </c>
      <c r="AB206" s="148">
        <v>606</v>
      </c>
      <c r="AC206" s="148">
        <v>606</v>
      </c>
      <c r="AD206" s="148">
        <v>3278</v>
      </c>
      <c r="AE206" s="148">
        <v>3278</v>
      </c>
      <c r="AF206" s="148">
        <v>0</v>
      </c>
      <c r="AG206" s="148">
        <v>3278</v>
      </c>
      <c r="AH206" s="147" t="s">
        <v>248</v>
      </c>
      <c r="AI206" s="147">
        <v>6</v>
      </c>
      <c r="AJ206" s="147" t="s">
        <v>509</v>
      </c>
    </row>
    <row r="207" spans="1:36">
      <c r="A207" s="147" t="s">
        <v>849</v>
      </c>
      <c r="B207" s="147" t="s">
        <v>567</v>
      </c>
      <c r="C207" s="147" t="s">
        <v>637</v>
      </c>
      <c r="D207" s="147" t="s">
        <v>343</v>
      </c>
      <c r="E207" s="147" t="s">
        <v>343</v>
      </c>
      <c r="F207" s="147" t="s">
        <v>640</v>
      </c>
      <c r="G207" s="147" t="s">
        <v>639</v>
      </c>
      <c r="H207" s="147">
        <v>63</v>
      </c>
      <c r="I207" s="148">
        <v>285</v>
      </c>
      <c r="J207" s="147" t="s">
        <v>627</v>
      </c>
      <c r="K207" s="148">
        <v>295</v>
      </c>
      <c r="L207" s="148">
        <v>250</v>
      </c>
      <c r="M207" s="148">
        <v>250</v>
      </c>
      <c r="N207" s="148">
        <v>250</v>
      </c>
      <c r="O207" s="148">
        <v>250</v>
      </c>
      <c r="P207" s="148">
        <v>250</v>
      </c>
      <c r="Q207" s="148">
        <v>250</v>
      </c>
      <c r="R207" s="148">
        <v>250</v>
      </c>
      <c r="S207" s="148">
        <v>250</v>
      </c>
      <c r="T207" s="148">
        <v>250</v>
      </c>
      <c r="U207" s="148">
        <v>250</v>
      </c>
      <c r="V207" s="148">
        <v>250</v>
      </c>
      <c r="W207" s="148">
        <v>285</v>
      </c>
      <c r="X207" s="148">
        <v>300</v>
      </c>
      <c r="Y207" s="148">
        <v>285</v>
      </c>
      <c r="Z207" s="148">
        <v>285</v>
      </c>
      <c r="AA207" s="148">
        <v>285</v>
      </c>
      <c r="AB207" s="148">
        <v>285</v>
      </c>
      <c r="AC207" s="148">
        <v>285</v>
      </c>
      <c r="AD207" s="148">
        <v>5055</v>
      </c>
      <c r="AE207" s="148">
        <v>3260</v>
      </c>
      <c r="AF207" s="148">
        <v>3045</v>
      </c>
      <c r="AG207" s="148">
        <v>2010</v>
      </c>
      <c r="AH207" s="147" t="s">
        <v>248</v>
      </c>
      <c r="AI207" s="147">
        <v>19</v>
      </c>
      <c r="AJ207" s="147" t="s">
        <v>509</v>
      </c>
    </row>
    <row r="208" spans="1:36">
      <c r="A208" s="147" t="s">
        <v>851</v>
      </c>
      <c r="B208" s="147" t="s">
        <v>502</v>
      </c>
      <c r="C208" s="147" t="s">
        <v>503</v>
      </c>
      <c r="D208" s="147" t="s">
        <v>505</v>
      </c>
      <c r="E208" s="147">
        <v>4</v>
      </c>
      <c r="F208" s="147" t="s">
        <v>560</v>
      </c>
      <c r="G208" s="147" t="s">
        <v>210</v>
      </c>
      <c r="H208" s="147">
        <v>9</v>
      </c>
      <c r="I208" s="148">
        <v>400</v>
      </c>
      <c r="J208" s="147" t="s">
        <v>343</v>
      </c>
      <c r="K208" s="147" t="s">
        <v>343</v>
      </c>
      <c r="L208" s="147" t="s">
        <v>343</v>
      </c>
      <c r="M208" s="147" t="s">
        <v>343</v>
      </c>
      <c r="N208" s="147" t="s">
        <v>343</v>
      </c>
      <c r="O208" s="147" t="s">
        <v>343</v>
      </c>
      <c r="P208" s="147" t="s">
        <v>343</v>
      </c>
      <c r="Q208" s="147" t="s">
        <v>343</v>
      </c>
      <c r="R208" s="147" t="s">
        <v>343</v>
      </c>
      <c r="S208" s="147" t="s">
        <v>343</v>
      </c>
      <c r="T208" s="147" t="s">
        <v>343</v>
      </c>
      <c r="U208" s="148">
        <v>400</v>
      </c>
      <c r="V208" s="148">
        <v>325</v>
      </c>
      <c r="W208" s="148">
        <v>325</v>
      </c>
      <c r="X208" s="148">
        <v>415</v>
      </c>
      <c r="Y208" s="148">
        <v>250</v>
      </c>
      <c r="Z208" s="148">
        <v>325</v>
      </c>
      <c r="AA208" s="148">
        <v>400</v>
      </c>
      <c r="AB208" s="148">
        <v>400</v>
      </c>
      <c r="AC208" s="148">
        <v>400</v>
      </c>
      <c r="AD208" s="148">
        <v>3240</v>
      </c>
      <c r="AE208" s="148">
        <v>3240</v>
      </c>
      <c r="AF208" s="148">
        <v>725</v>
      </c>
      <c r="AG208" s="148">
        <v>2515</v>
      </c>
      <c r="AH208" s="147" t="s">
        <v>248</v>
      </c>
      <c r="AI208" s="147">
        <v>9</v>
      </c>
      <c r="AJ208" s="147" t="s">
        <v>509</v>
      </c>
    </row>
    <row r="209" spans="1:36">
      <c r="A209" s="147" t="s">
        <v>852</v>
      </c>
      <c r="B209" s="147" t="s">
        <v>502</v>
      </c>
      <c r="C209" s="147" t="s">
        <v>503</v>
      </c>
      <c r="D209" s="147" t="s">
        <v>612</v>
      </c>
      <c r="E209" s="147">
        <v>10</v>
      </c>
      <c r="F209" s="147" t="s">
        <v>560</v>
      </c>
      <c r="G209" s="147" t="s">
        <v>209</v>
      </c>
      <c r="H209" s="147">
        <v>10</v>
      </c>
      <c r="I209" s="148">
        <v>350</v>
      </c>
      <c r="J209" s="147" t="s">
        <v>343</v>
      </c>
      <c r="K209" s="147" t="s">
        <v>343</v>
      </c>
      <c r="L209" s="147" t="s">
        <v>343</v>
      </c>
      <c r="M209" s="147" t="s">
        <v>343</v>
      </c>
      <c r="N209" s="147" t="s">
        <v>343</v>
      </c>
      <c r="O209" s="147" t="s">
        <v>343</v>
      </c>
      <c r="P209" s="147" t="s">
        <v>343</v>
      </c>
      <c r="Q209" s="147" t="s">
        <v>343</v>
      </c>
      <c r="R209" s="147" t="s">
        <v>343</v>
      </c>
      <c r="S209" s="147" t="s">
        <v>343</v>
      </c>
      <c r="T209" s="148">
        <v>595</v>
      </c>
      <c r="U209" s="147" t="s">
        <v>343</v>
      </c>
      <c r="V209" s="147" t="s">
        <v>343</v>
      </c>
      <c r="W209" s="148">
        <v>565</v>
      </c>
      <c r="X209" s="148">
        <v>315</v>
      </c>
      <c r="Y209" s="148">
        <v>350</v>
      </c>
      <c r="Z209" s="148">
        <v>350</v>
      </c>
      <c r="AA209" s="148">
        <v>350</v>
      </c>
      <c r="AB209" s="148">
        <v>350</v>
      </c>
      <c r="AC209" s="148">
        <v>350</v>
      </c>
      <c r="AD209" s="148">
        <v>3225</v>
      </c>
      <c r="AE209" s="148">
        <v>3225</v>
      </c>
      <c r="AF209" s="148">
        <v>595</v>
      </c>
      <c r="AG209" s="148">
        <v>2630</v>
      </c>
      <c r="AH209" s="147" t="s">
        <v>248</v>
      </c>
      <c r="AI209" s="147">
        <v>8</v>
      </c>
      <c r="AJ209" s="147" t="s">
        <v>509</v>
      </c>
    </row>
    <row r="210" spans="1:36">
      <c r="A210" s="147" t="s">
        <v>853</v>
      </c>
      <c r="B210" s="147" t="s">
        <v>502</v>
      </c>
      <c r="C210" s="147" t="s">
        <v>503</v>
      </c>
      <c r="D210" s="147" t="s">
        <v>612</v>
      </c>
      <c r="E210" s="147">
        <v>12</v>
      </c>
      <c r="F210" s="147" t="s">
        <v>560</v>
      </c>
      <c r="G210" s="147" t="s">
        <v>242</v>
      </c>
      <c r="H210" s="147">
        <v>7</v>
      </c>
      <c r="I210" s="148">
        <v>420</v>
      </c>
      <c r="J210" s="147" t="s">
        <v>343</v>
      </c>
      <c r="K210" s="147" t="s">
        <v>343</v>
      </c>
      <c r="L210" s="147" t="s">
        <v>343</v>
      </c>
      <c r="M210" s="147" t="s">
        <v>343</v>
      </c>
      <c r="N210" s="147" t="s">
        <v>343</v>
      </c>
      <c r="O210" s="147" t="s">
        <v>343</v>
      </c>
      <c r="P210" s="147" t="s">
        <v>343</v>
      </c>
      <c r="Q210" s="147" t="s">
        <v>343</v>
      </c>
      <c r="R210" s="147" t="s">
        <v>343</v>
      </c>
      <c r="S210" s="147" t="s">
        <v>343</v>
      </c>
      <c r="T210" s="147" t="s">
        <v>343</v>
      </c>
      <c r="U210" s="147" t="s">
        <v>343</v>
      </c>
      <c r="V210" s="147" t="s">
        <v>343</v>
      </c>
      <c r="W210" s="148">
        <v>630</v>
      </c>
      <c r="X210" s="148">
        <v>420</v>
      </c>
      <c r="Y210" s="148">
        <v>455</v>
      </c>
      <c r="Z210" s="148">
        <v>455</v>
      </c>
      <c r="AA210" s="148">
        <v>420</v>
      </c>
      <c r="AB210" s="148">
        <v>420</v>
      </c>
      <c r="AC210" s="148">
        <v>420</v>
      </c>
      <c r="AD210" s="148">
        <v>3220</v>
      </c>
      <c r="AE210" s="148">
        <v>3220</v>
      </c>
      <c r="AF210" s="148">
        <v>0</v>
      </c>
      <c r="AG210" s="148">
        <v>3220</v>
      </c>
      <c r="AH210" s="147" t="s">
        <v>248</v>
      </c>
      <c r="AI210" s="147">
        <v>7</v>
      </c>
      <c r="AJ210" s="147" t="s">
        <v>509</v>
      </c>
    </row>
    <row r="211" spans="1:36">
      <c r="A211" s="147" t="s">
        <v>854</v>
      </c>
      <c r="B211" s="147" t="s">
        <v>567</v>
      </c>
      <c r="C211" s="147" t="s">
        <v>503</v>
      </c>
      <c r="D211" s="147" t="s">
        <v>621</v>
      </c>
      <c r="E211" s="147">
        <v>9</v>
      </c>
      <c r="F211" s="147" t="s">
        <v>568</v>
      </c>
      <c r="G211" s="147" t="s">
        <v>211</v>
      </c>
      <c r="H211" s="147">
        <v>6</v>
      </c>
      <c r="I211" s="148">
        <v>626.66666666666663</v>
      </c>
      <c r="J211" s="147" t="s">
        <v>247</v>
      </c>
      <c r="K211" s="147" t="s">
        <v>343</v>
      </c>
      <c r="L211" s="147" t="s">
        <v>343</v>
      </c>
      <c r="M211" s="147" t="s">
        <v>343</v>
      </c>
      <c r="N211" s="147" t="s">
        <v>343</v>
      </c>
      <c r="O211" s="147" t="s">
        <v>343</v>
      </c>
      <c r="P211" s="147" t="s">
        <v>343</v>
      </c>
      <c r="Q211" s="147" t="s">
        <v>343</v>
      </c>
      <c r="R211" s="147" t="s">
        <v>343</v>
      </c>
      <c r="S211" s="147" t="s">
        <v>343</v>
      </c>
      <c r="T211" s="147" t="s">
        <v>343</v>
      </c>
      <c r="U211" s="147" t="s">
        <v>343</v>
      </c>
      <c r="V211" s="148">
        <v>973</v>
      </c>
      <c r="W211" s="148">
        <v>-183</v>
      </c>
      <c r="X211" s="148">
        <v>453</v>
      </c>
      <c r="Y211" s="148">
        <v>690</v>
      </c>
      <c r="Z211" s="148">
        <v>595</v>
      </c>
      <c r="AA211" s="148">
        <v>595</v>
      </c>
      <c r="AB211" s="147" t="s">
        <v>343</v>
      </c>
      <c r="AC211" s="147" t="s">
        <v>343</v>
      </c>
      <c r="AD211" s="148">
        <v>3123</v>
      </c>
      <c r="AE211" s="148">
        <v>3123</v>
      </c>
      <c r="AF211" s="148">
        <v>973</v>
      </c>
      <c r="AG211" s="148">
        <v>2150</v>
      </c>
      <c r="AH211" s="147" t="s">
        <v>246</v>
      </c>
      <c r="AI211" s="147">
        <v>6</v>
      </c>
      <c r="AJ211" s="147" t="s">
        <v>510</v>
      </c>
    </row>
    <row r="212" spans="1:36">
      <c r="A212" s="147" t="s">
        <v>855</v>
      </c>
      <c r="B212" s="147" t="s">
        <v>567</v>
      </c>
      <c r="C212" s="147" t="s">
        <v>503</v>
      </c>
      <c r="D212" s="147" t="s">
        <v>621</v>
      </c>
      <c r="E212" s="147">
        <v>8</v>
      </c>
      <c r="F212" s="147" t="s">
        <v>568</v>
      </c>
      <c r="G212" s="147" t="s">
        <v>242</v>
      </c>
      <c r="H212" s="147">
        <v>4</v>
      </c>
      <c r="I212" s="148">
        <v>563.33333333333337</v>
      </c>
      <c r="J212" s="147" t="s">
        <v>246</v>
      </c>
      <c r="K212" s="147" t="s">
        <v>343</v>
      </c>
      <c r="L212" s="147" t="s">
        <v>343</v>
      </c>
      <c r="M212" s="147" t="s">
        <v>343</v>
      </c>
      <c r="N212" s="147" t="s">
        <v>343</v>
      </c>
      <c r="O212" s="147" t="s">
        <v>343</v>
      </c>
      <c r="P212" s="147" t="s">
        <v>343</v>
      </c>
      <c r="Q212" s="147" t="s">
        <v>343</v>
      </c>
      <c r="R212" s="147" t="s">
        <v>343</v>
      </c>
      <c r="S212" s="147" t="s">
        <v>343</v>
      </c>
      <c r="T212" s="147" t="s">
        <v>343</v>
      </c>
      <c r="U212" s="147" t="s">
        <v>343</v>
      </c>
      <c r="V212" s="147" t="s">
        <v>343</v>
      </c>
      <c r="W212" s="148">
        <v>1345</v>
      </c>
      <c r="X212" s="148">
        <v>745</v>
      </c>
      <c r="Y212" s="148">
        <v>295</v>
      </c>
      <c r="Z212" s="148">
        <v>650</v>
      </c>
      <c r="AA212" s="147" t="s">
        <v>343</v>
      </c>
      <c r="AB212" s="147" t="s">
        <v>343</v>
      </c>
      <c r="AC212" s="147" t="s">
        <v>343</v>
      </c>
      <c r="AD212" s="148">
        <v>3035</v>
      </c>
      <c r="AE212" s="148">
        <v>3035</v>
      </c>
      <c r="AF212" s="148">
        <v>0</v>
      </c>
      <c r="AG212" s="148">
        <v>3035</v>
      </c>
      <c r="AH212" s="147" t="s">
        <v>245</v>
      </c>
      <c r="AI212" s="147">
        <v>4</v>
      </c>
      <c r="AJ212" s="147" t="s">
        <v>510</v>
      </c>
    </row>
    <row r="213" spans="1:36">
      <c r="A213" s="147" t="s">
        <v>858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640</v>
      </c>
      <c r="G213" s="147" t="s">
        <v>202</v>
      </c>
      <c r="H213" s="147">
        <v>10</v>
      </c>
      <c r="I213" s="148">
        <v>471.66666666666669</v>
      </c>
      <c r="J213" s="147" t="s">
        <v>242</v>
      </c>
      <c r="K213" s="147" t="s">
        <v>343</v>
      </c>
      <c r="L213" s="147" t="s">
        <v>343</v>
      </c>
      <c r="M213" s="148">
        <v>460</v>
      </c>
      <c r="N213" s="147" t="s">
        <v>343</v>
      </c>
      <c r="O213" s="147" t="s">
        <v>343</v>
      </c>
      <c r="P213" s="148">
        <v>917.5</v>
      </c>
      <c r="Q213" s="148">
        <v>467.5</v>
      </c>
      <c r="R213" s="148">
        <v>467.5</v>
      </c>
      <c r="S213" s="148">
        <v>550</v>
      </c>
      <c r="T213" s="148">
        <v>550</v>
      </c>
      <c r="U213" s="148">
        <v>550</v>
      </c>
      <c r="V213" s="148">
        <v>775</v>
      </c>
      <c r="W213" s="147" t="s">
        <v>343</v>
      </c>
      <c r="X213" s="147" t="s">
        <v>343</v>
      </c>
      <c r="Y213" s="148">
        <v>90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8">
        <v>4827.5</v>
      </c>
      <c r="AE213" s="148">
        <v>2982.5</v>
      </c>
      <c r="AF213" s="148">
        <v>4737.5</v>
      </c>
      <c r="AG213" s="148">
        <v>90</v>
      </c>
      <c r="AH213" s="147" t="s">
        <v>244</v>
      </c>
      <c r="AI213" s="147">
        <v>9</v>
      </c>
      <c r="AJ213" s="147" t="s">
        <v>510</v>
      </c>
    </row>
    <row r="214" spans="1:36">
      <c r="A214" s="147" t="s">
        <v>859</v>
      </c>
      <c r="B214" s="147" t="s">
        <v>567</v>
      </c>
      <c r="C214" s="147" t="s">
        <v>503</v>
      </c>
      <c r="D214" s="147" t="s">
        <v>505</v>
      </c>
      <c r="E214" s="147">
        <v>5</v>
      </c>
      <c r="F214" s="147" t="s">
        <v>568</v>
      </c>
      <c r="G214" s="147" t="s">
        <v>200</v>
      </c>
      <c r="H214" s="147">
        <v>17</v>
      </c>
      <c r="I214" s="148">
        <v>446</v>
      </c>
      <c r="J214" s="147" t="s">
        <v>247</v>
      </c>
      <c r="K214" s="147" t="s">
        <v>343</v>
      </c>
      <c r="L214" s="147" t="s">
        <v>343</v>
      </c>
      <c r="M214" s="147" t="s">
        <v>343</v>
      </c>
      <c r="N214" s="147" t="s">
        <v>343</v>
      </c>
      <c r="O214" s="147" t="s">
        <v>343</v>
      </c>
      <c r="P214" s="147" t="s">
        <v>343</v>
      </c>
      <c r="Q214" s="147" t="s">
        <v>343</v>
      </c>
      <c r="R214" s="147" t="s">
        <v>343</v>
      </c>
      <c r="S214" s="147" t="s">
        <v>343</v>
      </c>
      <c r="T214" s="147" t="s">
        <v>343</v>
      </c>
      <c r="U214" s="147" t="s">
        <v>343</v>
      </c>
      <c r="V214" s="147" t="s">
        <v>343</v>
      </c>
      <c r="W214" s="148">
        <v>1118</v>
      </c>
      <c r="X214" s="148">
        <v>470</v>
      </c>
      <c r="Y214" s="148">
        <v>398</v>
      </c>
      <c r="Z214" s="148">
        <v>470</v>
      </c>
      <c r="AA214" s="148">
        <v>470</v>
      </c>
      <c r="AB214" s="147" t="s">
        <v>343</v>
      </c>
      <c r="AC214" s="147" t="s">
        <v>343</v>
      </c>
      <c r="AD214" s="148">
        <v>2926</v>
      </c>
      <c r="AE214" s="148">
        <v>2926</v>
      </c>
      <c r="AF214" s="148">
        <v>0</v>
      </c>
      <c r="AG214" s="148">
        <v>2926</v>
      </c>
      <c r="AH214" s="147" t="s">
        <v>246</v>
      </c>
      <c r="AI214" s="147">
        <v>5</v>
      </c>
      <c r="AJ214" s="147" t="s">
        <v>510</v>
      </c>
    </row>
    <row r="215" spans="1:36">
      <c r="A215" s="147" t="s">
        <v>860</v>
      </c>
      <c r="B215" s="147" t="s">
        <v>567</v>
      </c>
      <c r="C215" s="147" t="s">
        <v>503</v>
      </c>
      <c r="D215" s="147" t="s">
        <v>343</v>
      </c>
      <c r="E215" s="147">
        <v>4</v>
      </c>
      <c r="F215" s="147" t="s">
        <v>568</v>
      </c>
      <c r="G215" s="147" t="s">
        <v>126</v>
      </c>
      <c r="H215" s="147">
        <v>22</v>
      </c>
      <c r="I215" s="148">
        <v>425</v>
      </c>
      <c r="J215" s="147" t="s">
        <v>244</v>
      </c>
      <c r="K215" s="148">
        <v>474</v>
      </c>
      <c r="L215" s="148">
        <v>474</v>
      </c>
      <c r="M215" s="148">
        <v>474</v>
      </c>
      <c r="N215" s="148">
        <v>474</v>
      </c>
      <c r="O215" s="148">
        <v>475</v>
      </c>
      <c r="P215" s="148">
        <v>400</v>
      </c>
      <c r="Q215" s="148">
        <v>400</v>
      </c>
      <c r="R215" s="148">
        <v>400</v>
      </c>
      <c r="S215" s="148">
        <v>400</v>
      </c>
      <c r="T215" s="148">
        <v>400</v>
      </c>
      <c r="U215" s="148">
        <v>400</v>
      </c>
      <c r="V215" s="148">
        <v>400</v>
      </c>
      <c r="W215" s="148">
        <v>400</v>
      </c>
      <c r="X215" s="148">
        <v>475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8">
        <v>6046</v>
      </c>
      <c r="AE215" s="148">
        <v>2875</v>
      </c>
      <c r="AF215" s="148">
        <v>5171</v>
      </c>
      <c r="AG215" s="148">
        <v>875</v>
      </c>
      <c r="AH215" s="147" t="s">
        <v>243</v>
      </c>
      <c r="AI215" s="147">
        <v>14</v>
      </c>
      <c r="AJ215" s="147" t="s">
        <v>510</v>
      </c>
    </row>
    <row r="216" spans="1:36">
      <c r="A216" s="147" t="s">
        <v>861</v>
      </c>
      <c r="B216" s="147" t="s">
        <v>502</v>
      </c>
      <c r="C216" s="147" t="s">
        <v>503</v>
      </c>
      <c r="D216" s="147" t="s">
        <v>621</v>
      </c>
      <c r="E216" s="147">
        <v>6</v>
      </c>
      <c r="F216" s="147" t="s">
        <v>560</v>
      </c>
      <c r="G216" s="147" t="s">
        <v>243</v>
      </c>
      <c r="H216" s="147">
        <v>6</v>
      </c>
      <c r="I216" s="148">
        <v>420</v>
      </c>
      <c r="J216" s="147" t="s">
        <v>343</v>
      </c>
      <c r="K216" s="147" t="s">
        <v>343</v>
      </c>
      <c r="L216" s="147" t="s">
        <v>343</v>
      </c>
      <c r="M216" s="147" t="s">
        <v>343</v>
      </c>
      <c r="N216" s="147" t="s">
        <v>343</v>
      </c>
      <c r="O216" s="147" t="s">
        <v>343</v>
      </c>
      <c r="P216" s="147" t="s">
        <v>343</v>
      </c>
      <c r="Q216" s="147" t="s">
        <v>343</v>
      </c>
      <c r="R216" s="147" t="s">
        <v>343</v>
      </c>
      <c r="S216" s="147" t="s">
        <v>343</v>
      </c>
      <c r="T216" s="147" t="s">
        <v>343</v>
      </c>
      <c r="U216" s="147" t="s">
        <v>343</v>
      </c>
      <c r="V216" s="147" t="s">
        <v>343</v>
      </c>
      <c r="W216" s="147" t="s">
        <v>343</v>
      </c>
      <c r="X216" s="148">
        <v>718</v>
      </c>
      <c r="Y216" s="148">
        <v>408</v>
      </c>
      <c r="Z216" s="148">
        <v>408</v>
      </c>
      <c r="AA216" s="148">
        <v>420</v>
      </c>
      <c r="AB216" s="148">
        <v>420</v>
      </c>
      <c r="AC216" s="148">
        <v>420</v>
      </c>
      <c r="AD216" s="148">
        <v>2794</v>
      </c>
      <c r="AE216" s="148">
        <v>2794</v>
      </c>
      <c r="AF216" s="148">
        <v>0</v>
      </c>
      <c r="AG216" s="148">
        <v>2794</v>
      </c>
      <c r="AH216" s="147" t="s">
        <v>248</v>
      </c>
      <c r="AI216" s="147">
        <v>6</v>
      </c>
      <c r="AJ216" s="147" t="s">
        <v>509</v>
      </c>
    </row>
    <row r="217" spans="1:36">
      <c r="A217" s="147" t="s">
        <v>862</v>
      </c>
      <c r="B217" s="147" t="s">
        <v>567</v>
      </c>
      <c r="C217" s="147" t="s">
        <v>662</v>
      </c>
      <c r="D217" s="147" t="s">
        <v>343</v>
      </c>
      <c r="E217" s="147" t="s">
        <v>343</v>
      </c>
      <c r="F217" s="147" t="s">
        <v>640</v>
      </c>
      <c r="G217" s="147" t="s">
        <v>123</v>
      </c>
      <c r="H217" s="147">
        <v>23</v>
      </c>
      <c r="I217" s="148">
        <v>558.33333333333337</v>
      </c>
      <c r="J217" s="147" t="s">
        <v>242</v>
      </c>
      <c r="K217" s="148">
        <v>930</v>
      </c>
      <c r="L217" s="148">
        <v>300</v>
      </c>
      <c r="M217" s="148">
        <v>640</v>
      </c>
      <c r="N217" s="148">
        <v>640</v>
      </c>
      <c r="O217" s="148">
        <v>640</v>
      </c>
      <c r="P217" s="148">
        <v>640</v>
      </c>
      <c r="Q217" s="148">
        <v>890</v>
      </c>
      <c r="R217" s="148">
        <v>550</v>
      </c>
      <c r="S217" s="148">
        <v>550</v>
      </c>
      <c r="T217" s="148">
        <v>550</v>
      </c>
      <c r="U217" s="148">
        <v>550</v>
      </c>
      <c r="V217" s="148">
        <v>575</v>
      </c>
      <c r="W217" s="147" t="s">
        <v>343</v>
      </c>
      <c r="X217" s="147" t="s">
        <v>343</v>
      </c>
      <c r="Y217" s="147" t="s">
        <v>343</v>
      </c>
      <c r="Z217" s="147" t="s">
        <v>343</v>
      </c>
      <c r="AA217" s="147" t="s">
        <v>343</v>
      </c>
      <c r="AB217" s="147" t="s">
        <v>343</v>
      </c>
      <c r="AC217" s="147" t="s">
        <v>343</v>
      </c>
      <c r="AD217" s="148">
        <v>7455</v>
      </c>
      <c r="AE217" s="148">
        <v>2775</v>
      </c>
      <c r="AF217" s="148">
        <v>7455</v>
      </c>
      <c r="AG217" s="148">
        <v>0</v>
      </c>
      <c r="AH217" s="147" t="s">
        <v>211</v>
      </c>
      <c r="AI217" s="147">
        <v>12</v>
      </c>
      <c r="AJ217" s="147" t="s">
        <v>510</v>
      </c>
    </row>
    <row r="218" spans="1:36">
      <c r="A218" s="147" t="s">
        <v>863</v>
      </c>
      <c r="B218" s="147" t="s">
        <v>502</v>
      </c>
      <c r="C218" s="147" t="s">
        <v>683</v>
      </c>
      <c r="D218" s="147" t="s">
        <v>343</v>
      </c>
      <c r="E218" s="147">
        <v>5</v>
      </c>
      <c r="F218" s="147" t="s">
        <v>507</v>
      </c>
      <c r="G218" s="147" t="s">
        <v>243</v>
      </c>
      <c r="H218" s="147">
        <v>6</v>
      </c>
      <c r="I218" s="148">
        <v>418</v>
      </c>
      <c r="J218" s="147" t="s">
        <v>343</v>
      </c>
      <c r="K218" s="147" t="s">
        <v>343</v>
      </c>
      <c r="L218" s="147" t="s">
        <v>343</v>
      </c>
      <c r="M218" s="147" t="s">
        <v>343</v>
      </c>
      <c r="N218" s="147" t="s">
        <v>343</v>
      </c>
      <c r="O218" s="147" t="s">
        <v>343</v>
      </c>
      <c r="P218" s="147" t="s">
        <v>343</v>
      </c>
      <c r="Q218" s="147" t="s">
        <v>343</v>
      </c>
      <c r="R218" s="147" t="s">
        <v>343</v>
      </c>
      <c r="S218" s="147" t="s">
        <v>343</v>
      </c>
      <c r="T218" s="147" t="s">
        <v>343</v>
      </c>
      <c r="U218" s="147" t="s">
        <v>343</v>
      </c>
      <c r="V218" s="147" t="s">
        <v>343</v>
      </c>
      <c r="W218" s="147" t="s">
        <v>343</v>
      </c>
      <c r="X218" s="148">
        <v>661</v>
      </c>
      <c r="Y218" s="148">
        <v>353</v>
      </c>
      <c r="Z218" s="148">
        <v>353</v>
      </c>
      <c r="AA218" s="148">
        <v>418</v>
      </c>
      <c r="AB218" s="148">
        <v>418</v>
      </c>
      <c r="AC218" s="148">
        <v>418</v>
      </c>
      <c r="AD218" s="148">
        <v>2621</v>
      </c>
      <c r="AE218" s="148">
        <v>2621</v>
      </c>
      <c r="AF218" s="148">
        <v>0</v>
      </c>
      <c r="AG218" s="148">
        <v>2621</v>
      </c>
      <c r="AH218" s="147" t="s">
        <v>248</v>
      </c>
      <c r="AI218" s="147">
        <v>6</v>
      </c>
      <c r="AJ218" s="147" t="s">
        <v>509</v>
      </c>
    </row>
    <row r="219" spans="1:36">
      <c r="A219" s="147" t="s">
        <v>864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640</v>
      </c>
      <c r="G219" s="147" t="s">
        <v>202</v>
      </c>
      <c r="H219" s="147">
        <v>10</v>
      </c>
      <c r="I219" s="148">
        <v>543.33333333333337</v>
      </c>
      <c r="J219" s="147" t="s">
        <v>242</v>
      </c>
      <c r="K219" s="147" t="s">
        <v>343</v>
      </c>
      <c r="L219" s="147" t="s">
        <v>343</v>
      </c>
      <c r="M219" s="148">
        <v>778.75</v>
      </c>
      <c r="N219" s="148">
        <v>488.75</v>
      </c>
      <c r="O219" s="148">
        <v>403.75</v>
      </c>
      <c r="P219" s="148">
        <v>575</v>
      </c>
      <c r="Q219" s="148">
        <v>575</v>
      </c>
      <c r="R219" s="148">
        <v>480</v>
      </c>
      <c r="S219" s="148">
        <v>480</v>
      </c>
      <c r="T219" s="148">
        <v>480</v>
      </c>
      <c r="U219" s="148">
        <v>480</v>
      </c>
      <c r="V219" s="148">
        <v>670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8">
        <v>5411.25</v>
      </c>
      <c r="AE219" s="148">
        <v>2590</v>
      </c>
      <c r="AF219" s="148">
        <v>5411.25</v>
      </c>
      <c r="AG219" s="148">
        <v>0</v>
      </c>
      <c r="AH219" s="147" t="s">
        <v>211</v>
      </c>
      <c r="AI219" s="147">
        <v>10</v>
      </c>
      <c r="AJ219" s="147" t="s">
        <v>510</v>
      </c>
    </row>
    <row r="220" spans="1:36">
      <c r="A220" s="147" t="s">
        <v>865</v>
      </c>
      <c r="B220" s="147" t="s">
        <v>502</v>
      </c>
      <c r="C220" s="147" t="s">
        <v>503</v>
      </c>
      <c r="D220" s="147" t="s">
        <v>505</v>
      </c>
      <c r="E220" s="147">
        <v>8</v>
      </c>
      <c r="F220" s="147" t="s">
        <v>560</v>
      </c>
      <c r="G220" s="147" t="s">
        <v>245</v>
      </c>
      <c r="H220" s="147">
        <v>4</v>
      </c>
      <c r="I220" s="148">
        <v>547.66666666666663</v>
      </c>
      <c r="J220" s="147" t="s">
        <v>343</v>
      </c>
      <c r="K220" s="147" t="s">
        <v>343</v>
      </c>
      <c r="L220" s="147" t="s">
        <v>343</v>
      </c>
      <c r="M220" s="147" t="s">
        <v>343</v>
      </c>
      <c r="N220" s="147" t="s">
        <v>343</v>
      </c>
      <c r="O220" s="147" t="s">
        <v>343</v>
      </c>
      <c r="P220" s="147" t="s">
        <v>343</v>
      </c>
      <c r="Q220" s="147" t="s">
        <v>343</v>
      </c>
      <c r="R220" s="147" t="s">
        <v>343</v>
      </c>
      <c r="S220" s="147" t="s">
        <v>343</v>
      </c>
      <c r="T220" s="147" t="s">
        <v>343</v>
      </c>
      <c r="U220" s="147" t="s">
        <v>343</v>
      </c>
      <c r="V220" s="147" t="s">
        <v>343</v>
      </c>
      <c r="W220" s="147" t="s">
        <v>343</v>
      </c>
      <c r="X220" s="147" t="s">
        <v>343</v>
      </c>
      <c r="Y220" s="147" t="s">
        <v>343</v>
      </c>
      <c r="Z220" s="148">
        <v>938</v>
      </c>
      <c r="AA220" s="148">
        <v>468</v>
      </c>
      <c r="AB220" s="148">
        <v>543</v>
      </c>
      <c r="AC220" s="148">
        <v>632</v>
      </c>
      <c r="AD220" s="148">
        <v>2581</v>
      </c>
      <c r="AE220" s="148">
        <v>2581</v>
      </c>
      <c r="AF220" s="148">
        <v>0</v>
      </c>
      <c r="AG220" s="148">
        <v>2581</v>
      </c>
      <c r="AH220" s="147" t="s">
        <v>248</v>
      </c>
      <c r="AI220" s="147">
        <v>4</v>
      </c>
      <c r="AJ220" s="147" t="s">
        <v>509</v>
      </c>
    </row>
    <row r="221" spans="1:36">
      <c r="A221" s="147" t="s">
        <v>866</v>
      </c>
      <c r="B221" s="147" t="s">
        <v>19</v>
      </c>
      <c r="C221" s="147" t="s">
        <v>503</v>
      </c>
      <c r="D221" s="147" t="s">
        <v>343</v>
      </c>
      <c r="E221" s="147">
        <v>41</v>
      </c>
      <c r="F221" s="147" t="s">
        <v>560</v>
      </c>
      <c r="G221" s="147" t="s">
        <v>248</v>
      </c>
      <c r="H221" s="147">
        <v>1</v>
      </c>
      <c r="I221" s="148">
        <v>2460</v>
      </c>
      <c r="J221" s="147" t="s">
        <v>343</v>
      </c>
      <c r="K221" s="147" t="s">
        <v>343</v>
      </c>
      <c r="L221" s="147" t="s">
        <v>343</v>
      </c>
      <c r="M221" s="147" t="s">
        <v>343</v>
      </c>
      <c r="N221" s="147" t="s">
        <v>343</v>
      </c>
      <c r="O221" s="147" t="s">
        <v>343</v>
      </c>
      <c r="P221" s="147" t="s">
        <v>343</v>
      </c>
      <c r="Q221" s="147" t="s">
        <v>343</v>
      </c>
      <c r="R221" s="147" t="s">
        <v>343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8">
        <v>2460</v>
      </c>
      <c r="AD221" s="148">
        <v>2460</v>
      </c>
      <c r="AE221" s="148">
        <v>2460</v>
      </c>
      <c r="AF221" s="148">
        <v>0</v>
      </c>
      <c r="AG221" s="148">
        <v>2460</v>
      </c>
      <c r="AH221" s="147" t="s">
        <v>248</v>
      </c>
      <c r="AI221" s="147">
        <v>1</v>
      </c>
      <c r="AJ221" s="147" t="s">
        <v>509</v>
      </c>
    </row>
    <row r="222" spans="1:36">
      <c r="A222" s="147" t="s">
        <v>868</v>
      </c>
      <c r="B222" s="147" t="s">
        <v>567</v>
      </c>
      <c r="C222" s="147" t="s">
        <v>503</v>
      </c>
      <c r="D222" s="147" t="s">
        <v>505</v>
      </c>
      <c r="E222" s="147">
        <v>8</v>
      </c>
      <c r="F222" s="147" t="s">
        <v>568</v>
      </c>
      <c r="G222" s="147" t="s">
        <v>244</v>
      </c>
      <c r="H222" s="147">
        <v>3</v>
      </c>
      <c r="I222" s="148">
        <v>786.66666666666663</v>
      </c>
      <c r="J222" s="147" t="s">
        <v>247</v>
      </c>
      <c r="K222" s="147" t="s">
        <v>343</v>
      </c>
      <c r="L222" s="147" t="s">
        <v>343</v>
      </c>
      <c r="M222" s="147" t="s">
        <v>343</v>
      </c>
      <c r="N222" s="147" t="s">
        <v>343</v>
      </c>
      <c r="O222" s="147" t="s">
        <v>343</v>
      </c>
      <c r="P222" s="147" t="s">
        <v>343</v>
      </c>
      <c r="Q222" s="147" t="s">
        <v>343</v>
      </c>
      <c r="R222" s="147" t="s">
        <v>343</v>
      </c>
      <c r="S222" s="147" t="s">
        <v>343</v>
      </c>
      <c r="T222" s="147" t="s">
        <v>343</v>
      </c>
      <c r="U222" s="147" t="s">
        <v>343</v>
      </c>
      <c r="V222" s="147" t="s">
        <v>343</v>
      </c>
      <c r="W222" s="147" t="s">
        <v>343</v>
      </c>
      <c r="X222" s="147" t="s">
        <v>343</v>
      </c>
      <c r="Y222" s="148">
        <v>1020</v>
      </c>
      <c r="Z222" s="148">
        <v>670</v>
      </c>
      <c r="AA222" s="148">
        <v>670</v>
      </c>
      <c r="AB222" s="147" t="s">
        <v>343</v>
      </c>
      <c r="AC222" s="147" t="s">
        <v>343</v>
      </c>
      <c r="AD222" s="148">
        <v>2360</v>
      </c>
      <c r="AE222" s="148">
        <v>2360</v>
      </c>
      <c r="AF222" s="148">
        <v>0</v>
      </c>
      <c r="AG222" s="148">
        <v>2360</v>
      </c>
      <c r="AH222" s="147" t="s">
        <v>246</v>
      </c>
      <c r="AI222" s="147">
        <v>3</v>
      </c>
      <c r="AJ222" s="147" t="s">
        <v>510</v>
      </c>
    </row>
    <row r="223" spans="1:36">
      <c r="A223" s="147" t="s">
        <v>869</v>
      </c>
      <c r="B223" s="147" t="s">
        <v>567</v>
      </c>
      <c r="C223" s="147" t="s">
        <v>662</v>
      </c>
      <c r="D223" s="147" t="s">
        <v>343</v>
      </c>
      <c r="E223" s="147" t="s">
        <v>343</v>
      </c>
      <c r="F223" s="147" t="s">
        <v>640</v>
      </c>
      <c r="G223" s="147" t="s">
        <v>575</v>
      </c>
      <c r="H223" s="147">
        <v>23</v>
      </c>
      <c r="I223" s="148">
        <v>1200</v>
      </c>
      <c r="J223" s="147" t="s">
        <v>209</v>
      </c>
      <c r="K223" s="148">
        <v>1175</v>
      </c>
      <c r="L223" s="148">
        <v>1175</v>
      </c>
      <c r="M223" s="148">
        <v>1085</v>
      </c>
      <c r="N223" s="148">
        <v>1155</v>
      </c>
      <c r="O223" s="148">
        <v>1270</v>
      </c>
      <c r="P223" s="148">
        <v>1155</v>
      </c>
      <c r="Q223" s="148">
        <v>1270</v>
      </c>
      <c r="R223" s="148">
        <v>1200</v>
      </c>
      <c r="S223" s="148">
        <v>1130</v>
      </c>
      <c r="T223" s="147" t="s">
        <v>343</v>
      </c>
      <c r="U223" s="147" t="s">
        <v>343</v>
      </c>
      <c r="V223" s="147" t="s">
        <v>343</v>
      </c>
      <c r="W223" s="147" t="s">
        <v>343</v>
      </c>
      <c r="X223" s="147" t="s">
        <v>343</v>
      </c>
      <c r="Y223" s="147" t="s">
        <v>343</v>
      </c>
      <c r="Z223" s="147" t="s">
        <v>343</v>
      </c>
      <c r="AA223" s="147" t="s">
        <v>343</v>
      </c>
      <c r="AB223" s="147" t="s">
        <v>343</v>
      </c>
      <c r="AC223" s="147" t="s">
        <v>343</v>
      </c>
      <c r="AD223" s="148">
        <v>10615</v>
      </c>
      <c r="AE223" s="148">
        <v>2330</v>
      </c>
      <c r="AF223" s="148">
        <v>10615</v>
      </c>
      <c r="AG223" s="148">
        <v>0</v>
      </c>
      <c r="AH223" s="147" t="s">
        <v>208</v>
      </c>
      <c r="AI223" s="147">
        <v>9</v>
      </c>
      <c r="AJ223" s="147" t="s">
        <v>510</v>
      </c>
    </row>
    <row r="224" spans="1:36">
      <c r="A224" s="147" t="s">
        <v>870</v>
      </c>
      <c r="B224" s="147" t="s">
        <v>567</v>
      </c>
      <c r="C224" s="147" t="s">
        <v>637</v>
      </c>
      <c r="D224" s="147" t="s">
        <v>343</v>
      </c>
      <c r="E224" s="147" t="s">
        <v>343</v>
      </c>
      <c r="F224" s="147" t="s">
        <v>640</v>
      </c>
      <c r="G224" s="147" t="s">
        <v>639</v>
      </c>
      <c r="H224" s="147">
        <v>59</v>
      </c>
      <c r="I224" s="148">
        <v>300</v>
      </c>
      <c r="J224" s="147" t="s">
        <v>245</v>
      </c>
      <c r="K224" s="148">
        <v>295</v>
      </c>
      <c r="L224" s="148">
        <v>265</v>
      </c>
      <c r="M224" s="148">
        <v>265</v>
      </c>
      <c r="N224" s="148">
        <v>265</v>
      </c>
      <c r="O224" s="148">
        <v>265</v>
      </c>
      <c r="P224" s="148">
        <v>265</v>
      </c>
      <c r="Q224" s="148">
        <v>265</v>
      </c>
      <c r="R224" s="148">
        <v>265</v>
      </c>
      <c r="S224" s="148">
        <v>265</v>
      </c>
      <c r="T224" s="148">
        <v>265</v>
      </c>
      <c r="U224" s="148">
        <v>265</v>
      </c>
      <c r="V224" s="148">
        <v>265</v>
      </c>
      <c r="W224" s="148">
        <v>295</v>
      </c>
      <c r="X224" s="148">
        <v>310</v>
      </c>
      <c r="Y224" s="148">
        <v>295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8">
        <v>4110</v>
      </c>
      <c r="AE224" s="148">
        <v>2225</v>
      </c>
      <c r="AF224" s="148">
        <v>3210</v>
      </c>
      <c r="AG224" s="148">
        <v>900</v>
      </c>
      <c r="AH224" s="147" t="s">
        <v>244</v>
      </c>
      <c r="AI224" s="147">
        <v>15</v>
      </c>
      <c r="AJ224" s="147" t="s">
        <v>510</v>
      </c>
    </row>
    <row r="225" spans="1:36">
      <c r="A225" s="147" t="s">
        <v>871</v>
      </c>
      <c r="B225" s="147" t="s">
        <v>567</v>
      </c>
      <c r="C225" s="147" t="s">
        <v>662</v>
      </c>
      <c r="D225" s="147" t="s">
        <v>343</v>
      </c>
      <c r="E225" s="147" t="s">
        <v>343</v>
      </c>
      <c r="F225" s="147" t="s">
        <v>640</v>
      </c>
      <c r="G225" s="147" t="s">
        <v>201</v>
      </c>
      <c r="H225" s="147">
        <v>12</v>
      </c>
      <c r="I225" s="148">
        <v>375</v>
      </c>
      <c r="J225" s="147" t="s">
        <v>243</v>
      </c>
      <c r="K225" s="147" t="s">
        <v>343</v>
      </c>
      <c r="L225" s="148">
        <v>350</v>
      </c>
      <c r="M225" s="147" t="s">
        <v>343</v>
      </c>
      <c r="N225" s="147" t="s">
        <v>343</v>
      </c>
      <c r="O225" s="148">
        <v>360</v>
      </c>
      <c r="P225" s="148">
        <v>360</v>
      </c>
      <c r="Q225" s="148">
        <v>360</v>
      </c>
      <c r="R225" s="148">
        <v>360</v>
      </c>
      <c r="S225" s="148">
        <v>360</v>
      </c>
      <c r="T225" s="148">
        <v>360</v>
      </c>
      <c r="U225" s="148">
        <v>375</v>
      </c>
      <c r="V225" s="148">
        <v>375</v>
      </c>
      <c r="W225" s="148">
        <v>375</v>
      </c>
      <c r="X225" s="147" t="s">
        <v>343</v>
      </c>
      <c r="Y225" s="147" t="s">
        <v>343</v>
      </c>
      <c r="Z225" s="147" t="s">
        <v>343</v>
      </c>
      <c r="AA225" s="147" t="s">
        <v>343</v>
      </c>
      <c r="AB225" s="147" t="s">
        <v>343</v>
      </c>
      <c r="AC225" s="147" t="s">
        <v>343</v>
      </c>
      <c r="AD225" s="148">
        <v>3635</v>
      </c>
      <c r="AE225" s="148">
        <v>2205</v>
      </c>
      <c r="AF225" s="148">
        <v>3260</v>
      </c>
      <c r="AG225" s="148">
        <v>375</v>
      </c>
      <c r="AH225" s="147" t="s">
        <v>242</v>
      </c>
      <c r="AI225" s="147">
        <v>10</v>
      </c>
      <c r="AJ225" s="147" t="s">
        <v>510</v>
      </c>
    </row>
    <row r="226" spans="1:36">
      <c r="A226" s="147" t="s">
        <v>872</v>
      </c>
      <c r="B226" s="147" t="s">
        <v>19</v>
      </c>
      <c r="C226" s="147" t="s">
        <v>503</v>
      </c>
      <c r="D226" s="147" t="s">
        <v>343</v>
      </c>
      <c r="E226" s="147">
        <v>29</v>
      </c>
      <c r="F226" s="147" t="s">
        <v>560</v>
      </c>
      <c r="G226" s="147" t="s">
        <v>248</v>
      </c>
      <c r="H226" s="147">
        <v>1</v>
      </c>
      <c r="I226" s="148">
        <v>2198</v>
      </c>
      <c r="J226" s="147" t="s">
        <v>343</v>
      </c>
      <c r="K226" s="147" t="s">
        <v>343</v>
      </c>
      <c r="L226" s="147" t="s">
        <v>343</v>
      </c>
      <c r="M226" s="147" t="s">
        <v>343</v>
      </c>
      <c r="N226" s="147" t="s">
        <v>343</v>
      </c>
      <c r="O226" s="147" t="s">
        <v>343</v>
      </c>
      <c r="P226" s="147" t="s">
        <v>343</v>
      </c>
      <c r="Q226" s="147" t="s">
        <v>343</v>
      </c>
      <c r="R226" s="147" t="s">
        <v>343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8">
        <v>2198</v>
      </c>
      <c r="AD226" s="148">
        <v>2198</v>
      </c>
      <c r="AE226" s="148">
        <v>2198</v>
      </c>
      <c r="AF226" s="148">
        <v>0</v>
      </c>
      <c r="AG226" s="148">
        <v>2198</v>
      </c>
      <c r="AH226" s="147" t="s">
        <v>248</v>
      </c>
      <c r="AI226" s="147">
        <v>1</v>
      </c>
      <c r="AJ226" s="147" t="s">
        <v>509</v>
      </c>
    </row>
    <row r="227" spans="1:36">
      <c r="A227" s="147" t="s">
        <v>873</v>
      </c>
      <c r="B227" s="147" t="s">
        <v>567</v>
      </c>
      <c r="C227" s="147" t="s">
        <v>503</v>
      </c>
      <c r="D227" s="147" t="s">
        <v>343</v>
      </c>
      <c r="E227" s="147">
        <v>20</v>
      </c>
      <c r="F227" s="147" t="s">
        <v>507</v>
      </c>
      <c r="G227" s="147" t="s">
        <v>246</v>
      </c>
      <c r="H227" s="147">
        <v>3</v>
      </c>
      <c r="I227" s="148">
        <v>1097</v>
      </c>
      <c r="J227" s="147" t="s">
        <v>343</v>
      </c>
      <c r="K227" s="147" t="s">
        <v>343</v>
      </c>
      <c r="L227" s="147" t="s">
        <v>343</v>
      </c>
      <c r="M227" s="147" t="s">
        <v>343</v>
      </c>
      <c r="N227" s="147" t="s">
        <v>343</v>
      </c>
      <c r="O227" s="147" t="s">
        <v>343</v>
      </c>
      <c r="P227" s="147" t="s">
        <v>343</v>
      </c>
      <c r="Q227" s="147" t="s">
        <v>343</v>
      </c>
      <c r="R227" s="147" t="s">
        <v>343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8">
        <v>0</v>
      </c>
      <c r="AB227" s="148">
        <v>1097</v>
      </c>
      <c r="AC227" s="148">
        <v>1097</v>
      </c>
      <c r="AD227" s="148">
        <v>2194</v>
      </c>
      <c r="AE227" s="148">
        <v>2194</v>
      </c>
      <c r="AF227" s="148">
        <v>0</v>
      </c>
      <c r="AG227" s="148">
        <v>2194</v>
      </c>
      <c r="AH227" s="147" t="s">
        <v>248</v>
      </c>
      <c r="AI227" s="147">
        <v>2</v>
      </c>
      <c r="AJ227" s="147" t="s">
        <v>509</v>
      </c>
    </row>
    <row r="228" spans="1:36">
      <c r="A228" s="147" t="s">
        <v>874</v>
      </c>
      <c r="B228" s="147" t="s">
        <v>567</v>
      </c>
      <c r="C228" s="147" t="s">
        <v>662</v>
      </c>
      <c r="D228" s="147" t="s">
        <v>343</v>
      </c>
      <c r="E228" s="147" t="s">
        <v>343</v>
      </c>
      <c r="F228" s="147" t="s">
        <v>640</v>
      </c>
      <c r="G228" s="147" t="s">
        <v>204</v>
      </c>
      <c r="H228" s="147">
        <v>7</v>
      </c>
      <c r="I228" s="148">
        <v>386.66666666666669</v>
      </c>
      <c r="J228" s="147" t="s">
        <v>211</v>
      </c>
      <c r="K228" s="147" t="s">
        <v>343</v>
      </c>
      <c r="L228" s="147" t="s">
        <v>343</v>
      </c>
      <c r="M228" s="147" t="s">
        <v>343</v>
      </c>
      <c r="N228" s="147" t="s">
        <v>343</v>
      </c>
      <c r="O228" s="148">
        <v>640</v>
      </c>
      <c r="P228" s="148">
        <v>340</v>
      </c>
      <c r="Q228" s="148">
        <v>403.75</v>
      </c>
      <c r="R228" s="148">
        <v>475</v>
      </c>
      <c r="S228" s="148">
        <v>550</v>
      </c>
      <c r="T228" s="148">
        <v>550</v>
      </c>
      <c r="U228" s="148">
        <v>550</v>
      </c>
      <c r="V228" s="147" t="s">
        <v>343</v>
      </c>
      <c r="W228" s="147" t="s">
        <v>343</v>
      </c>
      <c r="X228" s="148">
        <v>60</v>
      </c>
      <c r="Y228" s="147" t="s">
        <v>343</v>
      </c>
      <c r="Z228" s="147" t="s">
        <v>343</v>
      </c>
      <c r="AA228" s="147" t="s">
        <v>343</v>
      </c>
      <c r="AB228" s="147" t="s">
        <v>343</v>
      </c>
      <c r="AC228" s="147" t="s">
        <v>343</v>
      </c>
      <c r="AD228" s="148">
        <v>3568.75</v>
      </c>
      <c r="AE228" s="148">
        <v>2185</v>
      </c>
      <c r="AF228" s="148">
        <v>3508.75</v>
      </c>
      <c r="AG228" s="148">
        <v>60</v>
      </c>
      <c r="AH228" s="147" t="s">
        <v>243</v>
      </c>
      <c r="AI228" s="147">
        <v>8</v>
      </c>
      <c r="AJ228" s="147" t="s">
        <v>510</v>
      </c>
    </row>
    <row r="229" spans="1:36">
      <c r="A229" s="147" t="s">
        <v>875</v>
      </c>
      <c r="B229" s="147" t="s">
        <v>502</v>
      </c>
      <c r="C229" s="147" t="s">
        <v>683</v>
      </c>
      <c r="D229" s="147" t="s">
        <v>343</v>
      </c>
      <c r="E229" s="147">
        <v>5</v>
      </c>
      <c r="F229" s="147" t="s">
        <v>507</v>
      </c>
      <c r="G229" s="147" t="s">
        <v>242</v>
      </c>
      <c r="H229" s="147">
        <v>7</v>
      </c>
      <c r="I229" s="148">
        <v>300</v>
      </c>
      <c r="J229" s="147" t="s">
        <v>343</v>
      </c>
      <c r="K229" s="147" t="s">
        <v>343</v>
      </c>
      <c r="L229" s="147" t="s">
        <v>343</v>
      </c>
      <c r="M229" s="147" t="s">
        <v>343</v>
      </c>
      <c r="N229" s="147" t="s">
        <v>343</v>
      </c>
      <c r="O229" s="147" t="s">
        <v>343</v>
      </c>
      <c r="P229" s="147" t="s">
        <v>343</v>
      </c>
      <c r="Q229" s="147" t="s">
        <v>343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8">
        <v>640</v>
      </c>
      <c r="X229" s="148">
        <v>340</v>
      </c>
      <c r="Y229" s="148">
        <v>85</v>
      </c>
      <c r="Z229" s="148">
        <v>200</v>
      </c>
      <c r="AA229" s="148">
        <v>300</v>
      </c>
      <c r="AB229" s="148">
        <v>300</v>
      </c>
      <c r="AC229" s="148">
        <v>300</v>
      </c>
      <c r="AD229" s="148">
        <v>2165</v>
      </c>
      <c r="AE229" s="148">
        <v>2165</v>
      </c>
      <c r="AF229" s="148">
        <v>0</v>
      </c>
      <c r="AG229" s="148">
        <v>2165</v>
      </c>
      <c r="AH229" s="147" t="s">
        <v>248</v>
      </c>
      <c r="AI229" s="147">
        <v>7</v>
      </c>
      <c r="AJ229" s="147" t="s">
        <v>509</v>
      </c>
    </row>
    <row r="230" spans="1:36">
      <c r="A230" s="147" t="s">
        <v>876</v>
      </c>
      <c r="B230" s="147" t="s">
        <v>567</v>
      </c>
      <c r="C230" s="147" t="s">
        <v>877</v>
      </c>
      <c r="D230" s="147" t="s">
        <v>343</v>
      </c>
      <c r="E230" s="147" t="s">
        <v>343</v>
      </c>
      <c r="F230" s="147" t="s">
        <v>640</v>
      </c>
      <c r="G230" s="147" t="s">
        <v>878</v>
      </c>
      <c r="H230" s="147">
        <v>54</v>
      </c>
      <c r="I230" s="148">
        <v>305</v>
      </c>
      <c r="J230" s="147" t="s">
        <v>244</v>
      </c>
      <c r="K230" s="148">
        <v>310</v>
      </c>
      <c r="L230" s="148">
        <v>295</v>
      </c>
      <c r="M230" s="148">
        <v>295</v>
      </c>
      <c r="N230" s="148">
        <v>295</v>
      </c>
      <c r="O230" s="148">
        <v>295</v>
      </c>
      <c r="P230" s="148">
        <v>295</v>
      </c>
      <c r="Q230" s="148">
        <v>295</v>
      </c>
      <c r="R230" s="148">
        <v>295</v>
      </c>
      <c r="S230" s="148">
        <v>305</v>
      </c>
      <c r="T230" s="148">
        <v>305</v>
      </c>
      <c r="U230" s="148">
        <v>305</v>
      </c>
      <c r="V230" s="148">
        <v>305</v>
      </c>
      <c r="W230" s="148">
        <v>305</v>
      </c>
      <c r="X230" s="148">
        <v>305</v>
      </c>
      <c r="Y230" s="148">
        <v>0</v>
      </c>
      <c r="Z230" s="147" t="s">
        <v>343</v>
      </c>
      <c r="AA230" s="147" t="s">
        <v>343</v>
      </c>
      <c r="AB230" s="147" t="s">
        <v>343</v>
      </c>
      <c r="AC230" s="147" t="s">
        <v>343</v>
      </c>
      <c r="AD230" s="148">
        <v>4205</v>
      </c>
      <c r="AE230" s="148">
        <v>2125</v>
      </c>
      <c r="AF230" s="148">
        <v>3595</v>
      </c>
      <c r="AG230" s="148">
        <v>610</v>
      </c>
      <c r="AH230" s="147" t="s">
        <v>243</v>
      </c>
      <c r="AI230" s="147">
        <v>14</v>
      </c>
      <c r="AJ230" s="147" t="s">
        <v>510</v>
      </c>
    </row>
    <row r="231" spans="1:36">
      <c r="A231" s="147" t="s">
        <v>879</v>
      </c>
      <c r="B231" s="147" t="s">
        <v>567</v>
      </c>
      <c r="C231" s="147" t="s">
        <v>877</v>
      </c>
      <c r="D231" s="147" t="s">
        <v>343</v>
      </c>
      <c r="E231" s="147" t="s">
        <v>343</v>
      </c>
      <c r="F231" s="147" t="s">
        <v>640</v>
      </c>
      <c r="G231" s="147" t="s">
        <v>737</v>
      </c>
      <c r="H231" s="147">
        <v>46</v>
      </c>
      <c r="I231" s="148">
        <v>350</v>
      </c>
      <c r="J231" s="147" t="s">
        <v>243</v>
      </c>
      <c r="K231" s="148">
        <v>345</v>
      </c>
      <c r="L231" s="148">
        <v>330</v>
      </c>
      <c r="M231" s="148">
        <v>330</v>
      </c>
      <c r="N231" s="148">
        <v>350</v>
      </c>
      <c r="O231" s="148">
        <v>350</v>
      </c>
      <c r="P231" s="148">
        <v>350</v>
      </c>
      <c r="Q231" s="148">
        <v>350</v>
      </c>
      <c r="R231" s="148">
        <v>350</v>
      </c>
      <c r="S231" s="148">
        <v>350</v>
      </c>
      <c r="T231" s="148">
        <v>350</v>
      </c>
      <c r="U231" s="148">
        <v>350</v>
      </c>
      <c r="V231" s="148">
        <v>350</v>
      </c>
      <c r="W231" s="148">
        <v>350</v>
      </c>
      <c r="X231" s="147" t="s">
        <v>343</v>
      </c>
      <c r="Y231" s="147" t="s">
        <v>343</v>
      </c>
      <c r="Z231" s="147" t="s">
        <v>343</v>
      </c>
      <c r="AA231" s="147" t="s">
        <v>343</v>
      </c>
      <c r="AB231" s="147" t="s">
        <v>343</v>
      </c>
      <c r="AC231" s="147" t="s">
        <v>343</v>
      </c>
      <c r="AD231" s="148">
        <v>4505</v>
      </c>
      <c r="AE231" s="148">
        <v>2100</v>
      </c>
      <c r="AF231" s="148">
        <v>4155</v>
      </c>
      <c r="AG231" s="148">
        <v>350</v>
      </c>
      <c r="AH231" s="147" t="s">
        <v>242</v>
      </c>
      <c r="AI231" s="147">
        <v>13</v>
      </c>
      <c r="AJ231" s="147" t="s">
        <v>510</v>
      </c>
    </row>
    <row r="232" spans="1:36">
      <c r="A232" s="147" t="s">
        <v>880</v>
      </c>
      <c r="B232" s="147" t="s">
        <v>567</v>
      </c>
      <c r="C232" s="147" t="s">
        <v>503</v>
      </c>
      <c r="D232" s="147" t="s">
        <v>505</v>
      </c>
      <c r="E232" s="147">
        <v>4</v>
      </c>
      <c r="F232" s="147" t="s">
        <v>568</v>
      </c>
      <c r="G232" s="147" t="s">
        <v>204</v>
      </c>
      <c r="H232" s="147">
        <v>8</v>
      </c>
      <c r="I232" s="148">
        <v>300</v>
      </c>
      <c r="J232" s="147" t="s">
        <v>242</v>
      </c>
      <c r="K232" s="147" t="s">
        <v>343</v>
      </c>
      <c r="L232" s="147" t="s">
        <v>343</v>
      </c>
      <c r="M232" s="147" t="s">
        <v>343</v>
      </c>
      <c r="N232" s="147" t="s">
        <v>343</v>
      </c>
      <c r="O232" s="148">
        <v>640</v>
      </c>
      <c r="P232" s="148">
        <v>340</v>
      </c>
      <c r="Q232" s="148">
        <v>340</v>
      </c>
      <c r="R232" s="148">
        <v>400</v>
      </c>
      <c r="S232" s="148">
        <v>400</v>
      </c>
      <c r="T232" s="148">
        <v>400</v>
      </c>
      <c r="U232" s="148">
        <v>400</v>
      </c>
      <c r="V232" s="148">
        <v>700</v>
      </c>
      <c r="W232" s="148">
        <v>-200</v>
      </c>
      <c r="X232" s="148">
        <v>0</v>
      </c>
      <c r="Y232" s="148">
        <v>0</v>
      </c>
      <c r="Z232" s="148">
        <v>0</v>
      </c>
      <c r="AA232" s="147" t="s">
        <v>343</v>
      </c>
      <c r="AB232" s="147" t="s">
        <v>343</v>
      </c>
      <c r="AC232" s="147" t="s">
        <v>343</v>
      </c>
      <c r="AD232" s="148">
        <v>3420</v>
      </c>
      <c r="AE232" s="148">
        <v>2100</v>
      </c>
      <c r="AF232" s="148">
        <v>3620</v>
      </c>
      <c r="AG232" s="148">
        <v>-200</v>
      </c>
      <c r="AH232" s="147" t="s">
        <v>242</v>
      </c>
      <c r="AI232" s="147">
        <v>9</v>
      </c>
      <c r="AJ232" s="147" t="s">
        <v>510</v>
      </c>
    </row>
    <row r="233" spans="1:36">
      <c r="A233" s="147" t="s">
        <v>883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640</v>
      </c>
      <c r="G233" s="147" t="s">
        <v>204</v>
      </c>
      <c r="H233" s="147">
        <v>7</v>
      </c>
      <c r="I233" s="148">
        <v>580</v>
      </c>
      <c r="J233" s="147" t="s">
        <v>211</v>
      </c>
      <c r="K233" s="147" t="s">
        <v>343</v>
      </c>
      <c r="L233" s="147" t="s">
        <v>343</v>
      </c>
      <c r="M233" s="147" t="s">
        <v>343</v>
      </c>
      <c r="N233" s="147" t="s">
        <v>343</v>
      </c>
      <c r="O233" s="148">
        <v>3792.5</v>
      </c>
      <c r="P233" s="148">
        <v>695</v>
      </c>
      <c r="Q233" s="148">
        <v>718.75</v>
      </c>
      <c r="R233" s="148">
        <v>325</v>
      </c>
      <c r="S233" s="148">
        <v>640</v>
      </c>
      <c r="T233" s="148">
        <v>550</v>
      </c>
      <c r="U233" s="148">
        <v>550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8">
        <v>7271.25</v>
      </c>
      <c r="AE233" s="148">
        <v>2065</v>
      </c>
      <c r="AF233" s="148">
        <v>7271.25</v>
      </c>
      <c r="AG233" s="148">
        <v>0</v>
      </c>
      <c r="AH233" s="147" t="s">
        <v>210</v>
      </c>
      <c r="AI233" s="147">
        <v>7</v>
      </c>
      <c r="AJ233" s="147" t="s">
        <v>510</v>
      </c>
    </row>
    <row r="234" spans="1:36">
      <c r="A234" s="147" t="s">
        <v>884</v>
      </c>
      <c r="B234" s="147" t="s">
        <v>502</v>
      </c>
      <c r="C234" s="147" t="s">
        <v>503</v>
      </c>
      <c r="D234" s="147" t="s">
        <v>505</v>
      </c>
      <c r="E234" s="147">
        <v>3</v>
      </c>
      <c r="F234" s="147" t="s">
        <v>507</v>
      </c>
      <c r="G234" s="147" t="s">
        <v>246</v>
      </c>
      <c r="H234" s="147">
        <v>3</v>
      </c>
      <c r="I234" s="148">
        <v>680.66666666666663</v>
      </c>
      <c r="J234" s="147" t="s">
        <v>343</v>
      </c>
      <c r="K234" s="147" t="s">
        <v>343</v>
      </c>
      <c r="L234" s="147" t="s">
        <v>343</v>
      </c>
      <c r="M234" s="147" t="s">
        <v>343</v>
      </c>
      <c r="N234" s="147" t="s">
        <v>343</v>
      </c>
      <c r="O234" s="147" t="s">
        <v>343</v>
      </c>
      <c r="P234" s="147" t="s">
        <v>343</v>
      </c>
      <c r="Q234" s="147" t="s">
        <v>343</v>
      </c>
      <c r="R234" s="147" t="s">
        <v>343</v>
      </c>
      <c r="S234" s="147" t="s">
        <v>343</v>
      </c>
      <c r="T234" s="147" t="s">
        <v>343</v>
      </c>
      <c r="U234" s="147" t="s">
        <v>343</v>
      </c>
      <c r="V234" s="147" t="s">
        <v>343</v>
      </c>
      <c r="W234" s="147" t="s">
        <v>343</v>
      </c>
      <c r="X234" s="147" t="s">
        <v>343</v>
      </c>
      <c r="Y234" s="147" t="s">
        <v>343</v>
      </c>
      <c r="Z234" s="147" t="s">
        <v>343</v>
      </c>
      <c r="AA234" s="148">
        <v>986</v>
      </c>
      <c r="AB234" s="148">
        <v>678</v>
      </c>
      <c r="AC234" s="148">
        <v>378</v>
      </c>
      <c r="AD234" s="148">
        <v>2042</v>
      </c>
      <c r="AE234" s="148">
        <v>2042</v>
      </c>
      <c r="AF234" s="148">
        <v>0</v>
      </c>
      <c r="AG234" s="148">
        <v>2042</v>
      </c>
      <c r="AH234" s="147" t="s">
        <v>248</v>
      </c>
      <c r="AI234" s="147">
        <v>3</v>
      </c>
      <c r="AJ234" s="147" t="s">
        <v>509</v>
      </c>
    </row>
    <row r="235" spans="1:36">
      <c r="A235" s="147" t="s">
        <v>885</v>
      </c>
      <c r="B235" s="147" t="s">
        <v>567</v>
      </c>
      <c r="C235" s="147" t="s">
        <v>683</v>
      </c>
      <c r="D235" s="147" t="s">
        <v>343</v>
      </c>
      <c r="E235" s="147" t="s">
        <v>343</v>
      </c>
      <c r="F235" s="147" t="s">
        <v>640</v>
      </c>
      <c r="G235" s="147" t="s">
        <v>127</v>
      </c>
      <c r="H235" s="147">
        <v>24</v>
      </c>
      <c r="I235" s="148">
        <v>200</v>
      </c>
      <c r="J235" s="147" t="s">
        <v>247</v>
      </c>
      <c r="K235" s="148">
        <v>197.5</v>
      </c>
      <c r="L235" s="148">
        <v>242.5</v>
      </c>
      <c r="M235" s="148">
        <v>197.5</v>
      </c>
      <c r="N235" s="148">
        <v>197.5</v>
      </c>
      <c r="O235" s="148">
        <v>197.5</v>
      </c>
      <c r="P235" s="148">
        <v>200</v>
      </c>
      <c r="Q235" s="148">
        <v>200</v>
      </c>
      <c r="R235" s="148">
        <v>200</v>
      </c>
      <c r="S235" s="148">
        <v>200</v>
      </c>
      <c r="T235" s="148">
        <v>200</v>
      </c>
      <c r="U235" s="148">
        <v>200</v>
      </c>
      <c r="V235" s="148">
        <v>200</v>
      </c>
      <c r="W235" s="148">
        <v>200</v>
      </c>
      <c r="X235" s="148">
        <v>200</v>
      </c>
      <c r="Y235" s="148">
        <v>200</v>
      </c>
      <c r="Z235" s="148">
        <v>200</v>
      </c>
      <c r="AA235" s="148">
        <v>200</v>
      </c>
      <c r="AB235" s="147" t="s">
        <v>343</v>
      </c>
      <c r="AC235" s="147" t="s">
        <v>343</v>
      </c>
      <c r="AD235" s="148">
        <v>3432.5</v>
      </c>
      <c r="AE235" s="148">
        <v>2000</v>
      </c>
      <c r="AF235" s="148">
        <v>2432.5</v>
      </c>
      <c r="AG235" s="148">
        <v>1000</v>
      </c>
      <c r="AH235" s="147" t="s">
        <v>246</v>
      </c>
      <c r="AI235" s="147">
        <v>17</v>
      </c>
      <c r="AJ235" s="147" t="s">
        <v>510</v>
      </c>
    </row>
    <row r="236" spans="1:36">
      <c r="A236" s="147" t="s">
        <v>886</v>
      </c>
      <c r="B236" s="147" t="s">
        <v>567</v>
      </c>
      <c r="C236" s="147" t="s">
        <v>662</v>
      </c>
      <c r="D236" s="147" t="s">
        <v>343</v>
      </c>
      <c r="E236" s="147" t="s">
        <v>343</v>
      </c>
      <c r="F236" s="147" t="s">
        <v>640</v>
      </c>
      <c r="G236" s="147" t="s">
        <v>127</v>
      </c>
      <c r="H236" s="147">
        <v>24</v>
      </c>
      <c r="I236" s="148">
        <v>200</v>
      </c>
      <c r="J236" s="147" t="s">
        <v>247</v>
      </c>
      <c r="K236" s="148">
        <v>197.5</v>
      </c>
      <c r="L236" s="148">
        <v>197.5</v>
      </c>
      <c r="M236" s="148">
        <v>197.5</v>
      </c>
      <c r="N236" s="148">
        <v>197.5</v>
      </c>
      <c r="O236" s="148">
        <v>197.5</v>
      </c>
      <c r="P236" s="148">
        <v>200</v>
      </c>
      <c r="Q236" s="148">
        <v>200</v>
      </c>
      <c r="R236" s="148">
        <v>200</v>
      </c>
      <c r="S236" s="148">
        <v>200</v>
      </c>
      <c r="T236" s="148">
        <v>200</v>
      </c>
      <c r="U236" s="148">
        <v>200</v>
      </c>
      <c r="V236" s="148">
        <v>200</v>
      </c>
      <c r="W236" s="148">
        <v>200</v>
      </c>
      <c r="X236" s="148">
        <v>200</v>
      </c>
      <c r="Y236" s="148">
        <v>200</v>
      </c>
      <c r="Z236" s="148">
        <v>200</v>
      </c>
      <c r="AA236" s="148">
        <v>200</v>
      </c>
      <c r="AB236" s="147" t="s">
        <v>343</v>
      </c>
      <c r="AC236" s="147" t="s">
        <v>343</v>
      </c>
      <c r="AD236" s="148">
        <v>3387.5</v>
      </c>
      <c r="AE236" s="148">
        <v>2000</v>
      </c>
      <c r="AF236" s="148">
        <v>2387.5</v>
      </c>
      <c r="AG236" s="148">
        <v>1000</v>
      </c>
      <c r="AH236" s="147" t="s">
        <v>246</v>
      </c>
      <c r="AI236" s="147">
        <v>17</v>
      </c>
      <c r="AJ236" s="147" t="s">
        <v>510</v>
      </c>
    </row>
    <row r="237" spans="1:36">
      <c r="A237" s="147" t="s">
        <v>887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640</v>
      </c>
      <c r="G237" s="147" t="s">
        <v>122</v>
      </c>
      <c r="H237" s="147">
        <v>22</v>
      </c>
      <c r="I237" s="148">
        <v>630</v>
      </c>
      <c r="J237" s="147" t="s">
        <v>210</v>
      </c>
      <c r="K237" s="148">
        <v>1185</v>
      </c>
      <c r="L237" s="148">
        <v>960</v>
      </c>
      <c r="M237" s="148">
        <v>870</v>
      </c>
      <c r="N237" s="148">
        <v>1030</v>
      </c>
      <c r="O237" s="148">
        <v>780</v>
      </c>
      <c r="P237" s="148">
        <v>870</v>
      </c>
      <c r="Q237" s="148">
        <v>690</v>
      </c>
      <c r="R237" s="148">
        <v>690</v>
      </c>
      <c r="S237" s="148">
        <v>690</v>
      </c>
      <c r="T237" s="148">
        <v>510</v>
      </c>
      <c r="U237" s="147" t="s">
        <v>343</v>
      </c>
      <c r="V237" s="147" t="s">
        <v>343</v>
      </c>
      <c r="W237" s="147" t="s">
        <v>343</v>
      </c>
      <c r="X237" s="148">
        <v>0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8">
        <v>8275</v>
      </c>
      <c r="AE237" s="148">
        <v>1890</v>
      </c>
      <c r="AF237" s="148">
        <v>8275</v>
      </c>
      <c r="AG237" s="148">
        <v>0</v>
      </c>
      <c r="AH237" s="147" t="s">
        <v>209</v>
      </c>
      <c r="AI237" s="147">
        <v>10</v>
      </c>
      <c r="AJ237" s="147" t="s">
        <v>510</v>
      </c>
    </row>
    <row r="238" spans="1:36">
      <c r="A238" s="147" t="s">
        <v>888</v>
      </c>
      <c r="B238" s="147" t="s">
        <v>567</v>
      </c>
      <c r="C238" s="147" t="s">
        <v>503</v>
      </c>
      <c r="D238" s="147" t="s">
        <v>505</v>
      </c>
      <c r="E238" s="147">
        <v>9</v>
      </c>
      <c r="F238" s="147" t="s">
        <v>568</v>
      </c>
      <c r="G238" s="147" t="s">
        <v>245</v>
      </c>
      <c r="H238" s="147">
        <v>2</v>
      </c>
      <c r="I238" s="148">
        <v>897</v>
      </c>
      <c r="J238" s="147" t="s">
        <v>247</v>
      </c>
      <c r="K238" s="147" t="s">
        <v>343</v>
      </c>
      <c r="L238" s="147" t="s">
        <v>343</v>
      </c>
      <c r="M238" s="147" t="s">
        <v>343</v>
      </c>
      <c r="N238" s="147" t="s">
        <v>343</v>
      </c>
      <c r="O238" s="147" t="s">
        <v>343</v>
      </c>
      <c r="P238" s="147" t="s">
        <v>343</v>
      </c>
      <c r="Q238" s="147" t="s">
        <v>343</v>
      </c>
      <c r="R238" s="147" t="s">
        <v>343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8">
        <v>1036</v>
      </c>
      <c r="AA238" s="148">
        <v>758</v>
      </c>
      <c r="AB238" s="147" t="s">
        <v>343</v>
      </c>
      <c r="AC238" s="147" t="s">
        <v>343</v>
      </c>
      <c r="AD238" s="148">
        <v>1794</v>
      </c>
      <c r="AE238" s="148">
        <v>1794</v>
      </c>
      <c r="AF238" s="148">
        <v>0</v>
      </c>
      <c r="AG238" s="148">
        <v>1794</v>
      </c>
      <c r="AH238" s="147" t="s">
        <v>246</v>
      </c>
      <c r="AI238" s="147">
        <v>2</v>
      </c>
      <c r="AJ238" s="147" t="s">
        <v>510</v>
      </c>
    </row>
    <row r="239" spans="1:36">
      <c r="A239" s="147" t="s">
        <v>889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640</v>
      </c>
      <c r="G239" s="147" t="s">
        <v>133</v>
      </c>
      <c r="H239" s="147">
        <v>20</v>
      </c>
      <c r="I239" s="148">
        <v>400</v>
      </c>
      <c r="J239" s="147" t="s">
        <v>343</v>
      </c>
      <c r="K239" s="148">
        <v>340</v>
      </c>
      <c r="L239" s="148">
        <v>340</v>
      </c>
      <c r="M239" s="148">
        <v>480</v>
      </c>
      <c r="N239" s="148">
        <v>480</v>
      </c>
      <c r="O239" s="148">
        <v>480</v>
      </c>
      <c r="P239" s="148">
        <v>480</v>
      </c>
      <c r="Q239" s="148">
        <v>400</v>
      </c>
      <c r="R239" s="148">
        <v>400</v>
      </c>
      <c r="S239" s="148">
        <v>400</v>
      </c>
      <c r="T239" s="148">
        <v>400</v>
      </c>
      <c r="U239" s="148">
        <v>400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8">
        <v>4600</v>
      </c>
      <c r="AE239" s="148">
        <v>1600</v>
      </c>
      <c r="AF239" s="148">
        <v>4600</v>
      </c>
      <c r="AG239" s="148">
        <v>0</v>
      </c>
      <c r="AH239" s="147" t="s">
        <v>210</v>
      </c>
      <c r="AI239" s="147">
        <v>11</v>
      </c>
      <c r="AJ239" s="147" t="s">
        <v>510</v>
      </c>
    </row>
    <row r="240" spans="1:36">
      <c r="A240" s="147" t="s">
        <v>890</v>
      </c>
      <c r="B240" s="147" t="s">
        <v>502</v>
      </c>
      <c r="C240" s="147" t="s">
        <v>503</v>
      </c>
      <c r="D240" s="147" t="s">
        <v>612</v>
      </c>
      <c r="E240" s="147">
        <v>9</v>
      </c>
      <c r="F240" s="147" t="s">
        <v>560</v>
      </c>
      <c r="G240" s="147" t="s">
        <v>209</v>
      </c>
      <c r="H240" s="147">
        <v>10</v>
      </c>
      <c r="I240" s="148">
        <v>333.33333333333331</v>
      </c>
      <c r="J240" s="147" t="s">
        <v>343</v>
      </c>
      <c r="K240" s="147" t="s">
        <v>343</v>
      </c>
      <c r="L240" s="147" t="s">
        <v>343</v>
      </c>
      <c r="M240" s="147" t="s">
        <v>343</v>
      </c>
      <c r="N240" s="147" t="s">
        <v>343</v>
      </c>
      <c r="O240" s="147" t="s">
        <v>343</v>
      </c>
      <c r="P240" s="147" t="s">
        <v>343</v>
      </c>
      <c r="Q240" s="147" t="s">
        <v>343</v>
      </c>
      <c r="R240" s="147" t="s">
        <v>343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8">
        <v>60</v>
      </c>
      <c r="X240" s="148">
        <v>60</v>
      </c>
      <c r="Y240" s="148">
        <v>180</v>
      </c>
      <c r="Z240" s="148">
        <v>300</v>
      </c>
      <c r="AA240" s="148">
        <v>300</v>
      </c>
      <c r="AB240" s="148">
        <v>300</v>
      </c>
      <c r="AC240" s="148">
        <v>400</v>
      </c>
      <c r="AD240" s="148">
        <v>1600</v>
      </c>
      <c r="AE240" s="148">
        <v>1600</v>
      </c>
      <c r="AF240" s="148">
        <v>0</v>
      </c>
      <c r="AG240" s="148">
        <v>1600</v>
      </c>
      <c r="AH240" s="147" t="s">
        <v>248</v>
      </c>
      <c r="AI240" s="147">
        <v>7</v>
      </c>
      <c r="AJ240" s="147" t="s">
        <v>509</v>
      </c>
    </row>
    <row r="241" spans="1:36">
      <c r="A241" s="147" t="s">
        <v>891</v>
      </c>
      <c r="B241" s="147" t="s">
        <v>567</v>
      </c>
      <c r="C241" s="147" t="s">
        <v>662</v>
      </c>
      <c r="D241" s="147" t="s">
        <v>343</v>
      </c>
      <c r="E241" s="147" t="s">
        <v>343</v>
      </c>
      <c r="F241" s="147" t="s">
        <v>640</v>
      </c>
      <c r="G241" s="147" t="s">
        <v>122</v>
      </c>
      <c r="H241" s="147">
        <v>23</v>
      </c>
      <c r="I241" s="148">
        <v>217.66666666666666</v>
      </c>
      <c r="J241" s="147" t="s">
        <v>211</v>
      </c>
      <c r="K241" s="148">
        <v>585</v>
      </c>
      <c r="L241" s="148">
        <v>556</v>
      </c>
      <c r="M241" s="148">
        <v>556</v>
      </c>
      <c r="N241" s="148">
        <v>897</v>
      </c>
      <c r="O241" s="148">
        <v>480</v>
      </c>
      <c r="P241" s="148">
        <v>404</v>
      </c>
      <c r="Q241" s="148">
        <v>404</v>
      </c>
      <c r="R241" s="148">
        <v>480</v>
      </c>
      <c r="S241" s="148">
        <v>404</v>
      </c>
      <c r="T241" s="148">
        <v>328</v>
      </c>
      <c r="U241" s="148">
        <v>100</v>
      </c>
      <c r="V241" s="147" t="s">
        <v>343</v>
      </c>
      <c r="W241" s="147" t="s">
        <v>343</v>
      </c>
      <c r="X241" s="148">
        <v>225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8">
        <v>5419</v>
      </c>
      <c r="AE241" s="148">
        <v>1537</v>
      </c>
      <c r="AF241" s="148">
        <v>5194</v>
      </c>
      <c r="AG241" s="148">
        <v>225</v>
      </c>
      <c r="AH241" s="147" t="s">
        <v>243</v>
      </c>
      <c r="AI241" s="147">
        <v>12</v>
      </c>
      <c r="AJ241" s="147" t="s">
        <v>510</v>
      </c>
    </row>
    <row r="242" spans="1:36">
      <c r="A242" s="147" t="s">
        <v>892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640</v>
      </c>
      <c r="G242" s="147" t="s">
        <v>209</v>
      </c>
      <c r="H242" s="147">
        <v>10</v>
      </c>
      <c r="I242" s="148">
        <v>765</v>
      </c>
      <c r="J242" s="147" t="s">
        <v>343</v>
      </c>
      <c r="K242" s="147" t="s">
        <v>343</v>
      </c>
      <c r="L242" s="147" t="s">
        <v>343</v>
      </c>
      <c r="M242" s="147" t="s">
        <v>343</v>
      </c>
      <c r="N242" s="147" t="s">
        <v>343</v>
      </c>
      <c r="O242" s="147" t="s">
        <v>343</v>
      </c>
      <c r="P242" s="147" t="s">
        <v>343</v>
      </c>
      <c r="Q242" s="147" t="s">
        <v>343</v>
      </c>
      <c r="R242" s="147" t="s">
        <v>343</v>
      </c>
      <c r="S242" s="147" t="s">
        <v>343</v>
      </c>
      <c r="T242" s="148">
        <v>765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8">
        <v>765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8">
        <v>1530</v>
      </c>
      <c r="AE242" s="148">
        <v>1530</v>
      </c>
      <c r="AF242" s="148">
        <v>765</v>
      </c>
      <c r="AG242" s="148">
        <v>765</v>
      </c>
      <c r="AH242" s="147" t="s">
        <v>244</v>
      </c>
      <c r="AI242" s="147">
        <v>2</v>
      </c>
      <c r="AJ242" s="147" t="s">
        <v>510</v>
      </c>
    </row>
    <row r="243" spans="1:36">
      <c r="A243" s="147" t="s">
        <v>893</v>
      </c>
      <c r="B243" s="147" t="s">
        <v>567</v>
      </c>
      <c r="C243" s="147" t="s">
        <v>733</v>
      </c>
      <c r="D243" s="147" t="s">
        <v>343</v>
      </c>
      <c r="E243" s="147" t="s">
        <v>343</v>
      </c>
      <c r="F243" s="147" t="s">
        <v>640</v>
      </c>
      <c r="G243" s="147" t="s">
        <v>209</v>
      </c>
      <c r="H243" s="147">
        <v>10</v>
      </c>
      <c r="I243" s="148">
        <v>765</v>
      </c>
      <c r="J243" s="147" t="s">
        <v>343</v>
      </c>
      <c r="K243" s="147" t="s">
        <v>343</v>
      </c>
      <c r="L243" s="147" t="s">
        <v>343</v>
      </c>
      <c r="M243" s="147" t="s">
        <v>343</v>
      </c>
      <c r="N243" s="147" t="s">
        <v>343</v>
      </c>
      <c r="O243" s="147" t="s">
        <v>343</v>
      </c>
      <c r="P243" s="147" t="s">
        <v>343</v>
      </c>
      <c r="Q243" s="147" t="s">
        <v>343</v>
      </c>
      <c r="R243" s="147" t="s">
        <v>343</v>
      </c>
      <c r="S243" s="147" t="s">
        <v>343</v>
      </c>
      <c r="T243" s="148">
        <v>765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8">
        <v>765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8">
        <v>1530</v>
      </c>
      <c r="AE243" s="148">
        <v>1530</v>
      </c>
      <c r="AF243" s="148">
        <v>765</v>
      </c>
      <c r="AG243" s="148">
        <v>765</v>
      </c>
      <c r="AH243" s="147" t="s">
        <v>244</v>
      </c>
      <c r="AI243" s="147">
        <v>2</v>
      </c>
      <c r="AJ243" s="147" t="s">
        <v>510</v>
      </c>
    </row>
    <row r="244" spans="1:36">
      <c r="A244" s="147" t="s">
        <v>894</v>
      </c>
      <c r="B244" s="147" t="s">
        <v>567</v>
      </c>
      <c r="C244" s="147" t="s">
        <v>733</v>
      </c>
      <c r="D244" s="147" t="s">
        <v>343</v>
      </c>
      <c r="E244" s="147" t="s">
        <v>343</v>
      </c>
      <c r="F244" s="147" t="s">
        <v>640</v>
      </c>
      <c r="G244" s="147" t="s">
        <v>209</v>
      </c>
      <c r="H244" s="147">
        <v>10</v>
      </c>
      <c r="I244" s="148">
        <v>765</v>
      </c>
      <c r="J244" s="147" t="s">
        <v>343</v>
      </c>
      <c r="K244" s="147" t="s">
        <v>343</v>
      </c>
      <c r="L244" s="147" t="s">
        <v>343</v>
      </c>
      <c r="M244" s="147" t="s">
        <v>343</v>
      </c>
      <c r="N244" s="147" t="s">
        <v>343</v>
      </c>
      <c r="O244" s="147" t="s">
        <v>343</v>
      </c>
      <c r="P244" s="147" t="s">
        <v>343</v>
      </c>
      <c r="Q244" s="147" t="s">
        <v>343</v>
      </c>
      <c r="R244" s="147" t="s">
        <v>343</v>
      </c>
      <c r="S244" s="147" t="s">
        <v>343</v>
      </c>
      <c r="T244" s="148">
        <v>765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8">
        <v>765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8">
        <v>1530</v>
      </c>
      <c r="AE244" s="148">
        <v>1530</v>
      </c>
      <c r="AF244" s="148">
        <v>765</v>
      </c>
      <c r="AG244" s="148">
        <v>765</v>
      </c>
      <c r="AH244" s="147" t="s">
        <v>244</v>
      </c>
      <c r="AI244" s="147">
        <v>2</v>
      </c>
      <c r="AJ244" s="147" t="s">
        <v>510</v>
      </c>
    </row>
    <row r="245" spans="1:36">
      <c r="A245" s="147" t="s">
        <v>895</v>
      </c>
      <c r="B245" s="147" t="s">
        <v>567</v>
      </c>
      <c r="C245" s="147" t="s">
        <v>733</v>
      </c>
      <c r="D245" s="147" t="s">
        <v>343</v>
      </c>
      <c r="E245" s="147" t="s">
        <v>343</v>
      </c>
      <c r="F245" s="147" t="s">
        <v>640</v>
      </c>
      <c r="G245" s="147" t="s">
        <v>209</v>
      </c>
      <c r="H245" s="147">
        <v>10</v>
      </c>
      <c r="I245" s="148">
        <v>765</v>
      </c>
      <c r="J245" s="147" t="s">
        <v>343</v>
      </c>
      <c r="K245" s="147" t="s">
        <v>343</v>
      </c>
      <c r="L245" s="147" t="s">
        <v>343</v>
      </c>
      <c r="M245" s="147" t="s">
        <v>343</v>
      </c>
      <c r="N245" s="147" t="s">
        <v>343</v>
      </c>
      <c r="O245" s="147" t="s">
        <v>343</v>
      </c>
      <c r="P245" s="147" t="s">
        <v>343</v>
      </c>
      <c r="Q245" s="147" t="s">
        <v>343</v>
      </c>
      <c r="R245" s="147" t="s">
        <v>343</v>
      </c>
      <c r="S245" s="147" t="s">
        <v>343</v>
      </c>
      <c r="T245" s="148">
        <v>765</v>
      </c>
      <c r="U245" s="147" t="s">
        <v>343</v>
      </c>
      <c r="V245" s="147" t="s">
        <v>343</v>
      </c>
      <c r="W245" s="147" t="s">
        <v>343</v>
      </c>
      <c r="X245" s="147" t="s">
        <v>343</v>
      </c>
      <c r="Y245" s="148">
        <v>765</v>
      </c>
      <c r="Z245" s="147" t="s">
        <v>343</v>
      </c>
      <c r="AA245" s="147" t="s">
        <v>343</v>
      </c>
      <c r="AB245" s="147" t="s">
        <v>343</v>
      </c>
      <c r="AC245" s="147" t="s">
        <v>343</v>
      </c>
      <c r="AD245" s="148">
        <v>1530</v>
      </c>
      <c r="AE245" s="148">
        <v>1530</v>
      </c>
      <c r="AF245" s="148">
        <v>765</v>
      </c>
      <c r="AG245" s="148">
        <v>765</v>
      </c>
      <c r="AH245" s="147" t="s">
        <v>244</v>
      </c>
      <c r="AI245" s="147">
        <v>2</v>
      </c>
      <c r="AJ245" s="147" t="s">
        <v>510</v>
      </c>
    </row>
    <row r="246" spans="1:36">
      <c r="A246" s="147" t="s">
        <v>896</v>
      </c>
      <c r="B246" s="147" t="s">
        <v>567</v>
      </c>
      <c r="C246" s="147" t="s">
        <v>733</v>
      </c>
      <c r="D246" s="147" t="s">
        <v>343</v>
      </c>
      <c r="E246" s="147" t="s">
        <v>343</v>
      </c>
      <c r="F246" s="147" t="s">
        <v>640</v>
      </c>
      <c r="G246" s="147" t="s">
        <v>209</v>
      </c>
      <c r="H246" s="147">
        <v>10</v>
      </c>
      <c r="I246" s="148">
        <v>765</v>
      </c>
      <c r="J246" s="147" t="s">
        <v>343</v>
      </c>
      <c r="K246" s="147" t="s">
        <v>343</v>
      </c>
      <c r="L246" s="147" t="s">
        <v>343</v>
      </c>
      <c r="M246" s="147" t="s">
        <v>343</v>
      </c>
      <c r="N246" s="147" t="s">
        <v>343</v>
      </c>
      <c r="O246" s="147" t="s">
        <v>343</v>
      </c>
      <c r="P246" s="147" t="s">
        <v>343</v>
      </c>
      <c r="Q246" s="147" t="s">
        <v>343</v>
      </c>
      <c r="R246" s="147" t="s">
        <v>343</v>
      </c>
      <c r="S246" s="147" t="s">
        <v>343</v>
      </c>
      <c r="T246" s="148">
        <v>765</v>
      </c>
      <c r="U246" s="147" t="s">
        <v>343</v>
      </c>
      <c r="V246" s="147" t="s">
        <v>343</v>
      </c>
      <c r="W246" s="147" t="s">
        <v>343</v>
      </c>
      <c r="X246" s="147" t="s">
        <v>343</v>
      </c>
      <c r="Y246" s="148">
        <v>765</v>
      </c>
      <c r="Z246" s="147" t="s">
        <v>343</v>
      </c>
      <c r="AA246" s="147" t="s">
        <v>343</v>
      </c>
      <c r="AB246" s="147" t="s">
        <v>343</v>
      </c>
      <c r="AC246" s="147" t="s">
        <v>343</v>
      </c>
      <c r="AD246" s="148">
        <v>1530</v>
      </c>
      <c r="AE246" s="148">
        <v>1530</v>
      </c>
      <c r="AF246" s="148">
        <v>765</v>
      </c>
      <c r="AG246" s="148">
        <v>765</v>
      </c>
      <c r="AH246" s="147" t="s">
        <v>244</v>
      </c>
      <c r="AI246" s="147">
        <v>2</v>
      </c>
      <c r="AJ246" s="147" t="s">
        <v>510</v>
      </c>
    </row>
    <row r="247" spans="1:36">
      <c r="A247" s="147" t="s">
        <v>897</v>
      </c>
      <c r="B247" s="147" t="s">
        <v>567</v>
      </c>
      <c r="C247" s="147" t="s">
        <v>683</v>
      </c>
      <c r="D247" s="147" t="s">
        <v>343</v>
      </c>
      <c r="E247" s="147" t="s">
        <v>343</v>
      </c>
      <c r="F247" s="147" t="s">
        <v>640</v>
      </c>
      <c r="G247" s="147" t="s">
        <v>209</v>
      </c>
      <c r="H247" s="147">
        <v>10</v>
      </c>
      <c r="I247" s="148">
        <v>765</v>
      </c>
      <c r="J247" s="147" t="s">
        <v>343</v>
      </c>
      <c r="K247" s="147" t="s">
        <v>343</v>
      </c>
      <c r="L247" s="147" t="s">
        <v>343</v>
      </c>
      <c r="M247" s="147" t="s">
        <v>343</v>
      </c>
      <c r="N247" s="147" t="s">
        <v>343</v>
      </c>
      <c r="O247" s="147" t="s">
        <v>343</v>
      </c>
      <c r="P247" s="147" t="s">
        <v>343</v>
      </c>
      <c r="Q247" s="147" t="s">
        <v>343</v>
      </c>
      <c r="R247" s="147" t="s">
        <v>343</v>
      </c>
      <c r="S247" s="147" t="s">
        <v>343</v>
      </c>
      <c r="T247" s="148">
        <v>765</v>
      </c>
      <c r="U247" s="147" t="s">
        <v>343</v>
      </c>
      <c r="V247" s="147" t="s">
        <v>343</v>
      </c>
      <c r="W247" s="147" t="s">
        <v>343</v>
      </c>
      <c r="X247" s="147" t="s">
        <v>343</v>
      </c>
      <c r="Y247" s="148">
        <v>765</v>
      </c>
      <c r="Z247" s="147" t="s">
        <v>343</v>
      </c>
      <c r="AA247" s="147" t="s">
        <v>343</v>
      </c>
      <c r="AB247" s="147" t="s">
        <v>343</v>
      </c>
      <c r="AC247" s="147" t="s">
        <v>343</v>
      </c>
      <c r="AD247" s="148">
        <v>1530</v>
      </c>
      <c r="AE247" s="148">
        <v>1530</v>
      </c>
      <c r="AF247" s="148">
        <v>765</v>
      </c>
      <c r="AG247" s="148">
        <v>765</v>
      </c>
      <c r="AH247" s="147" t="s">
        <v>244</v>
      </c>
      <c r="AI247" s="147">
        <v>2</v>
      </c>
      <c r="AJ247" s="147" t="s">
        <v>510</v>
      </c>
    </row>
    <row r="248" spans="1:36">
      <c r="A248" s="147" t="s">
        <v>898</v>
      </c>
      <c r="B248" s="147" t="s">
        <v>567</v>
      </c>
      <c r="C248" s="147" t="s">
        <v>877</v>
      </c>
      <c r="D248" s="147" t="s">
        <v>343</v>
      </c>
      <c r="E248" s="147" t="s">
        <v>343</v>
      </c>
      <c r="F248" s="147" t="s">
        <v>640</v>
      </c>
      <c r="G248" s="147" t="s">
        <v>782</v>
      </c>
      <c r="H248" s="147">
        <v>36</v>
      </c>
      <c r="I248" s="148">
        <v>305</v>
      </c>
      <c r="J248" s="147" t="s">
        <v>242</v>
      </c>
      <c r="K248" s="148">
        <v>380</v>
      </c>
      <c r="L248" s="148">
        <v>305</v>
      </c>
      <c r="M248" s="148">
        <v>305</v>
      </c>
      <c r="N248" s="148">
        <v>305</v>
      </c>
      <c r="O248" s="148">
        <v>305</v>
      </c>
      <c r="P248" s="148">
        <v>305</v>
      </c>
      <c r="Q248" s="148">
        <v>305</v>
      </c>
      <c r="R248" s="148">
        <v>305</v>
      </c>
      <c r="S248" s="148">
        <v>305</v>
      </c>
      <c r="T248" s="148">
        <v>305</v>
      </c>
      <c r="U248" s="148">
        <v>305</v>
      </c>
      <c r="V248" s="148">
        <v>305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8">
        <v>3735</v>
      </c>
      <c r="AE248" s="148">
        <v>1525</v>
      </c>
      <c r="AF248" s="148">
        <v>3735</v>
      </c>
      <c r="AG248" s="148">
        <v>0</v>
      </c>
      <c r="AH248" s="147" t="s">
        <v>211</v>
      </c>
      <c r="AI248" s="147">
        <v>12</v>
      </c>
      <c r="AJ248" s="147" t="s">
        <v>510</v>
      </c>
    </row>
    <row r="249" spans="1:36">
      <c r="A249" s="147" t="s">
        <v>899</v>
      </c>
      <c r="B249" s="147" t="s">
        <v>502</v>
      </c>
      <c r="C249" s="147" t="s">
        <v>683</v>
      </c>
      <c r="D249" s="147" t="s">
        <v>343</v>
      </c>
      <c r="E249" s="147">
        <v>0</v>
      </c>
      <c r="F249" s="147" t="s">
        <v>507</v>
      </c>
      <c r="G249" s="147" t="s">
        <v>244</v>
      </c>
      <c r="H249" s="147">
        <v>5</v>
      </c>
      <c r="I249" s="148">
        <v>401.66666666666669</v>
      </c>
      <c r="J249" s="147" t="s">
        <v>343</v>
      </c>
      <c r="K249" s="147" t="s">
        <v>343</v>
      </c>
      <c r="L249" s="147" t="s">
        <v>343</v>
      </c>
      <c r="M249" s="147" t="s">
        <v>343</v>
      </c>
      <c r="N249" s="147" t="s">
        <v>343</v>
      </c>
      <c r="O249" s="147" t="s">
        <v>343</v>
      </c>
      <c r="P249" s="147" t="s">
        <v>343</v>
      </c>
      <c r="Q249" s="147" t="s">
        <v>343</v>
      </c>
      <c r="R249" s="147" t="s">
        <v>343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8">
        <v>160</v>
      </c>
      <c r="Z249" s="148">
        <v>160</v>
      </c>
      <c r="AA249" s="148">
        <v>685</v>
      </c>
      <c r="AB249" s="148">
        <v>260</v>
      </c>
      <c r="AC249" s="148">
        <v>260</v>
      </c>
      <c r="AD249" s="148">
        <v>1525</v>
      </c>
      <c r="AE249" s="148">
        <v>1525</v>
      </c>
      <c r="AF249" s="148">
        <v>0</v>
      </c>
      <c r="AG249" s="148">
        <v>1525</v>
      </c>
      <c r="AH249" s="147" t="s">
        <v>248</v>
      </c>
      <c r="AI249" s="147">
        <v>5</v>
      </c>
      <c r="AJ249" s="147" t="s">
        <v>509</v>
      </c>
    </row>
    <row r="250" spans="1:36">
      <c r="A250" s="147" t="s">
        <v>900</v>
      </c>
      <c r="B250" s="147" t="s">
        <v>502</v>
      </c>
      <c r="C250" s="147" t="s">
        <v>503</v>
      </c>
      <c r="D250" s="147" t="s">
        <v>612</v>
      </c>
      <c r="E250" s="147">
        <v>5</v>
      </c>
      <c r="F250" s="147" t="s">
        <v>507</v>
      </c>
      <c r="G250" s="147" t="s">
        <v>203</v>
      </c>
      <c r="H250" s="147">
        <v>16</v>
      </c>
      <c r="I250" s="148">
        <v>116.66666666666667</v>
      </c>
      <c r="J250" s="147" t="s">
        <v>343</v>
      </c>
      <c r="K250" s="147" t="s">
        <v>343</v>
      </c>
      <c r="L250" s="147" t="s">
        <v>343</v>
      </c>
      <c r="M250" s="147" t="s">
        <v>343</v>
      </c>
      <c r="N250" s="148">
        <v>350</v>
      </c>
      <c r="O250" s="147" t="s">
        <v>343</v>
      </c>
      <c r="P250" s="148">
        <v>150</v>
      </c>
      <c r="Q250" s="147" t="s">
        <v>343</v>
      </c>
      <c r="R250" s="147" t="s">
        <v>343</v>
      </c>
      <c r="S250" s="148">
        <v>355</v>
      </c>
      <c r="T250" s="148">
        <v>105</v>
      </c>
      <c r="U250" s="148">
        <v>105</v>
      </c>
      <c r="V250" s="148">
        <v>105</v>
      </c>
      <c r="W250" s="148">
        <v>135</v>
      </c>
      <c r="X250" s="148">
        <v>105</v>
      </c>
      <c r="Y250" s="148">
        <v>105</v>
      </c>
      <c r="Z250" s="148">
        <v>140</v>
      </c>
      <c r="AA250" s="148">
        <v>70</v>
      </c>
      <c r="AB250" s="148">
        <v>140</v>
      </c>
      <c r="AC250" s="148">
        <v>140</v>
      </c>
      <c r="AD250" s="148">
        <v>2005</v>
      </c>
      <c r="AE250" s="148">
        <v>1505</v>
      </c>
      <c r="AF250" s="148">
        <v>1170</v>
      </c>
      <c r="AG250" s="148">
        <v>835</v>
      </c>
      <c r="AH250" s="147" t="s">
        <v>248</v>
      </c>
      <c r="AI250" s="147">
        <v>13</v>
      </c>
      <c r="AJ250" s="147" t="s">
        <v>509</v>
      </c>
    </row>
    <row r="251" spans="1:36">
      <c r="A251" s="147" t="s">
        <v>901</v>
      </c>
      <c r="B251" s="147" t="s">
        <v>502</v>
      </c>
      <c r="C251" s="147" t="s">
        <v>503</v>
      </c>
      <c r="D251" s="147" t="s">
        <v>505</v>
      </c>
      <c r="E251" s="147">
        <v>2</v>
      </c>
      <c r="F251" s="147" t="s">
        <v>560</v>
      </c>
      <c r="G251" s="147" t="s">
        <v>243</v>
      </c>
      <c r="H251" s="147">
        <v>6</v>
      </c>
      <c r="I251" s="148">
        <v>120</v>
      </c>
      <c r="J251" s="147" t="s">
        <v>343</v>
      </c>
      <c r="K251" s="147" t="s">
        <v>343</v>
      </c>
      <c r="L251" s="147" t="s">
        <v>343</v>
      </c>
      <c r="M251" s="147" t="s">
        <v>343</v>
      </c>
      <c r="N251" s="147" t="s">
        <v>343</v>
      </c>
      <c r="O251" s="147" t="s">
        <v>343</v>
      </c>
      <c r="P251" s="147" t="s">
        <v>343</v>
      </c>
      <c r="Q251" s="147" t="s">
        <v>343</v>
      </c>
      <c r="R251" s="147" t="s">
        <v>343</v>
      </c>
      <c r="S251" s="147" t="s">
        <v>343</v>
      </c>
      <c r="T251" s="147" t="s">
        <v>343</v>
      </c>
      <c r="U251" s="147" t="s">
        <v>343</v>
      </c>
      <c r="V251" s="147" t="s">
        <v>343</v>
      </c>
      <c r="W251" s="147" t="s">
        <v>343</v>
      </c>
      <c r="X251" s="147" t="s">
        <v>343</v>
      </c>
      <c r="Y251" s="148">
        <v>725</v>
      </c>
      <c r="Z251" s="148">
        <v>417.5</v>
      </c>
      <c r="AA251" s="148">
        <v>120</v>
      </c>
      <c r="AB251" s="148">
        <v>120</v>
      </c>
      <c r="AC251" s="148">
        <v>120</v>
      </c>
      <c r="AD251" s="148">
        <v>1502.5</v>
      </c>
      <c r="AE251" s="148">
        <v>1502.5</v>
      </c>
      <c r="AF251" s="148">
        <v>0</v>
      </c>
      <c r="AG251" s="148">
        <v>1502.5</v>
      </c>
      <c r="AH251" s="147" t="s">
        <v>248</v>
      </c>
      <c r="AI251" s="147">
        <v>5</v>
      </c>
      <c r="AJ251" s="147" t="s">
        <v>509</v>
      </c>
    </row>
    <row r="252" spans="1:36">
      <c r="A252" s="147" t="s">
        <v>902</v>
      </c>
      <c r="B252" s="147" t="s">
        <v>567</v>
      </c>
      <c r="C252" s="147" t="s">
        <v>662</v>
      </c>
      <c r="D252" s="147" t="s">
        <v>343</v>
      </c>
      <c r="E252" s="147" t="s">
        <v>343</v>
      </c>
      <c r="F252" s="147" t="s">
        <v>640</v>
      </c>
      <c r="G252" s="147" t="s">
        <v>129</v>
      </c>
      <c r="H252" s="147">
        <v>17</v>
      </c>
      <c r="I252" s="148">
        <v>300</v>
      </c>
      <c r="J252" s="147" t="s">
        <v>242</v>
      </c>
      <c r="K252" s="148">
        <v>250</v>
      </c>
      <c r="L252" s="148">
        <v>250</v>
      </c>
      <c r="M252" s="148">
        <v>250</v>
      </c>
      <c r="N252" s="148">
        <v>250</v>
      </c>
      <c r="O252" s="148">
        <v>250</v>
      </c>
      <c r="P252" s="148">
        <v>250</v>
      </c>
      <c r="Q252" s="148">
        <v>250</v>
      </c>
      <c r="R252" s="148">
        <v>250</v>
      </c>
      <c r="S252" s="148">
        <v>300</v>
      </c>
      <c r="T252" s="148">
        <v>300</v>
      </c>
      <c r="U252" s="148">
        <v>300</v>
      </c>
      <c r="V252" s="148">
        <v>300</v>
      </c>
      <c r="W252" s="147" t="s">
        <v>343</v>
      </c>
      <c r="X252" s="147" t="s">
        <v>343</v>
      </c>
      <c r="Y252" s="147" t="s">
        <v>343</v>
      </c>
      <c r="Z252" s="147" t="s">
        <v>343</v>
      </c>
      <c r="AA252" s="147" t="s">
        <v>343</v>
      </c>
      <c r="AB252" s="147" t="s">
        <v>343</v>
      </c>
      <c r="AC252" s="147" t="s">
        <v>343</v>
      </c>
      <c r="AD252" s="148">
        <v>3200</v>
      </c>
      <c r="AE252" s="148">
        <v>1450</v>
      </c>
      <c r="AF252" s="148">
        <v>3200</v>
      </c>
      <c r="AG252" s="148">
        <v>0</v>
      </c>
      <c r="AH252" s="147" t="s">
        <v>211</v>
      </c>
      <c r="AI252" s="147">
        <v>12</v>
      </c>
      <c r="AJ252" s="147" t="s">
        <v>510</v>
      </c>
    </row>
    <row r="253" spans="1:36">
      <c r="A253" s="147" t="s">
        <v>903</v>
      </c>
      <c r="B253" s="147" t="s">
        <v>567</v>
      </c>
      <c r="C253" s="147" t="s">
        <v>662</v>
      </c>
      <c r="D253" s="147" t="s">
        <v>343</v>
      </c>
      <c r="E253" s="147" t="s">
        <v>343</v>
      </c>
      <c r="F253" s="147" t="s">
        <v>640</v>
      </c>
      <c r="G253" s="147" t="s">
        <v>206</v>
      </c>
      <c r="H253" s="147">
        <v>7</v>
      </c>
      <c r="I253" s="148">
        <v>110</v>
      </c>
      <c r="J253" s="147" t="s">
        <v>243</v>
      </c>
      <c r="K253" s="147" t="s">
        <v>343</v>
      </c>
      <c r="L253" s="147" t="s">
        <v>343</v>
      </c>
      <c r="M253" s="147" t="s">
        <v>343</v>
      </c>
      <c r="N253" s="147" t="s">
        <v>343</v>
      </c>
      <c r="O253" s="147" t="s">
        <v>343</v>
      </c>
      <c r="P253" s="147" t="s">
        <v>343</v>
      </c>
      <c r="Q253" s="148">
        <v>350</v>
      </c>
      <c r="R253" s="148">
        <v>360</v>
      </c>
      <c r="S253" s="148">
        <v>360</v>
      </c>
      <c r="T253" s="148">
        <v>360</v>
      </c>
      <c r="U253" s="148">
        <v>105</v>
      </c>
      <c r="V253" s="148">
        <v>105</v>
      </c>
      <c r="W253" s="148">
        <v>120</v>
      </c>
      <c r="X253" s="147" t="s">
        <v>343</v>
      </c>
      <c r="Y253" s="147" t="s">
        <v>343</v>
      </c>
      <c r="Z253" s="147" t="s">
        <v>343</v>
      </c>
      <c r="AA253" s="147" t="s">
        <v>343</v>
      </c>
      <c r="AB253" s="147" t="s">
        <v>343</v>
      </c>
      <c r="AC253" s="147" t="s">
        <v>343</v>
      </c>
      <c r="AD253" s="148">
        <v>1760</v>
      </c>
      <c r="AE253" s="148">
        <v>1410</v>
      </c>
      <c r="AF253" s="148">
        <v>1640</v>
      </c>
      <c r="AG253" s="148">
        <v>120</v>
      </c>
      <c r="AH253" s="147" t="s">
        <v>242</v>
      </c>
      <c r="AI253" s="147">
        <v>7</v>
      </c>
      <c r="AJ253" s="147" t="s">
        <v>510</v>
      </c>
    </row>
    <row r="254" spans="1:36">
      <c r="A254" s="147" t="s">
        <v>904</v>
      </c>
      <c r="B254" s="147" t="s">
        <v>567</v>
      </c>
      <c r="C254" s="147" t="s">
        <v>683</v>
      </c>
      <c r="D254" s="147" t="s">
        <v>343</v>
      </c>
      <c r="E254" s="147">
        <v>4</v>
      </c>
      <c r="F254" s="147" t="s">
        <v>507</v>
      </c>
      <c r="G254" s="147" t="s">
        <v>243</v>
      </c>
      <c r="H254" s="147">
        <v>4</v>
      </c>
      <c r="I254" s="148">
        <v>270.16666666666669</v>
      </c>
      <c r="J254" s="147" t="s">
        <v>247</v>
      </c>
      <c r="K254" s="147" t="s">
        <v>343</v>
      </c>
      <c r="L254" s="147" t="s">
        <v>343</v>
      </c>
      <c r="M254" s="147" t="s">
        <v>343</v>
      </c>
      <c r="N254" s="147" t="s">
        <v>343</v>
      </c>
      <c r="O254" s="147" t="s">
        <v>343</v>
      </c>
      <c r="P254" s="147" t="s">
        <v>343</v>
      </c>
      <c r="Q254" s="147" t="s">
        <v>343</v>
      </c>
      <c r="R254" s="147" t="s">
        <v>343</v>
      </c>
      <c r="S254" s="147" t="s">
        <v>343</v>
      </c>
      <c r="T254" s="147" t="s">
        <v>343</v>
      </c>
      <c r="U254" s="147" t="s">
        <v>343</v>
      </c>
      <c r="V254" s="147" t="s">
        <v>343</v>
      </c>
      <c r="W254" s="147" t="s">
        <v>343</v>
      </c>
      <c r="X254" s="148">
        <v>263</v>
      </c>
      <c r="Y254" s="148">
        <v>263</v>
      </c>
      <c r="Z254" s="148">
        <v>263</v>
      </c>
      <c r="AA254" s="148">
        <v>237.5</v>
      </c>
      <c r="AB254" s="148">
        <v>310</v>
      </c>
      <c r="AC254" s="147" t="s">
        <v>343</v>
      </c>
      <c r="AD254" s="148">
        <v>1336.5</v>
      </c>
      <c r="AE254" s="148">
        <v>1336.5</v>
      </c>
      <c r="AF254" s="148">
        <v>0</v>
      </c>
      <c r="AG254" s="148">
        <v>1336.5</v>
      </c>
      <c r="AH254" s="147" t="s">
        <v>247</v>
      </c>
      <c r="AI254" s="147">
        <v>5</v>
      </c>
      <c r="AJ254" s="147" t="s">
        <v>509</v>
      </c>
    </row>
    <row r="255" spans="1:36">
      <c r="A255" s="147" t="s">
        <v>905</v>
      </c>
      <c r="B255" s="147" t="s">
        <v>502</v>
      </c>
      <c r="C255" s="147" t="s">
        <v>683</v>
      </c>
      <c r="D255" s="147" t="s">
        <v>343</v>
      </c>
      <c r="E255" s="147" t="s">
        <v>343</v>
      </c>
      <c r="F255" s="147" t="s">
        <v>709</v>
      </c>
      <c r="G255" s="147" t="s">
        <v>245</v>
      </c>
      <c r="H255" s="147">
        <v>4</v>
      </c>
      <c r="I255" s="148">
        <v>310</v>
      </c>
      <c r="J255" s="147" t="s">
        <v>343</v>
      </c>
      <c r="K255" s="147" t="s">
        <v>343</v>
      </c>
      <c r="L255" s="147" t="s">
        <v>343</v>
      </c>
      <c r="M255" s="147" t="s">
        <v>343</v>
      </c>
      <c r="N255" s="147" t="s">
        <v>343</v>
      </c>
      <c r="O255" s="147" t="s">
        <v>343</v>
      </c>
      <c r="P255" s="147" t="s">
        <v>343</v>
      </c>
      <c r="Q255" s="147" t="s">
        <v>343</v>
      </c>
      <c r="R255" s="147" t="s">
        <v>343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8">
        <v>310</v>
      </c>
      <c r="AA255" s="148">
        <v>310</v>
      </c>
      <c r="AB255" s="148">
        <v>310</v>
      </c>
      <c r="AC255" s="148">
        <v>310</v>
      </c>
      <c r="AD255" s="148">
        <v>1240</v>
      </c>
      <c r="AE255" s="148">
        <v>1240</v>
      </c>
      <c r="AF255" s="148">
        <v>0</v>
      </c>
      <c r="AG255" s="148">
        <v>1240</v>
      </c>
      <c r="AH255" s="147" t="s">
        <v>248</v>
      </c>
      <c r="AI255" s="147">
        <v>4</v>
      </c>
      <c r="AJ255" s="147" t="s">
        <v>509</v>
      </c>
    </row>
    <row r="256" spans="1:36">
      <c r="A256" s="147" t="s">
        <v>906</v>
      </c>
      <c r="B256" s="147" t="s">
        <v>502</v>
      </c>
      <c r="C256" s="147" t="s">
        <v>503</v>
      </c>
      <c r="D256" s="147" t="s">
        <v>343</v>
      </c>
      <c r="E256" s="147">
        <v>4</v>
      </c>
      <c r="F256" s="147" t="s">
        <v>507</v>
      </c>
      <c r="G256" s="147" t="s">
        <v>247</v>
      </c>
      <c r="H256" s="147">
        <v>2</v>
      </c>
      <c r="I256" s="148">
        <v>614.5</v>
      </c>
      <c r="J256" s="147" t="s">
        <v>343</v>
      </c>
      <c r="K256" s="147" t="s">
        <v>343</v>
      </c>
      <c r="L256" s="147" t="s">
        <v>343</v>
      </c>
      <c r="M256" s="147" t="s">
        <v>343</v>
      </c>
      <c r="N256" s="147" t="s">
        <v>343</v>
      </c>
      <c r="O256" s="147" t="s">
        <v>343</v>
      </c>
      <c r="P256" s="147" t="s">
        <v>343</v>
      </c>
      <c r="Q256" s="147" t="s">
        <v>343</v>
      </c>
      <c r="R256" s="147" t="s">
        <v>343</v>
      </c>
      <c r="S256" s="147" t="s">
        <v>343</v>
      </c>
      <c r="T256" s="147" t="s">
        <v>343</v>
      </c>
      <c r="U256" s="147" t="s">
        <v>343</v>
      </c>
      <c r="V256" s="147" t="s">
        <v>343</v>
      </c>
      <c r="W256" s="147" t="s">
        <v>343</v>
      </c>
      <c r="X256" s="147" t="s">
        <v>343</v>
      </c>
      <c r="Y256" s="147" t="s">
        <v>343</v>
      </c>
      <c r="Z256" s="147" t="s">
        <v>343</v>
      </c>
      <c r="AA256" s="147" t="s">
        <v>343</v>
      </c>
      <c r="AB256" s="148">
        <v>811</v>
      </c>
      <c r="AC256" s="148">
        <v>418</v>
      </c>
      <c r="AD256" s="148">
        <v>1229</v>
      </c>
      <c r="AE256" s="148">
        <v>1229</v>
      </c>
      <c r="AF256" s="148">
        <v>0</v>
      </c>
      <c r="AG256" s="148">
        <v>1229</v>
      </c>
      <c r="AH256" s="147" t="s">
        <v>248</v>
      </c>
      <c r="AI256" s="147">
        <v>2</v>
      </c>
      <c r="AJ256" s="147" t="s">
        <v>509</v>
      </c>
    </row>
    <row r="257" spans="1:36">
      <c r="A257" s="147" t="s">
        <v>908</v>
      </c>
      <c r="B257" s="147" t="s">
        <v>502</v>
      </c>
      <c r="C257" s="147" t="s">
        <v>683</v>
      </c>
      <c r="D257" s="147" t="s">
        <v>343</v>
      </c>
      <c r="E257" s="147">
        <v>0</v>
      </c>
      <c r="F257" s="147" t="s">
        <v>507</v>
      </c>
      <c r="G257" s="147" t="s">
        <v>211</v>
      </c>
      <c r="H257" s="147">
        <v>8</v>
      </c>
      <c r="I257" s="148">
        <v>150</v>
      </c>
      <c r="J257" s="147" t="s">
        <v>343</v>
      </c>
      <c r="K257" s="147" t="s">
        <v>343</v>
      </c>
      <c r="L257" s="147" t="s">
        <v>343</v>
      </c>
      <c r="M257" s="147" t="s">
        <v>343</v>
      </c>
      <c r="N257" s="147" t="s">
        <v>343</v>
      </c>
      <c r="O257" s="147" t="s">
        <v>343</v>
      </c>
      <c r="P257" s="147" t="s">
        <v>343</v>
      </c>
      <c r="Q257" s="147" t="s">
        <v>343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8">
        <v>150</v>
      </c>
      <c r="W257" s="148">
        <v>150</v>
      </c>
      <c r="X257" s="148">
        <v>165</v>
      </c>
      <c r="Y257" s="148">
        <v>150</v>
      </c>
      <c r="Z257" s="148">
        <v>150</v>
      </c>
      <c r="AA257" s="148">
        <v>150</v>
      </c>
      <c r="AB257" s="148">
        <v>150</v>
      </c>
      <c r="AC257" s="148">
        <v>150</v>
      </c>
      <c r="AD257" s="148">
        <v>1215</v>
      </c>
      <c r="AE257" s="148">
        <v>1215</v>
      </c>
      <c r="AF257" s="148">
        <v>150</v>
      </c>
      <c r="AG257" s="148">
        <v>1065</v>
      </c>
      <c r="AH257" s="147" t="s">
        <v>248</v>
      </c>
      <c r="AI257" s="147">
        <v>8</v>
      </c>
      <c r="AJ257" s="147" t="s">
        <v>509</v>
      </c>
    </row>
    <row r="258" spans="1:36">
      <c r="A258" s="147" t="s">
        <v>909</v>
      </c>
      <c r="B258" s="147" t="s">
        <v>502</v>
      </c>
      <c r="C258" s="147" t="s">
        <v>503</v>
      </c>
      <c r="D258" s="147" t="s">
        <v>343</v>
      </c>
      <c r="E258" s="147">
        <v>3</v>
      </c>
      <c r="F258" s="147" t="s">
        <v>507</v>
      </c>
      <c r="G258" s="147" t="s">
        <v>247</v>
      </c>
      <c r="H258" s="147">
        <v>2</v>
      </c>
      <c r="I258" s="148">
        <v>603.25</v>
      </c>
      <c r="J258" s="147" t="s">
        <v>343</v>
      </c>
      <c r="K258" s="147" t="s">
        <v>343</v>
      </c>
      <c r="L258" s="147" t="s">
        <v>343</v>
      </c>
      <c r="M258" s="147" t="s">
        <v>343</v>
      </c>
      <c r="N258" s="147" t="s">
        <v>343</v>
      </c>
      <c r="O258" s="147" t="s">
        <v>343</v>
      </c>
      <c r="P258" s="147" t="s">
        <v>343</v>
      </c>
      <c r="Q258" s="147" t="s">
        <v>343</v>
      </c>
      <c r="R258" s="147" t="s">
        <v>343</v>
      </c>
      <c r="S258" s="147" t="s">
        <v>343</v>
      </c>
      <c r="T258" s="147" t="s">
        <v>343</v>
      </c>
      <c r="U258" s="147" t="s">
        <v>343</v>
      </c>
      <c r="V258" s="147" t="s">
        <v>343</v>
      </c>
      <c r="W258" s="147" t="s">
        <v>343</v>
      </c>
      <c r="X258" s="147" t="s">
        <v>343</v>
      </c>
      <c r="Y258" s="147" t="s">
        <v>343</v>
      </c>
      <c r="Z258" s="147" t="s">
        <v>343</v>
      </c>
      <c r="AA258" s="147" t="s">
        <v>343</v>
      </c>
      <c r="AB258" s="148">
        <v>833.5</v>
      </c>
      <c r="AC258" s="148">
        <v>373</v>
      </c>
      <c r="AD258" s="148">
        <v>1206.5</v>
      </c>
      <c r="AE258" s="148">
        <v>1206.5</v>
      </c>
      <c r="AF258" s="148">
        <v>0</v>
      </c>
      <c r="AG258" s="148">
        <v>1206.5</v>
      </c>
      <c r="AH258" s="147" t="s">
        <v>248</v>
      </c>
      <c r="AI258" s="147">
        <v>2</v>
      </c>
      <c r="AJ258" s="147" t="s">
        <v>509</v>
      </c>
    </row>
    <row r="259" spans="1:36">
      <c r="A259" s="147" t="s">
        <v>910</v>
      </c>
      <c r="B259" s="147" t="s">
        <v>567</v>
      </c>
      <c r="C259" s="147" t="s">
        <v>733</v>
      </c>
      <c r="D259" s="147" t="s">
        <v>343</v>
      </c>
      <c r="E259" s="147" t="s">
        <v>343</v>
      </c>
      <c r="F259" s="147" t="s">
        <v>640</v>
      </c>
      <c r="G259" s="147" t="s">
        <v>242</v>
      </c>
      <c r="H259" s="147">
        <v>7</v>
      </c>
      <c r="I259" s="148">
        <v>1125</v>
      </c>
      <c r="J259" s="147" t="s">
        <v>343</v>
      </c>
      <c r="K259" s="147" t="s">
        <v>343</v>
      </c>
      <c r="L259" s="147" t="s">
        <v>343</v>
      </c>
      <c r="M259" s="147" t="s">
        <v>343</v>
      </c>
      <c r="N259" s="147" t="s">
        <v>343</v>
      </c>
      <c r="O259" s="147" t="s">
        <v>343</v>
      </c>
      <c r="P259" s="147" t="s">
        <v>343</v>
      </c>
      <c r="Q259" s="147" t="s">
        <v>343</v>
      </c>
      <c r="R259" s="147" t="s">
        <v>343</v>
      </c>
      <c r="S259" s="147" t="s">
        <v>343</v>
      </c>
      <c r="T259" s="147" t="s">
        <v>343</v>
      </c>
      <c r="U259" s="147" t="s">
        <v>343</v>
      </c>
      <c r="V259" s="147" t="s">
        <v>343</v>
      </c>
      <c r="W259" s="148">
        <v>1125</v>
      </c>
      <c r="X259" s="147" t="s">
        <v>343</v>
      </c>
      <c r="Y259" s="147" t="s">
        <v>343</v>
      </c>
      <c r="Z259" s="147" t="s">
        <v>343</v>
      </c>
      <c r="AA259" s="147" t="s">
        <v>343</v>
      </c>
      <c r="AB259" s="147" t="s">
        <v>343</v>
      </c>
      <c r="AC259" s="147" t="s">
        <v>343</v>
      </c>
      <c r="AD259" s="148">
        <v>1125</v>
      </c>
      <c r="AE259" s="148">
        <v>1125</v>
      </c>
      <c r="AF259" s="148">
        <v>0</v>
      </c>
      <c r="AG259" s="148">
        <v>1125</v>
      </c>
      <c r="AH259" s="147" t="s">
        <v>242</v>
      </c>
      <c r="AI259" s="147">
        <v>1</v>
      </c>
      <c r="AJ259" s="147" t="s">
        <v>510</v>
      </c>
    </row>
    <row r="260" spans="1:36">
      <c r="A260" s="147" t="s">
        <v>911</v>
      </c>
      <c r="B260" s="147" t="s">
        <v>19</v>
      </c>
      <c r="C260" s="147" t="s">
        <v>503</v>
      </c>
      <c r="D260" s="147" t="s">
        <v>343</v>
      </c>
      <c r="E260" s="147">
        <v>6</v>
      </c>
      <c r="F260" s="147" t="s">
        <v>507</v>
      </c>
      <c r="G260" s="147" t="s">
        <v>248</v>
      </c>
      <c r="H260" s="147">
        <v>1</v>
      </c>
      <c r="I260" s="148">
        <v>1101</v>
      </c>
      <c r="J260" s="147" t="s">
        <v>343</v>
      </c>
      <c r="K260" s="147" t="s">
        <v>343</v>
      </c>
      <c r="L260" s="147" t="s">
        <v>343</v>
      </c>
      <c r="M260" s="147" t="s">
        <v>343</v>
      </c>
      <c r="N260" s="147" t="s">
        <v>343</v>
      </c>
      <c r="O260" s="147" t="s">
        <v>343</v>
      </c>
      <c r="P260" s="147" t="s">
        <v>343</v>
      </c>
      <c r="Q260" s="147" t="s">
        <v>343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8">
        <v>1101</v>
      </c>
      <c r="AD260" s="148">
        <v>1101</v>
      </c>
      <c r="AE260" s="148">
        <v>1101</v>
      </c>
      <c r="AF260" s="148">
        <v>0</v>
      </c>
      <c r="AG260" s="148">
        <v>1101</v>
      </c>
      <c r="AH260" s="147" t="s">
        <v>248</v>
      </c>
      <c r="AI260" s="147">
        <v>1</v>
      </c>
      <c r="AJ260" s="147" t="s">
        <v>509</v>
      </c>
    </row>
    <row r="261" spans="1:36">
      <c r="A261" s="147" t="s">
        <v>912</v>
      </c>
      <c r="B261" s="147" t="s">
        <v>567</v>
      </c>
      <c r="C261" s="147" t="s">
        <v>733</v>
      </c>
      <c r="D261" s="147" t="s">
        <v>343</v>
      </c>
      <c r="E261" s="147" t="s">
        <v>343</v>
      </c>
      <c r="F261" s="147" t="s">
        <v>640</v>
      </c>
      <c r="G261" s="147" t="s">
        <v>208</v>
      </c>
      <c r="H261" s="147">
        <v>11</v>
      </c>
      <c r="I261" s="148">
        <v>1080</v>
      </c>
      <c r="J261" s="147" t="s">
        <v>343</v>
      </c>
      <c r="K261" s="147" t="s">
        <v>343</v>
      </c>
      <c r="L261" s="147" t="s">
        <v>343</v>
      </c>
      <c r="M261" s="147" t="s">
        <v>343</v>
      </c>
      <c r="N261" s="147" t="s">
        <v>343</v>
      </c>
      <c r="O261" s="147" t="s">
        <v>343</v>
      </c>
      <c r="P261" s="147" t="s">
        <v>343</v>
      </c>
      <c r="Q261" s="147" t="s">
        <v>343</v>
      </c>
      <c r="R261" s="147" t="s">
        <v>343</v>
      </c>
      <c r="S261" s="148">
        <v>1080</v>
      </c>
      <c r="T261" s="147" t="s">
        <v>343</v>
      </c>
      <c r="U261" s="147" t="s">
        <v>343</v>
      </c>
      <c r="V261" s="147" t="s">
        <v>343</v>
      </c>
      <c r="W261" s="147" t="s">
        <v>343</v>
      </c>
      <c r="X261" s="147" t="s">
        <v>343</v>
      </c>
      <c r="Y261" s="147" t="s">
        <v>343</v>
      </c>
      <c r="Z261" s="147" t="s">
        <v>343</v>
      </c>
      <c r="AA261" s="147" t="s">
        <v>343</v>
      </c>
      <c r="AB261" s="147" t="s">
        <v>343</v>
      </c>
      <c r="AC261" s="147" t="s">
        <v>343</v>
      </c>
      <c r="AD261" s="148">
        <v>1080</v>
      </c>
      <c r="AE261" s="148">
        <v>1080</v>
      </c>
      <c r="AF261" s="148">
        <v>1080</v>
      </c>
      <c r="AG261" s="148">
        <v>0</v>
      </c>
      <c r="AH261" s="147" t="s">
        <v>208</v>
      </c>
      <c r="AI261" s="147">
        <v>1</v>
      </c>
      <c r="AJ261" s="147" t="s">
        <v>510</v>
      </c>
    </row>
    <row r="262" spans="1:36">
      <c r="A262" s="147" t="s">
        <v>913</v>
      </c>
      <c r="B262" s="147" t="s">
        <v>502</v>
      </c>
      <c r="C262" s="147" t="s">
        <v>683</v>
      </c>
      <c r="D262" s="147" t="s">
        <v>343</v>
      </c>
      <c r="E262" s="147" t="s">
        <v>343</v>
      </c>
      <c r="F262" s="147" t="s">
        <v>709</v>
      </c>
      <c r="G262" s="147" t="s">
        <v>245</v>
      </c>
      <c r="H262" s="147">
        <v>4</v>
      </c>
      <c r="I262" s="148">
        <v>260</v>
      </c>
      <c r="J262" s="147" t="s">
        <v>343</v>
      </c>
      <c r="K262" s="147" t="s">
        <v>343</v>
      </c>
      <c r="L262" s="147" t="s">
        <v>343</v>
      </c>
      <c r="M262" s="147" t="s">
        <v>343</v>
      </c>
      <c r="N262" s="147" t="s">
        <v>343</v>
      </c>
      <c r="O262" s="147" t="s">
        <v>343</v>
      </c>
      <c r="P262" s="147" t="s">
        <v>343</v>
      </c>
      <c r="Q262" s="147" t="s">
        <v>343</v>
      </c>
      <c r="R262" s="147" t="s">
        <v>343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8">
        <v>260</v>
      </c>
      <c r="AA262" s="148">
        <v>260</v>
      </c>
      <c r="AB262" s="148">
        <v>260</v>
      </c>
      <c r="AC262" s="148">
        <v>260</v>
      </c>
      <c r="AD262" s="148">
        <v>1040</v>
      </c>
      <c r="AE262" s="148">
        <v>1040</v>
      </c>
      <c r="AF262" s="148">
        <v>0</v>
      </c>
      <c r="AG262" s="148">
        <v>1040</v>
      </c>
      <c r="AH262" s="147" t="s">
        <v>248</v>
      </c>
      <c r="AI262" s="147">
        <v>4</v>
      </c>
      <c r="AJ262" s="147" t="s">
        <v>509</v>
      </c>
    </row>
    <row r="263" spans="1:36">
      <c r="A263" s="147" t="s">
        <v>914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640</v>
      </c>
      <c r="G263" s="147" t="s">
        <v>639</v>
      </c>
      <c r="H263" s="147">
        <v>56</v>
      </c>
      <c r="I263" s="148">
        <v>148.33333333333334</v>
      </c>
      <c r="J263" s="147" t="s">
        <v>242</v>
      </c>
      <c r="K263" s="148">
        <v>290</v>
      </c>
      <c r="L263" s="148">
        <v>185</v>
      </c>
      <c r="M263" s="148">
        <v>185</v>
      </c>
      <c r="N263" s="148">
        <v>185</v>
      </c>
      <c r="O263" s="148">
        <v>185</v>
      </c>
      <c r="P263" s="148">
        <v>185</v>
      </c>
      <c r="Q263" s="148">
        <v>185</v>
      </c>
      <c r="R263" s="148">
        <v>185</v>
      </c>
      <c r="S263" s="148">
        <v>185</v>
      </c>
      <c r="T263" s="148">
        <v>185</v>
      </c>
      <c r="U263" s="148">
        <v>185</v>
      </c>
      <c r="V263" s="148">
        <v>185</v>
      </c>
      <c r="W263" s="147" t="s">
        <v>343</v>
      </c>
      <c r="X263" s="148">
        <v>75</v>
      </c>
      <c r="Y263" s="147" t="s">
        <v>343</v>
      </c>
      <c r="Z263" s="147" t="s">
        <v>343</v>
      </c>
      <c r="AA263" s="147" t="s">
        <v>343</v>
      </c>
      <c r="AB263" s="147" t="s">
        <v>343</v>
      </c>
      <c r="AC263" s="147" t="s">
        <v>343</v>
      </c>
      <c r="AD263" s="148">
        <v>2400</v>
      </c>
      <c r="AE263" s="148">
        <v>1000</v>
      </c>
      <c r="AF263" s="148">
        <v>2325</v>
      </c>
      <c r="AG263" s="148">
        <v>75</v>
      </c>
      <c r="AH263" s="147" t="s">
        <v>243</v>
      </c>
      <c r="AI263" s="147">
        <v>13</v>
      </c>
      <c r="AJ263" s="147" t="s">
        <v>510</v>
      </c>
    </row>
    <row r="264" spans="1:36">
      <c r="A264" s="147" t="s">
        <v>915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640</v>
      </c>
      <c r="G264" s="147" t="s">
        <v>207</v>
      </c>
      <c r="H264" s="147">
        <v>2</v>
      </c>
      <c r="I264" s="148">
        <v>490</v>
      </c>
      <c r="J264" s="147" t="s">
        <v>209</v>
      </c>
      <c r="K264" s="147" t="s">
        <v>343</v>
      </c>
      <c r="L264" s="147" t="s">
        <v>343</v>
      </c>
      <c r="M264" s="147" t="s">
        <v>343</v>
      </c>
      <c r="N264" s="147" t="s">
        <v>343</v>
      </c>
      <c r="O264" s="147" t="s">
        <v>343</v>
      </c>
      <c r="P264" s="147" t="s">
        <v>343</v>
      </c>
      <c r="Q264" s="147" t="s">
        <v>343</v>
      </c>
      <c r="R264" s="148">
        <v>640</v>
      </c>
      <c r="S264" s="148">
        <v>340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8">
        <v>980</v>
      </c>
      <c r="AE264" s="148">
        <v>980</v>
      </c>
      <c r="AF264" s="148">
        <v>980</v>
      </c>
      <c r="AG264" s="148">
        <v>0</v>
      </c>
      <c r="AH264" s="147" t="s">
        <v>208</v>
      </c>
      <c r="AI264" s="147">
        <v>2</v>
      </c>
      <c r="AJ264" s="147" t="s">
        <v>510</v>
      </c>
    </row>
    <row r="265" spans="1:36">
      <c r="A265" s="147" t="s">
        <v>916</v>
      </c>
      <c r="B265" s="147" t="s">
        <v>19</v>
      </c>
      <c r="C265" s="147" t="s">
        <v>683</v>
      </c>
      <c r="D265" s="147" t="s">
        <v>343</v>
      </c>
      <c r="E265" s="147" t="s">
        <v>343</v>
      </c>
      <c r="F265" s="147" t="s">
        <v>709</v>
      </c>
      <c r="G265" s="147" t="s">
        <v>243</v>
      </c>
      <c r="H265" s="147">
        <v>6</v>
      </c>
      <c r="I265" s="148">
        <v>975</v>
      </c>
      <c r="J265" s="147" t="s">
        <v>343</v>
      </c>
      <c r="K265" s="147" t="s">
        <v>343</v>
      </c>
      <c r="L265" s="147" t="s">
        <v>343</v>
      </c>
      <c r="M265" s="147" t="s">
        <v>343</v>
      </c>
      <c r="N265" s="147" t="s">
        <v>343</v>
      </c>
      <c r="O265" s="147" t="s">
        <v>343</v>
      </c>
      <c r="P265" s="147" t="s">
        <v>343</v>
      </c>
      <c r="Q265" s="147" t="s">
        <v>343</v>
      </c>
      <c r="R265" s="147" t="s">
        <v>343</v>
      </c>
      <c r="S265" s="147" t="s">
        <v>343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8">
        <v>975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8">
        <v>975</v>
      </c>
      <c r="AE265" s="148">
        <v>975</v>
      </c>
      <c r="AF265" s="148">
        <v>0</v>
      </c>
      <c r="AG265" s="148">
        <v>975</v>
      </c>
      <c r="AH265" s="147" t="s">
        <v>243</v>
      </c>
      <c r="AI265" s="147">
        <v>1</v>
      </c>
      <c r="AJ265" s="147" t="s">
        <v>510</v>
      </c>
    </row>
    <row r="266" spans="1:36">
      <c r="A266" s="147" t="s">
        <v>917</v>
      </c>
      <c r="B266" s="147" t="s">
        <v>567</v>
      </c>
      <c r="C266" s="147" t="s">
        <v>733</v>
      </c>
      <c r="D266" s="147" t="s">
        <v>343</v>
      </c>
      <c r="E266" s="147" t="s">
        <v>343</v>
      </c>
      <c r="F266" s="147" t="s">
        <v>640</v>
      </c>
      <c r="G266" s="147" t="s">
        <v>243</v>
      </c>
      <c r="H266" s="147">
        <v>6</v>
      </c>
      <c r="I266" s="148">
        <v>975</v>
      </c>
      <c r="J266" s="147" t="s">
        <v>343</v>
      </c>
      <c r="K266" s="147" t="s">
        <v>343</v>
      </c>
      <c r="L266" s="147" t="s">
        <v>343</v>
      </c>
      <c r="M266" s="147" t="s">
        <v>343</v>
      </c>
      <c r="N266" s="147" t="s">
        <v>343</v>
      </c>
      <c r="O266" s="147" t="s">
        <v>343</v>
      </c>
      <c r="P266" s="147" t="s">
        <v>343</v>
      </c>
      <c r="Q266" s="147" t="s">
        <v>343</v>
      </c>
      <c r="R266" s="147" t="s">
        <v>343</v>
      </c>
      <c r="S266" s="147" t="s">
        <v>343</v>
      </c>
      <c r="T266" s="147" t="s">
        <v>343</v>
      </c>
      <c r="U266" s="147" t="s">
        <v>343</v>
      </c>
      <c r="V266" s="147" t="s">
        <v>343</v>
      </c>
      <c r="W266" s="147" t="s">
        <v>343</v>
      </c>
      <c r="X266" s="148">
        <v>975</v>
      </c>
      <c r="Y266" s="147" t="s">
        <v>343</v>
      </c>
      <c r="Z266" s="147" t="s">
        <v>343</v>
      </c>
      <c r="AA266" s="147" t="s">
        <v>343</v>
      </c>
      <c r="AB266" s="147" t="s">
        <v>343</v>
      </c>
      <c r="AC266" s="147" t="s">
        <v>343</v>
      </c>
      <c r="AD266" s="148">
        <v>975</v>
      </c>
      <c r="AE266" s="148">
        <v>975</v>
      </c>
      <c r="AF266" s="148">
        <v>0</v>
      </c>
      <c r="AG266" s="148">
        <v>975</v>
      </c>
      <c r="AH266" s="147" t="s">
        <v>243</v>
      </c>
      <c r="AI266" s="147">
        <v>1</v>
      </c>
      <c r="AJ266" s="147" t="s">
        <v>510</v>
      </c>
    </row>
    <row r="267" spans="1:36">
      <c r="A267" s="147" t="s">
        <v>918</v>
      </c>
      <c r="B267" s="147" t="s">
        <v>567</v>
      </c>
      <c r="C267" s="147" t="s">
        <v>637</v>
      </c>
      <c r="D267" s="147" t="s">
        <v>343</v>
      </c>
      <c r="E267" s="147" t="s">
        <v>343</v>
      </c>
      <c r="F267" s="147" t="s">
        <v>640</v>
      </c>
      <c r="G267" s="147" t="s">
        <v>919</v>
      </c>
      <c r="H267" s="147">
        <v>47</v>
      </c>
      <c r="I267" s="148">
        <v>65.5</v>
      </c>
      <c r="J267" s="147" t="s">
        <v>245</v>
      </c>
      <c r="K267" s="148">
        <v>100</v>
      </c>
      <c r="L267" s="148">
        <v>55</v>
      </c>
      <c r="M267" s="148">
        <v>55</v>
      </c>
      <c r="N267" s="148">
        <v>55</v>
      </c>
      <c r="O267" s="148">
        <v>290</v>
      </c>
      <c r="P267" s="148">
        <v>290</v>
      </c>
      <c r="Q267" s="148">
        <v>290</v>
      </c>
      <c r="R267" s="148">
        <v>290</v>
      </c>
      <c r="S267" s="148">
        <v>290</v>
      </c>
      <c r="T267" s="148">
        <v>60</v>
      </c>
      <c r="U267" s="148">
        <v>60</v>
      </c>
      <c r="V267" s="148">
        <v>60</v>
      </c>
      <c r="W267" s="148">
        <v>60</v>
      </c>
      <c r="X267" s="148">
        <v>76.5</v>
      </c>
      <c r="Y267" s="148">
        <v>60</v>
      </c>
      <c r="Z267" s="147" t="s">
        <v>343</v>
      </c>
      <c r="AA267" s="147" t="s">
        <v>343</v>
      </c>
      <c r="AB267" s="147" t="s">
        <v>343</v>
      </c>
      <c r="AC267" s="147" t="s">
        <v>343</v>
      </c>
      <c r="AD267" s="148">
        <v>2091.5</v>
      </c>
      <c r="AE267" s="148">
        <v>956.5</v>
      </c>
      <c r="AF267" s="148">
        <v>1895</v>
      </c>
      <c r="AG267" s="148">
        <v>196.5</v>
      </c>
      <c r="AH267" s="147" t="s">
        <v>244</v>
      </c>
      <c r="AI267" s="147">
        <v>15</v>
      </c>
      <c r="AJ267" s="147" t="s">
        <v>510</v>
      </c>
    </row>
    <row r="268" spans="1:36">
      <c r="A268" s="147" t="s">
        <v>920</v>
      </c>
      <c r="B268" s="147" t="s">
        <v>567</v>
      </c>
      <c r="C268" s="147" t="s">
        <v>662</v>
      </c>
      <c r="D268" s="147" t="s">
        <v>343</v>
      </c>
      <c r="E268" s="147" t="s">
        <v>343</v>
      </c>
      <c r="F268" s="147" t="s">
        <v>640</v>
      </c>
      <c r="G268" s="147" t="s">
        <v>130</v>
      </c>
      <c r="H268" s="147">
        <v>13</v>
      </c>
      <c r="I268" s="148">
        <v>450</v>
      </c>
      <c r="J268" s="147" t="s">
        <v>209</v>
      </c>
      <c r="K268" s="148">
        <v>450</v>
      </c>
      <c r="L268" s="148">
        <v>450</v>
      </c>
      <c r="M268" s="148">
        <v>450</v>
      </c>
      <c r="N268" s="148">
        <v>450</v>
      </c>
      <c r="O268" s="148">
        <v>450</v>
      </c>
      <c r="P268" s="148">
        <v>450</v>
      </c>
      <c r="Q268" s="148">
        <v>450</v>
      </c>
      <c r="R268" s="148">
        <v>450</v>
      </c>
      <c r="S268" s="148">
        <v>450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8">
        <v>4050</v>
      </c>
      <c r="AE268" s="148">
        <v>900</v>
      </c>
      <c r="AF268" s="148">
        <v>4050</v>
      </c>
      <c r="AG268" s="148">
        <v>0</v>
      </c>
      <c r="AH268" s="147" t="s">
        <v>208</v>
      </c>
      <c r="AI268" s="147">
        <v>9</v>
      </c>
      <c r="AJ268" s="147" t="s">
        <v>510</v>
      </c>
    </row>
    <row r="269" spans="1:36">
      <c r="A269" s="147" t="s">
        <v>921</v>
      </c>
      <c r="B269" s="147" t="s">
        <v>567</v>
      </c>
      <c r="C269" s="147" t="s">
        <v>503</v>
      </c>
      <c r="D269" s="147" t="s">
        <v>343</v>
      </c>
      <c r="E269" s="147">
        <v>5</v>
      </c>
      <c r="F269" s="147" t="s">
        <v>568</v>
      </c>
      <c r="G269" s="147" t="s">
        <v>125</v>
      </c>
      <c r="H269" s="147">
        <v>28</v>
      </c>
      <c r="I269" s="148">
        <v>425</v>
      </c>
      <c r="J269" s="147" t="s">
        <v>343</v>
      </c>
      <c r="K269" s="148">
        <v>485</v>
      </c>
      <c r="L269" s="148">
        <v>395</v>
      </c>
      <c r="M269" s="148">
        <v>395</v>
      </c>
      <c r="N269" s="148">
        <v>400</v>
      </c>
      <c r="O269" s="148">
        <v>400</v>
      </c>
      <c r="P269" s="148">
        <v>400</v>
      </c>
      <c r="Q269" s="148">
        <v>400</v>
      </c>
      <c r="R269" s="148">
        <v>400</v>
      </c>
      <c r="S269" s="148">
        <v>475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8">
        <v>3750</v>
      </c>
      <c r="AE269" s="148">
        <v>875</v>
      </c>
      <c r="AF269" s="148">
        <v>3750</v>
      </c>
      <c r="AG269" s="148">
        <v>0</v>
      </c>
      <c r="AH269" s="147" t="s">
        <v>208</v>
      </c>
      <c r="AI269" s="147">
        <v>9</v>
      </c>
      <c r="AJ269" s="147" t="s">
        <v>510</v>
      </c>
    </row>
    <row r="270" spans="1:36">
      <c r="A270" s="147" t="s">
        <v>922</v>
      </c>
      <c r="B270" s="147" t="s">
        <v>567</v>
      </c>
      <c r="C270" s="147" t="s">
        <v>683</v>
      </c>
      <c r="D270" s="147" t="s">
        <v>343</v>
      </c>
      <c r="E270" s="147">
        <v>0</v>
      </c>
      <c r="F270" s="147" t="s">
        <v>507</v>
      </c>
      <c r="G270" s="147" t="s">
        <v>242</v>
      </c>
      <c r="H270" s="147">
        <v>5</v>
      </c>
      <c r="I270" s="148">
        <v>160</v>
      </c>
      <c r="J270" s="147" t="s">
        <v>247</v>
      </c>
      <c r="K270" s="147" t="s">
        <v>343</v>
      </c>
      <c r="L270" s="147" t="s">
        <v>343</v>
      </c>
      <c r="M270" s="147" t="s">
        <v>343</v>
      </c>
      <c r="N270" s="147" t="s">
        <v>343</v>
      </c>
      <c r="O270" s="147" t="s">
        <v>343</v>
      </c>
      <c r="P270" s="147" t="s">
        <v>343</v>
      </c>
      <c r="Q270" s="147" t="s">
        <v>343</v>
      </c>
      <c r="R270" s="147" t="s">
        <v>343</v>
      </c>
      <c r="S270" s="147" t="s">
        <v>343</v>
      </c>
      <c r="T270" s="147" t="s">
        <v>343</v>
      </c>
      <c r="U270" s="147" t="s">
        <v>343</v>
      </c>
      <c r="V270" s="147" t="s">
        <v>343</v>
      </c>
      <c r="W270" s="148">
        <v>160</v>
      </c>
      <c r="X270" s="148">
        <v>160</v>
      </c>
      <c r="Y270" s="148">
        <v>160</v>
      </c>
      <c r="Z270" s="148">
        <v>160</v>
      </c>
      <c r="AA270" s="148">
        <v>160</v>
      </c>
      <c r="AB270" s="147" t="s">
        <v>343</v>
      </c>
      <c r="AC270" s="147" t="s">
        <v>343</v>
      </c>
      <c r="AD270" s="148">
        <v>800</v>
      </c>
      <c r="AE270" s="148">
        <v>800</v>
      </c>
      <c r="AF270" s="148">
        <v>0</v>
      </c>
      <c r="AG270" s="148">
        <v>800</v>
      </c>
      <c r="AH270" s="147" t="s">
        <v>246</v>
      </c>
      <c r="AI270" s="147">
        <v>5</v>
      </c>
      <c r="AJ270" s="147" t="s">
        <v>510</v>
      </c>
    </row>
    <row r="271" spans="1:36">
      <c r="A271" s="147" t="s">
        <v>923</v>
      </c>
      <c r="B271" s="147" t="s">
        <v>567</v>
      </c>
      <c r="C271" s="147" t="s">
        <v>683</v>
      </c>
      <c r="D271" s="147" t="s">
        <v>343</v>
      </c>
      <c r="E271" s="147">
        <v>0</v>
      </c>
      <c r="F271" s="147" t="s">
        <v>507</v>
      </c>
      <c r="G271" s="147" t="s">
        <v>242</v>
      </c>
      <c r="H271" s="147">
        <v>5</v>
      </c>
      <c r="I271" s="148">
        <v>160</v>
      </c>
      <c r="J271" s="147" t="s">
        <v>247</v>
      </c>
      <c r="K271" s="147" t="s">
        <v>343</v>
      </c>
      <c r="L271" s="147" t="s">
        <v>343</v>
      </c>
      <c r="M271" s="147" t="s">
        <v>343</v>
      </c>
      <c r="N271" s="147" t="s">
        <v>343</v>
      </c>
      <c r="O271" s="147" t="s">
        <v>343</v>
      </c>
      <c r="P271" s="147" t="s">
        <v>343</v>
      </c>
      <c r="Q271" s="147" t="s">
        <v>343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8">
        <v>160</v>
      </c>
      <c r="X271" s="148">
        <v>160</v>
      </c>
      <c r="Y271" s="148">
        <v>160</v>
      </c>
      <c r="Z271" s="148">
        <v>160</v>
      </c>
      <c r="AA271" s="148">
        <v>160</v>
      </c>
      <c r="AB271" s="147" t="s">
        <v>343</v>
      </c>
      <c r="AC271" s="147" t="s">
        <v>343</v>
      </c>
      <c r="AD271" s="148">
        <v>800</v>
      </c>
      <c r="AE271" s="148">
        <v>800</v>
      </c>
      <c r="AF271" s="148">
        <v>0</v>
      </c>
      <c r="AG271" s="148">
        <v>800</v>
      </c>
      <c r="AH271" s="147" t="s">
        <v>246</v>
      </c>
      <c r="AI271" s="147">
        <v>5</v>
      </c>
      <c r="AJ271" s="147" t="s">
        <v>510</v>
      </c>
    </row>
    <row r="272" spans="1:36">
      <c r="A272" s="147" t="s">
        <v>924</v>
      </c>
      <c r="B272" s="147" t="s">
        <v>567</v>
      </c>
      <c r="C272" s="147" t="s">
        <v>877</v>
      </c>
      <c r="D272" s="147" t="s">
        <v>343</v>
      </c>
      <c r="E272" s="147" t="s">
        <v>343</v>
      </c>
      <c r="F272" s="147" t="s">
        <v>640</v>
      </c>
      <c r="G272" s="147" t="s">
        <v>207</v>
      </c>
      <c r="H272" s="147">
        <v>2</v>
      </c>
      <c r="I272" s="148">
        <v>400</v>
      </c>
      <c r="J272" s="147" t="s">
        <v>209</v>
      </c>
      <c r="K272" s="147" t="s">
        <v>343</v>
      </c>
      <c r="L272" s="147" t="s">
        <v>343</v>
      </c>
      <c r="M272" s="147" t="s">
        <v>343</v>
      </c>
      <c r="N272" s="147" t="s">
        <v>343</v>
      </c>
      <c r="O272" s="147" t="s">
        <v>343</v>
      </c>
      <c r="P272" s="147" t="s">
        <v>343</v>
      </c>
      <c r="Q272" s="147" t="s">
        <v>343</v>
      </c>
      <c r="R272" s="148">
        <v>400</v>
      </c>
      <c r="S272" s="148">
        <v>400</v>
      </c>
      <c r="T272" s="148">
        <v>0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8">
        <v>800</v>
      </c>
      <c r="AE272" s="148">
        <v>800</v>
      </c>
      <c r="AF272" s="148">
        <v>800</v>
      </c>
      <c r="AG272" s="148">
        <v>0</v>
      </c>
      <c r="AH272" s="147" t="s">
        <v>208</v>
      </c>
      <c r="AI272" s="147">
        <v>2</v>
      </c>
      <c r="AJ272" s="147" t="s">
        <v>510</v>
      </c>
    </row>
    <row r="273" spans="1:36">
      <c r="A273" s="147" t="s">
        <v>925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640</v>
      </c>
      <c r="G273" s="147" t="s">
        <v>210</v>
      </c>
      <c r="H273" s="147">
        <v>2</v>
      </c>
      <c r="I273" s="148">
        <v>400</v>
      </c>
      <c r="J273" s="147" t="s">
        <v>242</v>
      </c>
      <c r="K273" s="147" t="s">
        <v>343</v>
      </c>
      <c r="L273" s="147" t="s">
        <v>343</v>
      </c>
      <c r="M273" s="147" t="s">
        <v>343</v>
      </c>
      <c r="N273" s="147" t="s">
        <v>343</v>
      </c>
      <c r="O273" s="147" t="s">
        <v>343</v>
      </c>
      <c r="P273" s="147" t="s">
        <v>343</v>
      </c>
      <c r="Q273" s="147" t="s">
        <v>343</v>
      </c>
      <c r="R273" s="147" t="s">
        <v>343</v>
      </c>
      <c r="S273" s="147" t="s">
        <v>343</v>
      </c>
      <c r="T273" s="147" t="s">
        <v>343</v>
      </c>
      <c r="U273" s="148">
        <v>100</v>
      </c>
      <c r="V273" s="148">
        <v>700</v>
      </c>
      <c r="W273" s="148">
        <v>0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8">
        <v>800</v>
      </c>
      <c r="AE273" s="148">
        <v>800</v>
      </c>
      <c r="AF273" s="148">
        <v>800</v>
      </c>
      <c r="AG273" s="148">
        <v>0</v>
      </c>
      <c r="AH273" s="147" t="s">
        <v>211</v>
      </c>
      <c r="AI273" s="147">
        <v>2</v>
      </c>
      <c r="AJ273" s="147" t="s">
        <v>510</v>
      </c>
    </row>
    <row r="274" spans="1:36">
      <c r="A274" s="147" t="s">
        <v>926</v>
      </c>
      <c r="B274" s="147" t="s">
        <v>567</v>
      </c>
      <c r="C274" s="147" t="s">
        <v>637</v>
      </c>
      <c r="D274" s="147" t="s">
        <v>343</v>
      </c>
      <c r="E274" s="147" t="s">
        <v>343</v>
      </c>
      <c r="F274" s="147" t="s">
        <v>640</v>
      </c>
      <c r="G274" s="147" t="s">
        <v>639</v>
      </c>
      <c r="H274" s="147">
        <v>56</v>
      </c>
      <c r="I274" s="148">
        <v>147</v>
      </c>
      <c r="J274" s="147" t="s">
        <v>242</v>
      </c>
      <c r="K274" s="148">
        <v>192</v>
      </c>
      <c r="L274" s="148">
        <v>147</v>
      </c>
      <c r="M274" s="148">
        <v>147</v>
      </c>
      <c r="N274" s="148">
        <v>147</v>
      </c>
      <c r="O274" s="148">
        <v>147</v>
      </c>
      <c r="P274" s="148">
        <v>147</v>
      </c>
      <c r="Q274" s="148">
        <v>147</v>
      </c>
      <c r="R274" s="148">
        <v>147</v>
      </c>
      <c r="S274" s="148">
        <v>147</v>
      </c>
      <c r="T274" s="148">
        <v>147</v>
      </c>
      <c r="U274" s="148">
        <v>147</v>
      </c>
      <c r="V274" s="148">
        <v>147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8">
        <v>1809</v>
      </c>
      <c r="AE274" s="148">
        <v>735</v>
      </c>
      <c r="AF274" s="148">
        <v>1809</v>
      </c>
      <c r="AG274" s="148">
        <v>0</v>
      </c>
      <c r="AH274" s="147" t="s">
        <v>211</v>
      </c>
      <c r="AI274" s="147">
        <v>12</v>
      </c>
      <c r="AJ274" s="147" t="s">
        <v>510</v>
      </c>
    </row>
    <row r="275" spans="1:36">
      <c r="A275" s="147" t="s">
        <v>927</v>
      </c>
      <c r="B275" s="147" t="s">
        <v>567</v>
      </c>
      <c r="C275" s="147" t="s">
        <v>662</v>
      </c>
      <c r="D275" s="147" t="s">
        <v>343</v>
      </c>
      <c r="E275" s="147" t="s">
        <v>343</v>
      </c>
      <c r="F275" s="147" t="s">
        <v>640</v>
      </c>
      <c r="G275" s="147" t="s">
        <v>209</v>
      </c>
      <c r="H275" s="147">
        <v>2</v>
      </c>
      <c r="I275" s="148">
        <v>362.5</v>
      </c>
      <c r="J275" s="147" t="s">
        <v>211</v>
      </c>
      <c r="K275" s="147" t="s">
        <v>343</v>
      </c>
      <c r="L275" s="147" t="s">
        <v>343</v>
      </c>
      <c r="M275" s="147" t="s">
        <v>343</v>
      </c>
      <c r="N275" s="147" t="s">
        <v>343</v>
      </c>
      <c r="O275" s="147" t="s">
        <v>343</v>
      </c>
      <c r="P275" s="147" t="s">
        <v>343</v>
      </c>
      <c r="Q275" s="147" t="s">
        <v>343</v>
      </c>
      <c r="R275" s="147" t="s">
        <v>343</v>
      </c>
      <c r="S275" s="147" t="s">
        <v>343</v>
      </c>
      <c r="T275" s="148">
        <v>400</v>
      </c>
      <c r="U275" s="148">
        <v>325</v>
      </c>
      <c r="V275" s="147" t="s">
        <v>343</v>
      </c>
      <c r="W275" s="147" t="s">
        <v>343</v>
      </c>
      <c r="X275" s="147" t="s">
        <v>343</v>
      </c>
      <c r="Y275" s="147" t="s">
        <v>343</v>
      </c>
      <c r="Z275" s="147" t="s">
        <v>343</v>
      </c>
      <c r="AA275" s="147" t="s">
        <v>343</v>
      </c>
      <c r="AB275" s="147" t="s">
        <v>343</v>
      </c>
      <c r="AC275" s="147" t="s">
        <v>343</v>
      </c>
      <c r="AD275" s="148">
        <v>725</v>
      </c>
      <c r="AE275" s="148">
        <v>725</v>
      </c>
      <c r="AF275" s="148">
        <v>725</v>
      </c>
      <c r="AG275" s="148">
        <v>0</v>
      </c>
      <c r="AH275" s="147" t="s">
        <v>210</v>
      </c>
      <c r="AI275" s="147">
        <v>2</v>
      </c>
      <c r="AJ275" s="147" t="s">
        <v>510</v>
      </c>
    </row>
    <row r="276" spans="1:36">
      <c r="A276" s="147" t="s">
        <v>928</v>
      </c>
      <c r="B276" s="147" t="s">
        <v>567</v>
      </c>
      <c r="C276" s="147" t="s">
        <v>733</v>
      </c>
      <c r="D276" s="147" t="s">
        <v>343</v>
      </c>
      <c r="E276" s="147" t="s">
        <v>343</v>
      </c>
      <c r="F276" s="147" t="s">
        <v>640</v>
      </c>
      <c r="G276" s="147" t="s">
        <v>243</v>
      </c>
      <c r="H276" s="147">
        <v>6</v>
      </c>
      <c r="I276" s="148">
        <v>650</v>
      </c>
      <c r="J276" s="147" t="s">
        <v>343</v>
      </c>
      <c r="K276" s="147" t="s">
        <v>343</v>
      </c>
      <c r="L276" s="147" t="s">
        <v>343</v>
      </c>
      <c r="M276" s="147" t="s">
        <v>343</v>
      </c>
      <c r="N276" s="147" t="s">
        <v>343</v>
      </c>
      <c r="O276" s="147" t="s">
        <v>343</v>
      </c>
      <c r="P276" s="147" t="s">
        <v>343</v>
      </c>
      <c r="Q276" s="147" t="s">
        <v>343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8">
        <v>650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8">
        <v>650</v>
      </c>
      <c r="AE276" s="148">
        <v>650</v>
      </c>
      <c r="AF276" s="148">
        <v>0</v>
      </c>
      <c r="AG276" s="148">
        <v>650</v>
      </c>
      <c r="AH276" s="147" t="s">
        <v>243</v>
      </c>
      <c r="AI276" s="147">
        <v>1</v>
      </c>
      <c r="AJ276" s="147" t="s">
        <v>510</v>
      </c>
    </row>
    <row r="277" spans="1:36">
      <c r="A277" s="147" t="s">
        <v>929</v>
      </c>
      <c r="B277" s="147" t="s">
        <v>567</v>
      </c>
      <c r="C277" s="147" t="s">
        <v>662</v>
      </c>
      <c r="D277" s="147" t="s">
        <v>343</v>
      </c>
      <c r="E277" s="147" t="s">
        <v>343</v>
      </c>
      <c r="F277" s="147" t="s">
        <v>640</v>
      </c>
      <c r="G277" s="147" t="s">
        <v>123</v>
      </c>
      <c r="H277" s="147">
        <v>19</v>
      </c>
      <c r="I277" s="148">
        <v>183.33333333333334</v>
      </c>
      <c r="J277" s="147" t="s">
        <v>208</v>
      </c>
      <c r="K277" s="148">
        <v>630</v>
      </c>
      <c r="L277" s="148">
        <v>470</v>
      </c>
      <c r="M277" s="148">
        <v>720</v>
      </c>
      <c r="N277" s="148">
        <v>540</v>
      </c>
      <c r="O277" s="148">
        <v>540</v>
      </c>
      <c r="P277" s="148">
        <v>540</v>
      </c>
      <c r="Q277" s="148">
        <v>470</v>
      </c>
      <c r="R277" s="148">
        <v>400</v>
      </c>
      <c r="S277" s="148">
        <v>75</v>
      </c>
      <c r="T277" s="148">
        <v>75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8">
        <v>4460</v>
      </c>
      <c r="AE277" s="148">
        <v>550</v>
      </c>
      <c r="AF277" s="148">
        <v>4460</v>
      </c>
      <c r="AG277" s="148">
        <v>0</v>
      </c>
      <c r="AH277" s="147" t="s">
        <v>209</v>
      </c>
      <c r="AI277" s="147">
        <v>10</v>
      </c>
      <c r="AJ277" s="147" t="s">
        <v>510</v>
      </c>
    </row>
    <row r="278" spans="1:36">
      <c r="A278" s="147" t="s">
        <v>930</v>
      </c>
      <c r="B278" s="147" t="s">
        <v>567</v>
      </c>
      <c r="C278" s="147" t="s">
        <v>733</v>
      </c>
      <c r="D278" s="147" t="s">
        <v>343</v>
      </c>
      <c r="E278" s="147" t="s">
        <v>343</v>
      </c>
      <c r="F278" s="147" t="s">
        <v>640</v>
      </c>
      <c r="G278" s="147" t="s">
        <v>209</v>
      </c>
      <c r="H278" s="147">
        <v>10</v>
      </c>
      <c r="I278" s="148">
        <v>495</v>
      </c>
      <c r="J278" s="147" t="s">
        <v>343</v>
      </c>
      <c r="K278" s="147" t="s">
        <v>343</v>
      </c>
      <c r="L278" s="147" t="s">
        <v>343</v>
      </c>
      <c r="M278" s="147" t="s">
        <v>343</v>
      </c>
      <c r="N278" s="147" t="s">
        <v>343</v>
      </c>
      <c r="O278" s="147" t="s">
        <v>343</v>
      </c>
      <c r="P278" s="147" t="s">
        <v>343</v>
      </c>
      <c r="Q278" s="147" t="s">
        <v>343</v>
      </c>
      <c r="R278" s="147" t="s">
        <v>343</v>
      </c>
      <c r="S278" s="147" t="s">
        <v>343</v>
      </c>
      <c r="T278" s="148">
        <v>495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8">
        <v>0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8">
        <v>495</v>
      </c>
      <c r="AE278" s="148">
        <v>495</v>
      </c>
      <c r="AF278" s="148">
        <v>495</v>
      </c>
      <c r="AG278" s="148">
        <v>0</v>
      </c>
      <c r="AH278" s="147" t="s">
        <v>209</v>
      </c>
      <c r="AI278" s="147">
        <v>1</v>
      </c>
      <c r="AJ278" s="147" t="s">
        <v>510</v>
      </c>
    </row>
    <row r="279" spans="1:36">
      <c r="A279" s="147" t="s">
        <v>931</v>
      </c>
      <c r="B279" s="147" t="s">
        <v>19</v>
      </c>
      <c r="C279" s="147" t="s">
        <v>683</v>
      </c>
      <c r="D279" s="147" t="s">
        <v>343</v>
      </c>
      <c r="E279" s="147" t="s">
        <v>343</v>
      </c>
      <c r="F279" s="147" t="s">
        <v>709</v>
      </c>
      <c r="G279" s="147" t="s">
        <v>248</v>
      </c>
      <c r="H279" s="147">
        <v>1</v>
      </c>
      <c r="I279" s="148">
        <v>418</v>
      </c>
      <c r="J279" s="147" t="s">
        <v>343</v>
      </c>
      <c r="K279" s="147" t="s">
        <v>343</v>
      </c>
      <c r="L279" s="147" t="s">
        <v>343</v>
      </c>
      <c r="M279" s="147" t="s">
        <v>343</v>
      </c>
      <c r="N279" s="147" t="s">
        <v>343</v>
      </c>
      <c r="O279" s="147" t="s">
        <v>343</v>
      </c>
      <c r="P279" s="147" t="s">
        <v>343</v>
      </c>
      <c r="Q279" s="147" t="s">
        <v>343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8">
        <v>418</v>
      </c>
      <c r="AD279" s="148">
        <v>418</v>
      </c>
      <c r="AE279" s="148">
        <v>418</v>
      </c>
      <c r="AF279" s="148">
        <v>0</v>
      </c>
      <c r="AG279" s="148">
        <v>418</v>
      </c>
      <c r="AH279" s="147" t="s">
        <v>248</v>
      </c>
      <c r="AI279" s="147">
        <v>1</v>
      </c>
      <c r="AJ279" s="147" t="s">
        <v>509</v>
      </c>
    </row>
    <row r="280" spans="1:36">
      <c r="A280" s="147" t="s">
        <v>932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640</v>
      </c>
      <c r="G280" s="147" t="s">
        <v>130</v>
      </c>
      <c r="H280" s="147">
        <v>12</v>
      </c>
      <c r="I280" s="148">
        <v>395</v>
      </c>
      <c r="J280" s="147" t="s">
        <v>208</v>
      </c>
      <c r="K280" s="148">
        <v>395</v>
      </c>
      <c r="L280" s="148">
        <v>395</v>
      </c>
      <c r="M280" s="148">
        <v>395</v>
      </c>
      <c r="N280" s="148">
        <v>395</v>
      </c>
      <c r="O280" s="148">
        <v>395</v>
      </c>
      <c r="P280" s="148">
        <v>395</v>
      </c>
      <c r="Q280" s="148">
        <v>395</v>
      </c>
      <c r="R280" s="148">
        <v>395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8">
        <v>3160</v>
      </c>
      <c r="AE280" s="148">
        <v>395</v>
      </c>
      <c r="AF280" s="148">
        <v>3160</v>
      </c>
      <c r="AG280" s="148">
        <v>0</v>
      </c>
      <c r="AH280" s="147" t="s">
        <v>207</v>
      </c>
      <c r="AI280" s="147">
        <v>8</v>
      </c>
      <c r="AJ280" s="147" t="s">
        <v>510</v>
      </c>
    </row>
    <row r="281" spans="1:36">
      <c r="A281" s="147" t="s">
        <v>933</v>
      </c>
      <c r="B281" s="147" t="s">
        <v>567</v>
      </c>
      <c r="C281" s="147" t="s">
        <v>733</v>
      </c>
      <c r="D281" s="147" t="s">
        <v>343</v>
      </c>
      <c r="E281" s="147" t="s">
        <v>343</v>
      </c>
      <c r="F281" s="147" t="s">
        <v>640</v>
      </c>
      <c r="G281" s="147" t="s">
        <v>209</v>
      </c>
      <c r="H281" s="147">
        <v>10</v>
      </c>
      <c r="I281" s="148">
        <v>380.25</v>
      </c>
      <c r="J281" s="147" t="s">
        <v>343</v>
      </c>
      <c r="K281" s="147" t="s">
        <v>343</v>
      </c>
      <c r="L281" s="147" t="s">
        <v>343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7" t="s">
        <v>343</v>
      </c>
      <c r="R281" s="147" t="s">
        <v>343</v>
      </c>
      <c r="S281" s="147" t="s">
        <v>343</v>
      </c>
      <c r="T281" s="148">
        <v>380.25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8">
        <v>380.25</v>
      </c>
      <c r="AE281" s="148">
        <v>380.25</v>
      </c>
      <c r="AF281" s="148">
        <v>380.25</v>
      </c>
      <c r="AG281" s="148">
        <v>0</v>
      </c>
      <c r="AH281" s="147" t="s">
        <v>209</v>
      </c>
      <c r="AI281" s="147">
        <v>1</v>
      </c>
      <c r="AJ281" s="147" t="s">
        <v>510</v>
      </c>
    </row>
    <row r="282" spans="1:36">
      <c r="A282" s="147" t="s">
        <v>934</v>
      </c>
      <c r="B282" s="147" t="s">
        <v>567</v>
      </c>
      <c r="C282" s="147" t="s">
        <v>662</v>
      </c>
      <c r="D282" s="147" t="s">
        <v>343</v>
      </c>
      <c r="E282" s="147" t="s">
        <v>343</v>
      </c>
      <c r="F282" s="147" t="s">
        <v>640</v>
      </c>
      <c r="G282" s="147" t="s">
        <v>208</v>
      </c>
      <c r="H282" s="147">
        <v>3</v>
      </c>
      <c r="I282" s="148">
        <v>90</v>
      </c>
      <c r="J282" s="147" t="s">
        <v>211</v>
      </c>
      <c r="K282" s="147" t="s">
        <v>343</v>
      </c>
      <c r="L282" s="147" t="s">
        <v>343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7" t="s">
        <v>343</v>
      </c>
      <c r="R282" s="147" t="s">
        <v>343</v>
      </c>
      <c r="S282" s="148">
        <v>85</v>
      </c>
      <c r="T282" s="148">
        <v>85</v>
      </c>
      <c r="U282" s="148">
        <v>85</v>
      </c>
      <c r="V282" s="148">
        <v>100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8">
        <v>355</v>
      </c>
      <c r="AE282" s="148">
        <v>355</v>
      </c>
      <c r="AF282" s="148">
        <v>355</v>
      </c>
      <c r="AG282" s="148">
        <v>0</v>
      </c>
      <c r="AH282" s="147" t="s">
        <v>211</v>
      </c>
      <c r="AI282" s="147">
        <v>4</v>
      </c>
      <c r="AJ282" s="147" t="s">
        <v>510</v>
      </c>
    </row>
    <row r="283" spans="1:36">
      <c r="A283" s="147" t="s">
        <v>935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640</v>
      </c>
      <c r="G283" s="147" t="s">
        <v>211</v>
      </c>
      <c r="H283" s="147">
        <v>1</v>
      </c>
      <c r="I283" s="148">
        <v>200</v>
      </c>
      <c r="J283" s="147" t="s">
        <v>242</v>
      </c>
      <c r="K283" s="147" t="s">
        <v>343</v>
      </c>
      <c r="L283" s="147" t="s">
        <v>343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7" t="s">
        <v>343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8">
        <v>200</v>
      </c>
      <c r="W283" s="148">
        <v>0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8">
        <v>200</v>
      </c>
      <c r="AE283" s="148">
        <v>200</v>
      </c>
      <c r="AF283" s="148">
        <v>200</v>
      </c>
      <c r="AG283" s="148">
        <v>0</v>
      </c>
      <c r="AH283" s="147" t="s">
        <v>211</v>
      </c>
      <c r="AI283" s="147">
        <v>1</v>
      </c>
      <c r="AJ283" s="147" t="s">
        <v>510</v>
      </c>
    </row>
    <row r="284" spans="1:36">
      <c r="A284" s="147" t="s">
        <v>936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640</v>
      </c>
      <c r="G284" s="147" t="s">
        <v>124</v>
      </c>
      <c r="H284" s="147">
        <v>16</v>
      </c>
      <c r="I284" s="148">
        <v>488.33333333333331</v>
      </c>
      <c r="J284" s="147" t="s">
        <v>206</v>
      </c>
      <c r="K284" s="148">
        <v>948</v>
      </c>
      <c r="L284" s="148">
        <v>1075</v>
      </c>
      <c r="M284" s="148">
        <v>940</v>
      </c>
      <c r="N284" s="148">
        <v>925</v>
      </c>
      <c r="O284" s="148">
        <v>1225</v>
      </c>
      <c r="P284" s="148">
        <v>1375</v>
      </c>
      <c r="Q284" s="147" t="s">
        <v>343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8">
        <v>75</v>
      </c>
      <c r="X284" s="148">
        <v>15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8">
        <v>6578</v>
      </c>
      <c r="AE284" s="148">
        <v>90</v>
      </c>
      <c r="AF284" s="148">
        <v>6488</v>
      </c>
      <c r="AG284" s="148">
        <v>90</v>
      </c>
      <c r="AH284" s="147" t="s">
        <v>243</v>
      </c>
      <c r="AI284" s="147">
        <v>8</v>
      </c>
      <c r="AJ284" s="147" t="s">
        <v>510</v>
      </c>
    </row>
    <row r="285" spans="1:36">
      <c r="A285" s="147" t="s">
        <v>937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640</v>
      </c>
      <c r="G285" s="147" t="s">
        <v>126</v>
      </c>
      <c r="H285" s="147">
        <v>12</v>
      </c>
      <c r="I285" s="148">
        <v>1076.6666666666667</v>
      </c>
      <c r="J285" s="147" t="s">
        <v>204</v>
      </c>
      <c r="K285" s="148">
        <v>1400</v>
      </c>
      <c r="L285" s="148">
        <v>1400</v>
      </c>
      <c r="M285" s="148">
        <v>1400</v>
      </c>
      <c r="N285" s="148">
        <v>1330</v>
      </c>
      <c r="O285" s="147" t="s">
        <v>343</v>
      </c>
      <c r="P285" s="148">
        <v>500</v>
      </c>
      <c r="Q285" s="147" t="s">
        <v>343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8">
        <v>6030</v>
      </c>
      <c r="AE285" s="148">
        <v>0</v>
      </c>
      <c r="AF285" s="148">
        <v>6030</v>
      </c>
      <c r="AG285" s="148">
        <v>0</v>
      </c>
      <c r="AH285" s="147" t="s">
        <v>205</v>
      </c>
      <c r="AI285" s="147">
        <v>5</v>
      </c>
      <c r="AJ285" s="147" t="s">
        <v>510</v>
      </c>
    </row>
    <row r="286" spans="1:36">
      <c r="A286" s="147" t="s">
        <v>938</v>
      </c>
      <c r="B286" s="147" t="s">
        <v>567</v>
      </c>
      <c r="C286" s="147" t="s">
        <v>877</v>
      </c>
      <c r="D286" s="147" t="s">
        <v>343</v>
      </c>
      <c r="E286" s="147" t="s">
        <v>343</v>
      </c>
      <c r="F286" s="147" t="s">
        <v>640</v>
      </c>
      <c r="G286" s="147" t="s">
        <v>639</v>
      </c>
      <c r="H286" s="147">
        <v>51</v>
      </c>
      <c r="I286" s="148">
        <v>710</v>
      </c>
      <c r="J286" s="147" t="s">
        <v>207</v>
      </c>
      <c r="K286" s="148">
        <v>950</v>
      </c>
      <c r="L286" s="148">
        <v>710</v>
      </c>
      <c r="M286" s="148">
        <v>710</v>
      </c>
      <c r="N286" s="148">
        <v>710</v>
      </c>
      <c r="O286" s="148">
        <v>710</v>
      </c>
      <c r="P286" s="148">
        <v>710</v>
      </c>
      <c r="Q286" s="148">
        <v>710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8">
        <v>5210</v>
      </c>
      <c r="AE286" s="148">
        <v>0</v>
      </c>
      <c r="AF286" s="148">
        <v>5210</v>
      </c>
      <c r="AG286" s="148">
        <v>0</v>
      </c>
      <c r="AH286" s="147" t="s">
        <v>206</v>
      </c>
      <c r="AI286" s="147">
        <v>7</v>
      </c>
      <c r="AJ286" s="147" t="s">
        <v>510</v>
      </c>
    </row>
    <row r="287" spans="1:36">
      <c r="A287" s="147" t="s">
        <v>939</v>
      </c>
      <c r="B287" s="147" t="s">
        <v>567</v>
      </c>
      <c r="C287" s="147" t="s">
        <v>662</v>
      </c>
      <c r="D287" s="147" t="s">
        <v>343</v>
      </c>
      <c r="E287" s="147" t="s">
        <v>343</v>
      </c>
      <c r="F287" s="147" t="s">
        <v>640</v>
      </c>
      <c r="G287" s="147" t="s">
        <v>130</v>
      </c>
      <c r="H287" s="147">
        <v>10</v>
      </c>
      <c r="I287" s="148">
        <v>842.66666666666663</v>
      </c>
      <c r="J287" s="147" t="s">
        <v>206</v>
      </c>
      <c r="K287" s="148">
        <v>790</v>
      </c>
      <c r="L287" s="148">
        <v>816</v>
      </c>
      <c r="M287" s="148">
        <v>948</v>
      </c>
      <c r="N287" s="148">
        <v>790</v>
      </c>
      <c r="O287" s="148">
        <v>869</v>
      </c>
      <c r="P287" s="148">
        <v>869</v>
      </c>
      <c r="Q287" s="147" t="s">
        <v>343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8">
        <v>5082</v>
      </c>
      <c r="AE287" s="148">
        <v>0</v>
      </c>
      <c r="AF287" s="148">
        <v>5082</v>
      </c>
      <c r="AG287" s="148">
        <v>0</v>
      </c>
      <c r="AH287" s="147" t="s">
        <v>205</v>
      </c>
      <c r="AI287" s="147">
        <v>6</v>
      </c>
      <c r="AJ287" s="147" t="s">
        <v>510</v>
      </c>
    </row>
    <row r="288" spans="1:36">
      <c r="A288" s="147" t="s">
        <v>940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640</v>
      </c>
      <c r="G288" s="147" t="s">
        <v>122</v>
      </c>
      <c r="H288" s="147">
        <v>18</v>
      </c>
      <c r="I288" s="148">
        <v>336.66666666666669</v>
      </c>
      <c r="J288" s="147" t="s">
        <v>206</v>
      </c>
      <c r="K288" s="148">
        <v>520</v>
      </c>
      <c r="L288" s="148">
        <v>430</v>
      </c>
      <c r="M288" s="148">
        <v>430</v>
      </c>
      <c r="N288" s="148">
        <v>430</v>
      </c>
      <c r="O288" s="148">
        <v>430</v>
      </c>
      <c r="P288" s="148">
        <v>150</v>
      </c>
      <c r="Q288" s="147" t="s">
        <v>343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8">
        <v>2390</v>
      </c>
      <c r="AE288" s="148">
        <v>0</v>
      </c>
      <c r="AF288" s="148">
        <v>2390</v>
      </c>
      <c r="AG288" s="148">
        <v>0</v>
      </c>
      <c r="AH288" s="147" t="s">
        <v>205</v>
      </c>
      <c r="AI288" s="147">
        <v>6</v>
      </c>
      <c r="AJ288" s="147" t="s">
        <v>510</v>
      </c>
    </row>
    <row r="289" spans="1:36">
      <c r="A289" s="147" t="s">
        <v>941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640</v>
      </c>
      <c r="G289" s="147" t="s">
        <v>133</v>
      </c>
      <c r="H289" s="147">
        <v>7</v>
      </c>
      <c r="I289" s="148">
        <v>360</v>
      </c>
      <c r="J289" s="147" t="s">
        <v>206</v>
      </c>
      <c r="K289" s="148">
        <v>360</v>
      </c>
      <c r="L289" s="148">
        <v>360</v>
      </c>
      <c r="M289" s="148">
        <v>360</v>
      </c>
      <c r="N289" s="148">
        <v>360</v>
      </c>
      <c r="O289" s="148">
        <v>360</v>
      </c>
      <c r="P289" s="148">
        <v>360</v>
      </c>
      <c r="Q289" s="147" t="s">
        <v>343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8">
        <v>2160</v>
      </c>
      <c r="AE289" s="148">
        <v>0</v>
      </c>
      <c r="AF289" s="148">
        <v>2160</v>
      </c>
      <c r="AG289" s="148">
        <v>0</v>
      </c>
      <c r="AH289" s="147" t="s">
        <v>205</v>
      </c>
      <c r="AI289" s="147">
        <v>6</v>
      </c>
      <c r="AJ289" s="147" t="s">
        <v>510</v>
      </c>
    </row>
    <row r="290" spans="1:36">
      <c r="A290" s="147" t="s">
        <v>942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640</v>
      </c>
      <c r="G290" s="147" t="s">
        <v>203</v>
      </c>
      <c r="H290" s="147">
        <v>3</v>
      </c>
      <c r="I290" s="148">
        <v>427.5</v>
      </c>
      <c r="J290" s="147" t="s">
        <v>206</v>
      </c>
      <c r="K290" s="147" t="s">
        <v>343</v>
      </c>
      <c r="L290" s="147" t="s">
        <v>343</v>
      </c>
      <c r="M290" s="147" t="s">
        <v>343</v>
      </c>
      <c r="N290" s="148">
        <v>778.75</v>
      </c>
      <c r="O290" s="148">
        <v>403.75</v>
      </c>
      <c r="P290" s="148">
        <v>403.75</v>
      </c>
      <c r="Q290" s="148">
        <v>475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8">
        <v>2061.25</v>
      </c>
      <c r="AE290" s="148">
        <v>0</v>
      </c>
      <c r="AF290" s="148">
        <v>2061.25</v>
      </c>
      <c r="AG290" s="148">
        <v>0</v>
      </c>
      <c r="AH290" s="147" t="s">
        <v>206</v>
      </c>
      <c r="AI290" s="147">
        <v>4</v>
      </c>
      <c r="AJ290" s="147" t="s">
        <v>510</v>
      </c>
    </row>
    <row r="291" spans="1:36">
      <c r="A291" s="147" t="s">
        <v>943</v>
      </c>
      <c r="B291" s="147" t="s">
        <v>567</v>
      </c>
      <c r="C291" s="147" t="s">
        <v>877</v>
      </c>
      <c r="D291" s="147" t="s">
        <v>343</v>
      </c>
      <c r="E291" s="147" t="s">
        <v>343</v>
      </c>
      <c r="F291" s="147" t="s">
        <v>640</v>
      </c>
      <c r="G291" s="147" t="s">
        <v>944</v>
      </c>
      <c r="H291" s="147">
        <v>51</v>
      </c>
      <c r="I291" s="148">
        <v>303.33333333333331</v>
      </c>
      <c r="J291" s="147" t="s">
        <v>206</v>
      </c>
      <c r="K291" s="148">
        <v>405</v>
      </c>
      <c r="L291" s="148">
        <v>360</v>
      </c>
      <c r="M291" s="148">
        <v>360</v>
      </c>
      <c r="N291" s="148">
        <v>360</v>
      </c>
      <c r="O291" s="148">
        <v>275</v>
      </c>
      <c r="P291" s="148">
        <v>275</v>
      </c>
      <c r="Q291" s="147" t="s">
        <v>343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8">
        <v>2035</v>
      </c>
      <c r="AE291" s="148">
        <v>0</v>
      </c>
      <c r="AF291" s="148">
        <v>2035</v>
      </c>
      <c r="AG291" s="148">
        <v>0</v>
      </c>
      <c r="AH291" s="147" t="s">
        <v>205</v>
      </c>
      <c r="AI291" s="147">
        <v>6</v>
      </c>
      <c r="AJ291" s="147" t="s">
        <v>510</v>
      </c>
    </row>
    <row r="292" spans="1:36">
      <c r="A292" s="147" t="s">
        <v>945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640</v>
      </c>
      <c r="G292" s="147" t="s">
        <v>201</v>
      </c>
      <c r="H292" s="147">
        <v>5</v>
      </c>
      <c r="I292" s="148">
        <v>366.66666666666669</v>
      </c>
      <c r="J292" s="147" t="s">
        <v>206</v>
      </c>
      <c r="K292" s="147" t="s">
        <v>343</v>
      </c>
      <c r="L292" s="148">
        <v>350</v>
      </c>
      <c r="M292" s="148">
        <v>420</v>
      </c>
      <c r="N292" s="148">
        <v>340</v>
      </c>
      <c r="O292" s="148">
        <v>380</v>
      </c>
      <c r="P292" s="148">
        <v>380</v>
      </c>
      <c r="Q292" s="147" t="s">
        <v>343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8">
        <v>1870</v>
      </c>
      <c r="AE292" s="148">
        <v>0</v>
      </c>
      <c r="AF292" s="148">
        <v>1870</v>
      </c>
      <c r="AG292" s="148">
        <v>0</v>
      </c>
      <c r="AH292" s="147" t="s">
        <v>205</v>
      </c>
      <c r="AI292" s="147">
        <v>5</v>
      </c>
      <c r="AJ292" s="147" t="s">
        <v>510</v>
      </c>
    </row>
    <row r="293" spans="1:36">
      <c r="A293" s="147" t="s">
        <v>946</v>
      </c>
      <c r="B293" s="147" t="s">
        <v>567</v>
      </c>
      <c r="C293" s="147" t="s">
        <v>662</v>
      </c>
      <c r="D293" s="147" t="s">
        <v>343</v>
      </c>
      <c r="E293" s="147" t="s">
        <v>343</v>
      </c>
      <c r="F293" s="147" t="s">
        <v>640</v>
      </c>
      <c r="G293" s="147" t="s">
        <v>123</v>
      </c>
      <c r="H293" s="147">
        <v>15</v>
      </c>
      <c r="I293" s="148">
        <v>453.33333333333331</v>
      </c>
      <c r="J293" s="147" t="s">
        <v>204</v>
      </c>
      <c r="K293" s="148">
        <v>375</v>
      </c>
      <c r="L293" s="148">
        <v>480</v>
      </c>
      <c r="M293" s="148">
        <v>480</v>
      </c>
      <c r="N293" s="148">
        <v>400</v>
      </c>
      <c r="O293" s="147" t="s">
        <v>343</v>
      </c>
      <c r="P293" s="147" t="s">
        <v>343</v>
      </c>
      <c r="Q293" s="147" t="s">
        <v>343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8">
        <v>1735</v>
      </c>
      <c r="AE293" s="148">
        <v>0</v>
      </c>
      <c r="AF293" s="148">
        <v>1735</v>
      </c>
      <c r="AG293" s="148">
        <v>0</v>
      </c>
      <c r="AH293" s="147" t="s">
        <v>203</v>
      </c>
      <c r="AI293" s="147">
        <v>4</v>
      </c>
      <c r="AJ293" s="147" t="s">
        <v>510</v>
      </c>
    </row>
    <row r="294" spans="1:36">
      <c r="A294" s="147" t="s">
        <v>947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640</v>
      </c>
      <c r="G294" s="147" t="s">
        <v>625</v>
      </c>
      <c r="H294" s="147">
        <v>35</v>
      </c>
      <c r="I294" s="148">
        <v>335</v>
      </c>
      <c r="J294" s="147" t="s">
        <v>205</v>
      </c>
      <c r="K294" s="148">
        <v>330</v>
      </c>
      <c r="L294" s="148">
        <v>330</v>
      </c>
      <c r="M294" s="148">
        <v>330</v>
      </c>
      <c r="N294" s="148">
        <v>330</v>
      </c>
      <c r="O294" s="148">
        <v>345</v>
      </c>
      <c r="P294" s="147" t="s">
        <v>343</v>
      </c>
      <c r="Q294" s="147" t="s">
        <v>343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8">
        <v>1665</v>
      </c>
      <c r="AE294" s="148">
        <v>0</v>
      </c>
      <c r="AF294" s="148">
        <v>1665</v>
      </c>
      <c r="AG294" s="148">
        <v>0</v>
      </c>
      <c r="AH294" s="147" t="s">
        <v>204</v>
      </c>
      <c r="AI294" s="147">
        <v>5</v>
      </c>
      <c r="AJ294" s="147" t="s">
        <v>510</v>
      </c>
    </row>
    <row r="295" spans="1:36">
      <c r="A295" s="147" t="s">
        <v>948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640</v>
      </c>
      <c r="G295" s="147" t="s">
        <v>125</v>
      </c>
      <c r="H295" s="147">
        <v>13</v>
      </c>
      <c r="I295" s="148">
        <v>408.33333333333331</v>
      </c>
      <c r="J295" s="147" t="s">
        <v>204</v>
      </c>
      <c r="K295" s="148">
        <v>430</v>
      </c>
      <c r="L295" s="148">
        <v>325</v>
      </c>
      <c r="M295" s="148">
        <v>575</v>
      </c>
      <c r="N295" s="148">
        <v>325</v>
      </c>
      <c r="O295" s="147" t="s">
        <v>343</v>
      </c>
      <c r="P295" s="147" t="s">
        <v>343</v>
      </c>
      <c r="Q295" s="147" t="s">
        <v>343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8">
        <v>1655</v>
      </c>
      <c r="AE295" s="148">
        <v>0</v>
      </c>
      <c r="AF295" s="148">
        <v>1655</v>
      </c>
      <c r="AG295" s="148">
        <v>0</v>
      </c>
      <c r="AH295" s="147" t="s">
        <v>203</v>
      </c>
      <c r="AI295" s="147">
        <v>4</v>
      </c>
      <c r="AJ295" s="147" t="s">
        <v>510</v>
      </c>
    </row>
    <row r="296" spans="1:36">
      <c r="A296" s="147" t="s">
        <v>949</v>
      </c>
      <c r="B296" s="147" t="s">
        <v>567</v>
      </c>
      <c r="C296" s="147" t="s">
        <v>662</v>
      </c>
      <c r="D296" s="147" t="s">
        <v>343</v>
      </c>
      <c r="E296" s="147" t="s">
        <v>343</v>
      </c>
      <c r="F296" s="147" t="s">
        <v>640</v>
      </c>
      <c r="G296" s="147" t="s">
        <v>131</v>
      </c>
      <c r="H296" s="147">
        <v>6</v>
      </c>
      <c r="I296" s="148">
        <v>395</v>
      </c>
      <c r="J296" s="147" t="s">
        <v>203</v>
      </c>
      <c r="K296" s="148">
        <v>395</v>
      </c>
      <c r="L296" s="148">
        <v>395</v>
      </c>
      <c r="M296" s="148">
        <v>395</v>
      </c>
      <c r="N296" s="148">
        <v>395</v>
      </c>
      <c r="O296" s="147" t="s">
        <v>343</v>
      </c>
      <c r="P296" s="147" t="s">
        <v>343</v>
      </c>
      <c r="Q296" s="147" t="s">
        <v>343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8">
        <v>1580</v>
      </c>
      <c r="AE296" s="148">
        <v>0</v>
      </c>
      <c r="AF296" s="148">
        <v>1580</v>
      </c>
      <c r="AG296" s="148">
        <v>0</v>
      </c>
      <c r="AH296" s="147" t="s">
        <v>203</v>
      </c>
      <c r="AI296" s="147">
        <v>4</v>
      </c>
      <c r="AJ296" s="147" t="s">
        <v>510</v>
      </c>
    </row>
    <row r="297" spans="1:36">
      <c r="A297" s="147" t="s">
        <v>950</v>
      </c>
      <c r="B297" s="147" t="s">
        <v>567</v>
      </c>
      <c r="C297" s="147" t="s">
        <v>877</v>
      </c>
      <c r="D297" s="147" t="s">
        <v>343</v>
      </c>
      <c r="E297" s="147" t="s">
        <v>343</v>
      </c>
      <c r="F297" s="147" t="s">
        <v>640</v>
      </c>
      <c r="G297" s="147" t="s">
        <v>639</v>
      </c>
      <c r="H297" s="147">
        <v>49</v>
      </c>
      <c r="I297" s="148">
        <v>300</v>
      </c>
      <c r="J297" s="147" t="s">
        <v>205</v>
      </c>
      <c r="K297" s="148">
        <v>345</v>
      </c>
      <c r="L297" s="148">
        <v>300</v>
      </c>
      <c r="M297" s="148">
        <v>300</v>
      </c>
      <c r="N297" s="148">
        <v>300</v>
      </c>
      <c r="O297" s="148">
        <v>300</v>
      </c>
      <c r="P297" s="147" t="s">
        <v>343</v>
      </c>
      <c r="Q297" s="147" t="s">
        <v>343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8">
        <v>1545</v>
      </c>
      <c r="AE297" s="148">
        <v>0</v>
      </c>
      <c r="AF297" s="148">
        <v>1545</v>
      </c>
      <c r="AG297" s="148">
        <v>0</v>
      </c>
      <c r="AH297" s="147" t="s">
        <v>204</v>
      </c>
      <c r="AI297" s="147">
        <v>5</v>
      </c>
      <c r="AJ297" s="147" t="s">
        <v>510</v>
      </c>
    </row>
    <row r="298" spans="1:36">
      <c r="A298" s="147" t="s">
        <v>951</v>
      </c>
      <c r="B298" s="147" t="s">
        <v>567</v>
      </c>
      <c r="C298" s="147" t="s">
        <v>662</v>
      </c>
      <c r="D298" s="147" t="s">
        <v>343</v>
      </c>
      <c r="E298" s="147" t="s">
        <v>343</v>
      </c>
      <c r="F298" s="147" t="s">
        <v>640</v>
      </c>
      <c r="G298" s="147" t="s">
        <v>125</v>
      </c>
      <c r="H298" s="147">
        <v>12</v>
      </c>
      <c r="I298" s="148">
        <v>395</v>
      </c>
      <c r="J298" s="147" t="s">
        <v>203</v>
      </c>
      <c r="K298" s="148">
        <v>395</v>
      </c>
      <c r="L298" s="148">
        <v>395</v>
      </c>
      <c r="M298" s="148">
        <v>395</v>
      </c>
      <c r="N298" s="147" t="s">
        <v>343</v>
      </c>
      <c r="O298" s="147" t="s">
        <v>343</v>
      </c>
      <c r="P298" s="147" t="s">
        <v>343</v>
      </c>
      <c r="Q298" s="147" t="s">
        <v>343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8">
        <v>1185</v>
      </c>
      <c r="AE298" s="148">
        <v>0</v>
      </c>
      <c r="AF298" s="148">
        <v>1185</v>
      </c>
      <c r="AG298" s="148">
        <v>0</v>
      </c>
      <c r="AH298" s="147" t="s">
        <v>202</v>
      </c>
      <c r="AI298" s="147">
        <v>3</v>
      </c>
      <c r="AJ298" s="147" t="s">
        <v>510</v>
      </c>
    </row>
    <row r="299" spans="1:36">
      <c r="A299" s="147" t="s">
        <v>952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640</v>
      </c>
      <c r="G299" s="147" t="s">
        <v>133</v>
      </c>
      <c r="H299" s="147">
        <v>4</v>
      </c>
      <c r="I299" s="148">
        <v>375.25</v>
      </c>
      <c r="J299" s="147" t="s">
        <v>203</v>
      </c>
      <c r="K299" s="148">
        <v>335.75</v>
      </c>
      <c r="L299" s="148">
        <v>395</v>
      </c>
      <c r="M299" s="148">
        <v>395</v>
      </c>
      <c r="N299" s="147" t="s">
        <v>343</v>
      </c>
      <c r="O299" s="147" t="s">
        <v>343</v>
      </c>
      <c r="P299" s="147" t="s">
        <v>343</v>
      </c>
      <c r="Q299" s="147" t="s">
        <v>343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8">
        <v>1125.75</v>
      </c>
      <c r="AE299" s="148">
        <v>0</v>
      </c>
      <c r="AF299" s="148">
        <v>1125.75</v>
      </c>
      <c r="AG299" s="148">
        <v>0</v>
      </c>
      <c r="AH299" s="147" t="s">
        <v>202</v>
      </c>
      <c r="AI299" s="147">
        <v>3</v>
      </c>
      <c r="AJ299" s="147" t="s">
        <v>510</v>
      </c>
    </row>
    <row r="300" spans="1:36">
      <c r="A300" s="147" t="s">
        <v>953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640</v>
      </c>
      <c r="G300" s="147" t="s">
        <v>577</v>
      </c>
      <c r="H300" s="147">
        <v>24</v>
      </c>
      <c r="I300" s="148">
        <v>875</v>
      </c>
      <c r="J300" s="147" t="s">
        <v>201</v>
      </c>
      <c r="K300" s="148">
        <v>875</v>
      </c>
      <c r="L300" s="147" t="s">
        <v>343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7" t="s">
        <v>343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8">
        <v>875</v>
      </c>
      <c r="AE300" s="148">
        <v>0</v>
      </c>
      <c r="AF300" s="148">
        <v>875</v>
      </c>
      <c r="AG300" s="148">
        <v>0</v>
      </c>
      <c r="AH300" s="147" t="s">
        <v>200</v>
      </c>
      <c r="AI300" s="147">
        <v>1</v>
      </c>
      <c r="AJ300" s="147" t="s">
        <v>510</v>
      </c>
    </row>
    <row r="301" spans="1:36">
      <c r="A301" s="147" t="s">
        <v>954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640</v>
      </c>
      <c r="G301" s="147" t="s">
        <v>125</v>
      </c>
      <c r="H301" s="147">
        <v>11</v>
      </c>
      <c r="I301" s="148">
        <v>430</v>
      </c>
      <c r="J301" s="147" t="s">
        <v>202</v>
      </c>
      <c r="K301" s="148">
        <v>400</v>
      </c>
      <c r="L301" s="148">
        <v>460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7" t="s">
        <v>343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8">
        <v>860</v>
      </c>
      <c r="AE301" s="148">
        <v>0</v>
      </c>
      <c r="AF301" s="148">
        <v>860</v>
      </c>
      <c r="AG301" s="148">
        <v>0</v>
      </c>
      <c r="AH301" s="147" t="s">
        <v>201</v>
      </c>
      <c r="AI301" s="147">
        <v>2</v>
      </c>
      <c r="AJ301" s="147" t="s">
        <v>510</v>
      </c>
    </row>
    <row r="302" spans="1:36">
      <c r="A302" s="147" t="s">
        <v>955</v>
      </c>
      <c r="B302" s="147" t="s">
        <v>567</v>
      </c>
      <c r="C302" s="147" t="s">
        <v>877</v>
      </c>
      <c r="D302" s="147" t="s">
        <v>343</v>
      </c>
      <c r="E302" s="147" t="s">
        <v>343</v>
      </c>
      <c r="F302" s="147" t="s">
        <v>640</v>
      </c>
      <c r="G302" s="147" t="s">
        <v>133</v>
      </c>
      <c r="H302" s="147">
        <v>3</v>
      </c>
      <c r="I302" s="148">
        <v>400</v>
      </c>
      <c r="J302" s="147" t="s">
        <v>202</v>
      </c>
      <c r="K302" s="148">
        <v>400</v>
      </c>
      <c r="L302" s="148">
        <v>400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7" t="s">
        <v>343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8">
        <v>800</v>
      </c>
      <c r="AE302" s="148">
        <v>0</v>
      </c>
      <c r="AF302" s="148">
        <v>800</v>
      </c>
      <c r="AG302" s="148">
        <v>0</v>
      </c>
      <c r="AH302" s="147" t="s">
        <v>201</v>
      </c>
      <c r="AI302" s="147">
        <v>2</v>
      </c>
      <c r="AJ302" s="147" t="s">
        <v>510</v>
      </c>
    </row>
    <row r="303" spans="1:36">
      <c r="A303" s="147" t="s">
        <v>956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640</v>
      </c>
      <c r="G303" s="147" t="s">
        <v>131</v>
      </c>
      <c r="H303" s="147">
        <v>5</v>
      </c>
      <c r="I303" s="148">
        <v>395</v>
      </c>
      <c r="J303" s="147" t="s">
        <v>202</v>
      </c>
      <c r="K303" s="148">
        <v>395</v>
      </c>
      <c r="L303" s="148">
        <v>395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7" t="s">
        <v>343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8">
        <v>790</v>
      </c>
      <c r="AE303" s="148">
        <v>0</v>
      </c>
      <c r="AF303" s="148">
        <v>790</v>
      </c>
      <c r="AG303" s="148">
        <v>0</v>
      </c>
      <c r="AH303" s="147" t="s">
        <v>201</v>
      </c>
      <c r="AI303" s="147">
        <v>2</v>
      </c>
      <c r="AJ303" s="147" t="s">
        <v>510</v>
      </c>
    </row>
    <row r="304" spans="1:36">
      <c r="A304" s="147" t="s">
        <v>957</v>
      </c>
      <c r="B304" s="147" t="s">
        <v>567</v>
      </c>
      <c r="C304" s="147" t="s">
        <v>877</v>
      </c>
      <c r="D304" s="147" t="s">
        <v>343</v>
      </c>
      <c r="E304" s="147" t="s">
        <v>343</v>
      </c>
      <c r="F304" s="147" t="s">
        <v>640</v>
      </c>
      <c r="G304" s="147" t="s">
        <v>132</v>
      </c>
      <c r="H304" s="147">
        <v>3</v>
      </c>
      <c r="I304" s="148">
        <v>380</v>
      </c>
      <c r="J304" s="147" t="s">
        <v>201</v>
      </c>
      <c r="K304" s="148">
        <v>625</v>
      </c>
      <c r="L304" s="148">
        <v>135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7" t="s">
        <v>343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8">
        <v>760</v>
      </c>
      <c r="AE304" s="148">
        <v>0</v>
      </c>
      <c r="AF304" s="148">
        <v>760</v>
      </c>
      <c r="AG304" s="148">
        <v>0</v>
      </c>
      <c r="AH304" s="147" t="s">
        <v>201</v>
      </c>
      <c r="AI304" s="147">
        <v>2</v>
      </c>
      <c r="AJ304" s="147" t="s">
        <v>510</v>
      </c>
    </row>
    <row r="305" spans="1:36">
      <c r="A305" s="147" t="s">
        <v>958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640</v>
      </c>
      <c r="G305" s="147" t="s">
        <v>122</v>
      </c>
      <c r="H305" s="147">
        <v>17</v>
      </c>
      <c r="I305" s="148">
        <v>135</v>
      </c>
      <c r="J305" s="147" t="s">
        <v>205</v>
      </c>
      <c r="K305" s="148">
        <v>135</v>
      </c>
      <c r="L305" s="148">
        <v>120</v>
      </c>
      <c r="M305" s="148">
        <v>135</v>
      </c>
      <c r="N305" s="148">
        <v>135</v>
      </c>
      <c r="O305" s="148">
        <v>135</v>
      </c>
      <c r="P305" s="147" t="s">
        <v>343</v>
      </c>
      <c r="Q305" s="147" t="s">
        <v>343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8">
        <v>660</v>
      </c>
      <c r="AE305" s="148">
        <v>0</v>
      </c>
      <c r="AF305" s="148">
        <v>660</v>
      </c>
      <c r="AG305" s="148">
        <v>0</v>
      </c>
      <c r="AH305" s="147" t="s">
        <v>204</v>
      </c>
      <c r="AI305" s="147">
        <v>5</v>
      </c>
      <c r="AJ305" s="147" t="s">
        <v>510</v>
      </c>
    </row>
    <row r="306" spans="1:36">
      <c r="A306" s="147" t="s">
        <v>959</v>
      </c>
      <c r="B306" s="147" t="s">
        <v>567</v>
      </c>
      <c r="C306" s="147" t="s">
        <v>662</v>
      </c>
      <c r="D306" s="147" t="s">
        <v>343</v>
      </c>
      <c r="E306" s="147" t="s">
        <v>343</v>
      </c>
      <c r="F306" s="147" t="s">
        <v>640</v>
      </c>
      <c r="G306" s="147" t="s">
        <v>132</v>
      </c>
      <c r="H306" s="147">
        <v>3</v>
      </c>
      <c r="I306" s="148">
        <v>280.625</v>
      </c>
      <c r="J306" s="147" t="s">
        <v>201</v>
      </c>
      <c r="K306" s="148">
        <v>531.25</v>
      </c>
      <c r="L306" s="148">
        <v>30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7" t="s">
        <v>343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8">
        <v>561.25</v>
      </c>
      <c r="AE306" s="148">
        <v>0</v>
      </c>
      <c r="AF306" s="148">
        <v>561.25</v>
      </c>
      <c r="AG306" s="148">
        <v>0</v>
      </c>
      <c r="AH306" s="147" t="s">
        <v>201</v>
      </c>
      <c r="AI306" s="147">
        <v>2</v>
      </c>
      <c r="AJ306" s="147" t="s">
        <v>510</v>
      </c>
    </row>
    <row r="307" spans="1:36">
      <c r="A307" s="147" t="s">
        <v>960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640</v>
      </c>
      <c r="G307" s="147" t="s">
        <v>123</v>
      </c>
      <c r="H307" s="147">
        <v>12</v>
      </c>
      <c r="I307" s="148">
        <v>510</v>
      </c>
      <c r="J307" s="147" t="s">
        <v>201</v>
      </c>
      <c r="K307" s="148">
        <v>510</v>
      </c>
      <c r="L307" s="147" t="s">
        <v>343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7" t="s">
        <v>343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8">
        <v>510</v>
      </c>
      <c r="AE307" s="148">
        <v>0</v>
      </c>
      <c r="AF307" s="148">
        <v>510</v>
      </c>
      <c r="AG307" s="148">
        <v>0</v>
      </c>
      <c r="AH307" s="147" t="s">
        <v>200</v>
      </c>
      <c r="AI307" s="147">
        <v>1</v>
      </c>
      <c r="AJ307" s="147" t="s">
        <v>510</v>
      </c>
    </row>
    <row r="308" spans="1:36">
      <c r="A308" s="147" t="s">
        <v>961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640</v>
      </c>
      <c r="G308" s="147" t="s">
        <v>124</v>
      </c>
      <c r="H308" s="147">
        <v>11</v>
      </c>
      <c r="I308" s="148">
        <v>375</v>
      </c>
      <c r="J308" s="147" t="s">
        <v>201</v>
      </c>
      <c r="K308" s="148">
        <v>375</v>
      </c>
      <c r="L308" s="147" t="s">
        <v>343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7" t="s">
        <v>343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8">
        <v>375</v>
      </c>
      <c r="AE308" s="148">
        <v>0</v>
      </c>
      <c r="AF308" s="148">
        <v>375</v>
      </c>
      <c r="AG308" s="148">
        <v>0</v>
      </c>
      <c r="AH308" s="147" t="s">
        <v>200</v>
      </c>
      <c r="AI308" s="147">
        <v>1</v>
      </c>
      <c r="AJ308" s="147" t="s">
        <v>510</v>
      </c>
    </row>
    <row r="309" spans="1:36">
      <c r="A309" s="147" t="s">
        <v>962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640</v>
      </c>
      <c r="G309" s="147" t="s">
        <v>133</v>
      </c>
      <c r="H309" s="147">
        <v>2</v>
      </c>
      <c r="I309" s="148">
        <v>360</v>
      </c>
      <c r="J309" s="147" t="s">
        <v>201</v>
      </c>
      <c r="K309" s="148">
        <v>360</v>
      </c>
      <c r="L309" s="147" t="s">
        <v>343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7" t="s">
        <v>343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8">
        <v>360</v>
      </c>
      <c r="AE309" s="148">
        <v>0</v>
      </c>
      <c r="AF309" s="148">
        <v>360</v>
      </c>
      <c r="AG309" s="148">
        <v>0</v>
      </c>
      <c r="AH309" s="147" t="s">
        <v>200</v>
      </c>
      <c r="AI309" s="147">
        <v>1</v>
      </c>
      <c r="AJ309" s="147" t="s">
        <v>510</v>
      </c>
    </row>
    <row r="310" spans="1:36">
      <c r="A310" s="147" t="s">
        <v>963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640</v>
      </c>
      <c r="G310" s="147" t="s">
        <v>132</v>
      </c>
      <c r="H310" s="147">
        <v>3</v>
      </c>
      <c r="I310" s="148">
        <v>350</v>
      </c>
      <c r="J310" s="147" t="s">
        <v>201</v>
      </c>
      <c r="K310" s="148">
        <v>350</v>
      </c>
      <c r="L310" s="147" t="s">
        <v>343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7" t="s">
        <v>343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8">
        <v>350</v>
      </c>
      <c r="AE310" s="148">
        <v>0</v>
      </c>
      <c r="AF310" s="148">
        <v>350</v>
      </c>
      <c r="AG310" s="148">
        <v>0</v>
      </c>
      <c r="AH310" s="147" t="s">
        <v>200</v>
      </c>
      <c r="AI310" s="147">
        <v>1</v>
      </c>
      <c r="AJ310" s="147" t="s">
        <v>510</v>
      </c>
    </row>
    <row r="311" spans="1:36">
      <c r="A311" s="147" t="s">
        <v>964</v>
      </c>
      <c r="B311" s="147" t="s">
        <v>567</v>
      </c>
      <c r="C311" s="147" t="s">
        <v>662</v>
      </c>
      <c r="D311" s="147" t="s">
        <v>343</v>
      </c>
      <c r="E311" s="147" t="s">
        <v>343</v>
      </c>
      <c r="F311" s="147" t="s">
        <v>640</v>
      </c>
      <c r="G311" s="147" t="s">
        <v>125</v>
      </c>
      <c r="H311" s="147">
        <v>8</v>
      </c>
      <c r="I311" s="148">
        <v>76.5</v>
      </c>
      <c r="J311" s="147" t="s">
        <v>133</v>
      </c>
      <c r="K311" s="148">
        <v>59.5</v>
      </c>
      <c r="L311" s="148">
        <v>85</v>
      </c>
      <c r="M311" s="148">
        <v>85</v>
      </c>
      <c r="N311" s="147" t="s">
        <v>343</v>
      </c>
      <c r="O311" s="147" t="s">
        <v>343</v>
      </c>
      <c r="P311" s="147" t="s">
        <v>343</v>
      </c>
      <c r="Q311" s="147" t="s">
        <v>343</v>
      </c>
      <c r="R311" s="147" t="s">
        <v>343</v>
      </c>
      <c r="S311" s="147" t="s">
        <v>343</v>
      </c>
      <c r="T311" s="147" t="s">
        <v>343</v>
      </c>
      <c r="U311" s="147" t="s">
        <v>343</v>
      </c>
      <c r="V311" s="147" t="s">
        <v>343</v>
      </c>
      <c r="W311" s="147" t="s">
        <v>343</v>
      </c>
      <c r="X311" s="147" t="s">
        <v>343</v>
      </c>
      <c r="Y311" s="147" t="s">
        <v>343</v>
      </c>
      <c r="Z311" s="147" t="s">
        <v>343</v>
      </c>
      <c r="AA311" s="147" t="s">
        <v>343</v>
      </c>
      <c r="AB311" s="147" t="s">
        <v>343</v>
      </c>
      <c r="AC311" s="147" t="s">
        <v>343</v>
      </c>
      <c r="AD311" s="148">
        <v>229.5</v>
      </c>
      <c r="AE311" s="148">
        <v>0</v>
      </c>
      <c r="AF311" s="148">
        <v>229.5</v>
      </c>
      <c r="AG311" s="148">
        <v>0</v>
      </c>
      <c r="AH311" s="147" t="s">
        <v>202</v>
      </c>
      <c r="AI311" s="147">
        <v>3</v>
      </c>
      <c r="AJ311" s="147" t="s">
        <v>510</v>
      </c>
    </row>
    <row r="312" spans="1:36">
      <c r="A312" s="147" t="s">
        <v>965</v>
      </c>
      <c r="B312" s="147" t="s">
        <v>567</v>
      </c>
      <c r="C312" s="147" t="s">
        <v>662</v>
      </c>
      <c r="D312" s="147" t="s">
        <v>343</v>
      </c>
      <c r="E312" s="147" t="s">
        <v>343</v>
      </c>
      <c r="F312" s="147" t="s">
        <v>640</v>
      </c>
      <c r="G312" s="147" t="s">
        <v>593</v>
      </c>
      <c r="H312" s="147">
        <v>13</v>
      </c>
      <c r="I312" s="148">
        <v>210</v>
      </c>
      <c r="J312" s="147" t="s">
        <v>200</v>
      </c>
      <c r="K312" s="148">
        <v>210</v>
      </c>
      <c r="L312" s="147" t="s">
        <v>343</v>
      </c>
      <c r="M312" s="147" t="s">
        <v>343</v>
      </c>
      <c r="N312" s="147" t="s">
        <v>343</v>
      </c>
      <c r="O312" s="147" t="s">
        <v>343</v>
      </c>
      <c r="P312" s="147" t="s">
        <v>343</v>
      </c>
      <c r="Q312" s="147" t="s">
        <v>343</v>
      </c>
      <c r="R312" s="147" t="s">
        <v>343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8">
        <v>210</v>
      </c>
      <c r="AE312" s="148">
        <v>0</v>
      </c>
      <c r="AF312" s="148">
        <v>210</v>
      </c>
      <c r="AG312" s="148">
        <v>0</v>
      </c>
      <c r="AH312" s="147" t="s">
        <v>200</v>
      </c>
      <c r="AI312" s="147">
        <v>1</v>
      </c>
      <c r="AJ312" s="147" t="s">
        <v>510</v>
      </c>
    </row>
    <row r="313" spans="1:36">
      <c r="A313" s="147" t="s">
        <v>966</v>
      </c>
      <c r="B313" s="147" t="s">
        <v>567</v>
      </c>
      <c r="C313" s="147" t="s">
        <v>662</v>
      </c>
      <c r="D313" s="147" t="s">
        <v>343</v>
      </c>
      <c r="E313" s="147" t="s">
        <v>343</v>
      </c>
      <c r="F313" s="147" t="s">
        <v>640</v>
      </c>
      <c r="G313" s="147" t="s">
        <v>201</v>
      </c>
      <c r="H313" s="147">
        <v>1</v>
      </c>
      <c r="I313" s="148">
        <v>85</v>
      </c>
      <c r="J313" s="147" t="s">
        <v>202</v>
      </c>
      <c r="K313" s="147" t="s">
        <v>343</v>
      </c>
      <c r="L313" s="148">
        <v>85</v>
      </c>
      <c r="M313" s="147" t="s">
        <v>343</v>
      </c>
      <c r="N313" s="147" t="s">
        <v>343</v>
      </c>
      <c r="O313" s="147" t="s">
        <v>343</v>
      </c>
      <c r="P313" s="147" t="s">
        <v>343</v>
      </c>
      <c r="Q313" s="147" t="s">
        <v>343</v>
      </c>
      <c r="R313" s="147" t="s">
        <v>343</v>
      </c>
      <c r="S313" s="147" t="s">
        <v>343</v>
      </c>
      <c r="T313" s="147" t="s">
        <v>343</v>
      </c>
      <c r="U313" s="147" t="s">
        <v>343</v>
      </c>
      <c r="V313" s="147" t="s">
        <v>343</v>
      </c>
      <c r="W313" s="147" t="s">
        <v>343</v>
      </c>
      <c r="X313" s="147" t="s">
        <v>343</v>
      </c>
      <c r="Y313" s="147" t="s">
        <v>343</v>
      </c>
      <c r="Z313" s="147" t="s">
        <v>343</v>
      </c>
      <c r="AA313" s="147" t="s">
        <v>343</v>
      </c>
      <c r="AB313" s="147" t="s">
        <v>343</v>
      </c>
      <c r="AC313" s="147" t="s">
        <v>343</v>
      </c>
      <c r="AD313" s="148">
        <v>85</v>
      </c>
      <c r="AE313" s="148">
        <v>0</v>
      </c>
      <c r="AF313" s="148">
        <v>85</v>
      </c>
      <c r="AG313" s="148">
        <v>0</v>
      </c>
      <c r="AH313" s="147" t="s">
        <v>201</v>
      </c>
      <c r="AI313" s="147">
        <v>1</v>
      </c>
      <c r="AJ313" s="147" t="s">
        <v>510</v>
      </c>
    </row>
    <row r="314" spans="1:36">
      <c r="A314" s="147" t="s">
        <v>967</v>
      </c>
      <c r="B314" s="147" t="s">
        <v>567</v>
      </c>
      <c r="C314" s="147" t="s">
        <v>877</v>
      </c>
      <c r="D314" s="147" t="s">
        <v>343</v>
      </c>
      <c r="E314" s="147" t="s">
        <v>343</v>
      </c>
      <c r="F314" s="147" t="s">
        <v>640</v>
      </c>
      <c r="G314" s="147" t="s">
        <v>813</v>
      </c>
      <c r="H314" s="147">
        <v>39</v>
      </c>
      <c r="I314" s="148">
        <v>15</v>
      </c>
      <c r="J314" s="147" t="s">
        <v>200</v>
      </c>
      <c r="K314" s="148">
        <v>15</v>
      </c>
      <c r="L314" s="147" t="s">
        <v>343</v>
      </c>
      <c r="M314" s="147" t="s">
        <v>343</v>
      </c>
      <c r="N314" s="147" t="s">
        <v>343</v>
      </c>
      <c r="O314" s="147" t="s">
        <v>343</v>
      </c>
      <c r="P314" s="147" t="s">
        <v>343</v>
      </c>
      <c r="Q314" s="147" t="s">
        <v>343</v>
      </c>
      <c r="R314" s="147" t="s">
        <v>343</v>
      </c>
      <c r="S314" s="147" t="s">
        <v>343</v>
      </c>
      <c r="T314" s="147" t="s">
        <v>343</v>
      </c>
      <c r="U314" s="147" t="s">
        <v>343</v>
      </c>
      <c r="V314" s="147" t="s">
        <v>343</v>
      </c>
      <c r="W314" s="147" t="s">
        <v>343</v>
      </c>
      <c r="X314" s="147" t="s">
        <v>343</v>
      </c>
      <c r="Y314" s="147" t="s">
        <v>343</v>
      </c>
      <c r="Z314" s="147" t="s">
        <v>343</v>
      </c>
      <c r="AA314" s="147" t="s">
        <v>343</v>
      </c>
      <c r="AB314" s="147" t="s">
        <v>343</v>
      </c>
      <c r="AC314" s="147" t="s">
        <v>343</v>
      </c>
      <c r="AD314" s="148">
        <v>15</v>
      </c>
      <c r="AE314" s="148">
        <v>0</v>
      </c>
      <c r="AF314" s="148">
        <v>15</v>
      </c>
      <c r="AG314" s="148">
        <v>0</v>
      </c>
      <c r="AH314" s="147" t="s">
        <v>200</v>
      </c>
      <c r="AI314" s="147">
        <v>1</v>
      </c>
      <c r="AJ314" s="147" t="s">
        <v>510</v>
      </c>
    </row>
    <row r="316" spans="1:36">
      <c r="A316" s="147" t="s">
        <v>454</v>
      </c>
      <c r="B316" s="147" t="s">
        <v>968</v>
      </c>
      <c r="C316" s="147" t="s">
        <v>343</v>
      </c>
      <c r="D316" s="147" t="s">
        <v>343</v>
      </c>
      <c r="E316" s="147">
        <v>4211</v>
      </c>
      <c r="F316" s="147" t="s">
        <v>343</v>
      </c>
      <c r="G316" s="147" t="s">
        <v>343</v>
      </c>
      <c r="H316" s="147" t="s">
        <v>343</v>
      </c>
      <c r="I316" s="148">
        <v>325078.2983333334</v>
      </c>
      <c r="J316" s="147" t="s">
        <v>343</v>
      </c>
      <c r="K316" s="148">
        <v>131036.65</v>
      </c>
      <c r="L316" s="148">
        <v>126265.25</v>
      </c>
      <c r="M316" s="148">
        <v>128808.1</v>
      </c>
      <c r="N316" s="148">
        <v>135046</v>
      </c>
      <c r="O316" s="148">
        <v>153428.69</v>
      </c>
      <c r="P316" s="148">
        <v>151954.75</v>
      </c>
      <c r="Q316" s="148">
        <v>154649.71000000002</v>
      </c>
      <c r="R316" s="148">
        <v>157673.44</v>
      </c>
      <c r="S316" s="148">
        <v>172517</v>
      </c>
      <c r="T316" s="148">
        <v>185106.25</v>
      </c>
      <c r="U316" s="148">
        <v>184245</v>
      </c>
      <c r="V316" s="148">
        <v>194175.75</v>
      </c>
      <c r="W316" s="148">
        <v>211380.15999999997</v>
      </c>
      <c r="X316" s="148">
        <v>244739.87</v>
      </c>
      <c r="Y316" s="148">
        <v>224988.75</v>
      </c>
      <c r="Z316" s="148">
        <v>235093.11000000002</v>
      </c>
      <c r="AA316" s="148">
        <v>250520.61</v>
      </c>
      <c r="AB316" s="148">
        <v>249696.16999999998</v>
      </c>
      <c r="AC316" s="148">
        <v>251179.65</v>
      </c>
      <c r="AD316" s="148">
        <v>3542504.9099999992</v>
      </c>
      <c r="AE316" s="148">
        <v>2561315.7599999998</v>
      </c>
      <c r="AF316" s="148">
        <v>1874906.59</v>
      </c>
      <c r="AG316" s="148">
        <v>1667598.3199999998</v>
      </c>
      <c r="AH316" s="147" t="s">
        <v>343</v>
      </c>
      <c r="AI316" s="147" t="s">
        <v>343</v>
      </c>
      <c r="AJ316" s="147" t="s">
        <v>343</v>
      </c>
    </row>
    <row r="317" spans="1:36">
      <c r="A317" s="147" t="s">
        <v>1112</v>
      </c>
      <c r="B317" s="147" t="s">
        <v>343</v>
      </c>
      <c r="C317" s="147" t="s">
        <v>343</v>
      </c>
      <c r="D317" s="147" t="s">
        <v>343</v>
      </c>
      <c r="E317" s="147" t="s">
        <v>343</v>
      </c>
      <c r="F317" s="147" t="s">
        <v>343</v>
      </c>
      <c r="G317" s="147" t="s">
        <v>343</v>
      </c>
      <c r="H317" s="147" t="s">
        <v>343</v>
      </c>
      <c r="I317" s="147" t="s">
        <v>343</v>
      </c>
      <c r="J317" s="147" t="s">
        <v>343</v>
      </c>
      <c r="K317" s="148">
        <v>156</v>
      </c>
      <c r="L317" s="148">
        <v>154</v>
      </c>
      <c r="M317" s="148">
        <v>155</v>
      </c>
      <c r="N317" s="148">
        <v>160</v>
      </c>
      <c r="O317" s="148">
        <v>165</v>
      </c>
      <c r="P317" s="148">
        <v>171</v>
      </c>
      <c r="Q317" s="148">
        <v>171</v>
      </c>
      <c r="R317" s="148">
        <v>175</v>
      </c>
      <c r="S317" s="148">
        <v>181</v>
      </c>
      <c r="T317" s="148">
        <v>189</v>
      </c>
      <c r="U317" s="148">
        <v>184</v>
      </c>
      <c r="V317" s="148">
        <v>190</v>
      </c>
      <c r="W317" s="148">
        <v>196</v>
      </c>
      <c r="X317" s="148">
        <v>203</v>
      </c>
      <c r="Y317" s="148">
        <v>207</v>
      </c>
      <c r="Z317" s="148">
        <v>204</v>
      </c>
      <c r="AA317" s="148">
        <v>205</v>
      </c>
      <c r="AB317" s="148">
        <v>196</v>
      </c>
      <c r="AC317" s="148">
        <v>195</v>
      </c>
      <c r="AD317" s="147" t="s">
        <v>343</v>
      </c>
      <c r="AE317" s="147" t="s">
        <v>343</v>
      </c>
      <c r="AF317" s="147" t="s">
        <v>343</v>
      </c>
      <c r="AG317" s="147" t="s">
        <v>343</v>
      </c>
      <c r="AH317" s="147" t="s">
        <v>343</v>
      </c>
      <c r="AI317" s="147" t="s">
        <v>343</v>
      </c>
      <c r="AJ317" s="147" t="s">
        <v>343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5.85546875" style="147" customWidth="1"/>
    <col min="5" max="5" width="13.7109375" style="147" customWidth="1"/>
    <col min="6" max="6" width="15.85546875" style="147" customWidth="1"/>
    <col min="7" max="7" width="18" style="147" customWidth="1"/>
    <col min="8" max="8" width="14.7109375" style="147" customWidth="1"/>
    <col min="9" max="9" width="13.7109375" style="147" customWidth="1"/>
    <col min="10" max="10" width="20" style="147" customWidth="1"/>
    <col min="11" max="11" width="13.7109375" style="147" customWidth="1"/>
    <col min="12" max="12" width="47.85546875" style="147" customWidth="1"/>
    <col min="13" max="14" width="12.5703125" style="147" customWidth="1"/>
    <col min="15" max="18" width="14.7109375" style="147" customWidth="1"/>
    <col min="19" max="19" width="15.85546875" style="147" customWidth="1"/>
    <col min="20" max="21" width="12.5703125" style="147" customWidth="1"/>
    <col min="22" max="22" width="10.42578125" style="147" customWidth="1"/>
    <col min="23" max="23" width="20" style="147" customWidth="1"/>
    <col min="24" max="25" width="15.85546875" style="147" customWidth="1"/>
    <col min="26" max="26" width="14.7109375" style="147" customWidth="1"/>
    <col min="27" max="28" width="21.140625" style="147" customWidth="1"/>
    <col min="29" max="30" width="20" style="147" customWidth="1"/>
    <col min="31" max="31" width="10.42578125" style="147" customWidth="1"/>
    <col min="32" max="32" width="16.85546875" style="147" customWidth="1"/>
    <col min="33" max="16384" width="9" style="147"/>
  </cols>
  <sheetData>
    <row r="1" spans="1:32">
      <c r="A1" s="147" t="s">
        <v>470</v>
      </c>
    </row>
    <row r="3" spans="1:32">
      <c r="A3" s="147" t="s">
        <v>471</v>
      </c>
      <c r="B3" s="147" t="s">
        <v>116</v>
      </c>
      <c r="C3" s="147" t="s">
        <v>472</v>
      </c>
      <c r="D3" s="147" t="s">
        <v>473</v>
      </c>
      <c r="E3" s="147" t="s">
        <v>474</v>
      </c>
      <c r="F3" s="147" t="s">
        <v>475</v>
      </c>
      <c r="G3" s="147" t="s">
        <v>476</v>
      </c>
      <c r="H3" s="147" t="s">
        <v>477</v>
      </c>
      <c r="I3" s="147" t="s">
        <v>478</v>
      </c>
      <c r="J3" s="147" t="s">
        <v>479</v>
      </c>
      <c r="K3" s="147" t="s">
        <v>480</v>
      </c>
      <c r="L3" s="147" t="s">
        <v>481</v>
      </c>
      <c r="M3" s="147" t="s">
        <v>482</v>
      </c>
      <c r="N3" s="147" t="s">
        <v>483</v>
      </c>
      <c r="O3" s="147" t="s">
        <v>484</v>
      </c>
      <c r="P3" s="147" t="s">
        <v>485</v>
      </c>
      <c r="Q3" s="147" t="s">
        <v>4</v>
      </c>
      <c r="R3" s="147" t="s">
        <v>486</v>
      </c>
      <c r="S3" s="147" t="s">
        <v>487</v>
      </c>
      <c r="T3" s="147" t="s">
        <v>488</v>
      </c>
      <c r="U3" s="147" t="s">
        <v>489</v>
      </c>
      <c r="V3" s="147" t="s">
        <v>490</v>
      </c>
      <c r="W3" s="147" t="s">
        <v>491</v>
      </c>
      <c r="X3" s="147" t="s">
        <v>492</v>
      </c>
      <c r="Y3" s="147" t="s">
        <v>493</v>
      </c>
      <c r="Z3" s="147" t="s">
        <v>494</v>
      </c>
      <c r="AA3" s="147" t="s">
        <v>495</v>
      </c>
      <c r="AB3" s="147" t="s">
        <v>496</v>
      </c>
      <c r="AC3" s="147" t="s">
        <v>497</v>
      </c>
      <c r="AD3" s="147" t="s">
        <v>498</v>
      </c>
      <c r="AE3" s="147" t="s">
        <v>499</v>
      </c>
      <c r="AF3" s="147" t="s">
        <v>500</v>
      </c>
    </row>
    <row r="4" spans="1:32">
      <c r="A4" s="147" t="s">
        <v>501</v>
      </c>
      <c r="B4" s="147" t="s">
        <v>502</v>
      </c>
      <c r="C4" s="147" t="s">
        <v>503</v>
      </c>
      <c r="D4" s="147" t="s">
        <v>504</v>
      </c>
      <c r="E4" s="147" t="s">
        <v>505</v>
      </c>
      <c r="F4" s="147" t="s">
        <v>506</v>
      </c>
      <c r="G4" s="147" t="s">
        <v>132</v>
      </c>
      <c r="H4" s="147">
        <v>21</v>
      </c>
      <c r="I4" s="147" t="s">
        <v>343</v>
      </c>
      <c r="J4" s="148">
        <v>9193.0300000000007</v>
      </c>
      <c r="K4" s="147">
        <v>206</v>
      </c>
      <c r="L4" s="147" t="s">
        <v>507</v>
      </c>
      <c r="M4" s="147">
        <v>206</v>
      </c>
      <c r="N4" s="147" t="s">
        <v>508</v>
      </c>
      <c r="O4" s="148">
        <v>97706.59</v>
      </c>
      <c r="P4" s="148">
        <v>9490</v>
      </c>
      <c r="Q4" s="148">
        <v>61957.5</v>
      </c>
      <c r="R4" s="148">
        <v>66239.09</v>
      </c>
      <c r="S4" s="149">
        <v>39.525319579288023</v>
      </c>
      <c r="T4" s="147" t="s">
        <v>509</v>
      </c>
      <c r="U4" s="147" t="s">
        <v>343</v>
      </c>
      <c r="V4" s="147" t="s">
        <v>510</v>
      </c>
      <c r="W4" s="147" t="s">
        <v>511</v>
      </c>
      <c r="X4" s="147" t="s">
        <v>343</v>
      </c>
      <c r="Y4" s="147" t="s">
        <v>347</v>
      </c>
      <c r="Z4" s="147" t="s">
        <v>512</v>
      </c>
      <c r="AA4" s="147" t="s">
        <v>513</v>
      </c>
      <c r="AB4" s="147" t="s">
        <v>514</v>
      </c>
      <c r="AC4" s="147" t="s">
        <v>515</v>
      </c>
      <c r="AD4" s="147" t="s">
        <v>516</v>
      </c>
      <c r="AE4" s="147" t="s">
        <v>509</v>
      </c>
      <c r="AF4" s="147" t="s">
        <v>343</v>
      </c>
    </row>
    <row r="5" spans="1:32">
      <c r="A5" s="147" t="s">
        <v>517</v>
      </c>
      <c r="B5" s="147" t="s">
        <v>502</v>
      </c>
      <c r="C5" s="147" t="s">
        <v>503</v>
      </c>
      <c r="D5" s="147" t="s">
        <v>504</v>
      </c>
      <c r="E5" s="147" t="s">
        <v>505</v>
      </c>
      <c r="F5" s="147" t="s">
        <v>506</v>
      </c>
      <c r="G5" s="147" t="s">
        <v>209</v>
      </c>
      <c r="H5" s="147">
        <v>10</v>
      </c>
      <c r="I5" s="147" t="s">
        <v>343</v>
      </c>
      <c r="J5" s="148">
        <v>8686</v>
      </c>
      <c r="K5" s="147">
        <v>163</v>
      </c>
      <c r="L5" s="147" t="s">
        <v>507</v>
      </c>
      <c r="M5" s="147">
        <v>163</v>
      </c>
      <c r="N5" s="147" t="s">
        <v>508</v>
      </c>
      <c r="O5" s="148">
        <v>84889</v>
      </c>
      <c r="P5" s="148">
        <v>8792</v>
      </c>
      <c r="Q5" s="148">
        <v>24345</v>
      </c>
      <c r="R5" s="148">
        <v>60544</v>
      </c>
      <c r="S5" s="149">
        <v>43.399284253578728</v>
      </c>
      <c r="T5" s="147" t="s">
        <v>509</v>
      </c>
      <c r="U5" s="147">
        <v>160</v>
      </c>
      <c r="V5" s="147" t="s">
        <v>509</v>
      </c>
      <c r="W5" s="147" t="s">
        <v>518</v>
      </c>
      <c r="X5" s="147" t="s">
        <v>519</v>
      </c>
      <c r="Y5" s="147" t="s">
        <v>347</v>
      </c>
      <c r="Z5" s="147" t="s">
        <v>512</v>
      </c>
      <c r="AA5" s="147" t="s">
        <v>520</v>
      </c>
      <c r="AB5" s="147" t="s">
        <v>521</v>
      </c>
      <c r="AC5" s="147" t="s">
        <v>522</v>
      </c>
      <c r="AD5" s="147" t="s">
        <v>523</v>
      </c>
      <c r="AE5" s="147" t="s">
        <v>510</v>
      </c>
      <c r="AF5" s="147" t="s">
        <v>343</v>
      </c>
    </row>
    <row r="6" spans="1:32">
      <c r="A6" s="147" t="s">
        <v>524</v>
      </c>
      <c r="B6" s="147" t="s">
        <v>502</v>
      </c>
      <c r="C6" s="147" t="s">
        <v>503</v>
      </c>
      <c r="D6" s="147" t="s">
        <v>504</v>
      </c>
      <c r="E6" s="147" t="s">
        <v>505</v>
      </c>
      <c r="F6" s="147" t="s">
        <v>506</v>
      </c>
      <c r="G6" s="147" t="s">
        <v>525</v>
      </c>
      <c r="H6" s="147">
        <v>56</v>
      </c>
      <c r="I6" s="147" t="s">
        <v>343</v>
      </c>
      <c r="J6" s="148">
        <v>3750</v>
      </c>
      <c r="K6" s="147">
        <v>85</v>
      </c>
      <c r="L6" s="147" t="s">
        <v>507</v>
      </c>
      <c r="M6" s="147">
        <v>85</v>
      </c>
      <c r="N6" s="147" t="s">
        <v>508</v>
      </c>
      <c r="O6" s="148">
        <v>50392</v>
      </c>
      <c r="P6" s="148">
        <v>3890</v>
      </c>
      <c r="Q6" s="148">
        <v>54535</v>
      </c>
      <c r="R6" s="148">
        <v>27242</v>
      </c>
      <c r="S6" s="149">
        <v>49.403921568627446</v>
      </c>
      <c r="T6" s="147" t="s">
        <v>510</v>
      </c>
      <c r="U6" s="147" t="s">
        <v>343</v>
      </c>
      <c r="V6" s="147" t="s">
        <v>509</v>
      </c>
      <c r="W6" s="147" t="s">
        <v>511</v>
      </c>
      <c r="X6" s="147" t="s">
        <v>519</v>
      </c>
      <c r="Y6" s="147" t="s">
        <v>347</v>
      </c>
      <c r="Z6" s="147" t="s">
        <v>512</v>
      </c>
      <c r="AA6" s="147" t="s">
        <v>526</v>
      </c>
      <c r="AB6" s="147" t="s">
        <v>527</v>
      </c>
      <c r="AC6" s="147" t="s">
        <v>515</v>
      </c>
      <c r="AD6" s="147" t="s">
        <v>528</v>
      </c>
      <c r="AE6" s="147" t="s">
        <v>509</v>
      </c>
      <c r="AF6" s="147" t="s">
        <v>343</v>
      </c>
    </row>
    <row r="7" spans="1:32">
      <c r="A7" s="147" t="s">
        <v>529</v>
      </c>
      <c r="B7" s="147" t="s">
        <v>502</v>
      </c>
      <c r="C7" s="147" t="s">
        <v>503</v>
      </c>
      <c r="D7" s="147" t="s">
        <v>504</v>
      </c>
      <c r="E7" s="147" t="s">
        <v>505</v>
      </c>
      <c r="F7" s="147" t="s">
        <v>506</v>
      </c>
      <c r="G7" s="147" t="s">
        <v>202</v>
      </c>
      <c r="H7" s="147">
        <v>17</v>
      </c>
      <c r="I7" s="147" t="s">
        <v>343</v>
      </c>
      <c r="J7" s="148">
        <v>3773</v>
      </c>
      <c r="K7" s="147">
        <v>99</v>
      </c>
      <c r="L7" s="147" t="s">
        <v>507</v>
      </c>
      <c r="M7" s="147">
        <v>99</v>
      </c>
      <c r="N7" s="147" t="s">
        <v>508</v>
      </c>
      <c r="O7" s="148">
        <v>49344</v>
      </c>
      <c r="P7" s="148">
        <v>3847</v>
      </c>
      <c r="Q7" s="148">
        <v>44944</v>
      </c>
      <c r="R7" s="148">
        <v>28852</v>
      </c>
      <c r="S7" s="149">
        <v>41.535353535353536</v>
      </c>
      <c r="T7" s="147" t="s">
        <v>510</v>
      </c>
      <c r="U7" s="147" t="s">
        <v>343</v>
      </c>
      <c r="V7" s="147" t="s">
        <v>509</v>
      </c>
      <c r="W7" s="147" t="s">
        <v>511</v>
      </c>
      <c r="X7" s="147" t="s">
        <v>530</v>
      </c>
      <c r="Y7" s="147" t="s">
        <v>347</v>
      </c>
      <c r="Z7" s="147" t="s">
        <v>512</v>
      </c>
      <c r="AA7" s="147" t="s">
        <v>531</v>
      </c>
      <c r="AB7" s="147" t="s">
        <v>532</v>
      </c>
      <c r="AC7" s="147" t="s">
        <v>522</v>
      </c>
      <c r="AD7" s="147" t="s">
        <v>516</v>
      </c>
      <c r="AE7" s="147" t="s">
        <v>509</v>
      </c>
      <c r="AF7" s="147" t="s">
        <v>343</v>
      </c>
    </row>
    <row r="8" spans="1:32">
      <c r="A8" s="147" t="s">
        <v>533</v>
      </c>
      <c r="B8" s="147" t="s">
        <v>502</v>
      </c>
      <c r="C8" s="147" t="s">
        <v>503</v>
      </c>
      <c r="D8" s="147" t="s">
        <v>504</v>
      </c>
      <c r="E8" s="147" t="s">
        <v>505</v>
      </c>
      <c r="F8" s="147" t="s">
        <v>506</v>
      </c>
      <c r="G8" s="147" t="s">
        <v>534</v>
      </c>
      <c r="H8" s="147">
        <v>50</v>
      </c>
      <c r="I8" s="147" t="s">
        <v>343</v>
      </c>
      <c r="J8" s="148">
        <v>3651</v>
      </c>
      <c r="K8" s="147">
        <v>73</v>
      </c>
      <c r="L8" s="147" t="s">
        <v>507</v>
      </c>
      <c r="M8" s="147">
        <v>73</v>
      </c>
      <c r="N8" s="147" t="s">
        <v>508</v>
      </c>
      <c r="O8" s="148">
        <v>47328</v>
      </c>
      <c r="P8" s="148">
        <v>3353</v>
      </c>
      <c r="Q8" s="148">
        <v>42300</v>
      </c>
      <c r="R8" s="148">
        <v>28308</v>
      </c>
      <c r="S8" s="149">
        <v>54.027397260273972</v>
      </c>
      <c r="T8" s="147" t="s">
        <v>510</v>
      </c>
      <c r="U8" s="147" t="s">
        <v>343</v>
      </c>
      <c r="V8" s="147" t="s">
        <v>510</v>
      </c>
      <c r="W8" s="147" t="s">
        <v>511</v>
      </c>
      <c r="X8" s="147" t="s">
        <v>535</v>
      </c>
      <c r="Y8" s="147" t="s">
        <v>343</v>
      </c>
      <c r="Z8" s="147" t="s">
        <v>512</v>
      </c>
      <c r="AA8" s="147" t="s">
        <v>536</v>
      </c>
      <c r="AB8" s="147" t="s">
        <v>537</v>
      </c>
      <c r="AC8" s="147" t="s">
        <v>538</v>
      </c>
      <c r="AD8" s="147" t="s">
        <v>523</v>
      </c>
      <c r="AE8" s="147" t="s">
        <v>509</v>
      </c>
      <c r="AF8" s="147" t="s">
        <v>343</v>
      </c>
    </row>
    <row r="9" spans="1:32">
      <c r="A9" s="147" t="s">
        <v>539</v>
      </c>
      <c r="B9" s="147" t="s">
        <v>502</v>
      </c>
      <c r="C9" s="147" t="s">
        <v>503</v>
      </c>
      <c r="D9" s="147" t="s">
        <v>504</v>
      </c>
      <c r="E9" s="147" t="s">
        <v>505</v>
      </c>
      <c r="F9" s="147" t="s">
        <v>506</v>
      </c>
      <c r="G9" s="147" t="s">
        <v>127</v>
      </c>
      <c r="H9" s="147">
        <v>26</v>
      </c>
      <c r="I9" s="147" t="s">
        <v>343</v>
      </c>
      <c r="J9" s="148">
        <v>3487.3333333333335</v>
      </c>
      <c r="K9" s="147">
        <v>54</v>
      </c>
      <c r="L9" s="147" t="s">
        <v>507</v>
      </c>
      <c r="M9" s="147">
        <v>54</v>
      </c>
      <c r="N9" s="147" t="s">
        <v>508</v>
      </c>
      <c r="O9" s="148">
        <v>45758</v>
      </c>
      <c r="P9" s="148">
        <v>3318</v>
      </c>
      <c r="Q9" s="148">
        <v>42302</v>
      </c>
      <c r="R9" s="148">
        <v>27357</v>
      </c>
      <c r="S9" s="149">
        <v>70.614197530864189</v>
      </c>
      <c r="T9" s="147" t="s">
        <v>510</v>
      </c>
      <c r="U9" s="147" t="s">
        <v>343</v>
      </c>
      <c r="V9" s="147" t="s">
        <v>510</v>
      </c>
      <c r="W9" s="147" t="s">
        <v>511</v>
      </c>
      <c r="X9" s="147" t="s">
        <v>519</v>
      </c>
      <c r="Y9" s="147" t="s">
        <v>359</v>
      </c>
      <c r="Z9" s="147" t="s">
        <v>512</v>
      </c>
      <c r="AA9" s="147" t="s">
        <v>540</v>
      </c>
      <c r="AB9" s="147" t="s">
        <v>541</v>
      </c>
      <c r="AC9" s="147" t="s">
        <v>522</v>
      </c>
      <c r="AD9" s="147" t="s">
        <v>523</v>
      </c>
      <c r="AE9" s="147" t="s">
        <v>509</v>
      </c>
      <c r="AF9" s="147" t="s">
        <v>343</v>
      </c>
    </row>
    <row r="10" spans="1:32">
      <c r="A10" s="147" t="s">
        <v>542</v>
      </c>
      <c r="B10" s="147" t="s">
        <v>502</v>
      </c>
      <c r="C10" s="147" t="s">
        <v>503</v>
      </c>
      <c r="D10" s="147" t="s">
        <v>504</v>
      </c>
      <c r="E10" s="147" t="s">
        <v>505</v>
      </c>
      <c r="F10" s="147" t="s">
        <v>506</v>
      </c>
      <c r="G10" s="147" t="s">
        <v>202</v>
      </c>
      <c r="H10" s="147">
        <v>17</v>
      </c>
      <c r="I10" s="147" t="s">
        <v>343</v>
      </c>
      <c r="J10" s="148">
        <v>6357</v>
      </c>
      <c r="K10" s="147">
        <v>81</v>
      </c>
      <c r="L10" s="147" t="s">
        <v>507</v>
      </c>
      <c r="M10" s="147">
        <v>81</v>
      </c>
      <c r="N10" s="147" t="s">
        <v>508</v>
      </c>
      <c r="O10" s="148">
        <v>38990</v>
      </c>
      <c r="P10" s="148">
        <v>6557</v>
      </c>
      <c r="Q10" s="148">
        <v>22145</v>
      </c>
      <c r="R10" s="148">
        <v>28490</v>
      </c>
      <c r="S10" s="149">
        <v>40.113168724279831</v>
      </c>
      <c r="T10" s="147" t="s">
        <v>509</v>
      </c>
      <c r="U10" s="147">
        <v>21</v>
      </c>
      <c r="V10" s="147" t="s">
        <v>509</v>
      </c>
      <c r="W10" s="147" t="s">
        <v>518</v>
      </c>
      <c r="X10" s="147" t="s">
        <v>519</v>
      </c>
      <c r="Y10" s="147" t="s">
        <v>347</v>
      </c>
      <c r="Z10" s="147" t="s">
        <v>512</v>
      </c>
      <c r="AA10" s="147" t="s">
        <v>543</v>
      </c>
      <c r="AB10" s="147" t="s">
        <v>537</v>
      </c>
      <c r="AC10" s="147" t="s">
        <v>538</v>
      </c>
      <c r="AD10" s="147" t="s">
        <v>523</v>
      </c>
      <c r="AE10" s="147" t="s">
        <v>510</v>
      </c>
      <c r="AF10" s="147" t="s">
        <v>343</v>
      </c>
    </row>
    <row r="11" spans="1:32">
      <c r="A11" s="147" t="s">
        <v>544</v>
      </c>
      <c r="B11" s="147" t="s">
        <v>502</v>
      </c>
      <c r="C11" s="147" t="s">
        <v>503</v>
      </c>
      <c r="D11" s="147" t="s">
        <v>504</v>
      </c>
      <c r="E11" s="147" t="s">
        <v>505</v>
      </c>
      <c r="F11" s="147" t="s">
        <v>506</v>
      </c>
      <c r="G11" s="147" t="s">
        <v>123</v>
      </c>
      <c r="H11" s="147">
        <v>30</v>
      </c>
      <c r="I11" s="147" t="s">
        <v>343</v>
      </c>
      <c r="J11" s="148">
        <v>2752.6666666666665</v>
      </c>
      <c r="K11" s="147">
        <v>33</v>
      </c>
      <c r="L11" s="147" t="s">
        <v>507</v>
      </c>
      <c r="M11" s="147">
        <v>33</v>
      </c>
      <c r="N11" s="147" t="s">
        <v>508</v>
      </c>
      <c r="O11" s="148">
        <v>33223</v>
      </c>
      <c r="P11" s="148">
        <v>2813</v>
      </c>
      <c r="Q11" s="148">
        <v>29267</v>
      </c>
      <c r="R11" s="148">
        <v>20296</v>
      </c>
      <c r="S11" s="149">
        <v>83.896464646464651</v>
      </c>
      <c r="T11" s="147" t="s">
        <v>509</v>
      </c>
      <c r="U11" s="147">
        <v>26</v>
      </c>
      <c r="V11" s="147" t="s">
        <v>509</v>
      </c>
      <c r="W11" s="147" t="s">
        <v>511</v>
      </c>
      <c r="X11" s="147" t="s">
        <v>545</v>
      </c>
      <c r="Y11" s="147" t="s">
        <v>347</v>
      </c>
      <c r="Z11" s="147" t="s">
        <v>512</v>
      </c>
      <c r="AA11" s="147" t="s">
        <v>546</v>
      </c>
      <c r="AB11" s="147" t="s">
        <v>514</v>
      </c>
      <c r="AC11" s="147" t="s">
        <v>515</v>
      </c>
      <c r="AD11" s="147" t="s">
        <v>516</v>
      </c>
      <c r="AE11" s="147" t="s">
        <v>509</v>
      </c>
      <c r="AF11" s="147" t="s">
        <v>343</v>
      </c>
    </row>
    <row r="12" spans="1:32">
      <c r="A12" s="147" t="s">
        <v>547</v>
      </c>
      <c r="B12" s="147" t="s">
        <v>502</v>
      </c>
      <c r="C12" s="147" t="s">
        <v>503</v>
      </c>
      <c r="D12" s="147" t="s">
        <v>504</v>
      </c>
      <c r="E12" s="147" t="s">
        <v>505</v>
      </c>
      <c r="F12" s="147" t="s">
        <v>506</v>
      </c>
      <c r="G12" s="147" t="s">
        <v>534</v>
      </c>
      <c r="H12" s="147">
        <v>50</v>
      </c>
      <c r="I12" s="147" t="s">
        <v>343</v>
      </c>
      <c r="J12" s="148">
        <v>2708.7833333333333</v>
      </c>
      <c r="K12" s="147">
        <v>36</v>
      </c>
      <c r="L12" s="147" t="s">
        <v>507</v>
      </c>
      <c r="M12" s="147">
        <v>36</v>
      </c>
      <c r="N12" s="147" t="s">
        <v>508</v>
      </c>
      <c r="O12" s="148">
        <v>32640.98</v>
      </c>
      <c r="P12" s="148">
        <v>2465.35</v>
      </c>
      <c r="Q12" s="148">
        <v>31130</v>
      </c>
      <c r="R12" s="148">
        <v>18781.98</v>
      </c>
      <c r="S12" s="149">
        <v>75.557824074074063</v>
      </c>
      <c r="T12" s="147" t="s">
        <v>509</v>
      </c>
      <c r="U12" s="147">
        <v>4</v>
      </c>
      <c r="V12" s="147" t="s">
        <v>509</v>
      </c>
      <c r="W12" s="147" t="s">
        <v>511</v>
      </c>
      <c r="X12" s="147" t="s">
        <v>519</v>
      </c>
      <c r="Y12" s="147" t="s">
        <v>347</v>
      </c>
      <c r="Z12" s="147" t="s">
        <v>512</v>
      </c>
      <c r="AA12" s="147" t="s">
        <v>548</v>
      </c>
      <c r="AB12" s="147" t="s">
        <v>521</v>
      </c>
      <c r="AC12" s="147" t="s">
        <v>522</v>
      </c>
      <c r="AD12" s="147" t="s">
        <v>523</v>
      </c>
      <c r="AE12" s="147" t="s">
        <v>509</v>
      </c>
      <c r="AF12" s="147" t="s">
        <v>343</v>
      </c>
    </row>
    <row r="13" spans="1:32">
      <c r="A13" s="147" t="s">
        <v>549</v>
      </c>
      <c r="B13" s="147" t="s">
        <v>502</v>
      </c>
      <c r="C13" s="147" t="s">
        <v>503</v>
      </c>
      <c r="D13" s="147" t="s">
        <v>504</v>
      </c>
      <c r="E13" s="147" t="s">
        <v>505</v>
      </c>
      <c r="F13" s="147" t="s">
        <v>506</v>
      </c>
      <c r="G13" s="147" t="s">
        <v>126</v>
      </c>
      <c r="H13" s="147">
        <v>27</v>
      </c>
      <c r="I13" s="147" t="s">
        <v>343</v>
      </c>
      <c r="J13" s="148">
        <v>3075</v>
      </c>
      <c r="K13" s="147">
        <v>38</v>
      </c>
      <c r="L13" s="147" t="s">
        <v>507</v>
      </c>
      <c r="M13" s="147">
        <v>38</v>
      </c>
      <c r="N13" s="147" t="s">
        <v>508</v>
      </c>
      <c r="O13" s="148">
        <v>32225</v>
      </c>
      <c r="P13" s="148">
        <v>2975</v>
      </c>
      <c r="Q13" s="148">
        <v>17918.75</v>
      </c>
      <c r="R13" s="148">
        <v>25020</v>
      </c>
      <c r="S13" s="149">
        <v>70.668859649122808</v>
      </c>
      <c r="T13" s="147" t="s">
        <v>509</v>
      </c>
      <c r="U13" s="147" t="s">
        <v>343</v>
      </c>
      <c r="V13" s="147" t="s">
        <v>510</v>
      </c>
      <c r="W13" s="147" t="s">
        <v>511</v>
      </c>
      <c r="X13" s="147" t="s">
        <v>519</v>
      </c>
      <c r="Y13" s="147" t="s">
        <v>347</v>
      </c>
      <c r="Z13" s="147" t="s">
        <v>512</v>
      </c>
      <c r="AA13" s="147" t="s">
        <v>550</v>
      </c>
      <c r="AB13" s="147" t="s">
        <v>551</v>
      </c>
      <c r="AC13" s="147" t="s">
        <v>538</v>
      </c>
      <c r="AD13" s="147" t="s">
        <v>528</v>
      </c>
      <c r="AE13" s="147" t="s">
        <v>509</v>
      </c>
      <c r="AF13" s="147" t="s">
        <v>343</v>
      </c>
    </row>
    <row r="14" spans="1:32">
      <c r="A14" s="147" t="s">
        <v>552</v>
      </c>
      <c r="B14" s="147" t="s">
        <v>502</v>
      </c>
      <c r="C14" s="147" t="s">
        <v>503</v>
      </c>
      <c r="D14" s="147" t="s">
        <v>504</v>
      </c>
      <c r="E14" s="147" t="s">
        <v>505</v>
      </c>
      <c r="F14" s="147" t="s">
        <v>506</v>
      </c>
      <c r="G14" s="147" t="s">
        <v>553</v>
      </c>
      <c r="H14" s="147">
        <v>34</v>
      </c>
      <c r="I14" s="147" t="s">
        <v>343</v>
      </c>
      <c r="J14" s="148">
        <v>2881.6666666666665</v>
      </c>
      <c r="K14" s="147">
        <v>61</v>
      </c>
      <c r="L14" s="147" t="s">
        <v>507</v>
      </c>
      <c r="M14" s="147">
        <v>61</v>
      </c>
      <c r="N14" s="147" t="s">
        <v>508</v>
      </c>
      <c r="O14" s="148">
        <v>29627</v>
      </c>
      <c r="P14" s="148">
        <v>2978</v>
      </c>
      <c r="Q14" s="148">
        <v>23070</v>
      </c>
      <c r="R14" s="148">
        <v>19035</v>
      </c>
      <c r="S14" s="149">
        <v>40.474043715846989</v>
      </c>
      <c r="T14" s="147" t="s">
        <v>510</v>
      </c>
      <c r="U14" s="147" t="s">
        <v>343</v>
      </c>
      <c r="V14" s="147" t="s">
        <v>509</v>
      </c>
      <c r="W14" s="147" t="s">
        <v>518</v>
      </c>
      <c r="X14" s="147" t="s">
        <v>545</v>
      </c>
      <c r="Y14" s="147" t="s">
        <v>347</v>
      </c>
      <c r="Z14" s="147" t="s">
        <v>512</v>
      </c>
      <c r="AA14" s="147" t="s">
        <v>554</v>
      </c>
      <c r="AB14" s="147" t="s">
        <v>555</v>
      </c>
      <c r="AC14" s="147" t="s">
        <v>515</v>
      </c>
      <c r="AD14" s="147" t="s">
        <v>528</v>
      </c>
      <c r="AE14" s="147" t="s">
        <v>510</v>
      </c>
      <c r="AF14" s="147" t="s">
        <v>343</v>
      </c>
    </row>
    <row r="15" spans="1:32">
      <c r="A15" s="147" t="s">
        <v>556</v>
      </c>
      <c r="B15" s="147" t="s">
        <v>502</v>
      </c>
      <c r="C15" s="147" t="s">
        <v>503</v>
      </c>
      <c r="D15" s="147" t="s">
        <v>504</v>
      </c>
      <c r="E15" s="147" t="s">
        <v>505</v>
      </c>
      <c r="F15" s="147" t="s">
        <v>506</v>
      </c>
      <c r="G15" s="147" t="s">
        <v>125</v>
      </c>
      <c r="H15" s="147">
        <v>28</v>
      </c>
      <c r="I15" s="147" t="s">
        <v>343</v>
      </c>
      <c r="J15" s="148">
        <v>2432.8733333333334</v>
      </c>
      <c r="K15" s="147">
        <v>27</v>
      </c>
      <c r="L15" s="147" t="s">
        <v>507</v>
      </c>
      <c r="M15" s="147">
        <v>27</v>
      </c>
      <c r="N15" s="147" t="s">
        <v>508</v>
      </c>
      <c r="O15" s="148">
        <v>28951.62</v>
      </c>
      <c r="P15" s="148">
        <v>2594</v>
      </c>
      <c r="Q15" s="148">
        <v>28526</v>
      </c>
      <c r="R15" s="148">
        <v>17372.62</v>
      </c>
      <c r="S15" s="149">
        <v>89.356851851851843</v>
      </c>
      <c r="T15" s="147" t="s">
        <v>509</v>
      </c>
      <c r="U15" s="147">
        <v>36</v>
      </c>
      <c r="V15" s="147" t="s">
        <v>510</v>
      </c>
      <c r="W15" s="147" t="s">
        <v>511</v>
      </c>
      <c r="X15" s="147" t="s">
        <v>519</v>
      </c>
      <c r="Y15" s="147" t="s">
        <v>343</v>
      </c>
      <c r="Z15" s="147" t="s">
        <v>512</v>
      </c>
      <c r="AA15" s="147" t="s">
        <v>546</v>
      </c>
      <c r="AB15" s="147" t="s">
        <v>514</v>
      </c>
      <c r="AC15" s="147" t="s">
        <v>515</v>
      </c>
      <c r="AD15" s="147" t="s">
        <v>516</v>
      </c>
      <c r="AE15" s="147" t="s">
        <v>509</v>
      </c>
      <c r="AF15" s="147" t="s">
        <v>343</v>
      </c>
    </row>
    <row r="16" spans="1:32">
      <c r="A16" s="147" t="s">
        <v>557</v>
      </c>
      <c r="B16" s="147" t="s">
        <v>502</v>
      </c>
      <c r="C16" s="147" t="s">
        <v>503</v>
      </c>
      <c r="D16" s="147" t="s">
        <v>504</v>
      </c>
      <c r="E16" s="147" t="s">
        <v>505</v>
      </c>
      <c r="F16" s="147" t="s">
        <v>506</v>
      </c>
      <c r="G16" s="147" t="s">
        <v>128</v>
      </c>
      <c r="H16" s="147">
        <v>25</v>
      </c>
      <c r="I16" s="147" t="s">
        <v>343</v>
      </c>
      <c r="J16" s="148">
        <v>2035.6666666666667</v>
      </c>
      <c r="K16" s="147">
        <v>21</v>
      </c>
      <c r="L16" s="147" t="s">
        <v>507</v>
      </c>
      <c r="M16" s="147">
        <v>21</v>
      </c>
      <c r="N16" s="147" t="s">
        <v>508</v>
      </c>
      <c r="O16" s="148">
        <v>28873</v>
      </c>
      <c r="P16" s="148">
        <v>1852</v>
      </c>
      <c r="Q16" s="148">
        <v>32127.5</v>
      </c>
      <c r="R16" s="148">
        <v>17117</v>
      </c>
      <c r="S16" s="149">
        <v>114.57539682539684</v>
      </c>
      <c r="T16" s="147" t="s">
        <v>510</v>
      </c>
      <c r="U16" s="147" t="s">
        <v>343</v>
      </c>
      <c r="V16" s="147" t="s">
        <v>510</v>
      </c>
      <c r="W16" s="147" t="s">
        <v>511</v>
      </c>
      <c r="X16" s="147" t="s">
        <v>545</v>
      </c>
      <c r="Y16" s="147" t="s">
        <v>343</v>
      </c>
      <c r="Z16" s="147" t="s">
        <v>512</v>
      </c>
      <c r="AA16" s="147" t="s">
        <v>558</v>
      </c>
      <c r="AB16" s="147" t="s">
        <v>541</v>
      </c>
      <c r="AC16" s="147" t="s">
        <v>522</v>
      </c>
      <c r="AD16" s="147" t="s">
        <v>523</v>
      </c>
      <c r="AE16" s="147" t="s">
        <v>509</v>
      </c>
      <c r="AF16" s="147" t="s">
        <v>343</v>
      </c>
    </row>
    <row r="17" spans="1:32">
      <c r="A17" s="147" t="s">
        <v>559</v>
      </c>
      <c r="B17" s="147" t="s">
        <v>502</v>
      </c>
      <c r="C17" s="147" t="s">
        <v>503</v>
      </c>
      <c r="D17" s="147" t="s">
        <v>504</v>
      </c>
      <c r="E17" s="147" t="s">
        <v>505</v>
      </c>
      <c r="F17" s="147" t="s">
        <v>506</v>
      </c>
      <c r="G17" s="147" t="s">
        <v>122</v>
      </c>
      <c r="H17" s="147">
        <v>31</v>
      </c>
      <c r="I17" s="147" t="s">
        <v>343</v>
      </c>
      <c r="J17" s="148">
        <v>2285</v>
      </c>
      <c r="K17" s="147">
        <v>25</v>
      </c>
      <c r="L17" s="147" t="s">
        <v>560</v>
      </c>
      <c r="M17" s="147" t="s">
        <v>343</v>
      </c>
      <c r="N17" s="147" t="s">
        <v>343</v>
      </c>
      <c r="O17" s="148">
        <v>27920</v>
      </c>
      <c r="P17" s="148">
        <v>2285</v>
      </c>
      <c r="Q17" s="148">
        <v>27160</v>
      </c>
      <c r="R17" s="148">
        <v>16295</v>
      </c>
      <c r="S17" s="149">
        <v>93.066666666666663</v>
      </c>
      <c r="T17" s="147" t="s">
        <v>510</v>
      </c>
      <c r="U17" s="147" t="s">
        <v>343</v>
      </c>
      <c r="V17" s="147" t="s">
        <v>509</v>
      </c>
      <c r="W17" s="147" t="s">
        <v>511</v>
      </c>
      <c r="X17" s="147" t="s">
        <v>530</v>
      </c>
      <c r="Y17" s="147" t="s">
        <v>359</v>
      </c>
      <c r="Z17" s="147" t="s">
        <v>512</v>
      </c>
      <c r="AA17" s="147" t="s">
        <v>561</v>
      </c>
      <c r="AB17" s="147" t="s">
        <v>562</v>
      </c>
      <c r="AC17" s="147" t="s">
        <v>515</v>
      </c>
      <c r="AD17" s="147" t="s">
        <v>563</v>
      </c>
      <c r="AE17" s="147" t="s">
        <v>509</v>
      </c>
      <c r="AF17" s="147" t="s">
        <v>343</v>
      </c>
    </row>
    <row r="18" spans="1:32">
      <c r="A18" s="147" t="s">
        <v>564</v>
      </c>
      <c r="B18" s="147" t="s">
        <v>502</v>
      </c>
      <c r="C18" s="147" t="s">
        <v>503</v>
      </c>
      <c r="D18" s="147" t="s">
        <v>504</v>
      </c>
      <c r="E18" s="147" t="s">
        <v>505</v>
      </c>
      <c r="F18" s="147" t="s">
        <v>506</v>
      </c>
      <c r="G18" s="147" t="s">
        <v>204</v>
      </c>
      <c r="H18" s="147">
        <v>15</v>
      </c>
      <c r="I18" s="147" t="s">
        <v>343</v>
      </c>
      <c r="J18" s="148">
        <v>2644.6666666666665</v>
      </c>
      <c r="K18" s="147">
        <v>60</v>
      </c>
      <c r="L18" s="147" t="s">
        <v>507</v>
      </c>
      <c r="M18" s="147">
        <v>60</v>
      </c>
      <c r="N18" s="147" t="s">
        <v>508</v>
      </c>
      <c r="O18" s="148">
        <v>27140</v>
      </c>
      <c r="P18" s="148">
        <v>2742</v>
      </c>
      <c r="Q18" s="148">
        <v>16414</v>
      </c>
      <c r="R18" s="148">
        <v>17190</v>
      </c>
      <c r="S18" s="149">
        <v>37.694444444444443</v>
      </c>
      <c r="T18" s="147" t="s">
        <v>510</v>
      </c>
      <c r="U18" s="147" t="s">
        <v>343</v>
      </c>
      <c r="V18" s="147" t="s">
        <v>509</v>
      </c>
      <c r="W18" s="147" t="s">
        <v>511</v>
      </c>
      <c r="X18" s="147" t="s">
        <v>545</v>
      </c>
      <c r="Y18" s="147" t="s">
        <v>347</v>
      </c>
      <c r="Z18" s="147" t="s">
        <v>512</v>
      </c>
      <c r="AA18" s="147" t="s">
        <v>565</v>
      </c>
      <c r="AB18" s="147" t="s">
        <v>562</v>
      </c>
      <c r="AC18" s="147" t="s">
        <v>515</v>
      </c>
      <c r="AD18" s="147" t="s">
        <v>563</v>
      </c>
      <c r="AE18" s="147" t="s">
        <v>509</v>
      </c>
      <c r="AF18" s="147" t="s">
        <v>343</v>
      </c>
    </row>
    <row r="19" spans="1:32">
      <c r="A19" s="147" t="s">
        <v>566</v>
      </c>
      <c r="B19" s="147" t="s">
        <v>567</v>
      </c>
      <c r="C19" s="147" t="s">
        <v>503</v>
      </c>
      <c r="D19" s="147" t="s">
        <v>504</v>
      </c>
      <c r="E19" s="147" t="s">
        <v>505</v>
      </c>
      <c r="F19" s="147" t="s">
        <v>506</v>
      </c>
      <c r="G19" s="147" t="s">
        <v>207</v>
      </c>
      <c r="H19" s="147">
        <v>9</v>
      </c>
      <c r="I19" s="147" t="s">
        <v>246</v>
      </c>
      <c r="J19" s="148">
        <v>3006.6666666666665</v>
      </c>
      <c r="K19" s="147">
        <v>73</v>
      </c>
      <c r="L19" s="147" t="s">
        <v>568</v>
      </c>
      <c r="M19" s="147">
        <v>78</v>
      </c>
      <c r="N19" s="147" t="s">
        <v>569</v>
      </c>
      <c r="O19" s="148">
        <v>26019.5</v>
      </c>
      <c r="P19" s="147" t="s">
        <v>343</v>
      </c>
      <c r="Q19" s="148">
        <v>14379.5</v>
      </c>
      <c r="R19" s="148">
        <v>11640</v>
      </c>
      <c r="S19" s="149">
        <v>29.702625570776252</v>
      </c>
      <c r="T19" s="147" t="s">
        <v>510</v>
      </c>
      <c r="U19" s="147" t="s">
        <v>343</v>
      </c>
      <c r="V19" s="147" t="s">
        <v>510</v>
      </c>
      <c r="W19" s="147" t="s">
        <v>518</v>
      </c>
      <c r="X19" s="147" t="s">
        <v>343</v>
      </c>
      <c r="Y19" s="147" t="s">
        <v>343</v>
      </c>
      <c r="Z19" s="147" t="s">
        <v>512</v>
      </c>
      <c r="AA19" s="147" t="s">
        <v>570</v>
      </c>
      <c r="AB19" s="147" t="s">
        <v>551</v>
      </c>
      <c r="AC19" s="147" t="s">
        <v>571</v>
      </c>
      <c r="AD19" s="147" t="s">
        <v>528</v>
      </c>
      <c r="AE19" s="147" t="s">
        <v>510</v>
      </c>
      <c r="AF19" s="147" t="s">
        <v>509</v>
      </c>
    </row>
    <row r="20" spans="1:32">
      <c r="A20" s="147" t="s">
        <v>572</v>
      </c>
      <c r="B20" s="147" t="s">
        <v>502</v>
      </c>
      <c r="C20" s="147" t="s">
        <v>503</v>
      </c>
      <c r="D20" s="147" t="s">
        <v>504</v>
      </c>
      <c r="E20" s="147" t="s">
        <v>505</v>
      </c>
      <c r="F20" s="147" t="s">
        <v>506</v>
      </c>
      <c r="G20" s="147" t="s">
        <v>206</v>
      </c>
      <c r="H20" s="147">
        <v>13</v>
      </c>
      <c r="I20" s="147" t="s">
        <v>343</v>
      </c>
      <c r="J20" s="148">
        <v>2335.6666666666665</v>
      </c>
      <c r="K20" s="147">
        <v>42</v>
      </c>
      <c r="L20" s="147" t="s">
        <v>507</v>
      </c>
      <c r="M20" s="147">
        <v>42</v>
      </c>
      <c r="N20" s="147" t="s">
        <v>508</v>
      </c>
      <c r="O20" s="148">
        <v>25552</v>
      </c>
      <c r="P20" s="148">
        <v>2242</v>
      </c>
      <c r="Q20" s="148">
        <v>13910</v>
      </c>
      <c r="R20" s="148">
        <v>15482</v>
      </c>
      <c r="S20" s="149">
        <v>50.698412698412703</v>
      </c>
      <c r="T20" s="147" t="s">
        <v>510</v>
      </c>
      <c r="U20" s="147" t="s">
        <v>343</v>
      </c>
      <c r="V20" s="147" t="s">
        <v>510</v>
      </c>
      <c r="W20" s="147" t="s">
        <v>519</v>
      </c>
      <c r="X20" s="147" t="s">
        <v>519</v>
      </c>
      <c r="Y20" s="147" t="s">
        <v>343</v>
      </c>
      <c r="Z20" s="147" t="s">
        <v>512</v>
      </c>
      <c r="AA20" s="147" t="s">
        <v>573</v>
      </c>
      <c r="AB20" s="147" t="s">
        <v>562</v>
      </c>
      <c r="AC20" s="147" t="s">
        <v>515</v>
      </c>
      <c r="AD20" s="147" t="s">
        <v>563</v>
      </c>
      <c r="AE20" s="147" t="s">
        <v>510</v>
      </c>
      <c r="AF20" s="147" t="s">
        <v>343</v>
      </c>
    </row>
    <row r="21" spans="1:32">
      <c r="A21" s="147" t="s">
        <v>574</v>
      </c>
      <c r="B21" s="147" t="s">
        <v>502</v>
      </c>
      <c r="C21" s="147" t="s">
        <v>503</v>
      </c>
      <c r="D21" s="147" t="s">
        <v>504</v>
      </c>
      <c r="E21" s="147" t="s">
        <v>505</v>
      </c>
      <c r="F21" s="147" t="s">
        <v>506</v>
      </c>
      <c r="G21" s="147" t="s">
        <v>575</v>
      </c>
      <c r="H21" s="147">
        <v>33</v>
      </c>
      <c r="I21" s="147" t="s">
        <v>343</v>
      </c>
      <c r="J21" s="148">
        <v>3262.6666666666665</v>
      </c>
      <c r="K21" s="147">
        <v>47</v>
      </c>
      <c r="L21" s="147" t="s">
        <v>507</v>
      </c>
      <c r="M21" s="147">
        <v>47</v>
      </c>
      <c r="N21" s="147" t="s">
        <v>508</v>
      </c>
      <c r="O21" s="148">
        <v>25527</v>
      </c>
      <c r="P21" s="148">
        <v>2789</v>
      </c>
      <c r="Q21" s="148">
        <v>14986</v>
      </c>
      <c r="R21" s="148">
        <v>17639</v>
      </c>
      <c r="S21" s="149">
        <v>45.26063829787234</v>
      </c>
      <c r="T21" s="147" t="s">
        <v>510</v>
      </c>
      <c r="U21" s="147" t="s">
        <v>343</v>
      </c>
      <c r="V21" s="147" t="s">
        <v>510</v>
      </c>
      <c r="W21" s="147" t="s">
        <v>511</v>
      </c>
      <c r="X21" s="147" t="s">
        <v>535</v>
      </c>
      <c r="Y21" s="147" t="s">
        <v>343</v>
      </c>
      <c r="Z21" s="147" t="s">
        <v>512</v>
      </c>
      <c r="AA21" s="147" t="s">
        <v>550</v>
      </c>
      <c r="AB21" s="147" t="s">
        <v>551</v>
      </c>
      <c r="AC21" s="147" t="s">
        <v>538</v>
      </c>
      <c r="AD21" s="147" t="s">
        <v>528</v>
      </c>
      <c r="AE21" s="147" t="s">
        <v>509</v>
      </c>
      <c r="AF21" s="147" t="s">
        <v>343</v>
      </c>
    </row>
    <row r="22" spans="1:32">
      <c r="A22" s="147" t="s">
        <v>576</v>
      </c>
      <c r="B22" s="147" t="s">
        <v>502</v>
      </c>
      <c r="C22" s="147" t="s">
        <v>503</v>
      </c>
      <c r="D22" s="147" t="s">
        <v>504</v>
      </c>
      <c r="E22" s="147" t="s">
        <v>505</v>
      </c>
      <c r="F22" s="147" t="s">
        <v>506</v>
      </c>
      <c r="G22" s="147" t="s">
        <v>577</v>
      </c>
      <c r="H22" s="147">
        <v>42</v>
      </c>
      <c r="I22" s="147" t="s">
        <v>343</v>
      </c>
      <c r="J22" s="148">
        <v>2095.6666666666665</v>
      </c>
      <c r="K22" s="147">
        <v>26</v>
      </c>
      <c r="L22" s="147" t="s">
        <v>507</v>
      </c>
      <c r="M22" s="147">
        <v>26</v>
      </c>
      <c r="N22" s="147" t="s">
        <v>508</v>
      </c>
      <c r="O22" s="148">
        <v>25309</v>
      </c>
      <c r="P22" s="148">
        <v>2051</v>
      </c>
      <c r="Q22" s="148">
        <v>19847</v>
      </c>
      <c r="R22" s="148">
        <v>15569</v>
      </c>
      <c r="S22" s="149">
        <v>81.118589743589752</v>
      </c>
      <c r="T22" s="147" t="s">
        <v>510</v>
      </c>
      <c r="U22" s="147" t="s">
        <v>343</v>
      </c>
      <c r="V22" s="147" t="s">
        <v>510</v>
      </c>
      <c r="W22" s="147" t="s">
        <v>518</v>
      </c>
      <c r="X22" s="147" t="s">
        <v>578</v>
      </c>
      <c r="Y22" s="147" t="s">
        <v>347</v>
      </c>
      <c r="Z22" s="147" t="s">
        <v>512</v>
      </c>
      <c r="AA22" s="147" t="s">
        <v>579</v>
      </c>
      <c r="AB22" s="147" t="s">
        <v>521</v>
      </c>
      <c r="AC22" s="147" t="s">
        <v>522</v>
      </c>
      <c r="AD22" s="147" t="s">
        <v>523</v>
      </c>
      <c r="AE22" s="147" t="s">
        <v>510</v>
      </c>
      <c r="AF22" s="147" t="s">
        <v>343</v>
      </c>
    </row>
    <row r="23" spans="1:32">
      <c r="A23" s="147" t="s">
        <v>580</v>
      </c>
      <c r="B23" s="147" t="s">
        <v>502</v>
      </c>
      <c r="C23" s="147" t="s">
        <v>503</v>
      </c>
      <c r="D23" s="147" t="s">
        <v>504</v>
      </c>
      <c r="E23" s="147" t="s">
        <v>505</v>
      </c>
      <c r="F23" s="147" t="s">
        <v>506</v>
      </c>
      <c r="G23" s="147" t="s">
        <v>200</v>
      </c>
      <c r="H23" s="147">
        <v>19</v>
      </c>
      <c r="I23" s="147" t="s">
        <v>343</v>
      </c>
      <c r="J23" s="148">
        <v>1808.3333333333333</v>
      </c>
      <c r="K23" s="147">
        <v>26</v>
      </c>
      <c r="L23" s="147" t="s">
        <v>507</v>
      </c>
      <c r="M23" s="147">
        <v>26</v>
      </c>
      <c r="N23" s="147" t="s">
        <v>508</v>
      </c>
      <c r="O23" s="148">
        <v>24880.2</v>
      </c>
      <c r="P23" s="148">
        <v>1885</v>
      </c>
      <c r="Q23" s="148">
        <v>21350</v>
      </c>
      <c r="R23" s="148">
        <v>14941.2</v>
      </c>
      <c r="S23" s="149">
        <v>79.744230769230768</v>
      </c>
      <c r="T23" s="147" t="s">
        <v>509</v>
      </c>
      <c r="U23" s="147" t="s">
        <v>343</v>
      </c>
      <c r="V23" s="147" t="s">
        <v>509</v>
      </c>
      <c r="W23" s="147" t="s">
        <v>511</v>
      </c>
      <c r="X23" s="147" t="s">
        <v>535</v>
      </c>
      <c r="Y23" s="147" t="s">
        <v>347</v>
      </c>
      <c r="Z23" s="147" t="s">
        <v>512</v>
      </c>
      <c r="AA23" s="147" t="s">
        <v>581</v>
      </c>
      <c r="AB23" s="147" t="s">
        <v>555</v>
      </c>
      <c r="AC23" s="147" t="s">
        <v>515</v>
      </c>
      <c r="AD23" s="147" t="s">
        <v>528</v>
      </c>
      <c r="AE23" s="147" t="s">
        <v>509</v>
      </c>
      <c r="AF23" s="147" t="s">
        <v>343</v>
      </c>
    </row>
    <row r="24" spans="1:32">
      <c r="A24" s="147" t="s">
        <v>582</v>
      </c>
      <c r="B24" s="147" t="s">
        <v>502</v>
      </c>
      <c r="C24" s="147" t="s">
        <v>503</v>
      </c>
      <c r="D24" s="147" t="s">
        <v>504</v>
      </c>
      <c r="E24" s="147" t="s">
        <v>505</v>
      </c>
      <c r="F24" s="147" t="s">
        <v>506</v>
      </c>
      <c r="G24" s="147" t="s">
        <v>575</v>
      </c>
      <c r="H24" s="147">
        <v>33</v>
      </c>
      <c r="I24" s="147" t="s">
        <v>343</v>
      </c>
      <c r="J24" s="148">
        <v>1933.3333333333333</v>
      </c>
      <c r="K24" s="147">
        <v>34</v>
      </c>
      <c r="L24" s="147" t="s">
        <v>507</v>
      </c>
      <c r="M24" s="147">
        <v>34</v>
      </c>
      <c r="N24" s="147" t="s">
        <v>508</v>
      </c>
      <c r="O24" s="148">
        <v>24265</v>
      </c>
      <c r="P24" s="148">
        <v>1640</v>
      </c>
      <c r="Q24" s="148">
        <v>19650</v>
      </c>
      <c r="R24" s="148">
        <v>15760</v>
      </c>
      <c r="S24" s="149">
        <v>59.473039215686271</v>
      </c>
      <c r="T24" s="147" t="s">
        <v>510</v>
      </c>
      <c r="U24" s="147" t="s">
        <v>343</v>
      </c>
      <c r="V24" s="147" t="s">
        <v>510</v>
      </c>
      <c r="W24" s="147" t="s">
        <v>511</v>
      </c>
      <c r="X24" s="147" t="s">
        <v>519</v>
      </c>
      <c r="Y24" s="147" t="s">
        <v>343</v>
      </c>
      <c r="Z24" s="147" t="s">
        <v>512</v>
      </c>
      <c r="AA24" s="147" t="s">
        <v>579</v>
      </c>
      <c r="AB24" s="147" t="s">
        <v>521</v>
      </c>
      <c r="AC24" s="147" t="s">
        <v>522</v>
      </c>
      <c r="AD24" s="147" t="s">
        <v>523</v>
      </c>
      <c r="AE24" s="147" t="s">
        <v>509</v>
      </c>
      <c r="AF24" s="147" t="s">
        <v>343</v>
      </c>
    </row>
    <row r="25" spans="1:32">
      <c r="A25" s="147" t="s">
        <v>583</v>
      </c>
      <c r="B25" s="147" t="s">
        <v>502</v>
      </c>
      <c r="C25" s="147" t="s">
        <v>503</v>
      </c>
      <c r="D25" s="147" t="s">
        <v>504</v>
      </c>
      <c r="E25" s="147" t="s">
        <v>505</v>
      </c>
      <c r="F25" s="147" t="s">
        <v>506</v>
      </c>
      <c r="G25" s="147" t="s">
        <v>577</v>
      </c>
      <c r="H25" s="147">
        <v>42</v>
      </c>
      <c r="I25" s="147" t="s">
        <v>343</v>
      </c>
      <c r="J25" s="148">
        <v>1973.3333333333333</v>
      </c>
      <c r="K25" s="147">
        <v>28</v>
      </c>
      <c r="L25" s="147" t="s">
        <v>560</v>
      </c>
      <c r="M25" s="147">
        <v>28</v>
      </c>
      <c r="N25" s="147" t="s">
        <v>584</v>
      </c>
      <c r="O25" s="148">
        <v>24064</v>
      </c>
      <c r="P25" s="148">
        <v>1951</v>
      </c>
      <c r="Q25" s="148">
        <v>28169</v>
      </c>
      <c r="R25" s="148">
        <v>14427</v>
      </c>
      <c r="S25" s="149">
        <v>71.61904761904762</v>
      </c>
      <c r="T25" s="147" t="s">
        <v>510</v>
      </c>
      <c r="U25" s="147" t="s">
        <v>343</v>
      </c>
      <c r="V25" s="147" t="s">
        <v>510</v>
      </c>
      <c r="W25" s="147" t="s">
        <v>511</v>
      </c>
      <c r="X25" s="147" t="s">
        <v>519</v>
      </c>
      <c r="Y25" s="147" t="s">
        <v>347</v>
      </c>
      <c r="Z25" s="147" t="s">
        <v>512</v>
      </c>
      <c r="AA25" s="147" t="s">
        <v>585</v>
      </c>
      <c r="AB25" s="147" t="s">
        <v>586</v>
      </c>
      <c r="AC25" s="147" t="s">
        <v>515</v>
      </c>
      <c r="AD25" s="147" t="s">
        <v>528</v>
      </c>
      <c r="AE25" s="147" t="s">
        <v>509</v>
      </c>
      <c r="AF25" s="147" t="s">
        <v>343</v>
      </c>
    </row>
    <row r="26" spans="1:32">
      <c r="A26" s="147" t="s">
        <v>587</v>
      </c>
      <c r="B26" s="147" t="s">
        <v>502</v>
      </c>
      <c r="C26" s="147" t="s">
        <v>503</v>
      </c>
      <c r="D26" s="147" t="s">
        <v>504</v>
      </c>
      <c r="E26" s="147" t="s">
        <v>505</v>
      </c>
      <c r="F26" s="147" t="s">
        <v>506</v>
      </c>
      <c r="G26" s="147" t="s">
        <v>588</v>
      </c>
      <c r="H26" s="147">
        <v>37</v>
      </c>
      <c r="I26" s="147" t="s">
        <v>343</v>
      </c>
      <c r="J26" s="148">
        <v>2051</v>
      </c>
      <c r="K26" s="147">
        <v>24</v>
      </c>
      <c r="L26" s="147" t="s">
        <v>507</v>
      </c>
      <c r="M26" s="147">
        <v>24</v>
      </c>
      <c r="N26" s="147" t="s">
        <v>508</v>
      </c>
      <c r="O26" s="148">
        <v>23603</v>
      </c>
      <c r="P26" s="148">
        <v>1958</v>
      </c>
      <c r="Q26" s="148">
        <v>19729</v>
      </c>
      <c r="R26" s="148">
        <v>14773</v>
      </c>
      <c r="S26" s="149">
        <v>81.954861111111114</v>
      </c>
      <c r="T26" s="147" t="s">
        <v>510</v>
      </c>
      <c r="U26" s="147" t="s">
        <v>343</v>
      </c>
      <c r="V26" s="147" t="s">
        <v>509</v>
      </c>
      <c r="W26" s="147" t="s">
        <v>518</v>
      </c>
      <c r="X26" s="147" t="s">
        <v>535</v>
      </c>
      <c r="Y26" s="147" t="s">
        <v>359</v>
      </c>
      <c r="Z26" s="147" t="s">
        <v>512</v>
      </c>
      <c r="AA26" s="147" t="s">
        <v>589</v>
      </c>
      <c r="AB26" s="147" t="s">
        <v>586</v>
      </c>
      <c r="AC26" s="147" t="s">
        <v>515</v>
      </c>
      <c r="AD26" s="147" t="s">
        <v>528</v>
      </c>
      <c r="AE26" s="147" t="s">
        <v>510</v>
      </c>
      <c r="AF26" s="147" t="s">
        <v>343</v>
      </c>
    </row>
    <row r="27" spans="1:32">
      <c r="A27" s="147" t="s">
        <v>590</v>
      </c>
      <c r="B27" s="147" t="s">
        <v>502</v>
      </c>
      <c r="C27" s="147" t="s">
        <v>503</v>
      </c>
      <c r="D27" s="147" t="s">
        <v>504</v>
      </c>
      <c r="E27" s="147" t="s">
        <v>505</v>
      </c>
      <c r="F27" s="147" t="s">
        <v>506</v>
      </c>
      <c r="G27" s="147" t="s">
        <v>204</v>
      </c>
      <c r="H27" s="147">
        <v>15</v>
      </c>
      <c r="I27" s="147" t="s">
        <v>343</v>
      </c>
      <c r="J27" s="148">
        <v>2461</v>
      </c>
      <c r="K27" s="147">
        <v>30</v>
      </c>
      <c r="L27" s="147" t="s">
        <v>507</v>
      </c>
      <c r="M27" s="147">
        <v>30</v>
      </c>
      <c r="N27" s="147" t="s">
        <v>508</v>
      </c>
      <c r="O27" s="148">
        <v>23175</v>
      </c>
      <c r="P27" s="148">
        <v>2515</v>
      </c>
      <c r="Q27" s="148">
        <v>13703</v>
      </c>
      <c r="R27" s="148">
        <v>15292</v>
      </c>
      <c r="S27" s="149">
        <v>64.375</v>
      </c>
      <c r="T27" s="147" t="s">
        <v>510</v>
      </c>
      <c r="U27" s="147" t="s">
        <v>343</v>
      </c>
      <c r="V27" s="147" t="s">
        <v>509</v>
      </c>
      <c r="W27" s="147" t="s">
        <v>511</v>
      </c>
      <c r="X27" s="147" t="s">
        <v>545</v>
      </c>
      <c r="Y27" s="147" t="s">
        <v>347</v>
      </c>
      <c r="Z27" s="147" t="s">
        <v>512</v>
      </c>
      <c r="AA27" s="147" t="s">
        <v>526</v>
      </c>
      <c r="AB27" s="147" t="s">
        <v>527</v>
      </c>
      <c r="AC27" s="147" t="s">
        <v>515</v>
      </c>
      <c r="AD27" s="147" t="s">
        <v>528</v>
      </c>
      <c r="AE27" s="147" t="s">
        <v>509</v>
      </c>
      <c r="AF27" s="147" t="s">
        <v>343</v>
      </c>
    </row>
    <row r="28" spans="1:32">
      <c r="A28" s="147" t="s">
        <v>591</v>
      </c>
      <c r="B28" s="147" t="s">
        <v>502</v>
      </c>
      <c r="C28" s="147" t="s">
        <v>503</v>
      </c>
      <c r="D28" s="147" t="s">
        <v>504</v>
      </c>
      <c r="E28" s="147" t="s">
        <v>505</v>
      </c>
      <c r="F28" s="147" t="s">
        <v>592</v>
      </c>
      <c r="G28" s="147" t="s">
        <v>593</v>
      </c>
      <c r="H28" s="147">
        <v>32</v>
      </c>
      <c r="I28" s="147" t="s">
        <v>343</v>
      </c>
      <c r="J28" s="148">
        <v>1596.3333333333333</v>
      </c>
      <c r="K28" s="147">
        <v>18</v>
      </c>
      <c r="L28" s="147" t="s">
        <v>507</v>
      </c>
      <c r="M28" s="147">
        <v>18</v>
      </c>
      <c r="N28" s="147" t="s">
        <v>508</v>
      </c>
      <c r="O28" s="148">
        <v>22977</v>
      </c>
      <c r="P28" s="148">
        <v>1406</v>
      </c>
      <c r="Q28" s="148">
        <v>19155</v>
      </c>
      <c r="R28" s="148">
        <v>12479</v>
      </c>
      <c r="S28" s="149">
        <v>106.375</v>
      </c>
      <c r="T28" s="147" t="s">
        <v>509</v>
      </c>
      <c r="U28" s="147" t="s">
        <v>343</v>
      </c>
      <c r="V28" s="147" t="s">
        <v>510</v>
      </c>
      <c r="W28" s="147" t="s">
        <v>518</v>
      </c>
      <c r="X28" s="147" t="s">
        <v>545</v>
      </c>
      <c r="Y28" s="147" t="s">
        <v>343</v>
      </c>
      <c r="Z28" s="147" t="s">
        <v>512</v>
      </c>
      <c r="AA28" s="147" t="s">
        <v>594</v>
      </c>
      <c r="AB28" s="147" t="s">
        <v>586</v>
      </c>
      <c r="AC28" s="147" t="s">
        <v>515</v>
      </c>
      <c r="AD28" s="147" t="s">
        <v>528</v>
      </c>
      <c r="AE28" s="147" t="s">
        <v>510</v>
      </c>
      <c r="AF28" s="147" t="s">
        <v>343</v>
      </c>
    </row>
    <row r="29" spans="1:32">
      <c r="A29" s="147" t="s">
        <v>595</v>
      </c>
      <c r="B29" s="147" t="s">
        <v>502</v>
      </c>
      <c r="C29" s="147" t="s">
        <v>503</v>
      </c>
      <c r="D29" s="147" t="s">
        <v>504</v>
      </c>
      <c r="E29" s="147" t="s">
        <v>505</v>
      </c>
      <c r="F29" s="147" t="s">
        <v>506</v>
      </c>
      <c r="G29" s="147" t="s">
        <v>211</v>
      </c>
      <c r="H29" s="147">
        <v>8</v>
      </c>
      <c r="I29" s="147" t="s">
        <v>343</v>
      </c>
      <c r="J29" s="148">
        <v>2784.6666666666665</v>
      </c>
      <c r="K29" s="147">
        <v>55</v>
      </c>
      <c r="L29" s="147" t="s">
        <v>507</v>
      </c>
      <c r="M29" s="147">
        <v>55</v>
      </c>
      <c r="N29" s="147" t="s">
        <v>508</v>
      </c>
      <c r="O29" s="148">
        <v>22944</v>
      </c>
      <c r="P29" s="148">
        <v>3148</v>
      </c>
      <c r="Q29" s="148">
        <v>3748</v>
      </c>
      <c r="R29" s="148">
        <v>19196</v>
      </c>
      <c r="S29" s="149">
        <v>34.763636363636365</v>
      </c>
      <c r="T29" s="147" t="s">
        <v>510</v>
      </c>
      <c r="U29" s="147" t="s">
        <v>343</v>
      </c>
      <c r="V29" s="147" t="s">
        <v>509</v>
      </c>
      <c r="W29" s="147" t="s">
        <v>518</v>
      </c>
      <c r="X29" s="147" t="s">
        <v>530</v>
      </c>
      <c r="Y29" s="147" t="s">
        <v>347</v>
      </c>
      <c r="Z29" s="147" t="s">
        <v>512</v>
      </c>
      <c r="AA29" s="147" t="s">
        <v>596</v>
      </c>
      <c r="AB29" s="147" t="s">
        <v>532</v>
      </c>
      <c r="AC29" s="147" t="s">
        <v>522</v>
      </c>
      <c r="AD29" s="147" t="s">
        <v>516</v>
      </c>
      <c r="AE29" s="147" t="s">
        <v>510</v>
      </c>
      <c r="AF29" s="147" t="s">
        <v>343</v>
      </c>
    </row>
    <row r="30" spans="1:32">
      <c r="A30" s="147" t="s">
        <v>597</v>
      </c>
      <c r="B30" s="147" t="s">
        <v>502</v>
      </c>
      <c r="C30" s="147" t="s">
        <v>503</v>
      </c>
      <c r="D30" s="147" t="s">
        <v>504</v>
      </c>
      <c r="E30" s="147" t="s">
        <v>505</v>
      </c>
      <c r="F30" s="147" t="s">
        <v>506</v>
      </c>
      <c r="G30" s="147" t="s">
        <v>131</v>
      </c>
      <c r="H30" s="147">
        <v>22</v>
      </c>
      <c r="I30" s="147" t="s">
        <v>343</v>
      </c>
      <c r="J30" s="148">
        <v>1826.6666666666667</v>
      </c>
      <c r="K30" s="147">
        <v>34</v>
      </c>
      <c r="L30" s="147" t="s">
        <v>507</v>
      </c>
      <c r="M30" s="147">
        <v>34</v>
      </c>
      <c r="N30" s="147" t="s">
        <v>508</v>
      </c>
      <c r="O30" s="148">
        <v>22540</v>
      </c>
      <c r="P30" s="148">
        <v>1845</v>
      </c>
      <c r="Q30" s="148">
        <v>15417</v>
      </c>
      <c r="R30" s="148">
        <v>14160</v>
      </c>
      <c r="S30" s="149">
        <v>55.245098039215684</v>
      </c>
      <c r="T30" s="147" t="s">
        <v>509</v>
      </c>
      <c r="U30" s="147">
        <v>6</v>
      </c>
      <c r="V30" s="147" t="s">
        <v>510</v>
      </c>
      <c r="W30" s="147" t="s">
        <v>511</v>
      </c>
      <c r="X30" s="147" t="s">
        <v>535</v>
      </c>
      <c r="Y30" s="147" t="s">
        <v>343</v>
      </c>
      <c r="Z30" s="147" t="s">
        <v>512</v>
      </c>
      <c r="AA30" s="147" t="s">
        <v>550</v>
      </c>
      <c r="AB30" s="147" t="s">
        <v>551</v>
      </c>
      <c r="AC30" s="147" t="s">
        <v>538</v>
      </c>
      <c r="AD30" s="147" t="s">
        <v>528</v>
      </c>
      <c r="AE30" s="147" t="s">
        <v>509</v>
      </c>
      <c r="AF30" s="147" t="s">
        <v>343</v>
      </c>
    </row>
    <row r="31" spans="1:32">
      <c r="A31" s="147" t="s">
        <v>598</v>
      </c>
      <c r="B31" s="147" t="s">
        <v>502</v>
      </c>
      <c r="C31" s="147" t="s">
        <v>503</v>
      </c>
      <c r="D31" s="147" t="s">
        <v>504</v>
      </c>
      <c r="E31" s="147" t="s">
        <v>343</v>
      </c>
      <c r="F31" s="147" t="s">
        <v>599</v>
      </c>
      <c r="G31" s="147" t="s">
        <v>588</v>
      </c>
      <c r="H31" s="147">
        <v>37</v>
      </c>
      <c r="I31" s="147" t="s">
        <v>343</v>
      </c>
      <c r="J31" s="148">
        <v>1640</v>
      </c>
      <c r="K31" s="147">
        <v>90</v>
      </c>
      <c r="L31" s="147" t="s">
        <v>507</v>
      </c>
      <c r="M31" s="147">
        <v>90</v>
      </c>
      <c r="N31" s="147" t="s">
        <v>508</v>
      </c>
      <c r="O31" s="148">
        <v>22290</v>
      </c>
      <c r="P31" s="148">
        <v>1540</v>
      </c>
      <c r="Q31" s="148">
        <v>22990</v>
      </c>
      <c r="R31" s="148">
        <v>12648.5</v>
      </c>
      <c r="S31" s="149">
        <v>20.638888888888889</v>
      </c>
      <c r="T31" s="147" t="s">
        <v>510</v>
      </c>
      <c r="U31" s="147" t="s">
        <v>343</v>
      </c>
      <c r="V31" s="147" t="s">
        <v>510</v>
      </c>
      <c r="W31" s="147" t="s">
        <v>511</v>
      </c>
      <c r="X31" s="147" t="s">
        <v>343</v>
      </c>
      <c r="Y31" s="147" t="s">
        <v>343</v>
      </c>
      <c r="Z31" s="147" t="s">
        <v>600</v>
      </c>
      <c r="AA31" s="147" t="s">
        <v>586</v>
      </c>
      <c r="AB31" s="147" t="s">
        <v>586</v>
      </c>
      <c r="AC31" s="147" t="s">
        <v>515</v>
      </c>
      <c r="AD31" s="147" t="s">
        <v>528</v>
      </c>
      <c r="AE31" s="147" t="s">
        <v>509</v>
      </c>
      <c r="AF31" s="147" t="s">
        <v>343</v>
      </c>
    </row>
    <row r="32" spans="1:32">
      <c r="A32" s="147" t="s">
        <v>601</v>
      </c>
      <c r="B32" s="147" t="s">
        <v>502</v>
      </c>
      <c r="C32" s="147" t="s">
        <v>503</v>
      </c>
      <c r="D32" s="147" t="s">
        <v>504</v>
      </c>
      <c r="E32" s="147" t="s">
        <v>505</v>
      </c>
      <c r="F32" s="147" t="s">
        <v>506</v>
      </c>
      <c r="G32" s="147" t="s">
        <v>602</v>
      </c>
      <c r="H32" s="147">
        <v>35</v>
      </c>
      <c r="I32" s="147" t="s">
        <v>343</v>
      </c>
      <c r="J32" s="148">
        <v>1825</v>
      </c>
      <c r="K32" s="147">
        <v>22</v>
      </c>
      <c r="L32" s="147" t="s">
        <v>507</v>
      </c>
      <c r="M32" s="147">
        <v>22</v>
      </c>
      <c r="N32" s="147" t="s">
        <v>508</v>
      </c>
      <c r="O32" s="148">
        <v>22143</v>
      </c>
      <c r="P32" s="148">
        <v>1750</v>
      </c>
      <c r="Q32" s="148">
        <v>21346</v>
      </c>
      <c r="R32" s="148">
        <v>13255</v>
      </c>
      <c r="S32" s="149">
        <v>83.875</v>
      </c>
      <c r="T32" s="147" t="s">
        <v>510</v>
      </c>
      <c r="U32" s="147" t="s">
        <v>343</v>
      </c>
      <c r="V32" s="147" t="s">
        <v>510</v>
      </c>
      <c r="W32" s="147" t="s">
        <v>518</v>
      </c>
      <c r="X32" s="147" t="s">
        <v>603</v>
      </c>
      <c r="Y32" s="147" t="s">
        <v>343</v>
      </c>
      <c r="Z32" s="147" t="s">
        <v>512</v>
      </c>
      <c r="AA32" s="147" t="s">
        <v>548</v>
      </c>
      <c r="AB32" s="147" t="s">
        <v>521</v>
      </c>
      <c r="AC32" s="147" t="s">
        <v>522</v>
      </c>
      <c r="AD32" s="147" t="s">
        <v>523</v>
      </c>
      <c r="AE32" s="147" t="s">
        <v>510</v>
      </c>
      <c r="AF32" s="147" t="s">
        <v>343</v>
      </c>
    </row>
    <row r="33" spans="1:32">
      <c r="A33" s="147" t="s">
        <v>604</v>
      </c>
      <c r="B33" s="147" t="s">
        <v>502</v>
      </c>
      <c r="C33" s="147" t="s">
        <v>503</v>
      </c>
      <c r="D33" s="147" t="s">
        <v>504</v>
      </c>
      <c r="E33" s="147" t="s">
        <v>505</v>
      </c>
      <c r="F33" s="147" t="s">
        <v>506</v>
      </c>
      <c r="G33" s="147" t="s">
        <v>131</v>
      </c>
      <c r="H33" s="147">
        <v>22</v>
      </c>
      <c r="I33" s="147" t="s">
        <v>343</v>
      </c>
      <c r="J33" s="148">
        <v>2176.3333333333335</v>
      </c>
      <c r="K33" s="147">
        <v>32</v>
      </c>
      <c r="L33" s="147" t="s">
        <v>507</v>
      </c>
      <c r="M33" s="147">
        <v>32</v>
      </c>
      <c r="N33" s="147" t="s">
        <v>508</v>
      </c>
      <c r="O33" s="148">
        <v>21929</v>
      </c>
      <c r="P33" s="148">
        <v>2102</v>
      </c>
      <c r="Q33" s="148">
        <v>13718</v>
      </c>
      <c r="R33" s="148">
        <v>14572</v>
      </c>
      <c r="S33" s="149">
        <v>57.106770833333336</v>
      </c>
      <c r="T33" s="147" t="s">
        <v>510</v>
      </c>
      <c r="U33" s="147" t="s">
        <v>343</v>
      </c>
      <c r="V33" s="147" t="s">
        <v>509</v>
      </c>
      <c r="W33" s="147" t="s">
        <v>511</v>
      </c>
      <c r="X33" s="147" t="s">
        <v>530</v>
      </c>
      <c r="Y33" s="147" t="s">
        <v>347</v>
      </c>
      <c r="Z33" s="147" t="s">
        <v>512</v>
      </c>
      <c r="AA33" s="147" t="s">
        <v>605</v>
      </c>
      <c r="AB33" s="147" t="s">
        <v>532</v>
      </c>
      <c r="AC33" s="147" t="s">
        <v>522</v>
      </c>
      <c r="AD33" s="147" t="s">
        <v>516</v>
      </c>
      <c r="AE33" s="147" t="s">
        <v>509</v>
      </c>
      <c r="AF33" s="147" t="s">
        <v>343</v>
      </c>
    </row>
    <row r="34" spans="1:32">
      <c r="A34" s="147" t="s">
        <v>606</v>
      </c>
      <c r="B34" s="147" t="s">
        <v>567</v>
      </c>
      <c r="C34" s="147" t="s">
        <v>503</v>
      </c>
      <c r="D34" s="147" t="s">
        <v>504</v>
      </c>
      <c r="E34" s="147" t="s">
        <v>505</v>
      </c>
      <c r="F34" s="147" t="s">
        <v>506</v>
      </c>
      <c r="G34" s="147" t="s">
        <v>588</v>
      </c>
      <c r="H34" s="147">
        <v>37</v>
      </c>
      <c r="I34" s="147" t="s">
        <v>343</v>
      </c>
      <c r="J34" s="148">
        <v>2735.3333333333335</v>
      </c>
      <c r="K34" s="147">
        <v>32</v>
      </c>
      <c r="L34" s="147" t="s">
        <v>568</v>
      </c>
      <c r="M34" s="147" t="s">
        <v>343</v>
      </c>
      <c r="N34" s="147" t="s">
        <v>343</v>
      </c>
      <c r="O34" s="148">
        <v>21093</v>
      </c>
      <c r="P34" s="147" t="s">
        <v>343</v>
      </c>
      <c r="Q34" s="148">
        <v>24338</v>
      </c>
      <c r="R34" s="148">
        <v>10616</v>
      </c>
      <c r="S34" s="149">
        <v>54.9296875</v>
      </c>
      <c r="T34" s="147" t="s">
        <v>510</v>
      </c>
      <c r="U34" s="147" t="s">
        <v>343</v>
      </c>
      <c r="V34" s="147" t="s">
        <v>509</v>
      </c>
      <c r="W34" s="147" t="s">
        <v>518</v>
      </c>
      <c r="X34" s="147" t="s">
        <v>343</v>
      </c>
      <c r="Y34" s="147" t="s">
        <v>347</v>
      </c>
      <c r="Z34" s="147" t="s">
        <v>512</v>
      </c>
      <c r="AA34" s="147" t="s">
        <v>526</v>
      </c>
      <c r="AB34" s="147" t="s">
        <v>607</v>
      </c>
      <c r="AC34" s="147" t="s">
        <v>515</v>
      </c>
      <c r="AD34" s="147" t="s">
        <v>528</v>
      </c>
      <c r="AE34" s="147" t="s">
        <v>510</v>
      </c>
      <c r="AF34" s="147" t="s">
        <v>343</v>
      </c>
    </row>
    <row r="35" spans="1:32">
      <c r="A35" s="147" t="s">
        <v>608</v>
      </c>
      <c r="B35" s="147" t="s">
        <v>567</v>
      </c>
      <c r="C35" s="147" t="s">
        <v>503</v>
      </c>
      <c r="D35" s="147" t="s">
        <v>343</v>
      </c>
      <c r="E35" s="147" t="s">
        <v>343</v>
      </c>
      <c r="F35" s="147" t="s">
        <v>343</v>
      </c>
      <c r="G35" s="147" t="s">
        <v>132</v>
      </c>
      <c r="H35" s="147">
        <v>21</v>
      </c>
      <c r="I35" s="147" t="s">
        <v>343</v>
      </c>
      <c r="J35" s="148">
        <v>2319</v>
      </c>
      <c r="K35" s="147">
        <v>25</v>
      </c>
      <c r="L35" s="147" t="s">
        <v>568</v>
      </c>
      <c r="M35" s="147" t="s">
        <v>343</v>
      </c>
      <c r="N35" s="147" t="s">
        <v>343</v>
      </c>
      <c r="O35" s="148">
        <v>20320</v>
      </c>
      <c r="P35" s="147" t="s">
        <v>343</v>
      </c>
      <c r="Q35" s="148">
        <v>19102</v>
      </c>
      <c r="R35" s="148">
        <v>11878</v>
      </c>
      <c r="S35" s="149">
        <v>67.733333333333334</v>
      </c>
      <c r="T35" s="147" t="s">
        <v>343</v>
      </c>
      <c r="U35" s="147" t="s">
        <v>343</v>
      </c>
      <c r="V35" s="147" t="s">
        <v>343</v>
      </c>
      <c r="W35" s="147" t="s">
        <v>343</v>
      </c>
      <c r="X35" s="147" t="s">
        <v>343</v>
      </c>
      <c r="Y35" s="147" t="s">
        <v>343</v>
      </c>
      <c r="Z35" s="147" t="s">
        <v>343</v>
      </c>
      <c r="AA35" s="147" t="s">
        <v>343</v>
      </c>
      <c r="AB35" s="147" t="s">
        <v>343</v>
      </c>
      <c r="AC35" s="147" t="s">
        <v>343</v>
      </c>
      <c r="AD35" s="147" t="s">
        <v>343</v>
      </c>
      <c r="AE35" s="147" t="s">
        <v>343</v>
      </c>
      <c r="AF35" s="147" t="s">
        <v>343</v>
      </c>
    </row>
    <row r="36" spans="1:32">
      <c r="A36" s="147" t="s">
        <v>609</v>
      </c>
      <c r="B36" s="147" t="s">
        <v>502</v>
      </c>
      <c r="C36" s="147" t="s">
        <v>503</v>
      </c>
      <c r="D36" s="147" t="s">
        <v>504</v>
      </c>
      <c r="E36" s="147" t="s">
        <v>505</v>
      </c>
      <c r="F36" s="147" t="s">
        <v>506</v>
      </c>
      <c r="G36" s="147" t="s">
        <v>122</v>
      </c>
      <c r="H36" s="147">
        <v>31</v>
      </c>
      <c r="I36" s="147" t="s">
        <v>343</v>
      </c>
      <c r="J36" s="148">
        <v>1581.6666666666667</v>
      </c>
      <c r="K36" s="147">
        <v>16</v>
      </c>
      <c r="L36" s="147" t="s">
        <v>507</v>
      </c>
      <c r="M36" s="147">
        <v>16</v>
      </c>
      <c r="N36" s="147" t="s">
        <v>508</v>
      </c>
      <c r="O36" s="148">
        <v>19956.5</v>
      </c>
      <c r="P36" s="148">
        <v>1535</v>
      </c>
      <c r="Q36" s="148">
        <v>22245.5</v>
      </c>
      <c r="R36" s="148">
        <v>11023</v>
      </c>
      <c r="S36" s="149">
        <v>103.94010416666667</v>
      </c>
      <c r="T36" s="147" t="s">
        <v>509</v>
      </c>
      <c r="U36" s="147">
        <v>10</v>
      </c>
      <c r="V36" s="147" t="s">
        <v>509</v>
      </c>
      <c r="W36" s="147" t="s">
        <v>511</v>
      </c>
      <c r="X36" s="147" t="s">
        <v>519</v>
      </c>
      <c r="Y36" s="147" t="s">
        <v>359</v>
      </c>
      <c r="Z36" s="147" t="s">
        <v>512</v>
      </c>
      <c r="AA36" s="147" t="s">
        <v>565</v>
      </c>
      <c r="AB36" s="147" t="s">
        <v>562</v>
      </c>
      <c r="AC36" s="147" t="s">
        <v>515</v>
      </c>
      <c r="AD36" s="147" t="s">
        <v>563</v>
      </c>
      <c r="AE36" s="147" t="s">
        <v>509</v>
      </c>
      <c r="AF36" s="147" t="s">
        <v>343</v>
      </c>
    </row>
    <row r="37" spans="1:32">
      <c r="A37" s="147" t="s">
        <v>610</v>
      </c>
      <c r="B37" s="147" t="s">
        <v>502</v>
      </c>
      <c r="C37" s="147" t="s">
        <v>503</v>
      </c>
      <c r="D37" s="147" t="s">
        <v>504</v>
      </c>
      <c r="E37" s="147" t="s">
        <v>505</v>
      </c>
      <c r="F37" s="147" t="s">
        <v>506</v>
      </c>
      <c r="G37" s="147" t="s">
        <v>210</v>
      </c>
      <c r="H37" s="147">
        <v>9</v>
      </c>
      <c r="I37" s="147" t="s">
        <v>343</v>
      </c>
      <c r="J37" s="148">
        <v>2935</v>
      </c>
      <c r="K37" s="147">
        <v>84</v>
      </c>
      <c r="L37" s="147" t="s">
        <v>507</v>
      </c>
      <c r="M37" s="147">
        <v>84</v>
      </c>
      <c r="N37" s="147" t="s">
        <v>508</v>
      </c>
      <c r="O37" s="148">
        <v>19885</v>
      </c>
      <c r="P37" s="148">
        <v>3005</v>
      </c>
      <c r="Q37" s="147" t="s">
        <v>343</v>
      </c>
      <c r="R37" s="148">
        <v>19885</v>
      </c>
      <c r="S37" s="149">
        <v>19.727182539682538</v>
      </c>
      <c r="T37" s="147" t="s">
        <v>510</v>
      </c>
      <c r="U37" s="147" t="s">
        <v>343</v>
      </c>
      <c r="V37" s="147" t="s">
        <v>510</v>
      </c>
      <c r="W37" s="147" t="s">
        <v>511</v>
      </c>
      <c r="X37" s="147" t="s">
        <v>535</v>
      </c>
      <c r="Y37" s="147" t="s">
        <v>343</v>
      </c>
      <c r="Z37" s="147" t="s">
        <v>512</v>
      </c>
      <c r="AA37" s="147" t="s">
        <v>570</v>
      </c>
      <c r="AB37" s="147" t="s">
        <v>551</v>
      </c>
      <c r="AC37" s="147" t="s">
        <v>538</v>
      </c>
      <c r="AD37" s="147" t="s">
        <v>528</v>
      </c>
      <c r="AE37" s="147" t="s">
        <v>509</v>
      </c>
      <c r="AF37" s="147" t="s">
        <v>343</v>
      </c>
    </row>
    <row r="38" spans="1:32">
      <c r="A38" s="147" t="s">
        <v>611</v>
      </c>
      <c r="B38" s="147" t="s">
        <v>502</v>
      </c>
      <c r="C38" s="147" t="s">
        <v>503</v>
      </c>
      <c r="D38" s="147" t="s">
        <v>504</v>
      </c>
      <c r="E38" s="147" t="s">
        <v>612</v>
      </c>
      <c r="F38" s="147" t="s">
        <v>599</v>
      </c>
      <c r="G38" s="147" t="s">
        <v>124</v>
      </c>
      <c r="H38" s="147">
        <v>29</v>
      </c>
      <c r="I38" s="147" t="s">
        <v>343</v>
      </c>
      <c r="J38" s="148">
        <v>2225</v>
      </c>
      <c r="K38" s="147">
        <v>66</v>
      </c>
      <c r="L38" s="147" t="s">
        <v>560</v>
      </c>
      <c r="M38" s="147">
        <v>62</v>
      </c>
      <c r="N38" s="147" t="s">
        <v>584</v>
      </c>
      <c r="O38" s="148">
        <v>19389</v>
      </c>
      <c r="P38" s="148">
        <v>1550</v>
      </c>
      <c r="Q38" s="148">
        <v>15880</v>
      </c>
      <c r="R38" s="148">
        <v>13014</v>
      </c>
      <c r="S38" s="149">
        <v>24.481060606060606</v>
      </c>
      <c r="T38" s="147" t="s">
        <v>510</v>
      </c>
      <c r="U38" s="147" t="s">
        <v>343</v>
      </c>
      <c r="V38" s="147" t="s">
        <v>510</v>
      </c>
      <c r="W38" s="147" t="s">
        <v>511</v>
      </c>
      <c r="X38" s="147" t="s">
        <v>519</v>
      </c>
      <c r="Y38" s="147" t="s">
        <v>343</v>
      </c>
      <c r="Z38" s="147" t="s">
        <v>512</v>
      </c>
      <c r="AA38" s="147" t="s">
        <v>613</v>
      </c>
      <c r="AB38" s="147" t="s">
        <v>537</v>
      </c>
      <c r="AC38" s="147" t="s">
        <v>538</v>
      </c>
      <c r="AD38" s="147" t="s">
        <v>523</v>
      </c>
      <c r="AE38" s="147" t="s">
        <v>509</v>
      </c>
      <c r="AF38" s="147" t="s">
        <v>343</v>
      </c>
    </row>
    <row r="39" spans="1:32">
      <c r="A39" s="147" t="s">
        <v>614</v>
      </c>
      <c r="B39" s="147" t="s">
        <v>502</v>
      </c>
      <c r="C39" s="147" t="s">
        <v>503</v>
      </c>
      <c r="D39" s="147" t="s">
        <v>504</v>
      </c>
      <c r="E39" s="147" t="s">
        <v>505</v>
      </c>
      <c r="F39" s="147" t="s">
        <v>506</v>
      </c>
      <c r="G39" s="147" t="s">
        <v>208</v>
      </c>
      <c r="H39" s="147">
        <v>11</v>
      </c>
      <c r="I39" s="147" t="s">
        <v>343</v>
      </c>
      <c r="J39" s="148">
        <v>1915</v>
      </c>
      <c r="K39" s="147">
        <v>39</v>
      </c>
      <c r="L39" s="147" t="s">
        <v>507</v>
      </c>
      <c r="M39" s="147">
        <v>39</v>
      </c>
      <c r="N39" s="147" t="s">
        <v>508</v>
      </c>
      <c r="O39" s="148">
        <v>18630</v>
      </c>
      <c r="P39" s="148">
        <v>1970</v>
      </c>
      <c r="Q39" s="148">
        <v>5645</v>
      </c>
      <c r="R39" s="148">
        <v>12985</v>
      </c>
      <c r="S39" s="149">
        <v>39.807692307692307</v>
      </c>
      <c r="T39" s="147" t="s">
        <v>510</v>
      </c>
      <c r="U39" s="147" t="s">
        <v>343</v>
      </c>
      <c r="V39" s="147" t="s">
        <v>510</v>
      </c>
      <c r="W39" s="147" t="s">
        <v>511</v>
      </c>
      <c r="X39" s="147" t="s">
        <v>615</v>
      </c>
      <c r="Y39" s="147" t="s">
        <v>359</v>
      </c>
      <c r="Z39" s="147" t="s">
        <v>343</v>
      </c>
      <c r="AA39" s="147" t="s">
        <v>589</v>
      </c>
      <c r="AB39" s="147" t="s">
        <v>586</v>
      </c>
      <c r="AC39" s="147" t="s">
        <v>515</v>
      </c>
      <c r="AD39" s="147" t="s">
        <v>528</v>
      </c>
      <c r="AE39" s="147" t="s">
        <v>509</v>
      </c>
      <c r="AF39" s="147" t="s">
        <v>343</v>
      </c>
    </row>
    <row r="40" spans="1:32">
      <c r="A40" s="147" t="s">
        <v>616</v>
      </c>
      <c r="B40" s="147" t="s">
        <v>502</v>
      </c>
      <c r="C40" s="147" t="s">
        <v>503</v>
      </c>
      <c r="D40" s="147" t="s">
        <v>504</v>
      </c>
      <c r="E40" s="147" t="s">
        <v>505</v>
      </c>
      <c r="F40" s="147" t="s">
        <v>506</v>
      </c>
      <c r="G40" s="147" t="s">
        <v>242</v>
      </c>
      <c r="H40" s="147">
        <v>7</v>
      </c>
      <c r="I40" s="147" t="s">
        <v>343</v>
      </c>
      <c r="J40" s="148">
        <v>2458</v>
      </c>
      <c r="K40" s="147">
        <v>45</v>
      </c>
      <c r="L40" s="147" t="s">
        <v>507</v>
      </c>
      <c r="M40" s="147">
        <v>45</v>
      </c>
      <c r="N40" s="147" t="s">
        <v>508</v>
      </c>
      <c r="O40" s="148">
        <v>18603</v>
      </c>
      <c r="P40" s="148">
        <v>872</v>
      </c>
      <c r="Q40" s="147" t="s">
        <v>343</v>
      </c>
      <c r="R40" s="148">
        <v>18603</v>
      </c>
      <c r="S40" s="149">
        <v>34.450000000000003</v>
      </c>
      <c r="T40" s="147" t="s">
        <v>510</v>
      </c>
      <c r="U40" s="147" t="s">
        <v>343</v>
      </c>
      <c r="V40" s="147" t="s">
        <v>509</v>
      </c>
      <c r="W40" s="147" t="s">
        <v>511</v>
      </c>
      <c r="X40" s="147" t="s">
        <v>519</v>
      </c>
      <c r="Y40" s="147" t="s">
        <v>347</v>
      </c>
      <c r="Z40" s="147" t="s">
        <v>512</v>
      </c>
      <c r="AA40" s="147" t="s">
        <v>617</v>
      </c>
      <c r="AB40" s="147" t="s">
        <v>618</v>
      </c>
      <c r="AC40" s="147" t="s">
        <v>538</v>
      </c>
      <c r="AD40" s="147" t="s">
        <v>516</v>
      </c>
      <c r="AE40" s="147" t="s">
        <v>509</v>
      </c>
      <c r="AF40" s="147" t="s">
        <v>343</v>
      </c>
    </row>
    <row r="41" spans="1:32">
      <c r="A41" s="147" t="s">
        <v>619</v>
      </c>
      <c r="B41" s="147" t="s">
        <v>502</v>
      </c>
      <c r="C41" s="147" t="s">
        <v>503</v>
      </c>
      <c r="D41" s="147" t="s">
        <v>504</v>
      </c>
      <c r="E41" s="147" t="s">
        <v>505</v>
      </c>
      <c r="F41" s="147" t="s">
        <v>506</v>
      </c>
      <c r="G41" s="147" t="s">
        <v>127</v>
      </c>
      <c r="H41" s="147">
        <v>26</v>
      </c>
      <c r="I41" s="147" t="s">
        <v>343</v>
      </c>
      <c r="J41" s="148">
        <v>1551</v>
      </c>
      <c r="K41" s="147">
        <v>18</v>
      </c>
      <c r="L41" s="147" t="s">
        <v>507</v>
      </c>
      <c r="M41" s="147">
        <v>18</v>
      </c>
      <c r="N41" s="147" t="s">
        <v>508</v>
      </c>
      <c r="O41" s="148">
        <v>17833</v>
      </c>
      <c r="P41" s="148">
        <v>1509</v>
      </c>
      <c r="Q41" s="148">
        <v>15292</v>
      </c>
      <c r="R41" s="148">
        <v>10818</v>
      </c>
      <c r="S41" s="149">
        <v>82.560185185185176</v>
      </c>
      <c r="T41" s="147" t="s">
        <v>510</v>
      </c>
      <c r="U41" s="147">
        <v>13</v>
      </c>
      <c r="V41" s="147" t="s">
        <v>510</v>
      </c>
      <c r="W41" s="147" t="s">
        <v>518</v>
      </c>
      <c r="X41" s="147" t="s">
        <v>535</v>
      </c>
      <c r="Y41" s="147" t="s">
        <v>343</v>
      </c>
      <c r="Z41" s="147" t="s">
        <v>512</v>
      </c>
      <c r="AA41" s="147" t="s">
        <v>613</v>
      </c>
      <c r="AB41" s="147" t="s">
        <v>537</v>
      </c>
      <c r="AC41" s="147" t="s">
        <v>538</v>
      </c>
      <c r="AD41" s="147" t="s">
        <v>523</v>
      </c>
      <c r="AE41" s="147" t="s">
        <v>510</v>
      </c>
      <c r="AF41" s="147" t="s">
        <v>343</v>
      </c>
    </row>
    <row r="42" spans="1:32">
      <c r="A42" s="147" t="s">
        <v>620</v>
      </c>
      <c r="B42" s="147" t="s">
        <v>502</v>
      </c>
      <c r="C42" s="147" t="s">
        <v>503</v>
      </c>
      <c r="D42" s="147" t="s">
        <v>504</v>
      </c>
      <c r="E42" s="147" t="s">
        <v>621</v>
      </c>
      <c r="F42" s="147" t="s">
        <v>592</v>
      </c>
      <c r="G42" s="147" t="s">
        <v>211</v>
      </c>
      <c r="H42" s="147">
        <v>8</v>
      </c>
      <c r="I42" s="147" t="s">
        <v>343</v>
      </c>
      <c r="J42" s="148">
        <v>2476.15</v>
      </c>
      <c r="K42" s="147">
        <v>48</v>
      </c>
      <c r="L42" s="147" t="s">
        <v>507</v>
      </c>
      <c r="M42" s="147">
        <v>48</v>
      </c>
      <c r="N42" s="147" t="s">
        <v>508</v>
      </c>
      <c r="O42" s="148">
        <v>17818.900000000001</v>
      </c>
      <c r="P42" s="148">
        <v>2464</v>
      </c>
      <c r="Q42" s="148">
        <v>1805</v>
      </c>
      <c r="R42" s="148">
        <v>16013.900000000001</v>
      </c>
      <c r="S42" s="149">
        <v>30.935590277777781</v>
      </c>
      <c r="T42" s="147" t="s">
        <v>510</v>
      </c>
      <c r="U42" s="147" t="s">
        <v>343</v>
      </c>
      <c r="V42" s="147" t="s">
        <v>509</v>
      </c>
      <c r="W42" s="147" t="s">
        <v>518</v>
      </c>
      <c r="X42" s="147" t="s">
        <v>622</v>
      </c>
      <c r="Y42" s="147" t="s">
        <v>347</v>
      </c>
      <c r="Z42" s="147" t="s">
        <v>512</v>
      </c>
      <c r="AA42" s="147" t="s">
        <v>594</v>
      </c>
      <c r="AB42" s="147" t="s">
        <v>586</v>
      </c>
      <c r="AC42" s="147" t="s">
        <v>515</v>
      </c>
      <c r="AD42" s="147" t="s">
        <v>528</v>
      </c>
      <c r="AE42" s="147" t="s">
        <v>510</v>
      </c>
      <c r="AF42" s="147" t="s">
        <v>343</v>
      </c>
    </row>
    <row r="43" spans="1:32">
      <c r="A43" s="147" t="s">
        <v>623</v>
      </c>
      <c r="B43" s="147" t="s">
        <v>502</v>
      </c>
      <c r="C43" s="147" t="s">
        <v>503</v>
      </c>
      <c r="D43" s="147" t="s">
        <v>504</v>
      </c>
      <c r="E43" s="147" t="s">
        <v>505</v>
      </c>
      <c r="F43" s="147" t="s">
        <v>506</v>
      </c>
      <c r="G43" s="147" t="s">
        <v>124</v>
      </c>
      <c r="H43" s="147">
        <v>29</v>
      </c>
      <c r="I43" s="147" t="s">
        <v>343</v>
      </c>
      <c r="J43" s="148">
        <v>1947.3333333333333</v>
      </c>
      <c r="K43" s="147">
        <v>20</v>
      </c>
      <c r="L43" s="147" t="s">
        <v>507</v>
      </c>
      <c r="M43" s="147">
        <v>20</v>
      </c>
      <c r="N43" s="147" t="s">
        <v>508</v>
      </c>
      <c r="O43" s="148">
        <v>17727</v>
      </c>
      <c r="P43" s="148">
        <v>2130</v>
      </c>
      <c r="Q43" s="148">
        <v>11802.5</v>
      </c>
      <c r="R43" s="148">
        <v>12052</v>
      </c>
      <c r="S43" s="149">
        <v>73.862499999999997</v>
      </c>
      <c r="T43" s="147" t="s">
        <v>509</v>
      </c>
      <c r="U43" s="147">
        <v>15</v>
      </c>
      <c r="V43" s="147" t="s">
        <v>510</v>
      </c>
      <c r="W43" s="147" t="s">
        <v>511</v>
      </c>
      <c r="X43" s="147" t="s">
        <v>545</v>
      </c>
      <c r="Y43" s="147" t="s">
        <v>343</v>
      </c>
      <c r="Z43" s="147" t="s">
        <v>512</v>
      </c>
      <c r="AA43" s="147" t="s">
        <v>570</v>
      </c>
      <c r="AB43" s="147" t="s">
        <v>551</v>
      </c>
      <c r="AC43" s="147" t="s">
        <v>538</v>
      </c>
      <c r="AD43" s="147" t="s">
        <v>528</v>
      </c>
      <c r="AE43" s="147" t="s">
        <v>509</v>
      </c>
      <c r="AF43" s="147" t="s">
        <v>343</v>
      </c>
    </row>
    <row r="44" spans="1:32">
      <c r="A44" s="147" t="s">
        <v>624</v>
      </c>
      <c r="B44" s="147" t="s">
        <v>502</v>
      </c>
      <c r="C44" s="147" t="s">
        <v>503</v>
      </c>
      <c r="D44" s="147" t="s">
        <v>504</v>
      </c>
      <c r="E44" s="147" t="s">
        <v>505</v>
      </c>
      <c r="F44" s="147" t="s">
        <v>506</v>
      </c>
      <c r="G44" s="147" t="s">
        <v>625</v>
      </c>
      <c r="H44" s="147">
        <v>49</v>
      </c>
      <c r="I44" s="147" t="s">
        <v>343</v>
      </c>
      <c r="J44" s="148">
        <v>1651</v>
      </c>
      <c r="K44" s="147">
        <v>24</v>
      </c>
      <c r="L44" s="147" t="s">
        <v>507</v>
      </c>
      <c r="M44" s="147">
        <v>24</v>
      </c>
      <c r="N44" s="147" t="s">
        <v>508</v>
      </c>
      <c r="O44" s="148">
        <v>17725</v>
      </c>
      <c r="P44" s="148">
        <v>1718</v>
      </c>
      <c r="Q44" s="148">
        <v>15497</v>
      </c>
      <c r="R44" s="148">
        <v>11100</v>
      </c>
      <c r="S44" s="149">
        <v>61.545138888888886</v>
      </c>
      <c r="T44" s="147" t="s">
        <v>510</v>
      </c>
      <c r="U44" s="147" t="s">
        <v>343</v>
      </c>
      <c r="V44" s="147" t="s">
        <v>510</v>
      </c>
      <c r="W44" s="147" t="s">
        <v>511</v>
      </c>
      <c r="X44" s="147" t="s">
        <v>519</v>
      </c>
      <c r="Y44" s="147" t="s">
        <v>343</v>
      </c>
      <c r="Z44" s="147" t="s">
        <v>512</v>
      </c>
      <c r="AA44" s="147" t="s">
        <v>585</v>
      </c>
      <c r="AB44" s="147" t="s">
        <v>586</v>
      </c>
      <c r="AC44" s="147" t="s">
        <v>515</v>
      </c>
      <c r="AD44" s="147" t="s">
        <v>528</v>
      </c>
      <c r="AE44" s="147" t="s">
        <v>509</v>
      </c>
      <c r="AF44" s="147" t="s">
        <v>343</v>
      </c>
    </row>
    <row r="45" spans="1:32">
      <c r="A45" s="147" t="s">
        <v>626</v>
      </c>
      <c r="B45" s="147" t="s">
        <v>567</v>
      </c>
      <c r="C45" s="147" t="s">
        <v>503</v>
      </c>
      <c r="D45" s="147" t="s">
        <v>504</v>
      </c>
      <c r="E45" s="147" t="s">
        <v>505</v>
      </c>
      <c r="F45" s="147" t="s">
        <v>506</v>
      </c>
      <c r="G45" s="147" t="s">
        <v>200</v>
      </c>
      <c r="H45" s="147">
        <v>19</v>
      </c>
      <c r="I45" s="147" t="s">
        <v>627</v>
      </c>
      <c r="J45" s="148">
        <v>2556.6666666666665</v>
      </c>
      <c r="K45" s="147">
        <v>26</v>
      </c>
      <c r="L45" s="147" t="s">
        <v>507</v>
      </c>
      <c r="M45" s="147">
        <v>26</v>
      </c>
      <c r="N45" s="147" t="s">
        <v>508</v>
      </c>
      <c r="O45" s="148">
        <v>17509</v>
      </c>
      <c r="P45" s="148">
        <v>2663</v>
      </c>
      <c r="Q45" s="148">
        <v>6495</v>
      </c>
      <c r="R45" s="148">
        <v>14384</v>
      </c>
      <c r="S45" s="149">
        <v>56.118589743589737</v>
      </c>
      <c r="T45" s="147" t="s">
        <v>509</v>
      </c>
      <c r="U45" s="147">
        <v>17</v>
      </c>
      <c r="V45" s="147" t="s">
        <v>509</v>
      </c>
      <c r="W45" s="147" t="s">
        <v>511</v>
      </c>
      <c r="X45" s="147" t="s">
        <v>530</v>
      </c>
      <c r="Y45" s="147" t="s">
        <v>347</v>
      </c>
      <c r="Z45" s="147" t="s">
        <v>512</v>
      </c>
      <c r="AA45" s="147" t="s">
        <v>558</v>
      </c>
      <c r="AB45" s="147" t="s">
        <v>541</v>
      </c>
      <c r="AC45" s="147" t="s">
        <v>522</v>
      </c>
      <c r="AD45" s="147" t="s">
        <v>523</v>
      </c>
      <c r="AE45" s="147" t="s">
        <v>509</v>
      </c>
      <c r="AF45" s="147" t="s">
        <v>509</v>
      </c>
    </row>
    <row r="46" spans="1:32">
      <c r="A46" s="147" t="s">
        <v>628</v>
      </c>
      <c r="B46" s="147" t="s">
        <v>502</v>
      </c>
      <c r="C46" s="147" t="s">
        <v>503</v>
      </c>
      <c r="D46" s="147" t="s">
        <v>504</v>
      </c>
      <c r="E46" s="147" t="s">
        <v>505</v>
      </c>
      <c r="F46" s="147" t="s">
        <v>506</v>
      </c>
      <c r="G46" s="147" t="s">
        <v>200</v>
      </c>
      <c r="H46" s="147">
        <v>19</v>
      </c>
      <c r="I46" s="147" t="s">
        <v>343</v>
      </c>
      <c r="J46" s="148">
        <v>1712.33</v>
      </c>
      <c r="K46" s="147">
        <v>26</v>
      </c>
      <c r="L46" s="147" t="s">
        <v>507</v>
      </c>
      <c r="M46" s="147">
        <v>26</v>
      </c>
      <c r="N46" s="147" t="s">
        <v>508</v>
      </c>
      <c r="O46" s="148">
        <v>17494.989999999998</v>
      </c>
      <c r="P46" s="148">
        <v>1894</v>
      </c>
      <c r="Q46" s="148">
        <v>13667.75</v>
      </c>
      <c r="R46" s="148">
        <v>10985.99</v>
      </c>
      <c r="S46" s="149">
        <v>56.073685897435894</v>
      </c>
      <c r="T46" s="147" t="s">
        <v>510</v>
      </c>
      <c r="U46" s="147" t="s">
        <v>343</v>
      </c>
      <c r="V46" s="147" t="s">
        <v>509</v>
      </c>
      <c r="W46" s="147" t="s">
        <v>511</v>
      </c>
      <c r="X46" s="147" t="s">
        <v>530</v>
      </c>
      <c r="Y46" s="147" t="s">
        <v>347</v>
      </c>
      <c r="Z46" s="147" t="s">
        <v>512</v>
      </c>
      <c r="AA46" s="147" t="s">
        <v>629</v>
      </c>
      <c r="AB46" s="147" t="s">
        <v>555</v>
      </c>
      <c r="AC46" s="147" t="s">
        <v>515</v>
      </c>
      <c r="AD46" s="147" t="s">
        <v>528</v>
      </c>
      <c r="AE46" s="147" t="s">
        <v>509</v>
      </c>
      <c r="AF46" s="147" t="s">
        <v>343</v>
      </c>
    </row>
    <row r="47" spans="1:32">
      <c r="A47" s="147" t="s">
        <v>630</v>
      </c>
      <c r="B47" s="147" t="s">
        <v>502</v>
      </c>
      <c r="C47" s="147" t="s">
        <v>503</v>
      </c>
      <c r="D47" s="147" t="s">
        <v>504</v>
      </c>
      <c r="E47" s="147" t="s">
        <v>505</v>
      </c>
      <c r="F47" s="147" t="s">
        <v>506</v>
      </c>
      <c r="G47" s="147" t="s">
        <v>122</v>
      </c>
      <c r="H47" s="147">
        <v>31</v>
      </c>
      <c r="I47" s="147" t="s">
        <v>343</v>
      </c>
      <c r="J47" s="148">
        <v>1290</v>
      </c>
      <c r="K47" s="147">
        <v>15</v>
      </c>
      <c r="L47" s="147" t="s">
        <v>507</v>
      </c>
      <c r="M47" s="147">
        <v>15</v>
      </c>
      <c r="N47" s="147" t="s">
        <v>508</v>
      </c>
      <c r="O47" s="148">
        <v>17329</v>
      </c>
      <c r="P47" s="148">
        <v>1290</v>
      </c>
      <c r="Q47" s="148">
        <v>13218</v>
      </c>
      <c r="R47" s="148">
        <v>9361</v>
      </c>
      <c r="S47" s="149">
        <v>96.272222222222211</v>
      </c>
      <c r="T47" s="147" t="s">
        <v>510</v>
      </c>
      <c r="U47" s="147" t="s">
        <v>343</v>
      </c>
      <c r="V47" s="147" t="s">
        <v>509</v>
      </c>
      <c r="W47" s="147" t="s">
        <v>511</v>
      </c>
      <c r="X47" s="147" t="s">
        <v>535</v>
      </c>
      <c r="Y47" s="147" t="s">
        <v>347</v>
      </c>
      <c r="Z47" s="147" t="s">
        <v>512</v>
      </c>
      <c r="AA47" s="147" t="s">
        <v>631</v>
      </c>
      <c r="AB47" s="147" t="s">
        <v>514</v>
      </c>
      <c r="AC47" s="147" t="s">
        <v>515</v>
      </c>
      <c r="AD47" s="147" t="s">
        <v>516</v>
      </c>
      <c r="AE47" s="147" t="s">
        <v>509</v>
      </c>
      <c r="AF47" s="147" t="s">
        <v>343</v>
      </c>
    </row>
    <row r="48" spans="1:32">
      <c r="A48" s="147" t="s">
        <v>632</v>
      </c>
      <c r="B48" s="147" t="s">
        <v>502</v>
      </c>
      <c r="C48" s="147" t="s">
        <v>503</v>
      </c>
      <c r="D48" s="147" t="s">
        <v>504</v>
      </c>
      <c r="E48" s="147" t="s">
        <v>612</v>
      </c>
      <c r="F48" s="147" t="s">
        <v>599</v>
      </c>
      <c r="G48" s="147" t="s">
        <v>205</v>
      </c>
      <c r="H48" s="147">
        <v>14</v>
      </c>
      <c r="I48" s="147" t="s">
        <v>343</v>
      </c>
      <c r="J48" s="148">
        <v>901.66666666666663</v>
      </c>
      <c r="K48" s="147">
        <v>18</v>
      </c>
      <c r="L48" s="147" t="s">
        <v>560</v>
      </c>
      <c r="M48" s="147">
        <v>17</v>
      </c>
      <c r="N48" s="147" t="s">
        <v>569</v>
      </c>
      <c r="O48" s="148">
        <v>17268.75</v>
      </c>
      <c r="P48" s="148">
        <v>935</v>
      </c>
      <c r="Q48" s="148">
        <v>14736.25</v>
      </c>
      <c r="R48" s="148">
        <v>7805</v>
      </c>
      <c r="S48" s="149">
        <v>79.947916666666671</v>
      </c>
      <c r="T48" s="147" t="s">
        <v>509</v>
      </c>
      <c r="U48" s="147">
        <v>20</v>
      </c>
      <c r="V48" s="147" t="s">
        <v>510</v>
      </c>
      <c r="W48" s="147" t="s">
        <v>511</v>
      </c>
      <c r="X48" s="147" t="s">
        <v>530</v>
      </c>
      <c r="Y48" s="147" t="s">
        <v>343</v>
      </c>
      <c r="Z48" s="147" t="s">
        <v>512</v>
      </c>
      <c r="AA48" s="147" t="s">
        <v>520</v>
      </c>
      <c r="AB48" s="147" t="s">
        <v>521</v>
      </c>
      <c r="AC48" s="147" t="s">
        <v>522</v>
      </c>
      <c r="AD48" s="147" t="s">
        <v>523</v>
      </c>
      <c r="AE48" s="147" t="s">
        <v>509</v>
      </c>
      <c r="AF48" s="147" t="s">
        <v>343</v>
      </c>
    </row>
    <row r="49" spans="1:32">
      <c r="A49" s="147" t="s">
        <v>633</v>
      </c>
      <c r="B49" s="147" t="s">
        <v>502</v>
      </c>
      <c r="C49" s="147" t="s">
        <v>503</v>
      </c>
      <c r="D49" s="147" t="s">
        <v>504</v>
      </c>
      <c r="E49" s="147" t="s">
        <v>343</v>
      </c>
      <c r="F49" s="147" t="s">
        <v>506</v>
      </c>
      <c r="G49" s="147" t="s">
        <v>246</v>
      </c>
      <c r="H49" s="147">
        <v>3</v>
      </c>
      <c r="I49" s="147" t="s">
        <v>343</v>
      </c>
      <c r="J49" s="148">
        <v>5728.666666666667</v>
      </c>
      <c r="K49" s="147">
        <v>120</v>
      </c>
      <c r="L49" s="147" t="s">
        <v>507</v>
      </c>
      <c r="M49" s="147">
        <v>120</v>
      </c>
      <c r="N49" s="147" t="s">
        <v>508</v>
      </c>
      <c r="O49" s="148">
        <v>17186</v>
      </c>
      <c r="P49" s="148">
        <v>4217</v>
      </c>
      <c r="Q49" s="147" t="s">
        <v>343</v>
      </c>
      <c r="R49" s="148">
        <v>17186</v>
      </c>
      <c r="S49" s="149">
        <v>11.934722222222224</v>
      </c>
      <c r="T49" s="147" t="s">
        <v>510</v>
      </c>
      <c r="U49" s="147" t="s">
        <v>343</v>
      </c>
      <c r="V49" s="147" t="s">
        <v>510</v>
      </c>
      <c r="W49" s="147" t="s">
        <v>511</v>
      </c>
      <c r="X49" s="147" t="s">
        <v>545</v>
      </c>
      <c r="Y49" s="147" t="s">
        <v>347</v>
      </c>
      <c r="Z49" s="147" t="s">
        <v>512</v>
      </c>
      <c r="AA49" s="147" t="s">
        <v>617</v>
      </c>
      <c r="AB49" s="147" t="s">
        <v>618</v>
      </c>
      <c r="AC49" s="147" t="s">
        <v>538</v>
      </c>
      <c r="AD49" s="147" t="s">
        <v>516</v>
      </c>
      <c r="AE49" s="147" t="s">
        <v>509</v>
      </c>
      <c r="AF49" s="147" t="s">
        <v>343</v>
      </c>
    </row>
    <row r="50" spans="1:32">
      <c r="A50" s="147" t="s">
        <v>634</v>
      </c>
      <c r="B50" s="147" t="s">
        <v>502</v>
      </c>
      <c r="C50" s="147" t="s">
        <v>503</v>
      </c>
      <c r="D50" s="147" t="s">
        <v>504</v>
      </c>
      <c r="E50" s="147" t="s">
        <v>505</v>
      </c>
      <c r="F50" s="147" t="s">
        <v>506</v>
      </c>
      <c r="G50" s="147" t="s">
        <v>204</v>
      </c>
      <c r="H50" s="147">
        <v>15</v>
      </c>
      <c r="I50" s="147" t="s">
        <v>343</v>
      </c>
      <c r="J50" s="148">
        <v>1827.3333333333333</v>
      </c>
      <c r="K50" s="147">
        <v>26</v>
      </c>
      <c r="L50" s="147" t="s">
        <v>507</v>
      </c>
      <c r="M50" s="147">
        <v>26</v>
      </c>
      <c r="N50" s="147" t="s">
        <v>508</v>
      </c>
      <c r="O50" s="148">
        <v>16817</v>
      </c>
      <c r="P50" s="148">
        <v>2134</v>
      </c>
      <c r="Q50" s="148">
        <v>9957.5</v>
      </c>
      <c r="R50" s="148">
        <v>11282</v>
      </c>
      <c r="S50" s="149">
        <v>53.900641025641029</v>
      </c>
      <c r="T50" s="147" t="s">
        <v>509</v>
      </c>
      <c r="U50" s="147">
        <v>10</v>
      </c>
      <c r="V50" s="147" t="s">
        <v>510</v>
      </c>
      <c r="W50" s="147" t="s">
        <v>511</v>
      </c>
      <c r="X50" s="147" t="s">
        <v>530</v>
      </c>
      <c r="Y50" s="147" t="s">
        <v>343</v>
      </c>
      <c r="Z50" s="147" t="s">
        <v>512</v>
      </c>
      <c r="AA50" s="147" t="s">
        <v>629</v>
      </c>
      <c r="AB50" s="147" t="s">
        <v>555</v>
      </c>
      <c r="AC50" s="147" t="s">
        <v>515</v>
      </c>
      <c r="AD50" s="147" t="s">
        <v>528</v>
      </c>
      <c r="AE50" s="147" t="s">
        <v>509</v>
      </c>
      <c r="AF50" s="147" t="s">
        <v>343</v>
      </c>
    </row>
    <row r="51" spans="1:32">
      <c r="A51" s="147" t="s">
        <v>635</v>
      </c>
      <c r="B51" s="147" t="s">
        <v>502</v>
      </c>
      <c r="C51" s="147" t="s">
        <v>503</v>
      </c>
      <c r="D51" s="147" t="s">
        <v>504</v>
      </c>
      <c r="E51" s="147" t="s">
        <v>505</v>
      </c>
      <c r="F51" s="147" t="s">
        <v>506</v>
      </c>
      <c r="G51" s="147" t="s">
        <v>242</v>
      </c>
      <c r="H51" s="147">
        <v>7</v>
      </c>
      <c r="I51" s="147" t="s">
        <v>343</v>
      </c>
      <c r="J51" s="148">
        <v>2498</v>
      </c>
      <c r="K51" s="147">
        <v>22</v>
      </c>
      <c r="L51" s="147" t="s">
        <v>507</v>
      </c>
      <c r="M51" s="147">
        <v>22</v>
      </c>
      <c r="N51" s="147" t="s">
        <v>508</v>
      </c>
      <c r="O51" s="148">
        <v>16118</v>
      </c>
      <c r="P51" s="148">
        <v>2498</v>
      </c>
      <c r="Q51" s="147" t="s">
        <v>343</v>
      </c>
      <c r="R51" s="148">
        <v>16118</v>
      </c>
      <c r="S51" s="149">
        <v>61.053030303030305</v>
      </c>
      <c r="T51" s="147" t="s">
        <v>509</v>
      </c>
      <c r="U51" s="147" t="s">
        <v>343</v>
      </c>
      <c r="V51" s="147" t="s">
        <v>509</v>
      </c>
      <c r="W51" s="147" t="s">
        <v>511</v>
      </c>
      <c r="X51" s="147" t="s">
        <v>519</v>
      </c>
      <c r="Y51" s="147" t="s">
        <v>347</v>
      </c>
      <c r="Z51" s="147" t="s">
        <v>512</v>
      </c>
      <c r="AA51" s="147" t="s">
        <v>617</v>
      </c>
      <c r="AB51" s="147" t="s">
        <v>618</v>
      </c>
      <c r="AC51" s="147" t="s">
        <v>538</v>
      </c>
      <c r="AD51" s="147" t="s">
        <v>516</v>
      </c>
      <c r="AE51" s="147" t="s">
        <v>509</v>
      </c>
      <c r="AF51" s="147" t="s">
        <v>343</v>
      </c>
    </row>
    <row r="52" spans="1:32">
      <c r="A52" s="147" t="s">
        <v>636</v>
      </c>
      <c r="B52" s="147" t="s">
        <v>567</v>
      </c>
      <c r="C52" s="147" t="s">
        <v>637</v>
      </c>
      <c r="D52" s="147" t="s">
        <v>638</v>
      </c>
      <c r="E52" s="147" t="s">
        <v>343</v>
      </c>
      <c r="F52" s="147" t="s">
        <v>343</v>
      </c>
      <c r="G52" s="147" t="s">
        <v>639</v>
      </c>
      <c r="H52" s="147">
        <v>63</v>
      </c>
      <c r="I52" s="147" t="s">
        <v>627</v>
      </c>
      <c r="J52" s="148">
        <v>1330</v>
      </c>
      <c r="K52" s="147" t="s">
        <v>343</v>
      </c>
      <c r="L52" s="147" t="s">
        <v>640</v>
      </c>
      <c r="M52" s="147" t="s">
        <v>343</v>
      </c>
      <c r="N52" s="147" t="s">
        <v>343</v>
      </c>
      <c r="O52" s="148">
        <v>15870</v>
      </c>
      <c r="P52" s="148">
        <v>1330</v>
      </c>
      <c r="Q52" s="148">
        <v>15690</v>
      </c>
      <c r="R52" s="148">
        <v>9370</v>
      </c>
      <c r="S52" s="147" t="s">
        <v>343</v>
      </c>
      <c r="T52" s="147" t="s">
        <v>510</v>
      </c>
      <c r="U52" s="147" t="s">
        <v>343</v>
      </c>
      <c r="V52" s="147" t="s">
        <v>510</v>
      </c>
      <c r="W52" s="147" t="s">
        <v>343</v>
      </c>
      <c r="X52" s="147" t="s">
        <v>343</v>
      </c>
      <c r="Y52" s="147" t="s">
        <v>343</v>
      </c>
      <c r="Z52" s="147" t="s">
        <v>512</v>
      </c>
      <c r="AA52" s="147" t="s">
        <v>641</v>
      </c>
      <c r="AB52" s="147" t="s">
        <v>642</v>
      </c>
      <c r="AC52" s="147" t="s">
        <v>643</v>
      </c>
      <c r="AD52" s="147" t="s">
        <v>528</v>
      </c>
      <c r="AE52" s="147" t="s">
        <v>510</v>
      </c>
      <c r="AF52" s="147" t="s">
        <v>510</v>
      </c>
    </row>
    <row r="53" spans="1:32">
      <c r="A53" s="147" t="s">
        <v>644</v>
      </c>
      <c r="B53" s="147" t="s">
        <v>502</v>
      </c>
      <c r="C53" s="147" t="s">
        <v>503</v>
      </c>
      <c r="D53" s="147" t="s">
        <v>504</v>
      </c>
      <c r="E53" s="147" t="s">
        <v>505</v>
      </c>
      <c r="F53" s="147" t="s">
        <v>506</v>
      </c>
      <c r="G53" s="147" t="s">
        <v>200</v>
      </c>
      <c r="H53" s="147">
        <v>19</v>
      </c>
      <c r="I53" s="147" t="s">
        <v>343</v>
      </c>
      <c r="J53" s="148">
        <v>1861.6666666666667</v>
      </c>
      <c r="K53" s="147">
        <v>42</v>
      </c>
      <c r="L53" s="147" t="s">
        <v>507</v>
      </c>
      <c r="M53" s="147">
        <v>42</v>
      </c>
      <c r="N53" s="147" t="s">
        <v>508</v>
      </c>
      <c r="O53" s="148">
        <v>15868</v>
      </c>
      <c r="P53" s="148">
        <v>2120</v>
      </c>
      <c r="Q53" s="148">
        <v>10410</v>
      </c>
      <c r="R53" s="148">
        <v>10643</v>
      </c>
      <c r="S53" s="149">
        <v>31.484126984126981</v>
      </c>
      <c r="T53" s="147" t="s">
        <v>510</v>
      </c>
      <c r="U53" s="147" t="s">
        <v>343</v>
      </c>
      <c r="V53" s="147" t="s">
        <v>510</v>
      </c>
      <c r="W53" s="147" t="s">
        <v>511</v>
      </c>
      <c r="X53" s="147" t="s">
        <v>535</v>
      </c>
      <c r="Y53" s="147" t="s">
        <v>343</v>
      </c>
      <c r="Z53" s="147" t="s">
        <v>512</v>
      </c>
      <c r="AA53" s="147" t="s">
        <v>645</v>
      </c>
      <c r="AB53" s="147" t="s">
        <v>541</v>
      </c>
      <c r="AC53" s="147" t="s">
        <v>522</v>
      </c>
      <c r="AD53" s="147" t="s">
        <v>523</v>
      </c>
      <c r="AE53" s="147" t="s">
        <v>509</v>
      </c>
      <c r="AF53" s="147" t="s">
        <v>343</v>
      </c>
    </row>
    <row r="54" spans="1:32">
      <c r="A54" s="147" t="s">
        <v>646</v>
      </c>
      <c r="B54" s="147" t="s">
        <v>502</v>
      </c>
      <c r="C54" s="147" t="s">
        <v>503</v>
      </c>
      <c r="D54" s="147" t="s">
        <v>504</v>
      </c>
      <c r="E54" s="147" t="s">
        <v>505</v>
      </c>
      <c r="F54" s="147" t="s">
        <v>506</v>
      </c>
      <c r="G54" s="147" t="s">
        <v>132</v>
      </c>
      <c r="H54" s="147">
        <v>21</v>
      </c>
      <c r="I54" s="147" t="s">
        <v>343</v>
      </c>
      <c r="J54" s="148">
        <v>1218.3333333333333</v>
      </c>
      <c r="K54" s="147">
        <v>16</v>
      </c>
      <c r="L54" s="147" t="s">
        <v>507</v>
      </c>
      <c r="M54" s="147">
        <v>16</v>
      </c>
      <c r="N54" s="147" t="s">
        <v>508</v>
      </c>
      <c r="O54" s="148">
        <v>15035</v>
      </c>
      <c r="P54" s="148">
        <v>1150</v>
      </c>
      <c r="Q54" s="148">
        <v>16413.75</v>
      </c>
      <c r="R54" s="148">
        <v>8340</v>
      </c>
      <c r="S54" s="149">
        <v>78.307291666666671</v>
      </c>
      <c r="T54" s="147" t="s">
        <v>510</v>
      </c>
      <c r="U54" s="147" t="s">
        <v>343</v>
      </c>
      <c r="V54" s="147" t="s">
        <v>510</v>
      </c>
      <c r="W54" s="147" t="s">
        <v>511</v>
      </c>
      <c r="X54" s="147" t="s">
        <v>530</v>
      </c>
      <c r="Y54" s="147" t="s">
        <v>343</v>
      </c>
      <c r="Z54" s="147" t="s">
        <v>512</v>
      </c>
      <c r="AA54" s="147" t="s">
        <v>573</v>
      </c>
      <c r="AB54" s="147" t="s">
        <v>562</v>
      </c>
      <c r="AC54" s="147" t="s">
        <v>515</v>
      </c>
      <c r="AD54" s="147" t="s">
        <v>563</v>
      </c>
      <c r="AE54" s="147" t="s">
        <v>509</v>
      </c>
      <c r="AF54" s="147" t="s">
        <v>343</v>
      </c>
    </row>
    <row r="55" spans="1:32">
      <c r="A55" s="147" t="s">
        <v>647</v>
      </c>
      <c r="B55" s="147" t="s">
        <v>502</v>
      </c>
      <c r="C55" s="147" t="s">
        <v>503</v>
      </c>
      <c r="D55" s="147" t="s">
        <v>504</v>
      </c>
      <c r="E55" s="147" t="s">
        <v>621</v>
      </c>
      <c r="F55" s="147" t="s">
        <v>592</v>
      </c>
      <c r="G55" s="147" t="s">
        <v>211</v>
      </c>
      <c r="H55" s="147">
        <v>8</v>
      </c>
      <c r="I55" s="147" t="s">
        <v>343</v>
      </c>
      <c r="J55" s="148">
        <v>1709.3333333333333</v>
      </c>
      <c r="K55" s="147">
        <v>26</v>
      </c>
      <c r="L55" s="147" t="s">
        <v>507</v>
      </c>
      <c r="M55" s="147">
        <v>26</v>
      </c>
      <c r="N55" s="147" t="s">
        <v>508</v>
      </c>
      <c r="O55" s="148">
        <v>14394</v>
      </c>
      <c r="P55" s="148">
        <v>1828</v>
      </c>
      <c r="Q55" s="148">
        <v>2722</v>
      </c>
      <c r="R55" s="148">
        <v>11672</v>
      </c>
      <c r="S55" s="149">
        <v>46.134615384615387</v>
      </c>
      <c r="T55" s="147" t="s">
        <v>510</v>
      </c>
      <c r="U55" s="147" t="s">
        <v>343</v>
      </c>
      <c r="V55" s="147" t="s">
        <v>509</v>
      </c>
      <c r="W55" s="147" t="s">
        <v>511</v>
      </c>
      <c r="X55" s="147" t="s">
        <v>535</v>
      </c>
      <c r="Y55" s="147" t="s">
        <v>347</v>
      </c>
      <c r="Z55" s="147" t="s">
        <v>512</v>
      </c>
      <c r="AA55" s="147" t="s">
        <v>648</v>
      </c>
      <c r="AB55" s="147" t="s">
        <v>551</v>
      </c>
      <c r="AC55" s="147" t="s">
        <v>538</v>
      </c>
      <c r="AD55" s="147" t="s">
        <v>528</v>
      </c>
      <c r="AE55" s="147" t="s">
        <v>509</v>
      </c>
      <c r="AF55" s="147" t="s">
        <v>343</v>
      </c>
    </row>
    <row r="56" spans="1:32">
      <c r="A56" s="147" t="s">
        <v>649</v>
      </c>
      <c r="B56" s="147" t="s">
        <v>502</v>
      </c>
      <c r="C56" s="147" t="s">
        <v>503</v>
      </c>
      <c r="D56" s="147" t="s">
        <v>504</v>
      </c>
      <c r="E56" s="147" t="s">
        <v>505</v>
      </c>
      <c r="F56" s="147" t="s">
        <v>506</v>
      </c>
      <c r="G56" s="147" t="s">
        <v>242</v>
      </c>
      <c r="H56" s="147">
        <v>7</v>
      </c>
      <c r="I56" s="147" t="s">
        <v>343</v>
      </c>
      <c r="J56" s="148">
        <v>1838.3333333333333</v>
      </c>
      <c r="K56" s="147">
        <v>32</v>
      </c>
      <c r="L56" s="147" t="s">
        <v>507</v>
      </c>
      <c r="M56" s="147">
        <v>32</v>
      </c>
      <c r="N56" s="147" t="s">
        <v>508</v>
      </c>
      <c r="O56" s="148">
        <v>14335</v>
      </c>
      <c r="P56" s="148">
        <v>1805</v>
      </c>
      <c r="Q56" s="147" t="s">
        <v>343</v>
      </c>
      <c r="R56" s="148">
        <v>14335</v>
      </c>
      <c r="S56" s="149">
        <v>37.330729166666664</v>
      </c>
      <c r="T56" s="147" t="s">
        <v>510</v>
      </c>
      <c r="U56" s="147" t="s">
        <v>343</v>
      </c>
      <c r="V56" s="147" t="s">
        <v>510</v>
      </c>
      <c r="W56" s="147" t="s">
        <v>511</v>
      </c>
      <c r="X56" s="147" t="s">
        <v>519</v>
      </c>
      <c r="Y56" s="147" t="s">
        <v>343</v>
      </c>
      <c r="Z56" s="147" t="s">
        <v>512</v>
      </c>
      <c r="AA56" s="147" t="s">
        <v>629</v>
      </c>
      <c r="AB56" s="147" t="s">
        <v>555</v>
      </c>
      <c r="AC56" s="147" t="s">
        <v>515</v>
      </c>
      <c r="AD56" s="147" t="s">
        <v>528</v>
      </c>
      <c r="AE56" s="147" t="s">
        <v>509</v>
      </c>
      <c r="AF56" s="147" t="s">
        <v>343</v>
      </c>
    </row>
    <row r="57" spans="1:32">
      <c r="A57" s="147" t="s">
        <v>650</v>
      </c>
      <c r="B57" s="147" t="s">
        <v>502</v>
      </c>
      <c r="C57" s="147" t="s">
        <v>503</v>
      </c>
      <c r="D57" s="147" t="s">
        <v>504</v>
      </c>
      <c r="E57" s="147" t="s">
        <v>505</v>
      </c>
      <c r="F57" s="147" t="s">
        <v>506</v>
      </c>
      <c r="G57" s="147" t="s">
        <v>132</v>
      </c>
      <c r="H57" s="147">
        <v>21</v>
      </c>
      <c r="I57" s="147" t="s">
        <v>343</v>
      </c>
      <c r="J57" s="148">
        <v>1208</v>
      </c>
      <c r="K57" s="147">
        <v>15</v>
      </c>
      <c r="L57" s="147" t="s">
        <v>507</v>
      </c>
      <c r="M57" s="147">
        <v>15</v>
      </c>
      <c r="N57" s="147" t="s">
        <v>508</v>
      </c>
      <c r="O57" s="148">
        <v>14130</v>
      </c>
      <c r="P57" s="148">
        <v>1235</v>
      </c>
      <c r="Q57" s="148">
        <v>11498.75</v>
      </c>
      <c r="R57" s="148">
        <v>8675</v>
      </c>
      <c r="S57" s="149">
        <v>78.5</v>
      </c>
      <c r="T57" s="147" t="s">
        <v>510</v>
      </c>
      <c r="U57" s="147" t="s">
        <v>343</v>
      </c>
      <c r="V57" s="147" t="s">
        <v>509</v>
      </c>
      <c r="W57" s="147" t="s">
        <v>518</v>
      </c>
      <c r="X57" s="147" t="s">
        <v>535</v>
      </c>
      <c r="Y57" s="147" t="s">
        <v>347</v>
      </c>
      <c r="Z57" s="147" t="s">
        <v>512</v>
      </c>
      <c r="AA57" s="147" t="s">
        <v>585</v>
      </c>
      <c r="AB57" s="147" t="s">
        <v>586</v>
      </c>
      <c r="AC57" s="147" t="s">
        <v>515</v>
      </c>
      <c r="AD57" s="147" t="s">
        <v>528</v>
      </c>
      <c r="AE57" s="147" t="s">
        <v>510</v>
      </c>
      <c r="AF57" s="147" t="s">
        <v>343</v>
      </c>
    </row>
    <row r="58" spans="1:32">
      <c r="A58" s="147" t="s">
        <v>651</v>
      </c>
      <c r="B58" s="147" t="s">
        <v>502</v>
      </c>
      <c r="C58" s="147" t="s">
        <v>503</v>
      </c>
      <c r="D58" s="147" t="s">
        <v>504</v>
      </c>
      <c r="E58" s="147" t="s">
        <v>505</v>
      </c>
      <c r="F58" s="147" t="s">
        <v>506</v>
      </c>
      <c r="G58" s="147" t="s">
        <v>122</v>
      </c>
      <c r="H58" s="147">
        <v>31</v>
      </c>
      <c r="I58" s="147" t="s">
        <v>343</v>
      </c>
      <c r="J58" s="148">
        <v>1169.3333333333333</v>
      </c>
      <c r="K58" s="147">
        <v>16</v>
      </c>
      <c r="L58" s="147" t="s">
        <v>507</v>
      </c>
      <c r="M58" s="147">
        <v>16</v>
      </c>
      <c r="N58" s="147" t="s">
        <v>508</v>
      </c>
      <c r="O58" s="148">
        <v>13461</v>
      </c>
      <c r="P58" s="148">
        <v>1147</v>
      </c>
      <c r="Q58" s="148">
        <v>12795</v>
      </c>
      <c r="R58" s="148">
        <v>8186</v>
      </c>
      <c r="S58" s="149">
        <v>70.109375</v>
      </c>
      <c r="T58" s="147" t="s">
        <v>510</v>
      </c>
      <c r="U58" s="147" t="s">
        <v>343</v>
      </c>
      <c r="V58" s="147" t="s">
        <v>510</v>
      </c>
      <c r="W58" s="147" t="s">
        <v>511</v>
      </c>
      <c r="X58" s="147" t="s">
        <v>545</v>
      </c>
      <c r="Y58" s="147" t="s">
        <v>343</v>
      </c>
      <c r="Z58" s="147" t="s">
        <v>512</v>
      </c>
      <c r="AA58" s="147" t="s">
        <v>513</v>
      </c>
      <c r="AB58" s="147" t="s">
        <v>514</v>
      </c>
      <c r="AC58" s="147" t="s">
        <v>515</v>
      </c>
      <c r="AD58" s="147" t="s">
        <v>516</v>
      </c>
      <c r="AE58" s="147" t="s">
        <v>509</v>
      </c>
      <c r="AF58" s="147" t="s">
        <v>343</v>
      </c>
    </row>
    <row r="59" spans="1:32">
      <c r="A59" s="147" t="s">
        <v>652</v>
      </c>
      <c r="B59" s="147" t="s">
        <v>502</v>
      </c>
      <c r="C59" s="147" t="s">
        <v>503</v>
      </c>
      <c r="D59" s="147" t="s">
        <v>504</v>
      </c>
      <c r="E59" s="147" t="s">
        <v>505</v>
      </c>
      <c r="F59" s="147" t="s">
        <v>506</v>
      </c>
      <c r="G59" s="147" t="s">
        <v>245</v>
      </c>
      <c r="H59" s="147">
        <v>4</v>
      </c>
      <c r="I59" s="147" t="s">
        <v>343</v>
      </c>
      <c r="J59" s="148">
        <v>2637</v>
      </c>
      <c r="K59" s="147">
        <v>44</v>
      </c>
      <c r="L59" s="147" t="s">
        <v>507</v>
      </c>
      <c r="M59" s="147">
        <v>44</v>
      </c>
      <c r="N59" s="147" t="s">
        <v>508</v>
      </c>
      <c r="O59" s="148">
        <v>13265</v>
      </c>
      <c r="P59" s="148">
        <v>2675</v>
      </c>
      <c r="Q59" s="147" t="s">
        <v>343</v>
      </c>
      <c r="R59" s="148">
        <v>13265</v>
      </c>
      <c r="S59" s="149">
        <v>25.123106060606062</v>
      </c>
      <c r="T59" s="147" t="s">
        <v>510</v>
      </c>
      <c r="U59" s="147" t="s">
        <v>343</v>
      </c>
      <c r="V59" s="147" t="s">
        <v>510</v>
      </c>
      <c r="W59" s="147" t="s">
        <v>511</v>
      </c>
      <c r="X59" s="147" t="s">
        <v>530</v>
      </c>
      <c r="Y59" s="147" t="s">
        <v>347</v>
      </c>
      <c r="Z59" s="147" t="s">
        <v>512</v>
      </c>
      <c r="AA59" s="147" t="s">
        <v>653</v>
      </c>
      <c r="AB59" s="147" t="s">
        <v>653</v>
      </c>
      <c r="AC59" s="147" t="s">
        <v>538</v>
      </c>
      <c r="AD59" s="147" t="s">
        <v>516</v>
      </c>
      <c r="AE59" s="147" t="s">
        <v>509</v>
      </c>
      <c r="AF59" s="147" t="s">
        <v>343</v>
      </c>
    </row>
    <row r="60" spans="1:32">
      <c r="A60" s="147" t="s">
        <v>654</v>
      </c>
      <c r="B60" s="147" t="s">
        <v>502</v>
      </c>
      <c r="C60" s="147" t="s">
        <v>503</v>
      </c>
      <c r="D60" s="147" t="s">
        <v>504</v>
      </c>
      <c r="E60" s="147" t="s">
        <v>505</v>
      </c>
      <c r="F60" s="147" t="s">
        <v>506</v>
      </c>
      <c r="G60" s="147" t="s">
        <v>132</v>
      </c>
      <c r="H60" s="147">
        <v>21</v>
      </c>
      <c r="I60" s="147" t="s">
        <v>343</v>
      </c>
      <c r="J60" s="148">
        <v>1237</v>
      </c>
      <c r="K60" s="147">
        <v>13</v>
      </c>
      <c r="L60" s="147" t="s">
        <v>507</v>
      </c>
      <c r="M60" s="147">
        <v>13</v>
      </c>
      <c r="N60" s="147" t="s">
        <v>508</v>
      </c>
      <c r="O60" s="148">
        <v>13161</v>
      </c>
      <c r="P60" s="148">
        <v>1261</v>
      </c>
      <c r="Q60" s="148">
        <v>8022.75</v>
      </c>
      <c r="R60" s="148">
        <v>8461</v>
      </c>
      <c r="S60" s="149">
        <v>84.365384615384613</v>
      </c>
      <c r="T60" s="147" t="s">
        <v>510</v>
      </c>
      <c r="U60" s="147" t="s">
        <v>343</v>
      </c>
      <c r="V60" s="147" t="s">
        <v>510</v>
      </c>
      <c r="W60" s="147" t="s">
        <v>511</v>
      </c>
      <c r="X60" s="147" t="s">
        <v>545</v>
      </c>
      <c r="Y60" s="147" t="s">
        <v>343</v>
      </c>
      <c r="Z60" s="147" t="s">
        <v>512</v>
      </c>
      <c r="AA60" s="147" t="s">
        <v>558</v>
      </c>
      <c r="AB60" s="147" t="s">
        <v>541</v>
      </c>
      <c r="AC60" s="147" t="s">
        <v>522</v>
      </c>
      <c r="AD60" s="147" t="s">
        <v>523</v>
      </c>
      <c r="AE60" s="147" t="s">
        <v>509</v>
      </c>
      <c r="AF60" s="147" t="s">
        <v>343</v>
      </c>
    </row>
    <row r="61" spans="1:32">
      <c r="A61" s="147" t="s">
        <v>655</v>
      </c>
      <c r="B61" s="147" t="s">
        <v>19</v>
      </c>
      <c r="C61" s="147" t="s">
        <v>503</v>
      </c>
      <c r="D61" s="147" t="s">
        <v>504</v>
      </c>
      <c r="E61" s="147" t="s">
        <v>621</v>
      </c>
      <c r="F61" s="147" t="s">
        <v>506</v>
      </c>
      <c r="G61" s="147" t="s">
        <v>244</v>
      </c>
      <c r="H61" s="147">
        <v>5</v>
      </c>
      <c r="I61" s="147" t="s">
        <v>343</v>
      </c>
      <c r="J61" s="148">
        <v>2178.3333333333335</v>
      </c>
      <c r="K61" s="147">
        <v>51</v>
      </c>
      <c r="L61" s="147" t="s">
        <v>507</v>
      </c>
      <c r="M61" s="147">
        <v>51</v>
      </c>
      <c r="N61" s="147" t="s">
        <v>508</v>
      </c>
      <c r="O61" s="148">
        <v>13057</v>
      </c>
      <c r="P61" s="148">
        <v>1757</v>
      </c>
      <c r="Q61" s="147" t="s">
        <v>343</v>
      </c>
      <c r="R61" s="148">
        <v>13057</v>
      </c>
      <c r="S61" s="149">
        <v>21.334967320261438</v>
      </c>
      <c r="T61" s="147" t="s">
        <v>509</v>
      </c>
      <c r="U61" s="147" t="s">
        <v>343</v>
      </c>
      <c r="V61" s="147" t="s">
        <v>509</v>
      </c>
      <c r="W61" s="147" t="s">
        <v>511</v>
      </c>
      <c r="X61" s="147" t="s">
        <v>519</v>
      </c>
      <c r="Y61" s="147" t="s">
        <v>347</v>
      </c>
      <c r="Z61" s="147" t="s">
        <v>512</v>
      </c>
      <c r="AA61" s="147" t="s">
        <v>656</v>
      </c>
      <c r="AB61" s="147" t="s">
        <v>657</v>
      </c>
      <c r="AC61" s="147" t="s">
        <v>571</v>
      </c>
      <c r="AD61" s="147" t="s">
        <v>658</v>
      </c>
      <c r="AE61" s="147" t="s">
        <v>509</v>
      </c>
      <c r="AF61" s="147" t="s">
        <v>343</v>
      </c>
    </row>
    <row r="62" spans="1:32">
      <c r="A62" s="147" t="s">
        <v>659</v>
      </c>
      <c r="B62" s="147" t="s">
        <v>502</v>
      </c>
      <c r="C62" s="147" t="s">
        <v>503</v>
      </c>
      <c r="D62" s="147" t="s">
        <v>504</v>
      </c>
      <c r="E62" s="147" t="s">
        <v>505</v>
      </c>
      <c r="F62" s="147" t="s">
        <v>506</v>
      </c>
      <c r="G62" s="147" t="s">
        <v>660</v>
      </c>
      <c r="H62" s="147">
        <v>41</v>
      </c>
      <c r="I62" s="147" t="s">
        <v>343</v>
      </c>
      <c r="J62" s="148">
        <v>1340.3333333333333</v>
      </c>
      <c r="K62" s="147">
        <v>22</v>
      </c>
      <c r="L62" s="147" t="s">
        <v>507</v>
      </c>
      <c r="M62" s="147">
        <v>22</v>
      </c>
      <c r="N62" s="147" t="s">
        <v>508</v>
      </c>
      <c r="O62" s="148">
        <v>12678</v>
      </c>
      <c r="P62" s="148">
        <v>1517</v>
      </c>
      <c r="Q62" s="148">
        <v>10175</v>
      </c>
      <c r="R62" s="148">
        <v>8478</v>
      </c>
      <c r="S62" s="149">
        <v>48.022727272727273</v>
      </c>
      <c r="T62" s="147" t="s">
        <v>510</v>
      </c>
      <c r="U62" s="147" t="s">
        <v>343</v>
      </c>
      <c r="V62" s="147" t="s">
        <v>510</v>
      </c>
      <c r="W62" s="147" t="s">
        <v>518</v>
      </c>
      <c r="X62" s="147" t="s">
        <v>343</v>
      </c>
      <c r="Y62" s="147" t="s">
        <v>343</v>
      </c>
      <c r="Z62" s="147" t="s">
        <v>512</v>
      </c>
      <c r="AA62" s="147" t="s">
        <v>548</v>
      </c>
      <c r="AB62" s="147" t="s">
        <v>521</v>
      </c>
      <c r="AC62" s="147" t="s">
        <v>522</v>
      </c>
      <c r="AD62" s="147" t="s">
        <v>523</v>
      </c>
      <c r="AE62" s="147" t="s">
        <v>510</v>
      </c>
      <c r="AF62" s="147" t="s">
        <v>343</v>
      </c>
    </row>
    <row r="63" spans="1:32">
      <c r="A63" s="147" t="s">
        <v>661</v>
      </c>
      <c r="B63" s="147" t="s">
        <v>567</v>
      </c>
      <c r="C63" s="147" t="s">
        <v>662</v>
      </c>
      <c r="D63" s="147" t="s">
        <v>343</v>
      </c>
      <c r="E63" s="147" t="s">
        <v>343</v>
      </c>
      <c r="F63" s="147" t="s">
        <v>343</v>
      </c>
      <c r="G63" s="147" t="s">
        <v>625</v>
      </c>
      <c r="H63" s="147">
        <v>42</v>
      </c>
      <c r="I63" s="147" t="s">
        <v>242</v>
      </c>
      <c r="J63" s="148">
        <v>1685.9466666666667</v>
      </c>
      <c r="K63" s="147" t="s">
        <v>343</v>
      </c>
      <c r="L63" s="147" t="s">
        <v>640</v>
      </c>
      <c r="M63" s="147" t="s">
        <v>343</v>
      </c>
      <c r="N63" s="147" t="s">
        <v>343</v>
      </c>
      <c r="O63" s="148">
        <v>12579.53</v>
      </c>
      <c r="P63" s="147" t="s">
        <v>343</v>
      </c>
      <c r="Q63" s="148">
        <v>31133.94</v>
      </c>
      <c r="R63" s="148">
        <v>249.84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7" t="s">
        <v>343</v>
      </c>
      <c r="AA63" s="147" t="s">
        <v>343</v>
      </c>
      <c r="AB63" s="147" t="s">
        <v>343</v>
      </c>
      <c r="AC63" s="147" t="s">
        <v>343</v>
      </c>
      <c r="AD63" s="147" t="s">
        <v>343</v>
      </c>
      <c r="AE63" s="147" t="s">
        <v>343</v>
      </c>
      <c r="AF63" s="147" t="s">
        <v>509</v>
      </c>
    </row>
    <row r="64" spans="1:32">
      <c r="A64" s="147" t="s">
        <v>663</v>
      </c>
      <c r="B64" s="147" t="s">
        <v>502</v>
      </c>
      <c r="C64" s="147" t="s">
        <v>503</v>
      </c>
      <c r="D64" s="147" t="s">
        <v>504</v>
      </c>
      <c r="E64" s="147" t="s">
        <v>505</v>
      </c>
      <c r="F64" s="147" t="s">
        <v>506</v>
      </c>
      <c r="G64" s="147" t="s">
        <v>208</v>
      </c>
      <c r="H64" s="147">
        <v>11</v>
      </c>
      <c r="I64" s="147" t="s">
        <v>343</v>
      </c>
      <c r="J64" s="148">
        <v>1335</v>
      </c>
      <c r="K64" s="147">
        <v>19</v>
      </c>
      <c r="L64" s="147" t="s">
        <v>507</v>
      </c>
      <c r="M64" s="147">
        <v>19</v>
      </c>
      <c r="N64" s="147" t="s">
        <v>508</v>
      </c>
      <c r="O64" s="148">
        <v>12450</v>
      </c>
      <c r="P64" s="148">
        <v>1335</v>
      </c>
      <c r="Q64" s="148">
        <v>4005</v>
      </c>
      <c r="R64" s="148">
        <v>8445</v>
      </c>
      <c r="S64" s="149">
        <v>54.60526315789474</v>
      </c>
      <c r="T64" s="147" t="s">
        <v>510</v>
      </c>
      <c r="U64" s="147" t="s">
        <v>343</v>
      </c>
      <c r="V64" s="147" t="s">
        <v>510</v>
      </c>
      <c r="W64" s="147" t="s">
        <v>511</v>
      </c>
      <c r="X64" s="147" t="s">
        <v>530</v>
      </c>
      <c r="Y64" s="147" t="s">
        <v>343</v>
      </c>
      <c r="Z64" s="147" t="s">
        <v>512</v>
      </c>
      <c r="AA64" s="147" t="s">
        <v>548</v>
      </c>
      <c r="AB64" s="147" t="s">
        <v>521</v>
      </c>
      <c r="AC64" s="147" t="s">
        <v>522</v>
      </c>
      <c r="AD64" s="147" t="s">
        <v>523</v>
      </c>
      <c r="AE64" s="147" t="s">
        <v>509</v>
      </c>
      <c r="AF64" s="147" t="s">
        <v>343</v>
      </c>
    </row>
    <row r="65" spans="1:32">
      <c r="A65" s="147" t="s">
        <v>664</v>
      </c>
      <c r="B65" s="147" t="s">
        <v>502</v>
      </c>
      <c r="C65" s="147" t="s">
        <v>503</v>
      </c>
      <c r="D65" s="147" t="s">
        <v>504</v>
      </c>
      <c r="E65" s="147" t="s">
        <v>505</v>
      </c>
      <c r="F65" s="147" t="s">
        <v>506</v>
      </c>
      <c r="G65" s="147" t="s">
        <v>127</v>
      </c>
      <c r="H65" s="147">
        <v>26</v>
      </c>
      <c r="I65" s="147" t="s">
        <v>343</v>
      </c>
      <c r="J65" s="148">
        <v>1129.3333333333333</v>
      </c>
      <c r="K65" s="147">
        <v>17</v>
      </c>
      <c r="L65" s="147" t="s">
        <v>560</v>
      </c>
      <c r="M65" s="147">
        <v>16</v>
      </c>
      <c r="N65" s="147" t="s">
        <v>584</v>
      </c>
      <c r="O65" s="148">
        <v>12373</v>
      </c>
      <c r="P65" s="148">
        <v>1048</v>
      </c>
      <c r="Q65" s="148">
        <v>8869</v>
      </c>
      <c r="R65" s="148">
        <v>7898</v>
      </c>
      <c r="S65" s="149">
        <v>60.651960784313722</v>
      </c>
      <c r="T65" s="147" t="s">
        <v>510</v>
      </c>
      <c r="U65" s="147" t="s">
        <v>343</v>
      </c>
      <c r="V65" s="147" t="s">
        <v>510</v>
      </c>
      <c r="W65" s="147" t="s">
        <v>511</v>
      </c>
      <c r="X65" s="147" t="s">
        <v>535</v>
      </c>
      <c r="Y65" s="147" t="s">
        <v>343</v>
      </c>
      <c r="Z65" s="147" t="s">
        <v>512</v>
      </c>
      <c r="AA65" s="147" t="s">
        <v>645</v>
      </c>
      <c r="AB65" s="147" t="s">
        <v>541</v>
      </c>
      <c r="AC65" s="147" t="s">
        <v>522</v>
      </c>
      <c r="AD65" s="147" t="s">
        <v>523</v>
      </c>
      <c r="AE65" s="147" t="s">
        <v>509</v>
      </c>
      <c r="AF65" s="147" t="s">
        <v>343</v>
      </c>
    </row>
    <row r="66" spans="1:32">
      <c r="A66" s="147" t="s">
        <v>665</v>
      </c>
      <c r="B66" s="147" t="s">
        <v>502</v>
      </c>
      <c r="C66" s="147" t="s">
        <v>503</v>
      </c>
      <c r="D66" s="147" t="s">
        <v>504</v>
      </c>
      <c r="E66" s="147" t="s">
        <v>621</v>
      </c>
      <c r="F66" s="147" t="s">
        <v>592</v>
      </c>
      <c r="G66" s="147" t="s">
        <v>201</v>
      </c>
      <c r="H66" s="147">
        <v>18</v>
      </c>
      <c r="I66" s="147" t="s">
        <v>343</v>
      </c>
      <c r="J66" s="148">
        <v>1011.3333333333334</v>
      </c>
      <c r="K66" s="147">
        <v>21</v>
      </c>
      <c r="L66" s="147" t="s">
        <v>507</v>
      </c>
      <c r="M66" s="147">
        <v>21</v>
      </c>
      <c r="N66" s="147" t="s">
        <v>508</v>
      </c>
      <c r="O66" s="148">
        <v>12069</v>
      </c>
      <c r="P66" s="148">
        <v>1150</v>
      </c>
      <c r="Q66" s="148">
        <v>8565</v>
      </c>
      <c r="R66" s="148">
        <v>7144</v>
      </c>
      <c r="S66" s="149">
        <v>47.892857142857146</v>
      </c>
      <c r="T66" s="147" t="s">
        <v>510</v>
      </c>
      <c r="U66" s="147" t="s">
        <v>343</v>
      </c>
      <c r="V66" s="147" t="s">
        <v>510</v>
      </c>
      <c r="W66" s="147" t="s">
        <v>511</v>
      </c>
      <c r="X66" s="147" t="s">
        <v>535</v>
      </c>
      <c r="Y66" s="147" t="s">
        <v>343</v>
      </c>
      <c r="Z66" s="147" t="s">
        <v>512</v>
      </c>
      <c r="AA66" s="147" t="s">
        <v>554</v>
      </c>
      <c r="AB66" s="147" t="s">
        <v>555</v>
      </c>
      <c r="AC66" s="147" t="s">
        <v>515</v>
      </c>
      <c r="AD66" s="147" t="s">
        <v>528</v>
      </c>
      <c r="AE66" s="147" t="s">
        <v>509</v>
      </c>
      <c r="AF66" s="147" t="s">
        <v>343</v>
      </c>
    </row>
    <row r="67" spans="1:32">
      <c r="A67" s="147" t="s">
        <v>666</v>
      </c>
      <c r="B67" s="147" t="s">
        <v>502</v>
      </c>
      <c r="C67" s="147" t="s">
        <v>503</v>
      </c>
      <c r="D67" s="147" t="s">
        <v>504</v>
      </c>
      <c r="E67" s="147" t="s">
        <v>505</v>
      </c>
      <c r="F67" s="147" t="s">
        <v>506</v>
      </c>
      <c r="G67" s="147" t="s">
        <v>200</v>
      </c>
      <c r="H67" s="147">
        <v>19</v>
      </c>
      <c r="I67" s="147" t="s">
        <v>343</v>
      </c>
      <c r="J67" s="148">
        <v>922</v>
      </c>
      <c r="K67" s="147">
        <v>11</v>
      </c>
      <c r="L67" s="147" t="s">
        <v>507</v>
      </c>
      <c r="M67" s="147">
        <v>11</v>
      </c>
      <c r="N67" s="147" t="s">
        <v>508</v>
      </c>
      <c r="O67" s="148">
        <v>11954</v>
      </c>
      <c r="P67" s="148">
        <v>980</v>
      </c>
      <c r="Q67" s="148">
        <v>11748.85</v>
      </c>
      <c r="R67" s="148">
        <v>6347</v>
      </c>
      <c r="S67" s="149">
        <v>90.560606060606062</v>
      </c>
      <c r="T67" s="147" t="s">
        <v>510</v>
      </c>
      <c r="U67" s="147" t="s">
        <v>343</v>
      </c>
      <c r="V67" s="147" t="s">
        <v>509</v>
      </c>
      <c r="W67" s="147" t="s">
        <v>518</v>
      </c>
      <c r="X67" s="147" t="s">
        <v>535</v>
      </c>
      <c r="Y67" s="147" t="s">
        <v>359</v>
      </c>
      <c r="Z67" s="147" t="s">
        <v>512</v>
      </c>
      <c r="AA67" s="147" t="s">
        <v>613</v>
      </c>
      <c r="AB67" s="147" t="s">
        <v>537</v>
      </c>
      <c r="AC67" s="147" t="s">
        <v>538</v>
      </c>
      <c r="AD67" s="147" t="s">
        <v>523</v>
      </c>
      <c r="AE67" s="147" t="s">
        <v>510</v>
      </c>
      <c r="AF67" s="147" t="s">
        <v>343</v>
      </c>
    </row>
    <row r="68" spans="1:32">
      <c r="A68" s="147" t="s">
        <v>667</v>
      </c>
      <c r="B68" s="147" t="s">
        <v>502</v>
      </c>
      <c r="C68" s="147" t="s">
        <v>503</v>
      </c>
      <c r="D68" s="147" t="s">
        <v>504</v>
      </c>
      <c r="E68" s="147" t="s">
        <v>505</v>
      </c>
      <c r="F68" s="147" t="s">
        <v>592</v>
      </c>
      <c r="G68" s="147" t="s">
        <v>208</v>
      </c>
      <c r="H68" s="147">
        <v>11</v>
      </c>
      <c r="I68" s="147" t="s">
        <v>343</v>
      </c>
      <c r="J68" s="148">
        <v>1143.3333333333333</v>
      </c>
      <c r="K68" s="147">
        <v>17</v>
      </c>
      <c r="L68" s="147" t="s">
        <v>507</v>
      </c>
      <c r="M68" s="147">
        <v>17</v>
      </c>
      <c r="N68" s="147" t="s">
        <v>508</v>
      </c>
      <c r="O68" s="148">
        <v>11835</v>
      </c>
      <c r="P68" s="148">
        <v>1140</v>
      </c>
      <c r="Q68" s="148">
        <v>4075</v>
      </c>
      <c r="R68" s="148">
        <v>7760</v>
      </c>
      <c r="S68" s="149">
        <v>58.014705882352942</v>
      </c>
      <c r="T68" s="147" t="s">
        <v>510</v>
      </c>
      <c r="U68" s="147" t="s">
        <v>343</v>
      </c>
      <c r="V68" s="147" t="s">
        <v>510</v>
      </c>
      <c r="W68" s="147" t="s">
        <v>511</v>
      </c>
      <c r="X68" s="147" t="s">
        <v>535</v>
      </c>
      <c r="Y68" s="147" t="s">
        <v>343</v>
      </c>
      <c r="Z68" s="147" t="s">
        <v>512</v>
      </c>
      <c r="AA68" s="147" t="s">
        <v>565</v>
      </c>
      <c r="AB68" s="147" t="s">
        <v>562</v>
      </c>
      <c r="AC68" s="147" t="s">
        <v>515</v>
      </c>
      <c r="AD68" s="147" t="s">
        <v>563</v>
      </c>
      <c r="AE68" s="147" t="s">
        <v>509</v>
      </c>
      <c r="AF68" s="147" t="s">
        <v>343</v>
      </c>
    </row>
    <row r="69" spans="1:32">
      <c r="A69" s="147" t="s">
        <v>668</v>
      </c>
      <c r="B69" s="147" t="s">
        <v>502</v>
      </c>
      <c r="C69" s="147" t="s">
        <v>503</v>
      </c>
      <c r="D69" s="147" t="s">
        <v>504</v>
      </c>
      <c r="E69" s="147" t="s">
        <v>505</v>
      </c>
      <c r="F69" s="147" t="s">
        <v>506</v>
      </c>
      <c r="G69" s="147" t="s">
        <v>244</v>
      </c>
      <c r="H69" s="147">
        <v>5</v>
      </c>
      <c r="I69" s="147" t="s">
        <v>343</v>
      </c>
      <c r="J69" s="148">
        <v>1993</v>
      </c>
      <c r="K69" s="147">
        <v>32</v>
      </c>
      <c r="L69" s="147" t="s">
        <v>507</v>
      </c>
      <c r="M69" s="147">
        <v>32</v>
      </c>
      <c r="N69" s="147" t="s">
        <v>508</v>
      </c>
      <c r="O69" s="148">
        <v>11776</v>
      </c>
      <c r="P69" s="148">
        <v>1908</v>
      </c>
      <c r="Q69" s="147" t="s">
        <v>343</v>
      </c>
      <c r="R69" s="148">
        <v>11776</v>
      </c>
      <c r="S69" s="149">
        <v>30.666666666666668</v>
      </c>
      <c r="T69" s="147" t="s">
        <v>510</v>
      </c>
      <c r="U69" s="147" t="s">
        <v>343</v>
      </c>
      <c r="V69" s="147" t="s">
        <v>509</v>
      </c>
      <c r="W69" s="147" t="s">
        <v>511</v>
      </c>
      <c r="X69" s="147" t="s">
        <v>535</v>
      </c>
      <c r="Y69" s="147" t="s">
        <v>347</v>
      </c>
      <c r="Z69" s="147" t="s">
        <v>512</v>
      </c>
      <c r="AA69" s="147" t="s">
        <v>669</v>
      </c>
      <c r="AB69" s="147" t="s">
        <v>670</v>
      </c>
      <c r="AC69" s="147" t="s">
        <v>522</v>
      </c>
      <c r="AD69" s="147" t="s">
        <v>563</v>
      </c>
      <c r="AE69" s="147" t="s">
        <v>509</v>
      </c>
      <c r="AF69" s="147" t="s">
        <v>343</v>
      </c>
    </row>
    <row r="70" spans="1:32">
      <c r="A70" s="147" t="s">
        <v>671</v>
      </c>
      <c r="B70" s="147" t="s">
        <v>502</v>
      </c>
      <c r="C70" s="147" t="s">
        <v>637</v>
      </c>
      <c r="D70" s="147" t="s">
        <v>672</v>
      </c>
      <c r="E70" s="147" t="s">
        <v>343</v>
      </c>
      <c r="F70" s="147" t="s">
        <v>343</v>
      </c>
      <c r="G70" s="147" t="s">
        <v>639</v>
      </c>
      <c r="H70" s="147">
        <v>63</v>
      </c>
      <c r="I70" s="147" t="s">
        <v>343</v>
      </c>
      <c r="J70" s="148">
        <v>995</v>
      </c>
      <c r="K70" s="147" t="s">
        <v>343</v>
      </c>
      <c r="L70" s="147" t="s">
        <v>673</v>
      </c>
      <c r="M70" s="147" t="s">
        <v>343</v>
      </c>
      <c r="N70" s="147" t="s">
        <v>343</v>
      </c>
      <c r="O70" s="148">
        <v>11715</v>
      </c>
      <c r="P70" s="148">
        <v>995</v>
      </c>
      <c r="Q70" s="148">
        <v>11490</v>
      </c>
      <c r="R70" s="148">
        <v>6965</v>
      </c>
      <c r="S70" s="147" t="s">
        <v>343</v>
      </c>
      <c r="T70" s="147" t="s">
        <v>510</v>
      </c>
      <c r="U70" s="147" t="s">
        <v>343</v>
      </c>
      <c r="V70" s="147" t="s">
        <v>510</v>
      </c>
      <c r="W70" s="147" t="s">
        <v>343</v>
      </c>
      <c r="X70" s="147" t="s">
        <v>343</v>
      </c>
      <c r="Y70" s="147" t="s">
        <v>343</v>
      </c>
      <c r="Z70" s="147" t="s">
        <v>512</v>
      </c>
      <c r="AA70" s="147" t="s">
        <v>674</v>
      </c>
      <c r="AB70" s="147" t="s">
        <v>642</v>
      </c>
      <c r="AC70" s="147" t="s">
        <v>643</v>
      </c>
      <c r="AD70" s="147" t="s">
        <v>528</v>
      </c>
      <c r="AE70" s="147" t="s">
        <v>510</v>
      </c>
      <c r="AF70" s="147" t="s">
        <v>343</v>
      </c>
    </row>
    <row r="71" spans="1:32">
      <c r="A71" s="147" t="s">
        <v>675</v>
      </c>
      <c r="B71" s="147" t="s">
        <v>502</v>
      </c>
      <c r="C71" s="147" t="s">
        <v>503</v>
      </c>
      <c r="D71" s="147" t="s">
        <v>504</v>
      </c>
      <c r="E71" s="147" t="s">
        <v>621</v>
      </c>
      <c r="F71" s="147" t="s">
        <v>592</v>
      </c>
      <c r="G71" s="147" t="s">
        <v>243</v>
      </c>
      <c r="H71" s="147">
        <v>6</v>
      </c>
      <c r="I71" s="147" t="s">
        <v>343</v>
      </c>
      <c r="J71" s="148">
        <v>2082</v>
      </c>
      <c r="K71" s="147">
        <v>37</v>
      </c>
      <c r="L71" s="147" t="s">
        <v>507</v>
      </c>
      <c r="M71" s="147">
        <v>37</v>
      </c>
      <c r="N71" s="147" t="s">
        <v>508</v>
      </c>
      <c r="O71" s="148">
        <v>11515</v>
      </c>
      <c r="P71" s="148">
        <v>2164</v>
      </c>
      <c r="Q71" s="147" t="s">
        <v>343</v>
      </c>
      <c r="R71" s="148">
        <v>11515</v>
      </c>
      <c r="S71" s="149">
        <v>25.934684684684687</v>
      </c>
      <c r="T71" s="147" t="s">
        <v>510</v>
      </c>
      <c r="U71" s="147" t="s">
        <v>343</v>
      </c>
      <c r="V71" s="147" t="s">
        <v>510</v>
      </c>
      <c r="W71" s="147" t="s">
        <v>511</v>
      </c>
      <c r="X71" s="147" t="s">
        <v>615</v>
      </c>
      <c r="Y71" s="147" t="s">
        <v>347</v>
      </c>
      <c r="Z71" s="147" t="s">
        <v>512</v>
      </c>
      <c r="AA71" s="147" t="s">
        <v>596</v>
      </c>
      <c r="AB71" s="147" t="s">
        <v>532</v>
      </c>
      <c r="AC71" s="147" t="s">
        <v>522</v>
      </c>
      <c r="AD71" s="147" t="s">
        <v>516</v>
      </c>
      <c r="AE71" s="147" t="s">
        <v>509</v>
      </c>
      <c r="AF71" s="147" t="s">
        <v>343</v>
      </c>
    </row>
    <row r="72" spans="1:32">
      <c r="A72" s="147" t="s">
        <v>676</v>
      </c>
      <c r="B72" s="147" t="s">
        <v>502</v>
      </c>
      <c r="C72" s="147" t="s">
        <v>503</v>
      </c>
      <c r="D72" s="147" t="s">
        <v>504</v>
      </c>
      <c r="E72" s="147" t="s">
        <v>505</v>
      </c>
      <c r="F72" s="147" t="s">
        <v>506</v>
      </c>
      <c r="G72" s="147" t="s">
        <v>553</v>
      </c>
      <c r="H72" s="147">
        <v>34</v>
      </c>
      <c r="I72" s="147" t="s">
        <v>343</v>
      </c>
      <c r="J72" s="148">
        <v>1460.6666666666667</v>
      </c>
      <c r="K72" s="147">
        <v>19</v>
      </c>
      <c r="L72" s="147" t="s">
        <v>507</v>
      </c>
      <c r="M72" s="147">
        <v>19</v>
      </c>
      <c r="N72" s="147" t="s">
        <v>508</v>
      </c>
      <c r="O72" s="148">
        <v>11513</v>
      </c>
      <c r="P72" s="148">
        <v>1614</v>
      </c>
      <c r="Q72" s="148">
        <v>7632</v>
      </c>
      <c r="R72" s="148">
        <v>8852</v>
      </c>
      <c r="S72" s="149">
        <v>50.495614035087719</v>
      </c>
      <c r="T72" s="147" t="s">
        <v>509</v>
      </c>
      <c r="U72" s="147">
        <v>6</v>
      </c>
      <c r="V72" s="147" t="s">
        <v>509</v>
      </c>
      <c r="W72" s="147" t="s">
        <v>511</v>
      </c>
      <c r="X72" s="147" t="s">
        <v>535</v>
      </c>
      <c r="Y72" s="147" t="s">
        <v>347</v>
      </c>
      <c r="Z72" s="147" t="s">
        <v>512</v>
      </c>
      <c r="AA72" s="147" t="s">
        <v>645</v>
      </c>
      <c r="AB72" s="147" t="s">
        <v>541</v>
      </c>
      <c r="AC72" s="147" t="s">
        <v>522</v>
      </c>
      <c r="AD72" s="147" t="s">
        <v>523</v>
      </c>
      <c r="AE72" s="147" t="s">
        <v>509</v>
      </c>
      <c r="AF72" s="147" t="s">
        <v>343</v>
      </c>
    </row>
    <row r="73" spans="1:32">
      <c r="A73" s="147" t="s">
        <v>677</v>
      </c>
      <c r="B73" s="147" t="s">
        <v>502</v>
      </c>
      <c r="C73" s="147" t="s">
        <v>503</v>
      </c>
      <c r="D73" s="147" t="s">
        <v>504</v>
      </c>
      <c r="E73" s="147" t="s">
        <v>505</v>
      </c>
      <c r="F73" s="147" t="s">
        <v>506</v>
      </c>
      <c r="G73" s="147" t="s">
        <v>207</v>
      </c>
      <c r="H73" s="147">
        <v>12</v>
      </c>
      <c r="I73" s="147" t="s">
        <v>343</v>
      </c>
      <c r="J73" s="148">
        <v>1231.6666666666667</v>
      </c>
      <c r="K73" s="147">
        <v>28</v>
      </c>
      <c r="L73" s="147" t="s">
        <v>507</v>
      </c>
      <c r="M73" s="147">
        <v>28</v>
      </c>
      <c r="N73" s="147" t="s">
        <v>508</v>
      </c>
      <c r="O73" s="148">
        <v>11205</v>
      </c>
      <c r="P73" s="148">
        <v>1885</v>
      </c>
      <c r="Q73" s="148">
        <v>4270</v>
      </c>
      <c r="R73" s="148">
        <v>6935</v>
      </c>
      <c r="S73" s="149">
        <v>33.348214285714285</v>
      </c>
      <c r="T73" s="147" t="s">
        <v>510</v>
      </c>
      <c r="U73" s="147" t="s">
        <v>343</v>
      </c>
      <c r="V73" s="147" t="s">
        <v>510</v>
      </c>
      <c r="W73" s="147" t="s">
        <v>511</v>
      </c>
      <c r="X73" s="147" t="s">
        <v>535</v>
      </c>
      <c r="Y73" s="147" t="s">
        <v>359</v>
      </c>
      <c r="Z73" s="147" t="s">
        <v>512</v>
      </c>
      <c r="AA73" s="147" t="s">
        <v>648</v>
      </c>
      <c r="AB73" s="147" t="s">
        <v>551</v>
      </c>
      <c r="AC73" s="147" t="s">
        <v>538</v>
      </c>
      <c r="AD73" s="147" t="s">
        <v>528</v>
      </c>
      <c r="AE73" s="147" t="s">
        <v>509</v>
      </c>
      <c r="AF73" s="147" t="s">
        <v>343</v>
      </c>
    </row>
    <row r="74" spans="1:32">
      <c r="A74" s="147" t="s">
        <v>678</v>
      </c>
      <c r="B74" s="147" t="s">
        <v>502</v>
      </c>
      <c r="C74" s="147" t="s">
        <v>503</v>
      </c>
      <c r="D74" s="147" t="s">
        <v>504</v>
      </c>
      <c r="E74" s="147" t="s">
        <v>505</v>
      </c>
      <c r="F74" s="147" t="s">
        <v>506</v>
      </c>
      <c r="G74" s="147" t="s">
        <v>200</v>
      </c>
      <c r="H74" s="147">
        <v>19</v>
      </c>
      <c r="I74" s="147" t="s">
        <v>343</v>
      </c>
      <c r="J74" s="148">
        <v>1125</v>
      </c>
      <c r="K74" s="147">
        <v>13</v>
      </c>
      <c r="L74" s="147" t="s">
        <v>507</v>
      </c>
      <c r="M74" s="147">
        <v>13</v>
      </c>
      <c r="N74" s="147" t="s">
        <v>508</v>
      </c>
      <c r="O74" s="148">
        <v>10930</v>
      </c>
      <c r="P74" s="148">
        <v>1075</v>
      </c>
      <c r="Q74" s="148">
        <v>3630</v>
      </c>
      <c r="R74" s="148">
        <v>7300</v>
      </c>
      <c r="S74" s="149">
        <v>70.064102564102569</v>
      </c>
      <c r="T74" s="147" t="s">
        <v>510</v>
      </c>
      <c r="U74" s="147" t="s">
        <v>343</v>
      </c>
      <c r="V74" s="147" t="s">
        <v>510</v>
      </c>
      <c r="W74" s="147" t="s">
        <v>511</v>
      </c>
      <c r="X74" s="147" t="s">
        <v>545</v>
      </c>
      <c r="Y74" s="147" t="s">
        <v>343</v>
      </c>
      <c r="Z74" s="147" t="s">
        <v>512</v>
      </c>
      <c r="AA74" s="147" t="s">
        <v>605</v>
      </c>
      <c r="AB74" s="147" t="s">
        <v>532</v>
      </c>
      <c r="AC74" s="147" t="s">
        <v>522</v>
      </c>
      <c r="AD74" s="147" t="s">
        <v>516</v>
      </c>
      <c r="AE74" s="147" t="s">
        <v>509</v>
      </c>
      <c r="AF74" s="147" t="s">
        <v>343</v>
      </c>
    </row>
    <row r="75" spans="1:32">
      <c r="A75" s="147" t="s">
        <v>679</v>
      </c>
      <c r="B75" s="147" t="s">
        <v>502</v>
      </c>
      <c r="C75" s="147" t="s">
        <v>503</v>
      </c>
      <c r="D75" s="147" t="s">
        <v>504</v>
      </c>
      <c r="E75" s="147" t="s">
        <v>505</v>
      </c>
      <c r="F75" s="147" t="s">
        <v>506</v>
      </c>
      <c r="G75" s="147" t="s">
        <v>243</v>
      </c>
      <c r="H75" s="147">
        <v>6</v>
      </c>
      <c r="I75" s="147" t="s">
        <v>343</v>
      </c>
      <c r="J75" s="148">
        <v>1696</v>
      </c>
      <c r="K75" s="147">
        <v>14</v>
      </c>
      <c r="L75" s="147" t="s">
        <v>507</v>
      </c>
      <c r="M75" s="147">
        <v>14</v>
      </c>
      <c r="N75" s="147" t="s">
        <v>508</v>
      </c>
      <c r="O75" s="148">
        <v>10779</v>
      </c>
      <c r="P75" s="148">
        <v>1696</v>
      </c>
      <c r="Q75" s="147" t="s">
        <v>343</v>
      </c>
      <c r="R75" s="148">
        <v>10779</v>
      </c>
      <c r="S75" s="149">
        <v>64.160714285714292</v>
      </c>
      <c r="T75" s="147" t="s">
        <v>509</v>
      </c>
      <c r="U75" s="147" t="s">
        <v>343</v>
      </c>
      <c r="V75" s="147" t="s">
        <v>510</v>
      </c>
      <c r="W75" s="147" t="s">
        <v>511</v>
      </c>
      <c r="X75" s="147" t="s">
        <v>519</v>
      </c>
      <c r="Y75" s="147" t="s">
        <v>347</v>
      </c>
      <c r="Z75" s="147" t="s">
        <v>512</v>
      </c>
      <c r="AA75" s="147" t="s">
        <v>653</v>
      </c>
      <c r="AB75" s="147" t="s">
        <v>653</v>
      </c>
      <c r="AC75" s="147" t="s">
        <v>538</v>
      </c>
      <c r="AD75" s="147" t="s">
        <v>516</v>
      </c>
      <c r="AE75" s="147" t="s">
        <v>509</v>
      </c>
      <c r="AF75" s="147" t="s">
        <v>343</v>
      </c>
    </row>
    <row r="76" spans="1:32">
      <c r="A76" s="147" t="s">
        <v>680</v>
      </c>
      <c r="B76" s="147" t="s">
        <v>502</v>
      </c>
      <c r="C76" s="147" t="s">
        <v>503</v>
      </c>
      <c r="D76" s="147" t="s">
        <v>504</v>
      </c>
      <c r="E76" s="147" t="s">
        <v>505</v>
      </c>
      <c r="F76" s="147" t="s">
        <v>506</v>
      </c>
      <c r="G76" s="147" t="s">
        <v>593</v>
      </c>
      <c r="H76" s="147">
        <v>32</v>
      </c>
      <c r="I76" s="147" t="s">
        <v>343</v>
      </c>
      <c r="J76" s="148">
        <v>855</v>
      </c>
      <c r="K76" s="147">
        <v>9</v>
      </c>
      <c r="L76" s="147" t="s">
        <v>507</v>
      </c>
      <c r="M76" s="147">
        <v>9</v>
      </c>
      <c r="N76" s="147" t="s">
        <v>508</v>
      </c>
      <c r="O76" s="148">
        <v>10770</v>
      </c>
      <c r="P76" s="148">
        <v>775</v>
      </c>
      <c r="Q76" s="148">
        <v>10910</v>
      </c>
      <c r="R76" s="148">
        <v>5970</v>
      </c>
      <c r="S76" s="149">
        <v>99.722222222222229</v>
      </c>
      <c r="T76" s="147" t="s">
        <v>509</v>
      </c>
      <c r="U76" s="147">
        <v>11</v>
      </c>
      <c r="V76" s="147" t="s">
        <v>509</v>
      </c>
      <c r="W76" s="147" t="s">
        <v>511</v>
      </c>
      <c r="X76" s="147" t="s">
        <v>615</v>
      </c>
      <c r="Y76" s="147" t="s">
        <v>347</v>
      </c>
      <c r="Z76" s="147" t="s">
        <v>512</v>
      </c>
      <c r="AA76" s="147" t="s">
        <v>645</v>
      </c>
      <c r="AB76" s="147" t="s">
        <v>541</v>
      </c>
      <c r="AC76" s="147" t="s">
        <v>522</v>
      </c>
      <c r="AD76" s="147" t="s">
        <v>523</v>
      </c>
      <c r="AE76" s="147" t="s">
        <v>509</v>
      </c>
      <c r="AF76" s="147" t="s">
        <v>343</v>
      </c>
    </row>
    <row r="77" spans="1:32">
      <c r="A77" s="147" t="s">
        <v>681</v>
      </c>
      <c r="B77" s="147" t="s">
        <v>502</v>
      </c>
      <c r="C77" s="147" t="s">
        <v>503</v>
      </c>
      <c r="D77" s="147" t="s">
        <v>504</v>
      </c>
      <c r="E77" s="147" t="s">
        <v>505</v>
      </c>
      <c r="F77" s="147" t="s">
        <v>506</v>
      </c>
      <c r="G77" s="147" t="s">
        <v>593</v>
      </c>
      <c r="H77" s="147">
        <v>32</v>
      </c>
      <c r="I77" s="147" t="s">
        <v>343</v>
      </c>
      <c r="J77" s="148">
        <v>1100</v>
      </c>
      <c r="K77" s="147">
        <v>15</v>
      </c>
      <c r="L77" s="147" t="s">
        <v>507</v>
      </c>
      <c r="M77" s="147">
        <v>15</v>
      </c>
      <c r="N77" s="147" t="s">
        <v>508</v>
      </c>
      <c r="O77" s="148">
        <v>10765</v>
      </c>
      <c r="P77" s="148">
        <v>1075</v>
      </c>
      <c r="Q77" s="148">
        <v>7625</v>
      </c>
      <c r="R77" s="148">
        <v>7690</v>
      </c>
      <c r="S77" s="149">
        <v>59.805555555555557</v>
      </c>
      <c r="T77" s="147" t="s">
        <v>510</v>
      </c>
      <c r="U77" s="147" t="s">
        <v>343</v>
      </c>
      <c r="V77" s="147" t="s">
        <v>510</v>
      </c>
      <c r="W77" s="147" t="s">
        <v>518</v>
      </c>
      <c r="X77" s="147" t="s">
        <v>535</v>
      </c>
      <c r="Y77" s="147" t="s">
        <v>343</v>
      </c>
      <c r="Z77" s="147" t="s">
        <v>512</v>
      </c>
      <c r="AA77" s="147" t="s">
        <v>520</v>
      </c>
      <c r="AB77" s="147" t="s">
        <v>521</v>
      </c>
      <c r="AC77" s="147" t="s">
        <v>522</v>
      </c>
      <c r="AD77" s="147" t="s">
        <v>523</v>
      </c>
      <c r="AE77" s="147" t="s">
        <v>510</v>
      </c>
      <c r="AF77" s="147" t="s">
        <v>343</v>
      </c>
    </row>
    <row r="78" spans="1:32">
      <c r="A78" s="147" t="s">
        <v>682</v>
      </c>
      <c r="B78" s="147" t="s">
        <v>502</v>
      </c>
      <c r="C78" s="147" t="s">
        <v>683</v>
      </c>
      <c r="D78" s="147" t="s">
        <v>684</v>
      </c>
      <c r="E78" s="147" t="s">
        <v>343</v>
      </c>
      <c r="F78" s="147" t="s">
        <v>343</v>
      </c>
      <c r="G78" s="147" t="s">
        <v>200</v>
      </c>
      <c r="H78" s="147">
        <v>19</v>
      </c>
      <c r="I78" s="147" t="s">
        <v>343</v>
      </c>
      <c r="J78" s="148">
        <v>828.66666666666663</v>
      </c>
      <c r="K78" s="147">
        <v>14</v>
      </c>
      <c r="L78" s="147" t="s">
        <v>507</v>
      </c>
      <c r="M78" s="147">
        <v>14</v>
      </c>
      <c r="N78" s="147" t="s">
        <v>508</v>
      </c>
      <c r="O78" s="148">
        <v>10684</v>
      </c>
      <c r="P78" s="148">
        <v>726</v>
      </c>
      <c r="Q78" s="148">
        <v>10642.5</v>
      </c>
      <c r="R78" s="148">
        <v>6359</v>
      </c>
      <c r="S78" s="149">
        <v>63.595238095238095</v>
      </c>
      <c r="T78" s="147" t="s">
        <v>510</v>
      </c>
      <c r="U78" s="147" t="s">
        <v>343</v>
      </c>
      <c r="V78" s="147" t="s">
        <v>510</v>
      </c>
      <c r="W78" s="147" t="s">
        <v>343</v>
      </c>
      <c r="X78" s="147" t="s">
        <v>535</v>
      </c>
      <c r="Y78" s="147" t="s">
        <v>343</v>
      </c>
      <c r="Z78" s="147" t="s">
        <v>600</v>
      </c>
      <c r="AA78" s="147" t="s">
        <v>685</v>
      </c>
      <c r="AB78" s="147" t="s">
        <v>686</v>
      </c>
      <c r="AC78" s="147" t="s">
        <v>643</v>
      </c>
      <c r="AD78" s="147" t="s">
        <v>687</v>
      </c>
      <c r="AE78" s="147" t="s">
        <v>510</v>
      </c>
      <c r="AF78" s="147" t="s">
        <v>343</v>
      </c>
    </row>
    <row r="79" spans="1:32">
      <c r="A79" s="147" t="s">
        <v>688</v>
      </c>
      <c r="B79" s="147" t="s">
        <v>567</v>
      </c>
      <c r="C79" s="147" t="s">
        <v>503</v>
      </c>
      <c r="D79" s="147" t="s">
        <v>504</v>
      </c>
      <c r="E79" s="147" t="s">
        <v>505</v>
      </c>
      <c r="F79" s="147" t="s">
        <v>506</v>
      </c>
      <c r="G79" s="147" t="s">
        <v>133</v>
      </c>
      <c r="H79" s="147">
        <v>20</v>
      </c>
      <c r="I79" s="147" t="s">
        <v>343</v>
      </c>
      <c r="J79" s="148">
        <v>1450</v>
      </c>
      <c r="K79" s="147">
        <v>13</v>
      </c>
      <c r="L79" s="147" t="s">
        <v>568</v>
      </c>
      <c r="M79" s="147">
        <v>0</v>
      </c>
      <c r="N79" s="147" t="s">
        <v>569</v>
      </c>
      <c r="O79" s="148">
        <v>10555</v>
      </c>
      <c r="P79" s="147" t="s">
        <v>343</v>
      </c>
      <c r="Q79" s="148">
        <v>14635</v>
      </c>
      <c r="R79" s="148">
        <v>4350</v>
      </c>
      <c r="S79" s="149">
        <v>67.660256410256409</v>
      </c>
      <c r="T79" s="147" t="s">
        <v>510</v>
      </c>
      <c r="U79" s="147" t="s">
        <v>343</v>
      </c>
      <c r="V79" s="147" t="s">
        <v>510</v>
      </c>
      <c r="W79" s="147" t="s">
        <v>343</v>
      </c>
      <c r="X79" s="147" t="s">
        <v>343</v>
      </c>
      <c r="Y79" s="147" t="s">
        <v>343</v>
      </c>
      <c r="Z79" s="147" t="s">
        <v>343</v>
      </c>
      <c r="AA79" s="147" t="s">
        <v>596</v>
      </c>
      <c r="AB79" s="147" t="s">
        <v>532</v>
      </c>
      <c r="AC79" s="147" t="s">
        <v>343</v>
      </c>
      <c r="AD79" s="147" t="s">
        <v>343</v>
      </c>
      <c r="AE79" s="147" t="s">
        <v>510</v>
      </c>
      <c r="AF79" s="147" t="s">
        <v>343</v>
      </c>
    </row>
    <row r="80" spans="1:32">
      <c r="A80" s="147" t="s">
        <v>689</v>
      </c>
      <c r="B80" s="147" t="s">
        <v>502</v>
      </c>
      <c r="C80" s="147" t="s">
        <v>503</v>
      </c>
      <c r="D80" s="147" t="s">
        <v>504</v>
      </c>
      <c r="E80" s="147" t="s">
        <v>612</v>
      </c>
      <c r="F80" s="147" t="s">
        <v>599</v>
      </c>
      <c r="G80" s="147" t="s">
        <v>211</v>
      </c>
      <c r="H80" s="147">
        <v>8</v>
      </c>
      <c r="I80" s="147" t="s">
        <v>343</v>
      </c>
      <c r="J80" s="148">
        <v>1280</v>
      </c>
      <c r="K80" s="147">
        <v>45</v>
      </c>
      <c r="L80" s="147" t="s">
        <v>507</v>
      </c>
      <c r="M80" s="147">
        <v>45</v>
      </c>
      <c r="N80" s="147" t="s">
        <v>508</v>
      </c>
      <c r="O80" s="148">
        <v>10370</v>
      </c>
      <c r="P80" s="148">
        <v>1320</v>
      </c>
      <c r="Q80" s="148">
        <v>1580</v>
      </c>
      <c r="R80" s="148">
        <v>8790</v>
      </c>
      <c r="S80" s="149">
        <v>19.203703703703702</v>
      </c>
      <c r="T80" s="147" t="s">
        <v>510</v>
      </c>
      <c r="U80" s="147" t="s">
        <v>343</v>
      </c>
      <c r="V80" s="147" t="s">
        <v>510</v>
      </c>
      <c r="W80" s="147" t="s">
        <v>511</v>
      </c>
      <c r="X80" s="147" t="s">
        <v>519</v>
      </c>
      <c r="Y80" s="147" t="s">
        <v>343</v>
      </c>
      <c r="Z80" s="147" t="s">
        <v>512</v>
      </c>
      <c r="AA80" s="147" t="s">
        <v>605</v>
      </c>
      <c r="AB80" s="147" t="s">
        <v>532</v>
      </c>
      <c r="AC80" s="147" t="s">
        <v>522</v>
      </c>
      <c r="AD80" s="147" t="s">
        <v>516</v>
      </c>
      <c r="AE80" s="147" t="s">
        <v>509</v>
      </c>
      <c r="AF80" s="147" t="s">
        <v>343</v>
      </c>
    </row>
    <row r="81" spans="1:32">
      <c r="A81" s="147" t="s">
        <v>690</v>
      </c>
      <c r="B81" s="147" t="s">
        <v>502</v>
      </c>
      <c r="C81" s="147" t="s">
        <v>503</v>
      </c>
      <c r="D81" s="147" t="s">
        <v>504</v>
      </c>
      <c r="E81" s="147" t="s">
        <v>505</v>
      </c>
      <c r="F81" s="147" t="s">
        <v>506</v>
      </c>
      <c r="G81" s="147" t="s">
        <v>122</v>
      </c>
      <c r="H81" s="147">
        <v>31</v>
      </c>
      <c r="I81" s="147" t="s">
        <v>343</v>
      </c>
      <c r="J81" s="148">
        <v>1115</v>
      </c>
      <c r="K81" s="147">
        <v>14</v>
      </c>
      <c r="L81" s="147" t="s">
        <v>507</v>
      </c>
      <c r="M81" s="147">
        <v>14</v>
      </c>
      <c r="N81" s="147" t="s">
        <v>508</v>
      </c>
      <c r="O81" s="148">
        <v>10297</v>
      </c>
      <c r="P81" s="148">
        <v>1115</v>
      </c>
      <c r="Q81" s="148">
        <v>8190</v>
      </c>
      <c r="R81" s="148">
        <v>6557</v>
      </c>
      <c r="S81" s="149">
        <v>61.291666666666671</v>
      </c>
      <c r="T81" s="147" t="s">
        <v>510</v>
      </c>
      <c r="U81" s="147" t="s">
        <v>343</v>
      </c>
      <c r="V81" s="147" t="s">
        <v>510</v>
      </c>
      <c r="W81" s="147" t="s">
        <v>511</v>
      </c>
      <c r="X81" s="147" t="s">
        <v>519</v>
      </c>
      <c r="Y81" s="147" t="s">
        <v>343</v>
      </c>
      <c r="Z81" s="147" t="s">
        <v>512</v>
      </c>
      <c r="AA81" s="147" t="s">
        <v>589</v>
      </c>
      <c r="AB81" s="147" t="s">
        <v>586</v>
      </c>
      <c r="AC81" s="147" t="s">
        <v>515</v>
      </c>
      <c r="AD81" s="147" t="s">
        <v>528</v>
      </c>
      <c r="AE81" s="147" t="s">
        <v>509</v>
      </c>
      <c r="AF81" s="147" t="s">
        <v>343</v>
      </c>
    </row>
    <row r="82" spans="1:32">
      <c r="A82" s="147" t="s">
        <v>691</v>
      </c>
      <c r="B82" s="147" t="s">
        <v>567</v>
      </c>
      <c r="C82" s="147" t="s">
        <v>662</v>
      </c>
      <c r="D82" s="147" t="s">
        <v>343</v>
      </c>
      <c r="E82" s="147" t="s">
        <v>343</v>
      </c>
      <c r="F82" s="147" t="s">
        <v>343</v>
      </c>
      <c r="G82" s="147" t="s">
        <v>133</v>
      </c>
      <c r="H82" s="147">
        <v>12</v>
      </c>
      <c r="I82" s="147" t="s">
        <v>211</v>
      </c>
      <c r="J82" s="148">
        <v>828.33333333333337</v>
      </c>
      <c r="K82" s="147" t="s">
        <v>343</v>
      </c>
      <c r="L82" s="147" t="s">
        <v>640</v>
      </c>
      <c r="M82" s="147" t="s">
        <v>343</v>
      </c>
      <c r="N82" s="147" t="s">
        <v>343</v>
      </c>
      <c r="O82" s="148">
        <v>10240</v>
      </c>
      <c r="P82" s="147" t="s">
        <v>343</v>
      </c>
      <c r="Q82" s="148">
        <v>16573.55</v>
      </c>
      <c r="R82" s="148">
        <v>2485</v>
      </c>
      <c r="S82" s="147" t="s">
        <v>343</v>
      </c>
      <c r="T82" s="147" t="s">
        <v>343</v>
      </c>
      <c r="U82" s="147" t="s">
        <v>343</v>
      </c>
      <c r="V82" s="147" t="s">
        <v>343</v>
      </c>
      <c r="W82" s="147" t="s">
        <v>343</v>
      </c>
      <c r="X82" s="147" t="s">
        <v>343</v>
      </c>
      <c r="Y82" s="147" t="s">
        <v>343</v>
      </c>
      <c r="Z82" s="147" t="s">
        <v>343</v>
      </c>
      <c r="AA82" s="147" t="s">
        <v>343</v>
      </c>
      <c r="AB82" s="147" t="s">
        <v>343</v>
      </c>
      <c r="AC82" s="147" t="s">
        <v>343</v>
      </c>
      <c r="AD82" s="147" t="s">
        <v>343</v>
      </c>
      <c r="AE82" s="147" t="s">
        <v>343</v>
      </c>
      <c r="AF82" s="147" t="s">
        <v>510</v>
      </c>
    </row>
    <row r="83" spans="1:32">
      <c r="A83" s="147" t="s">
        <v>692</v>
      </c>
      <c r="B83" s="147" t="s">
        <v>502</v>
      </c>
      <c r="C83" s="147" t="s">
        <v>503</v>
      </c>
      <c r="D83" s="147" t="s">
        <v>504</v>
      </c>
      <c r="E83" s="147" t="s">
        <v>505</v>
      </c>
      <c r="F83" s="147" t="s">
        <v>506</v>
      </c>
      <c r="G83" s="147" t="s">
        <v>122</v>
      </c>
      <c r="H83" s="147">
        <v>31</v>
      </c>
      <c r="I83" s="147" t="s">
        <v>343</v>
      </c>
      <c r="J83" s="148">
        <v>971.33333333333337</v>
      </c>
      <c r="K83" s="147">
        <v>13</v>
      </c>
      <c r="L83" s="147" t="s">
        <v>507</v>
      </c>
      <c r="M83" s="147">
        <v>13</v>
      </c>
      <c r="N83" s="147" t="s">
        <v>508</v>
      </c>
      <c r="O83" s="148">
        <v>10173</v>
      </c>
      <c r="P83" s="148">
        <v>997</v>
      </c>
      <c r="Q83" s="148">
        <v>7825</v>
      </c>
      <c r="R83" s="148">
        <v>6543</v>
      </c>
      <c r="S83" s="149">
        <v>65.211538461538467</v>
      </c>
      <c r="T83" s="147" t="s">
        <v>509</v>
      </c>
      <c r="U83" s="147">
        <v>1</v>
      </c>
      <c r="V83" s="147" t="s">
        <v>510</v>
      </c>
      <c r="W83" s="147" t="s">
        <v>511</v>
      </c>
      <c r="X83" s="147" t="s">
        <v>519</v>
      </c>
      <c r="Y83" s="147" t="s">
        <v>343</v>
      </c>
      <c r="Z83" s="147" t="s">
        <v>512</v>
      </c>
      <c r="AA83" s="147" t="s">
        <v>594</v>
      </c>
      <c r="AB83" s="147" t="s">
        <v>586</v>
      </c>
      <c r="AC83" s="147" t="s">
        <v>515</v>
      </c>
      <c r="AD83" s="147" t="s">
        <v>528</v>
      </c>
      <c r="AE83" s="147" t="s">
        <v>509</v>
      </c>
      <c r="AF83" s="147" t="s">
        <v>343</v>
      </c>
    </row>
    <row r="84" spans="1:32">
      <c r="A84" s="147" t="s">
        <v>693</v>
      </c>
      <c r="B84" s="147" t="s">
        <v>567</v>
      </c>
      <c r="C84" s="147" t="s">
        <v>637</v>
      </c>
      <c r="D84" s="147" t="s">
        <v>694</v>
      </c>
      <c r="E84" s="147" t="s">
        <v>343</v>
      </c>
      <c r="F84" s="147" t="s">
        <v>343</v>
      </c>
      <c r="G84" s="147" t="s">
        <v>695</v>
      </c>
      <c r="H84" s="147">
        <v>45</v>
      </c>
      <c r="I84" s="147" t="s">
        <v>627</v>
      </c>
      <c r="J84" s="148">
        <v>850</v>
      </c>
      <c r="K84" s="147" t="s">
        <v>343</v>
      </c>
      <c r="L84" s="147" t="s">
        <v>640</v>
      </c>
      <c r="M84" s="147" t="s">
        <v>343</v>
      </c>
      <c r="N84" s="147" t="s">
        <v>343</v>
      </c>
      <c r="O84" s="148">
        <v>10125</v>
      </c>
      <c r="P84" s="148">
        <v>850</v>
      </c>
      <c r="Q84" s="148">
        <v>9975</v>
      </c>
      <c r="R84" s="148">
        <v>5965</v>
      </c>
      <c r="S84" s="147" t="s">
        <v>343</v>
      </c>
      <c r="T84" s="147" t="s">
        <v>510</v>
      </c>
      <c r="U84" s="147" t="s">
        <v>343</v>
      </c>
      <c r="V84" s="147" t="s">
        <v>510</v>
      </c>
      <c r="W84" s="147" t="s">
        <v>343</v>
      </c>
      <c r="X84" s="147" t="s">
        <v>343</v>
      </c>
      <c r="Y84" s="147" t="s">
        <v>343</v>
      </c>
      <c r="Z84" s="147" t="s">
        <v>600</v>
      </c>
      <c r="AA84" s="147" t="s">
        <v>674</v>
      </c>
      <c r="AB84" s="147" t="s">
        <v>642</v>
      </c>
      <c r="AC84" s="147" t="s">
        <v>643</v>
      </c>
      <c r="AD84" s="147" t="s">
        <v>528</v>
      </c>
      <c r="AE84" s="147" t="s">
        <v>510</v>
      </c>
      <c r="AF84" s="147" t="s">
        <v>510</v>
      </c>
    </row>
    <row r="85" spans="1:32">
      <c r="A85" s="147" t="s">
        <v>696</v>
      </c>
      <c r="B85" s="147" t="s">
        <v>502</v>
      </c>
      <c r="C85" s="147" t="s">
        <v>503</v>
      </c>
      <c r="D85" s="147" t="s">
        <v>504</v>
      </c>
      <c r="E85" s="147" t="s">
        <v>505</v>
      </c>
      <c r="F85" s="147" t="s">
        <v>506</v>
      </c>
      <c r="G85" s="147" t="s">
        <v>697</v>
      </c>
      <c r="H85" s="147">
        <v>39</v>
      </c>
      <c r="I85" s="147" t="s">
        <v>343</v>
      </c>
      <c r="J85" s="148">
        <v>1038</v>
      </c>
      <c r="K85" s="147">
        <v>11</v>
      </c>
      <c r="L85" s="147" t="s">
        <v>507</v>
      </c>
      <c r="M85" s="147">
        <v>11</v>
      </c>
      <c r="N85" s="147" t="s">
        <v>508</v>
      </c>
      <c r="O85" s="148">
        <v>10019</v>
      </c>
      <c r="P85" s="148">
        <v>980</v>
      </c>
      <c r="Q85" s="148">
        <v>7811</v>
      </c>
      <c r="R85" s="148">
        <v>6984</v>
      </c>
      <c r="S85" s="149">
        <v>75.901515151515142</v>
      </c>
      <c r="T85" s="147" t="s">
        <v>510</v>
      </c>
      <c r="U85" s="147" t="s">
        <v>343</v>
      </c>
      <c r="V85" s="147" t="s">
        <v>509</v>
      </c>
      <c r="W85" s="147" t="s">
        <v>518</v>
      </c>
      <c r="X85" s="147" t="s">
        <v>615</v>
      </c>
      <c r="Y85" s="147" t="s">
        <v>359</v>
      </c>
      <c r="Z85" s="147" t="s">
        <v>512</v>
      </c>
      <c r="AA85" s="147" t="s">
        <v>589</v>
      </c>
      <c r="AB85" s="147" t="s">
        <v>586</v>
      </c>
      <c r="AC85" s="147" t="s">
        <v>515</v>
      </c>
      <c r="AD85" s="147" t="s">
        <v>528</v>
      </c>
      <c r="AE85" s="147" t="s">
        <v>510</v>
      </c>
      <c r="AF85" s="147" t="s">
        <v>343</v>
      </c>
    </row>
    <row r="86" spans="1:32">
      <c r="A86" s="147" t="s">
        <v>698</v>
      </c>
      <c r="B86" s="147" t="s">
        <v>502</v>
      </c>
      <c r="C86" s="147" t="s">
        <v>503</v>
      </c>
      <c r="D86" s="147" t="s">
        <v>504</v>
      </c>
      <c r="E86" s="147" t="s">
        <v>612</v>
      </c>
      <c r="F86" s="147" t="s">
        <v>592</v>
      </c>
      <c r="G86" s="147" t="s">
        <v>133</v>
      </c>
      <c r="H86" s="147">
        <v>20</v>
      </c>
      <c r="I86" s="147" t="s">
        <v>343</v>
      </c>
      <c r="J86" s="148">
        <v>1069.5</v>
      </c>
      <c r="K86" s="147">
        <v>21</v>
      </c>
      <c r="L86" s="147" t="s">
        <v>507</v>
      </c>
      <c r="M86" s="147">
        <v>21</v>
      </c>
      <c r="N86" s="147" t="s">
        <v>508</v>
      </c>
      <c r="O86" s="148">
        <v>10018.5</v>
      </c>
      <c r="P86" s="148">
        <v>1480.5</v>
      </c>
      <c r="Q86" s="148">
        <v>9330</v>
      </c>
      <c r="R86" s="148">
        <v>6253.5</v>
      </c>
      <c r="S86" s="149">
        <v>39.75595238095238</v>
      </c>
      <c r="T86" s="147" t="s">
        <v>510</v>
      </c>
      <c r="U86" s="147" t="s">
        <v>343</v>
      </c>
      <c r="V86" s="147" t="s">
        <v>510</v>
      </c>
      <c r="W86" s="147" t="s">
        <v>511</v>
      </c>
      <c r="X86" s="147" t="s">
        <v>615</v>
      </c>
      <c r="Y86" s="147" t="s">
        <v>343</v>
      </c>
      <c r="Z86" s="147" t="s">
        <v>512</v>
      </c>
      <c r="AA86" s="147" t="s">
        <v>531</v>
      </c>
      <c r="AB86" s="147" t="s">
        <v>532</v>
      </c>
      <c r="AC86" s="147" t="s">
        <v>522</v>
      </c>
      <c r="AD86" s="147" t="s">
        <v>516</v>
      </c>
      <c r="AE86" s="147" t="s">
        <v>509</v>
      </c>
      <c r="AF86" s="147" t="s">
        <v>343</v>
      </c>
    </row>
    <row r="87" spans="1:32">
      <c r="A87" s="147" t="s">
        <v>699</v>
      </c>
      <c r="B87" s="147" t="s">
        <v>502</v>
      </c>
      <c r="C87" s="147" t="s">
        <v>503</v>
      </c>
      <c r="D87" s="147" t="s">
        <v>504</v>
      </c>
      <c r="E87" s="147" t="s">
        <v>505</v>
      </c>
      <c r="F87" s="147" t="s">
        <v>506</v>
      </c>
      <c r="G87" s="147" t="s">
        <v>202</v>
      </c>
      <c r="H87" s="147">
        <v>17</v>
      </c>
      <c r="I87" s="147" t="s">
        <v>343</v>
      </c>
      <c r="J87" s="148">
        <v>1105.6666666666667</v>
      </c>
      <c r="K87" s="147">
        <v>19</v>
      </c>
      <c r="L87" s="147" t="s">
        <v>507</v>
      </c>
      <c r="M87" s="147">
        <v>19</v>
      </c>
      <c r="N87" s="147" t="s">
        <v>508</v>
      </c>
      <c r="O87" s="148">
        <v>9454</v>
      </c>
      <c r="P87" s="148">
        <v>1249</v>
      </c>
      <c r="Q87" s="148">
        <v>5755</v>
      </c>
      <c r="R87" s="148">
        <v>6329</v>
      </c>
      <c r="S87" s="149">
        <v>41.464912280701753</v>
      </c>
      <c r="T87" s="147" t="s">
        <v>510</v>
      </c>
      <c r="U87" s="147" t="s">
        <v>343</v>
      </c>
      <c r="V87" s="147" t="s">
        <v>510</v>
      </c>
      <c r="W87" s="147" t="s">
        <v>511</v>
      </c>
      <c r="X87" s="147" t="s">
        <v>519</v>
      </c>
      <c r="Y87" s="147" t="s">
        <v>343</v>
      </c>
      <c r="Z87" s="147" t="s">
        <v>512</v>
      </c>
      <c r="AA87" s="147" t="s">
        <v>536</v>
      </c>
      <c r="AB87" s="147" t="s">
        <v>537</v>
      </c>
      <c r="AC87" s="147" t="s">
        <v>538</v>
      </c>
      <c r="AD87" s="147" t="s">
        <v>523</v>
      </c>
      <c r="AE87" s="147" t="s">
        <v>509</v>
      </c>
      <c r="AF87" s="147" t="s">
        <v>343</v>
      </c>
    </row>
    <row r="88" spans="1:32">
      <c r="A88" s="147" t="s">
        <v>700</v>
      </c>
      <c r="B88" s="147" t="s">
        <v>502</v>
      </c>
      <c r="C88" s="147" t="s">
        <v>503</v>
      </c>
      <c r="D88" s="147" t="s">
        <v>504</v>
      </c>
      <c r="E88" s="147" t="s">
        <v>505</v>
      </c>
      <c r="F88" s="147" t="s">
        <v>506</v>
      </c>
      <c r="G88" s="147" t="s">
        <v>203</v>
      </c>
      <c r="H88" s="147">
        <v>16</v>
      </c>
      <c r="I88" s="147" t="s">
        <v>343</v>
      </c>
      <c r="J88" s="148">
        <v>1076.6666666666667</v>
      </c>
      <c r="K88" s="147">
        <v>19</v>
      </c>
      <c r="L88" s="147" t="s">
        <v>507</v>
      </c>
      <c r="M88" s="147">
        <v>19</v>
      </c>
      <c r="N88" s="147" t="s">
        <v>508</v>
      </c>
      <c r="O88" s="148">
        <v>9449</v>
      </c>
      <c r="P88" s="148">
        <v>1316</v>
      </c>
      <c r="Q88" s="148">
        <v>5358.75</v>
      </c>
      <c r="R88" s="148">
        <v>6024</v>
      </c>
      <c r="S88" s="149">
        <v>41.442982456140349</v>
      </c>
      <c r="T88" s="147" t="s">
        <v>510</v>
      </c>
      <c r="U88" s="147" t="s">
        <v>343</v>
      </c>
      <c r="V88" s="147" t="s">
        <v>510</v>
      </c>
      <c r="W88" s="147" t="s">
        <v>518</v>
      </c>
      <c r="X88" s="147" t="s">
        <v>535</v>
      </c>
      <c r="Y88" s="147" t="s">
        <v>343</v>
      </c>
      <c r="Z88" s="147" t="s">
        <v>512</v>
      </c>
      <c r="AA88" s="147" t="s">
        <v>613</v>
      </c>
      <c r="AB88" s="147" t="s">
        <v>537</v>
      </c>
      <c r="AC88" s="147" t="s">
        <v>538</v>
      </c>
      <c r="AD88" s="147" t="s">
        <v>523</v>
      </c>
      <c r="AE88" s="147" t="s">
        <v>510</v>
      </c>
      <c r="AF88" s="147" t="s">
        <v>343</v>
      </c>
    </row>
    <row r="89" spans="1:32">
      <c r="A89" s="147" t="s">
        <v>701</v>
      </c>
      <c r="B89" s="147" t="s">
        <v>502</v>
      </c>
      <c r="C89" s="147" t="s">
        <v>503</v>
      </c>
      <c r="D89" s="147" t="s">
        <v>504</v>
      </c>
      <c r="E89" s="147" t="s">
        <v>505</v>
      </c>
      <c r="F89" s="147" t="s">
        <v>506</v>
      </c>
      <c r="G89" s="147" t="s">
        <v>210</v>
      </c>
      <c r="H89" s="147">
        <v>9</v>
      </c>
      <c r="I89" s="147" t="s">
        <v>343</v>
      </c>
      <c r="J89" s="148">
        <v>955</v>
      </c>
      <c r="K89" s="147">
        <v>9</v>
      </c>
      <c r="L89" s="147" t="s">
        <v>560</v>
      </c>
      <c r="M89" s="147" t="s">
        <v>343</v>
      </c>
      <c r="N89" s="147" t="s">
        <v>343</v>
      </c>
      <c r="O89" s="148">
        <v>9136.25</v>
      </c>
      <c r="P89" s="148">
        <v>955</v>
      </c>
      <c r="Q89" s="148">
        <v>2540</v>
      </c>
      <c r="R89" s="148">
        <v>6596.25</v>
      </c>
      <c r="S89" s="149">
        <v>84.594907407407405</v>
      </c>
      <c r="T89" s="147" t="s">
        <v>510</v>
      </c>
      <c r="U89" s="147" t="s">
        <v>343</v>
      </c>
      <c r="V89" s="147" t="s">
        <v>509</v>
      </c>
      <c r="W89" s="147" t="s">
        <v>518</v>
      </c>
      <c r="X89" s="147" t="s">
        <v>519</v>
      </c>
      <c r="Y89" s="147" t="s">
        <v>359</v>
      </c>
      <c r="Z89" s="147" t="s">
        <v>512</v>
      </c>
      <c r="AA89" s="147" t="s">
        <v>543</v>
      </c>
      <c r="AB89" s="147" t="s">
        <v>537</v>
      </c>
      <c r="AC89" s="147" t="s">
        <v>538</v>
      </c>
      <c r="AD89" s="147" t="s">
        <v>523</v>
      </c>
      <c r="AE89" s="147" t="s">
        <v>510</v>
      </c>
      <c r="AF89" s="147" t="s">
        <v>343</v>
      </c>
    </row>
    <row r="90" spans="1:32">
      <c r="A90" s="147" t="s">
        <v>702</v>
      </c>
      <c r="B90" s="147" t="s">
        <v>502</v>
      </c>
      <c r="C90" s="147" t="s">
        <v>503</v>
      </c>
      <c r="D90" s="147" t="s">
        <v>504</v>
      </c>
      <c r="E90" s="147" t="s">
        <v>505</v>
      </c>
      <c r="F90" s="147" t="s">
        <v>592</v>
      </c>
      <c r="G90" s="147" t="s">
        <v>203</v>
      </c>
      <c r="H90" s="147">
        <v>16</v>
      </c>
      <c r="I90" s="147" t="s">
        <v>343</v>
      </c>
      <c r="J90" s="148">
        <v>922</v>
      </c>
      <c r="K90" s="147">
        <v>8</v>
      </c>
      <c r="L90" s="147" t="s">
        <v>560</v>
      </c>
      <c r="M90" s="147" t="s">
        <v>343</v>
      </c>
      <c r="N90" s="147" t="s">
        <v>343</v>
      </c>
      <c r="O90" s="148">
        <v>9122</v>
      </c>
      <c r="P90" s="148">
        <v>1154</v>
      </c>
      <c r="Q90" s="148">
        <v>5456.25</v>
      </c>
      <c r="R90" s="148">
        <v>6152</v>
      </c>
      <c r="S90" s="149">
        <v>95.020833333333329</v>
      </c>
      <c r="T90" s="147" t="s">
        <v>510</v>
      </c>
      <c r="U90" s="147" t="s">
        <v>343</v>
      </c>
      <c r="V90" s="147" t="s">
        <v>510</v>
      </c>
      <c r="W90" s="147" t="s">
        <v>511</v>
      </c>
      <c r="X90" s="147" t="s">
        <v>535</v>
      </c>
      <c r="Y90" s="147" t="s">
        <v>343</v>
      </c>
      <c r="Z90" s="147" t="s">
        <v>512</v>
      </c>
      <c r="AA90" s="147" t="s">
        <v>536</v>
      </c>
      <c r="AB90" s="147" t="s">
        <v>537</v>
      </c>
      <c r="AC90" s="147" t="s">
        <v>538</v>
      </c>
      <c r="AD90" s="147" t="s">
        <v>523</v>
      </c>
      <c r="AE90" s="147" t="s">
        <v>509</v>
      </c>
      <c r="AF90" s="147" t="s">
        <v>343</v>
      </c>
    </row>
    <row r="91" spans="1:32">
      <c r="A91" s="147" t="s">
        <v>703</v>
      </c>
      <c r="B91" s="147" t="s">
        <v>502</v>
      </c>
      <c r="C91" s="147" t="s">
        <v>503</v>
      </c>
      <c r="D91" s="147" t="s">
        <v>504</v>
      </c>
      <c r="E91" s="147" t="s">
        <v>505</v>
      </c>
      <c r="F91" s="147" t="s">
        <v>592</v>
      </c>
      <c r="G91" s="147" t="s">
        <v>206</v>
      </c>
      <c r="H91" s="147">
        <v>13</v>
      </c>
      <c r="I91" s="147" t="s">
        <v>343</v>
      </c>
      <c r="J91" s="148">
        <v>1284</v>
      </c>
      <c r="K91" s="147">
        <v>11</v>
      </c>
      <c r="L91" s="147" t="s">
        <v>560</v>
      </c>
      <c r="M91" s="147" t="s">
        <v>343</v>
      </c>
      <c r="N91" s="147" t="s">
        <v>343</v>
      </c>
      <c r="O91" s="148">
        <v>9097</v>
      </c>
      <c r="P91" s="148">
        <v>1232</v>
      </c>
      <c r="Q91" s="148">
        <v>3100</v>
      </c>
      <c r="R91" s="148">
        <v>6737</v>
      </c>
      <c r="S91" s="149">
        <v>68.916666666666671</v>
      </c>
      <c r="T91" s="147" t="s">
        <v>509</v>
      </c>
      <c r="U91" s="147">
        <v>11</v>
      </c>
      <c r="V91" s="147" t="s">
        <v>509</v>
      </c>
      <c r="W91" s="147" t="s">
        <v>511</v>
      </c>
      <c r="X91" s="147" t="s">
        <v>519</v>
      </c>
      <c r="Y91" s="147" t="s">
        <v>347</v>
      </c>
      <c r="Z91" s="147" t="s">
        <v>512</v>
      </c>
      <c r="AA91" s="147" t="s">
        <v>570</v>
      </c>
      <c r="AB91" s="147" t="s">
        <v>551</v>
      </c>
      <c r="AC91" s="147" t="s">
        <v>538</v>
      </c>
      <c r="AD91" s="147" t="s">
        <v>528</v>
      </c>
      <c r="AE91" s="147" t="s">
        <v>509</v>
      </c>
      <c r="AF91" s="147" t="s">
        <v>343</v>
      </c>
    </row>
    <row r="92" spans="1:32">
      <c r="A92" s="147" t="s">
        <v>704</v>
      </c>
      <c r="B92" s="147" t="s">
        <v>567</v>
      </c>
      <c r="C92" s="147" t="s">
        <v>637</v>
      </c>
      <c r="D92" s="147" t="s">
        <v>705</v>
      </c>
      <c r="E92" s="147" t="s">
        <v>343</v>
      </c>
      <c r="F92" s="147" t="s">
        <v>343</v>
      </c>
      <c r="G92" s="147" t="s">
        <v>639</v>
      </c>
      <c r="H92" s="147">
        <v>63</v>
      </c>
      <c r="I92" s="147" t="s">
        <v>627</v>
      </c>
      <c r="J92" s="148">
        <v>750</v>
      </c>
      <c r="K92" s="147" t="s">
        <v>343</v>
      </c>
      <c r="L92" s="147" t="s">
        <v>640</v>
      </c>
      <c r="M92" s="147" t="s">
        <v>343</v>
      </c>
      <c r="N92" s="147" t="s">
        <v>343</v>
      </c>
      <c r="O92" s="148">
        <v>8845</v>
      </c>
      <c r="P92" s="148">
        <v>750</v>
      </c>
      <c r="Q92" s="148">
        <v>8310</v>
      </c>
      <c r="R92" s="148">
        <v>5220</v>
      </c>
      <c r="S92" s="147" t="s">
        <v>343</v>
      </c>
      <c r="T92" s="147" t="s">
        <v>510</v>
      </c>
      <c r="U92" s="147" t="s">
        <v>343</v>
      </c>
      <c r="V92" s="147" t="s">
        <v>510</v>
      </c>
      <c r="W92" s="147" t="s">
        <v>343</v>
      </c>
      <c r="X92" s="147" t="s">
        <v>343</v>
      </c>
      <c r="Y92" s="147" t="s">
        <v>343</v>
      </c>
      <c r="Z92" s="147" t="s">
        <v>600</v>
      </c>
      <c r="AA92" s="147" t="s">
        <v>641</v>
      </c>
      <c r="AB92" s="147" t="s">
        <v>642</v>
      </c>
      <c r="AC92" s="147" t="s">
        <v>643</v>
      </c>
      <c r="AD92" s="147" t="s">
        <v>528</v>
      </c>
      <c r="AE92" s="147" t="s">
        <v>510</v>
      </c>
      <c r="AF92" s="147" t="s">
        <v>510</v>
      </c>
    </row>
    <row r="93" spans="1:32">
      <c r="A93" s="147" t="s">
        <v>706</v>
      </c>
      <c r="B93" s="147" t="s">
        <v>502</v>
      </c>
      <c r="C93" s="147" t="s">
        <v>503</v>
      </c>
      <c r="D93" s="147" t="s">
        <v>504</v>
      </c>
      <c r="E93" s="147" t="s">
        <v>505</v>
      </c>
      <c r="F93" s="147" t="s">
        <v>506</v>
      </c>
      <c r="G93" s="147" t="s">
        <v>245</v>
      </c>
      <c r="H93" s="147">
        <v>4</v>
      </c>
      <c r="I93" s="147" t="s">
        <v>343</v>
      </c>
      <c r="J93" s="148">
        <v>1829.6666666666667</v>
      </c>
      <c r="K93" s="147">
        <v>27</v>
      </c>
      <c r="L93" s="147" t="s">
        <v>507</v>
      </c>
      <c r="M93" s="147">
        <v>27</v>
      </c>
      <c r="N93" s="147" t="s">
        <v>508</v>
      </c>
      <c r="O93" s="148">
        <v>8815</v>
      </c>
      <c r="P93" s="148">
        <v>1919</v>
      </c>
      <c r="Q93" s="147" t="s">
        <v>343</v>
      </c>
      <c r="R93" s="148">
        <v>8815</v>
      </c>
      <c r="S93" s="149">
        <v>27.206790123456791</v>
      </c>
      <c r="T93" s="147" t="s">
        <v>510</v>
      </c>
      <c r="U93" s="147" t="s">
        <v>343</v>
      </c>
      <c r="V93" s="147" t="s">
        <v>510</v>
      </c>
      <c r="W93" s="147" t="s">
        <v>511</v>
      </c>
      <c r="X93" s="147" t="s">
        <v>519</v>
      </c>
      <c r="Y93" s="147" t="s">
        <v>343</v>
      </c>
      <c r="Z93" s="147" t="s">
        <v>512</v>
      </c>
      <c r="AA93" s="147" t="s">
        <v>573</v>
      </c>
      <c r="AB93" s="147" t="s">
        <v>562</v>
      </c>
      <c r="AC93" s="147" t="s">
        <v>515</v>
      </c>
      <c r="AD93" s="147" t="s">
        <v>563</v>
      </c>
      <c r="AE93" s="147" t="s">
        <v>509</v>
      </c>
      <c r="AF93" s="147" t="s">
        <v>343</v>
      </c>
    </row>
    <row r="94" spans="1:32">
      <c r="A94" s="147" t="s">
        <v>707</v>
      </c>
      <c r="B94" s="147" t="s">
        <v>502</v>
      </c>
      <c r="C94" s="147" t="s">
        <v>503</v>
      </c>
      <c r="D94" s="147" t="s">
        <v>504</v>
      </c>
      <c r="E94" s="147" t="s">
        <v>505</v>
      </c>
      <c r="F94" s="147" t="s">
        <v>506</v>
      </c>
      <c r="G94" s="147" t="s">
        <v>202</v>
      </c>
      <c r="H94" s="147">
        <v>17</v>
      </c>
      <c r="I94" s="147" t="s">
        <v>343</v>
      </c>
      <c r="J94" s="148">
        <v>932.66666666666663</v>
      </c>
      <c r="K94" s="147">
        <v>22</v>
      </c>
      <c r="L94" s="147" t="s">
        <v>507</v>
      </c>
      <c r="M94" s="147">
        <v>22</v>
      </c>
      <c r="N94" s="147" t="s">
        <v>508</v>
      </c>
      <c r="O94" s="148">
        <v>8804</v>
      </c>
      <c r="P94" s="148">
        <v>1115</v>
      </c>
      <c r="Q94" s="148">
        <v>7318.75</v>
      </c>
      <c r="R94" s="148">
        <v>4929</v>
      </c>
      <c r="S94" s="149">
        <v>33.348484848484844</v>
      </c>
      <c r="T94" s="147" t="s">
        <v>510</v>
      </c>
      <c r="U94" s="147" t="s">
        <v>343</v>
      </c>
      <c r="V94" s="147" t="s">
        <v>510</v>
      </c>
      <c r="W94" s="147" t="s">
        <v>511</v>
      </c>
      <c r="X94" s="147" t="s">
        <v>535</v>
      </c>
      <c r="Y94" s="147" t="s">
        <v>343</v>
      </c>
      <c r="Z94" s="147" t="s">
        <v>512</v>
      </c>
      <c r="AA94" s="147" t="s">
        <v>648</v>
      </c>
      <c r="AB94" s="147" t="s">
        <v>551</v>
      </c>
      <c r="AC94" s="147" t="s">
        <v>538</v>
      </c>
      <c r="AD94" s="147" t="s">
        <v>528</v>
      </c>
      <c r="AE94" s="147" t="s">
        <v>509</v>
      </c>
      <c r="AF94" s="147" t="s">
        <v>343</v>
      </c>
    </row>
    <row r="95" spans="1:32">
      <c r="A95" s="147" t="s">
        <v>708</v>
      </c>
      <c r="B95" s="147" t="s">
        <v>502</v>
      </c>
      <c r="C95" s="147" t="s">
        <v>683</v>
      </c>
      <c r="D95" s="147" t="s">
        <v>684</v>
      </c>
      <c r="E95" s="147" t="s">
        <v>343</v>
      </c>
      <c r="F95" s="147" t="s">
        <v>343</v>
      </c>
      <c r="G95" s="147" t="s">
        <v>122</v>
      </c>
      <c r="H95" s="147">
        <v>31</v>
      </c>
      <c r="I95" s="147" t="s">
        <v>343</v>
      </c>
      <c r="J95" s="148">
        <v>418</v>
      </c>
      <c r="K95" s="147" t="s">
        <v>343</v>
      </c>
      <c r="L95" s="147" t="s">
        <v>709</v>
      </c>
      <c r="M95" s="147" t="s">
        <v>343</v>
      </c>
      <c r="N95" s="147" t="s">
        <v>343</v>
      </c>
      <c r="O95" s="148">
        <v>8606</v>
      </c>
      <c r="P95" s="148">
        <v>418</v>
      </c>
      <c r="Q95" s="148">
        <v>8390</v>
      </c>
      <c r="R95" s="148">
        <v>3091</v>
      </c>
      <c r="S95" s="147" t="s">
        <v>343</v>
      </c>
      <c r="T95" s="147" t="s">
        <v>510</v>
      </c>
      <c r="U95" s="147" t="s">
        <v>343</v>
      </c>
      <c r="V95" s="147" t="s">
        <v>510</v>
      </c>
      <c r="W95" s="147" t="s">
        <v>343</v>
      </c>
      <c r="X95" s="147" t="s">
        <v>343</v>
      </c>
      <c r="Y95" s="147" t="s">
        <v>343</v>
      </c>
      <c r="Z95" s="147" t="s">
        <v>600</v>
      </c>
      <c r="AA95" s="147" t="s">
        <v>710</v>
      </c>
      <c r="AB95" s="147" t="s">
        <v>686</v>
      </c>
      <c r="AC95" s="147" t="s">
        <v>643</v>
      </c>
      <c r="AD95" s="147" t="s">
        <v>687</v>
      </c>
      <c r="AE95" s="147" t="s">
        <v>510</v>
      </c>
      <c r="AF95" s="147" t="s">
        <v>343</v>
      </c>
    </row>
    <row r="96" spans="1:32">
      <c r="A96" s="147" t="s">
        <v>711</v>
      </c>
      <c r="B96" s="147" t="s">
        <v>502</v>
      </c>
      <c r="C96" s="147" t="s">
        <v>503</v>
      </c>
      <c r="D96" s="147" t="s">
        <v>504</v>
      </c>
      <c r="E96" s="147" t="s">
        <v>612</v>
      </c>
      <c r="F96" s="147" t="s">
        <v>506</v>
      </c>
      <c r="G96" s="147" t="s">
        <v>123</v>
      </c>
      <c r="H96" s="147">
        <v>30</v>
      </c>
      <c r="I96" s="147" t="s">
        <v>343</v>
      </c>
      <c r="J96" s="148">
        <v>692</v>
      </c>
      <c r="K96" s="147">
        <v>5</v>
      </c>
      <c r="L96" s="147" t="s">
        <v>507</v>
      </c>
      <c r="M96" s="147">
        <v>5</v>
      </c>
      <c r="N96" s="147" t="s">
        <v>508</v>
      </c>
      <c r="O96" s="148">
        <v>8579</v>
      </c>
      <c r="P96" s="148">
        <v>692</v>
      </c>
      <c r="Q96" s="148">
        <v>7830</v>
      </c>
      <c r="R96" s="148">
        <v>4789</v>
      </c>
      <c r="S96" s="149">
        <v>142.98333333333332</v>
      </c>
      <c r="T96" s="147" t="s">
        <v>509</v>
      </c>
      <c r="U96" s="147" t="s">
        <v>343</v>
      </c>
      <c r="V96" s="147" t="s">
        <v>510</v>
      </c>
      <c r="W96" s="147" t="s">
        <v>511</v>
      </c>
      <c r="X96" s="147" t="s">
        <v>519</v>
      </c>
      <c r="Y96" s="147" t="s">
        <v>343</v>
      </c>
      <c r="Z96" s="147" t="s">
        <v>512</v>
      </c>
      <c r="AA96" s="147" t="s">
        <v>565</v>
      </c>
      <c r="AB96" s="147" t="s">
        <v>562</v>
      </c>
      <c r="AC96" s="147" t="s">
        <v>515</v>
      </c>
      <c r="AD96" s="147" t="s">
        <v>563</v>
      </c>
      <c r="AE96" s="147" t="s">
        <v>509</v>
      </c>
      <c r="AF96" s="147" t="s">
        <v>343</v>
      </c>
    </row>
    <row r="97" spans="1:32">
      <c r="A97" s="147" t="s">
        <v>712</v>
      </c>
      <c r="B97" s="147" t="s">
        <v>567</v>
      </c>
      <c r="C97" s="147" t="s">
        <v>503</v>
      </c>
      <c r="D97" s="147" t="s">
        <v>504</v>
      </c>
      <c r="E97" s="147" t="s">
        <v>621</v>
      </c>
      <c r="F97" s="147" t="s">
        <v>592</v>
      </c>
      <c r="G97" s="147" t="s">
        <v>210</v>
      </c>
      <c r="H97" s="147">
        <v>3</v>
      </c>
      <c r="I97" s="147" t="s">
        <v>243</v>
      </c>
      <c r="J97" s="148">
        <v>2853.3333333333335</v>
      </c>
      <c r="K97" s="147">
        <v>90</v>
      </c>
      <c r="L97" s="147" t="s">
        <v>568</v>
      </c>
      <c r="M97" s="147" t="s">
        <v>343</v>
      </c>
      <c r="N97" s="147" t="s">
        <v>343</v>
      </c>
      <c r="O97" s="148">
        <v>8560</v>
      </c>
      <c r="P97" s="147" t="s">
        <v>343</v>
      </c>
      <c r="Q97" s="148">
        <v>6612.5</v>
      </c>
      <c r="R97" s="148">
        <v>1947.5</v>
      </c>
      <c r="S97" s="149">
        <v>7.9259259259259265</v>
      </c>
      <c r="T97" s="147" t="s">
        <v>510</v>
      </c>
      <c r="U97" s="147" t="s">
        <v>343</v>
      </c>
      <c r="V97" s="147" t="s">
        <v>510</v>
      </c>
      <c r="W97" s="147" t="s">
        <v>343</v>
      </c>
      <c r="X97" s="147" t="s">
        <v>343</v>
      </c>
      <c r="Y97" s="147" t="s">
        <v>343</v>
      </c>
      <c r="Z97" s="147" t="s">
        <v>343</v>
      </c>
      <c r="AA97" s="147" t="s">
        <v>656</v>
      </c>
      <c r="AB97" s="147" t="s">
        <v>713</v>
      </c>
      <c r="AC97" s="147" t="s">
        <v>343</v>
      </c>
      <c r="AD97" s="147" t="s">
        <v>343</v>
      </c>
      <c r="AE97" s="147" t="s">
        <v>510</v>
      </c>
      <c r="AF97" s="147" t="s">
        <v>510</v>
      </c>
    </row>
    <row r="98" spans="1:32">
      <c r="A98" s="147" t="s">
        <v>714</v>
      </c>
      <c r="B98" s="147" t="s">
        <v>502</v>
      </c>
      <c r="C98" s="147" t="s">
        <v>503</v>
      </c>
      <c r="D98" s="147" t="s">
        <v>504</v>
      </c>
      <c r="E98" s="147" t="s">
        <v>505</v>
      </c>
      <c r="F98" s="147" t="s">
        <v>506</v>
      </c>
      <c r="G98" s="147" t="s">
        <v>593</v>
      </c>
      <c r="H98" s="147">
        <v>32</v>
      </c>
      <c r="I98" s="147" t="s">
        <v>343</v>
      </c>
      <c r="J98" s="148">
        <v>1300</v>
      </c>
      <c r="K98" s="147">
        <v>12</v>
      </c>
      <c r="L98" s="147" t="s">
        <v>560</v>
      </c>
      <c r="M98" s="147">
        <v>13</v>
      </c>
      <c r="N98" s="147" t="s">
        <v>584</v>
      </c>
      <c r="O98" s="148">
        <v>8375</v>
      </c>
      <c r="P98" s="148">
        <v>1440</v>
      </c>
      <c r="Q98" s="148">
        <v>5515</v>
      </c>
      <c r="R98" s="148">
        <v>6225</v>
      </c>
      <c r="S98" s="149">
        <v>58.159722222222221</v>
      </c>
      <c r="T98" s="147" t="s">
        <v>509</v>
      </c>
      <c r="U98" s="147" t="s">
        <v>343</v>
      </c>
      <c r="V98" s="147" t="s">
        <v>510</v>
      </c>
      <c r="W98" s="147" t="s">
        <v>518</v>
      </c>
      <c r="X98" s="147" t="s">
        <v>519</v>
      </c>
      <c r="Y98" s="147" t="s">
        <v>343</v>
      </c>
      <c r="Z98" s="147" t="s">
        <v>512</v>
      </c>
      <c r="AA98" s="147" t="s">
        <v>594</v>
      </c>
      <c r="AB98" s="147" t="s">
        <v>586</v>
      </c>
      <c r="AC98" s="147" t="s">
        <v>515</v>
      </c>
      <c r="AD98" s="147" t="s">
        <v>528</v>
      </c>
      <c r="AE98" s="147" t="s">
        <v>510</v>
      </c>
      <c r="AF98" s="147" t="s">
        <v>343</v>
      </c>
    </row>
    <row r="99" spans="1:32">
      <c r="A99" s="147" t="s">
        <v>715</v>
      </c>
      <c r="B99" s="147" t="s">
        <v>502</v>
      </c>
      <c r="C99" s="147" t="s">
        <v>503</v>
      </c>
      <c r="D99" s="147" t="s">
        <v>504</v>
      </c>
      <c r="E99" s="147" t="s">
        <v>505</v>
      </c>
      <c r="F99" s="147" t="s">
        <v>592</v>
      </c>
      <c r="G99" s="147" t="s">
        <v>128</v>
      </c>
      <c r="H99" s="147">
        <v>25</v>
      </c>
      <c r="I99" s="147" t="s">
        <v>343</v>
      </c>
      <c r="J99" s="148">
        <v>726.66666666666663</v>
      </c>
      <c r="K99" s="147">
        <v>12</v>
      </c>
      <c r="L99" s="147" t="s">
        <v>507</v>
      </c>
      <c r="M99" s="147">
        <v>12</v>
      </c>
      <c r="N99" s="147" t="s">
        <v>508</v>
      </c>
      <c r="O99" s="148">
        <v>8250</v>
      </c>
      <c r="P99" s="148">
        <v>730</v>
      </c>
      <c r="Q99" s="148">
        <v>7125</v>
      </c>
      <c r="R99" s="148">
        <v>5080</v>
      </c>
      <c r="S99" s="149">
        <v>57.291666666666664</v>
      </c>
      <c r="T99" s="147" t="s">
        <v>510</v>
      </c>
      <c r="U99" s="147" t="s">
        <v>343</v>
      </c>
      <c r="V99" s="147" t="s">
        <v>510</v>
      </c>
      <c r="W99" s="147" t="s">
        <v>511</v>
      </c>
      <c r="X99" s="147" t="s">
        <v>545</v>
      </c>
      <c r="Y99" s="147" t="s">
        <v>343</v>
      </c>
      <c r="Z99" s="147" t="s">
        <v>512</v>
      </c>
      <c r="AA99" s="147" t="s">
        <v>596</v>
      </c>
      <c r="AB99" s="147" t="s">
        <v>532</v>
      </c>
      <c r="AC99" s="147" t="s">
        <v>522</v>
      </c>
      <c r="AD99" s="147" t="s">
        <v>516</v>
      </c>
      <c r="AE99" s="147" t="s">
        <v>509</v>
      </c>
      <c r="AF99" s="147" t="s">
        <v>343</v>
      </c>
    </row>
    <row r="100" spans="1:32">
      <c r="A100" s="147" t="s">
        <v>716</v>
      </c>
      <c r="B100" s="147" t="s">
        <v>567</v>
      </c>
      <c r="C100" s="147" t="s">
        <v>503</v>
      </c>
      <c r="D100" s="147" t="s">
        <v>504</v>
      </c>
      <c r="E100" s="147" t="s">
        <v>621</v>
      </c>
      <c r="F100" s="147" t="s">
        <v>506</v>
      </c>
      <c r="G100" s="147" t="s">
        <v>201</v>
      </c>
      <c r="H100" s="147">
        <v>6</v>
      </c>
      <c r="I100" s="147" t="s">
        <v>207</v>
      </c>
      <c r="J100" s="148">
        <v>2715</v>
      </c>
      <c r="K100" s="147">
        <v>48</v>
      </c>
      <c r="L100" s="147" t="s">
        <v>507</v>
      </c>
      <c r="M100" s="147">
        <v>48</v>
      </c>
      <c r="N100" s="147" t="s">
        <v>508</v>
      </c>
      <c r="O100" s="148">
        <v>8145</v>
      </c>
      <c r="P100" s="148">
        <v>2000</v>
      </c>
      <c r="Q100" s="148">
        <v>10932</v>
      </c>
      <c r="R100" s="148">
        <v>8145</v>
      </c>
      <c r="S100" s="149">
        <v>14.140625</v>
      </c>
      <c r="T100" s="147" t="s">
        <v>510</v>
      </c>
      <c r="U100" s="147" t="s">
        <v>343</v>
      </c>
      <c r="V100" s="147" t="s">
        <v>510</v>
      </c>
      <c r="W100" s="147" t="s">
        <v>511</v>
      </c>
      <c r="X100" s="147" t="s">
        <v>519</v>
      </c>
      <c r="Y100" s="147" t="s">
        <v>347</v>
      </c>
      <c r="Z100" s="147" t="s">
        <v>512</v>
      </c>
      <c r="AA100" s="147" t="s">
        <v>631</v>
      </c>
      <c r="AB100" s="147" t="s">
        <v>514</v>
      </c>
      <c r="AC100" s="147" t="s">
        <v>515</v>
      </c>
      <c r="AD100" s="147" t="s">
        <v>516</v>
      </c>
      <c r="AE100" s="147" t="s">
        <v>509</v>
      </c>
      <c r="AF100" s="147" t="s">
        <v>509</v>
      </c>
    </row>
    <row r="101" spans="1:32">
      <c r="A101" s="147" t="s">
        <v>717</v>
      </c>
      <c r="B101" s="147" t="s">
        <v>502</v>
      </c>
      <c r="C101" s="147" t="s">
        <v>503</v>
      </c>
      <c r="D101" s="147" t="s">
        <v>504</v>
      </c>
      <c r="E101" s="147" t="s">
        <v>505</v>
      </c>
      <c r="F101" s="147" t="s">
        <v>506</v>
      </c>
      <c r="G101" s="147" t="s">
        <v>129</v>
      </c>
      <c r="H101" s="147">
        <v>24</v>
      </c>
      <c r="I101" s="147" t="s">
        <v>343</v>
      </c>
      <c r="J101" s="148">
        <v>775</v>
      </c>
      <c r="K101" s="147">
        <v>12</v>
      </c>
      <c r="L101" s="147" t="s">
        <v>507</v>
      </c>
      <c r="M101" s="147">
        <v>12</v>
      </c>
      <c r="N101" s="147" t="s">
        <v>508</v>
      </c>
      <c r="O101" s="148">
        <v>8040</v>
      </c>
      <c r="P101" s="148">
        <v>875</v>
      </c>
      <c r="Q101" s="148">
        <v>4680</v>
      </c>
      <c r="R101" s="148">
        <v>6125</v>
      </c>
      <c r="S101" s="149">
        <v>55.833333333333336</v>
      </c>
      <c r="T101" s="147" t="s">
        <v>510</v>
      </c>
      <c r="U101" s="147" t="s">
        <v>343</v>
      </c>
      <c r="V101" s="147" t="s">
        <v>510</v>
      </c>
      <c r="W101" s="147" t="s">
        <v>511</v>
      </c>
      <c r="X101" s="147" t="s">
        <v>535</v>
      </c>
      <c r="Y101" s="147" t="s">
        <v>343</v>
      </c>
      <c r="Z101" s="147" t="s">
        <v>512</v>
      </c>
      <c r="AA101" s="147" t="s">
        <v>596</v>
      </c>
      <c r="AB101" s="147" t="s">
        <v>532</v>
      </c>
      <c r="AC101" s="147" t="s">
        <v>522</v>
      </c>
      <c r="AD101" s="147" t="s">
        <v>516</v>
      </c>
      <c r="AE101" s="147" t="s">
        <v>509</v>
      </c>
      <c r="AF101" s="147" t="s">
        <v>343</v>
      </c>
    </row>
    <row r="102" spans="1:32">
      <c r="A102" s="147" t="s">
        <v>718</v>
      </c>
      <c r="B102" s="147" t="s">
        <v>502</v>
      </c>
      <c r="C102" s="147" t="s">
        <v>503</v>
      </c>
      <c r="D102" s="147" t="s">
        <v>504</v>
      </c>
      <c r="E102" s="147" t="s">
        <v>505</v>
      </c>
      <c r="F102" s="147" t="s">
        <v>506</v>
      </c>
      <c r="G102" s="147" t="s">
        <v>131</v>
      </c>
      <c r="H102" s="147">
        <v>22</v>
      </c>
      <c r="I102" s="147" t="s">
        <v>343</v>
      </c>
      <c r="J102" s="148">
        <v>813.33333333333337</v>
      </c>
      <c r="K102" s="147">
        <v>7</v>
      </c>
      <c r="L102" s="147" t="s">
        <v>507</v>
      </c>
      <c r="M102" s="147">
        <v>7</v>
      </c>
      <c r="N102" s="147" t="s">
        <v>508</v>
      </c>
      <c r="O102" s="148">
        <v>8009</v>
      </c>
      <c r="P102" s="148">
        <v>730</v>
      </c>
      <c r="Q102" s="148">
        <v>5425</v>
      </c>
      <c r="R102" s="148">
        <v>5530</v>
      </c>
      <c r="S102" s="149">
        <v>95.345238095238088</v>
      </c>
      <c r="T102" s="147" t="s">
        <v>510</v>
      </c>
      <c r="U102" s="147" t="s">
        <v>343</v>
      </c>
      <c r="V102" s="147" t="s">
        <v>509</v>
      </c>
      <c r="W102" s="147" t="s">
        <v>511</v>
      </c>
      <c r="X102" s="147" t="s">
        <v>545</v>
      </c>
      <c r="Y102" s="147" t="s">
        <v>347</v>
      </c>
      <c r="Z102" s="147" t="s">
        <v>512</v>
      </c>
      <c r="AA102" s="147" t="s">
        <v>531</v>
      </c>
      <c r="AB102" s="147" t="s">
        <v>532</v>
      </c>
      <c r="AC102" s="147" t="s">
        <v>522</v>
      </c>
      <c r="AD102" s="147" t="s">
        <v>516</v>
      </c>
      <c r="AE102" s="147" t="s">
        <v>509</v>
      </c>
      <c r="AF102" s="147" t="s">
        <v>343</v>
      </c>
    </row>
    <row r="103" spans="1:32">
      <c r="A103" s="147" t="s">
        <v>719</v>
      </c>
      <c r="B103" s="147" t="s">
        <v>19</v>
      </c>
      <c r="C103" s="147" t="s">
        <v>503</v>
      </c>
      <c r="D103" s="147" t="s">
        <v>504</v>
      </c>
      <c r="E103" s="147" t="s">
        <v>612</v>
      </c>
      <c r="F103" s="147" t="s">
        <v>599</v>
      </c>
      <c r="G103" s="147" t="s">
        <v>245</v>
      </c>
      <c r="H103" s="147">
        <v>4</v>
      </c>
      <c r="I103" s="147" t="s">
        <v>343</v>
      </c>
      <c r="J103" s="148">
        <v>1600</v>
      </c>
      <c r="K103" s="147">
        <v>79</v>
      </c>
      <c r="L103" s="147" t="s">
        <v>507</v>
      </c>
      <c r="M103" s="147">
        <v>79</v>
      </c>
      <c r="N103" s="147" t="s">
        <v>508</v>
      </c>
      <c r="O103" s="148">
        <v>7960</v>
      </c>
      <c r="P103" s="148">
        <v>1580</v>
      </c>
      <c r="Q103" s="147" t="s">
        <v>343</v>
      </c>
      <c r="R103" s="148">
        <v>7960</v>
      </c>
      <c r="S103" s="149">
        <v>8.3966244725738406</v>
      </c>
      <c r="T103" s="147" t="s">
        <v>510</v>
      </c>
      <c r="U103" s="147" t="s">
        <v>343</v>
      </c>
      <c r="V103" s="147" t="s">
        <v>510</v>
      </c>
      <c r="W103" s="147" t="s">
        <v>511</v>
      </c>
      <c r="X103" s="147" t="s">
        <v>545</v>
      </c>
      <c r="Y103" s="147" t="s">
        <v>343</v>
      </c>
      <c r="Z103" s="147" t="s">
        <v>512</v>
      </c>
      <c r="AA103" s="147" t="s">
        <v>720</v>
      </c>
      <c r="AB103" s="147" t="s">
        <v>657</v>
      </c>
      <c r="AC103" s="147" t="s">
        <v>571</v>
      </c>
      <c r="AD103" s="147" t="s">
        <v>721</v>
      </c>
      <c r="AE103" s="147" t="s">
        <v>509</v>
      </c>
      <c r="AF103" s="147" t="s">
        <v>343</v>
      </c>
    </row>
    <row r="104" spans="1:32">
      <c r="A104" s="147" t="s">
        <v>722</v>
      </c>
      <c r="B104" s="147" t="s">
        <v>502</v>
      </c>
      <c r="C104" s="147" t="s">
        <v>503</v>
      </c>
      <c r="D104" s="147" t="s">
        <v>504</v>
      </c>
      <c r="E104" s="147" t="s">
        <v>343</v>
      </c>
      <c r="F104" s="147" t="s">
        <v>506</v>
      </c>
      <c r="G104" s="147" t="s">
        <v>246</v>
      </c>
      <c r="H104" s="147">
        <v>3</v>
      </c>
      <c r="I104" s="147" t="s">
        <v>343</v>
      </c>
      <c r="J104" s="148">
        <v>2639</v>
      </c>
      <c r="K104" s="147">
        <v>29</v>
      </c>
      <c r="L104" s="147" t="s">
        <v>507</v>
      </c>
      <c r="M104" s="147">
        <v>29</v>
      </c>
      <c r="N104" s="147" t="s">
        <v>508</v>
      </c>
      <c r="O104" s="148">
        <v>7917</v>
      </c>
      <c r="P104" s="148">
        <v>2007</v>
      </c>
      <c r="Q104" s="147" t="s">
        <v>343</v>
      </c>
      <c r="R104" s="148">
        <v>7917</v>
      </c>
      <c r="S104" s="149">
        <v>22.75</v>
      </c>
      <c r="T104" s="147" t="s">
        <v>510</v>
      </c>
      <c r="U104" s="147" t="s">
        <v>343</v>
      </c>
      <c r="V104" s="147" t="s">
        <v>510</v>
      </c>
      <c r="W104" s="147" t="s">
        <v>511</v>
      </c>
      <c r="X104" s="147" t="s">
        <v>723</v>
      </c>
      <c r="Y104" s="147" t="s">
        <v>347</v>
      </c>
      <c r="Z104" s="147" t="s">
        <v>512</v>
      </c>
      <c r="AA104" s="147" t="s">
        <v>724</v>
      </c>
      <c r="AB104" s="147" t="s">
        <v>527</v>
      </c>
      <c r="AC104" s="147" t="s">
        <v>515</v>
      </c>
      <c r="AD104" s="147" t="s">
        <v>528</v>
      </c>
      <c r="AE104" s="147" t="s">
        <v>509</v>
      </c>
      <c r="AF104" s="147" t="s">
        <v>343</v>
      </c>
    </row>
    <row r="105" spans="1:32">
      <c r="A105" s="147" t="s">
        <v>725</v>
      </c>
      <c r="B105" s="147" t="s">
        <v>502</v>
      </c>
      <c r="C105" s="147" t="s">
        <v>503</v>
      </c>
      <c r="D105" s="147" t="s">
        <v>504</v>
      </c>
      <c r="E105" s="147" t="s">
        <v>505</v>
      </c>
      <c r="F105" s="147" t="s">
        <v>506</v>
      </c>
      <c r="G105" s="147" t="s">
        <v>125</v>
      </c>
      <c r="H105" s="147">
        <v>28</v>
      </c>
      <c r="I105" s="147" t="s">
        <v>343</v>
      </c>
      <c r="J105" s="148">
        <v>572</v>
      </c>
      <c r="K105" s="147">
        <v>6</v>
      </c>
      <c r="L105" s="147" t="s">
        <v>560</v>
      </c>
      <c r="M105" s="147" t="s">
        <v>343</v>
      </c>
      <c r="N105" s="147" t="s">
        <v>343</v>
      </c>
      <c r="O105" s="148">
        <v>7843</v>
      </c>
      <c r="P105" s="148">
        <v>572</v>
      </c>
      <c r="Q105" s="148">
        <v>8838</v>
      </c>
      <c r="R105" s="148">
        <v>4193</v>
      </c>
      <c r="S105" s="149">
        <v>108.93055555555556</v>
      </c>
      <c r="T105" s="147" t="s">
        <v>509</v>
      </c>
      <c r="U105" s="147" t="s">
        <v>343</v>
      </c>
      <c r="V105" s="147" t="s">
        <v>510</v>
      </c>
      <c r="W105" s="147" t="s">
        <v>518</v>
      </c>
      <c r="X105" s="147" t="s">
        <v>615</v>
      </c>
      <c r="Y105" s="147" t="s">
        <v>343</v>
      </c>
      <c r="Z105" s="147" t="s">
        <v>512</v>
      </c>
      <c r="AA105" s="147" t="s">
        <v>613</v>
      </c>
      <c r="AB105" s="147" t="s">
        <v>537</v>
      </c>
      <c r="AC105" s="147" t="s">
        <v>538</v>
      </c>
      <c r="AD105" s="147" t="s">
        <v>523</v>
      </c>
      <c r="AE105" s="147" t="s">
        <v>510</v>
      </c>
      <c r="AF105" s="147" t="s">
        <v>343</v>
      </c>
    </row>
    <row r="106" spans="1:32">
      <c r="A106" s="147" t="s">
        <v>726</v>
      </c>
      <c r="B106" s="147" t="s">
        <v>502</v>
      </c>
      <c r="C106" s="147" t="s">
        <v>503</v>
      </c>
      <c r="D106" s="147" t="s">
        <v>504</v>
      </c>
      <c r="E106" s="147" t="s">
        <v>505</v>
      </c>
      <c r="F106" s="147" t="s">
        <v>506</v>
      </c>
      <c r="G106" s="147" t="s">
        <v>122</v>
      </c>
      <c r="H106" s="147">
        <v>31</v>
      </c>
      <c r="I106" s="147" t="s">
        <v>343</v>
      </c>
      <c r="J106" s="148">
        <v>567.66666666666663</v>
      </c>
      <c r="K106" s="147">
        <v>6</v>
      </c>
      <c r="L106" s="147" t="s">
        <v>507</v>
      </c>
      <c r="M106" s="147">
        <v>6</v>
      </c>
      <c r="N106" s="147" t="s">
        <v>508</v>
      </c>
      <c r="O106" s="148">
        <v>7791</v>
      </c>
      <c r="P106" s="148">
        <v>465</v>
      </c>
      <c r="Q106" s="148">
        <v>7335</v>
      </c>
      <c r="R106" s="148">
        <v>4541</v>
      </c>
      <c r="S106" s="149">
        <v>108.20833333333333</v>
      </c>
      <c r="T106" s="147" t="s">
        <v>510</v>
      </c>
      <c r="U106" s="147" t="s">
        <v>343</v>
      </c>
      <c r="V106" s="147" t="s">
        <v>510</v>
      </c>
      <c r="W106" s="147" t="s">
        <v>511</v>
      </c>
      <c r="X106" s="147" t="s">
        <v>535</v>
      </c>
      <c r="Y106" s="147" t="s">
        <v>343</v>
      </c>
      <c r="Z106" s="147" t="s">
        <v>512</v>
      </c>
      <c r="AA106" s="147" t="s">
        <v>540</v>
      </c>
      <c r="AB106" s="147" t="s">
        <v>541</v>
      </c>
      <c r="AC106" s="147" t="s">
        <v>522</v>
      </c>
      <c r="AD106" s="147" t="s">
        <v>523</v>
      </c>
      <c r="AE106" s="147" t="s">
        <v>509</v>
      </c>
      <c r="AF106" s="147" t="s">
        <v>343</v>
      </c>
    </row>
    <row r="107" spans="1:32">
      <c r="A107" s="147" t="s">
        <v>727</v>
      </c>
      <c r="B107" s="147" t="s">
        <v>502</v>
      </c>
      <c r="C107" s="147" t="s">
        <v>503</v>
      </c>
      <c r="D107" s="147" t="s">
        <v>504</v>
      </c>
      <c r="E107" s="147" t="s">
        <v>505</v>
      </c>
      <c r="F107" s="147" t="s">
        <v>506</v>
      </c>
      <c r="G107" s="147" t="s">
        <v>130</v>
      </c>
      <c r="H107" s="147">
        <v>23</v>
      </c>
      <c r="I107" s="147" t="s">
        <v>343</v>
      </c>
      <c r="J107" s="148">
        <v>650</v>
      </c>
      <c r="K107" s="147">
        <v>8</v>
      </c>
      <c r="L107" s="147" t="s">
        <v>507</v>
      </c>
      <c r="M107" s="147">
        <v>8</v>
      </c>
      <c r="N107" s="147" t="s">
        <v>508</v>
      </c>
      <c r="O107" s="148">
        <v>7523</v>
      </c>
      <c r="P107" s="148">
        <v>725</v>
      </c>
      <c r="Q107" s="148">
        <v>6171</v>
      </c>
      <c r="R107" s="148">
        <v>4820</v>
      </c>
      <c r="S107" s="149">
        <v>78.364583333333329</v>
      </c>
      <c r="T107" s="147" t="s">
        <v>510</v>
      </c>
      <c r="U107" s="147" t="s">
        <v>343</v>
      </c>
      <c r="V107" s="147" t="s">
        <v>510</v>
      </c>
      <c r="W107" s="147" t="s">
        <v>511</v>
      </c>
      <c r="X107" s="147" t="s">
        <v>545</v>
      </c>
      <c r="Y107" s="147" t="s">
        <v>343</v>
      </c>
      <c r="Z107" s="147" t="s">
        <v>512</v>
      </c>
      <c r="AA107" s="147" t="s">
        <v>561</v>
      </c>
      <c r="AB107" s="147" t="s">
        <v>562</v>
      </c>
      <c r="AC107" s="147" t="s">
        <v>515</v>
      </c>
      <c r="AD107" s="147" t="s">
        <v>563</v>
      </c>
      <c r="AE107" s="147" t="s">
        <v>509</v>
      </c>
      <c r="AF107" s="147" t="s">
        <v>343</v>
      </c>
    </row>
    <row r="108" spans="1:32">
      <c r="A108" s="147" t="s">
        <v>728</v>
      </c>
      <c r="B108" s="147" t="s">
        <v>567</v>
      </c>
      <c r="C108" s="147" t="s">
        <v>503</v>
      </c>
      <c r="D108" s="147" t="s">
        <v>504</v>
      </c>
      <c r="E108" s="147" t="s">
        <v>505</v>
      </c>
      <c r="F108" s="147" t="s">
        <v>506</v>
      </c>
      <c r="G108" s="147" t="s">
        <v>127</v>
      </c>
      <c r="H108" s="147">
        <v>24</v>
      </c>
      <c r="I108" s="147" t="s">
        <v>247</v>
      </c>
      <c r="J108" s="148">
        <v>775</v>
      </c>
      <c r="K108" s="147">
        <v>0</v>
      </c>
      <c r="L108" s="147" t="s">
        <v>507</v>
      </c>
      <c r="M108" s="147">
        <v>0</v>
      </c>
      <c r="N108" s="147" t="s">
        <v>508</v>
      </c>
      <c r="O108" s="148">
        <v>7410</v>
      </c>
      <c r="P108" s="147" t="s">
        <v>343</v>
      </c>
      <c r="Q108" s="148">
        <v>5870</v>
      </c>
      <c r="R108" s="148">
        <v>4040</v>
      </c>
      <c r="S108" s="147" t="s">
        <v>343</v>
      </c>
      <c r="T108" s="147" t="s">
        <v>510</v>
      </c>
      <c r="U108" s="147" t="s">
        <v>343</v>
      </c>
      <c r="V108" s="147" t="s">
        <v>510</v>
      </c>
      <c r="W108" s="147" t="s">
        <v>511</v>
      </c>
      <c r="X108" s="147" t="s">
        <v>519</v>
      </c>
      <c r="Y108" s="147" t="s">
        <v>343</v>
      </c>
      <c r="Z108" s="147" t="s">
        <v>512</v>
      </c>
      <c r="AA108" s="147" t="s">
        <v>594</v>
      </c>
      <c r="AB108" s="147" t="s">
        <v>586</v>
      </c>
      <c r="AC108" s="147" t="s">
        <v>515</v>
      </c>
      <c r="AD108" s="147" t="s">
        <v>563</v>
      </c>
      <c r="AE108" s="147" t="s">
        <v>509</v>
      </c>
      <c r="AF108" s="147" t="s">
        <v>509</v>
      </c>
    </row>
    <row r="109" spans="1:32">
      <c r="A109" s="147" t="s">
        <v>729</v>
      </c>
      <c r="B109" s="147" t="s">
        <v>502</v>
      </c>
      <c r="C109" s="147" t="s">
        <v>503</v>
      </c>
      <c r="D109" s="147" t="s">
        <v>504</v>
      </c>
      <c r="E109" s="147" t="s">
        <v>505</v>
      </c>
      <c r="F109" s="147" t="s">
        <v>506</v>
      </c>
      <c r="G109" s="147" t="s">
        <v>660</v>
      </c>
      <c r="H109" s="147">
        <v>41</v>
      </c>
      <c r="I109" s="147" t="s">
        <v>343</v>
      </c>
      <c r="J109" s="148">
        <v>659.66666666666663</v>
      </c>
      <c r="K109" s="147">
        <v>6</v>
      </c>
      <c r="L109" s="147" t="s">
        <v>507</v>
      </c>
      <c r="M109" s="147">
        <v>6</v>
      </c>
      <c r="N109" s="147" t="s">
        <v>508</v>
      </c>
      <c r="O109" s="148">
        <v>7400</v>
      </c>
      <c r="P109" s="148">
        <v>498</v>
      </c>
      <c r="Q109" s="148">
        <v>6185</v>
      </c>
      <c r="R109" s="148">
        <v>4905</v>
      </c>
      <c r="S109" s="149">
        <v>102.77777777777777</v>
      </c>
      <c r="T109" s="147" t="s">
        <v>510</v>
      </c>
      <c r="U109" s="147" t="s">
        <v>343</v>
      </c>
      <c r="V109" s="147" t="s">
        <v>509</v>
      </c>
      <c r="W109" s="147" t="s">
        <v>518</v>
      </c>
      <c r="X109" s="147" t="s">
        <v>535</v>
      </c>
      <c r="Y109" s="147" t="s">
        <v>359</v>
      </c>
      <c r="Z109" s="147" t="s">
        <v>512</v>
      </c>
      <c r="AA109" s="147" t="s">
        <v>585</v>
      </c>
      <c r="AB109" s="147" t="s">
        <v>586</v>
      </c>
      <c r="AC109" s="147" t="s">
        <v>515</v>
      </c>
      <c r="AD109" s="147" t="s">
        <v>528</v>
      </c>
      <c r="AE109" s="147" t="s">
        <v>510</v>
      </c>
      <c r="AF109" s="147" t="s">
        <v>343</v>
      </c>
    </row>
    <row r="110" spans="1:32">
      <c r="A110" s="147" t="s">
        <v>730</v>
      </c>
      <c r="B110" s="147" t="s">
        <v>502</v>
      </c>
      <c r="C110" s="147" t="s">
        <v>503</v>
      </c>
      <c r="D110" s="147" t="s">
        <v>504</v>
      </c>
      <c r="E110" s="147" t="s">
        <v>505</v>
      </c>
      <c r="F110" s="147" t="s">
        <v>506</v>
      </c>
      <c r="G110" s="147" t="s">
        <v>202</v>
      </c>
      <c r="H110" s="147">
        <v>17</v>
      </c>
      <c r="I110" s="147" t="s">
        <v>343</v>
      </c>
      <c r="J110" s="148">
        <v>649</v>
      </c>
      <c r="K110" s="147">
        <v>8</v>
      </c>
      <c r="L110" s="147" t="s">
        <v>507</v>
      </c>
      <c r="M110" s="147">
        <v>8</v>
      </c>
      <c r="N110" s="147" t="s">
        <v>508</v>
      </c>
      <c r="O110" s="148">
        <v>7247</v>
      </c>
      <c r="P110" s="148">
        <v>726</v>
      </c>
      <c r="Q110" s="148">
        <v>4120</v>
      </c>
      <c r="R110" s="148">
        <v>5247</v>
      </c>
      <c r="S110" s="149">
        <v>75.489583333333329</v>
      </c>
      <c r="T110" s="147" t="s">
        <v>510</v>
      </c>
      <c r="U110" s="147" t="s">
        <v>343</v>
      </c>
      <c r="V110" s="147" t="s">
        <v>510</v>
      </c>
      <c r="W110" s="147" t="s">
        <v>511</v>
      </c>
      <c r="X110" s="147" t="s">
        <v>535</v>
      </c>
      <c r="Y110" s="147" t="s">
        <v>343</v>
      </c>
      <c r="Z110" s="147" t="s">
        <v>512</v>
      </c>
      <c r="AA110" s="147" t="s">
        <v>565</v>
      </c>
      <c r="AB110" s="147" t="s">
        <v>562</v>
      </c>
      <c r="AC110" s="147" t="s">
        <v>515</v>
      </c>
      <c r="AD110" s="147" t="s">
        <v>563</v>
      </c>
      <c r="AE110" s="147" t="s">
        <v>509</v>
      </c>
      <c r="AF110" s="147" t="s">
        <v>343</v>
      </c>
    </row>
    <row r="111" spans="1:32">
      <c r="A111" s="147" t="s">
        <v>731</v>
      </c>
      <c r="B111" s="147" t="s">
        <v>567</v>
      </c>
      <c r="C111" s="147" t="s">
        <v>662</v>
      </c>
      <c r="D111" s="147" t="s">
        <v>343</v>
      </c>
      <c r="E111" s="147" t="s">
        <v>343</v>
      </c>
      <c r="F111" s="147" t="s">
        <v>343</v>
      </c>
      <c r="G111" s="147" t="s">
        <v>208</v>
      </c>
      <c r="H111" s="147">
        <v>3</v>
      </c>
      <c r="I111" s="147" t="s">
        <v>211</v>
      </c>
      <c r="J111" s="148">
        <v>2400</v>
      </c>
      <c r="K111" s="147" t="s">
        <v>343</v>
      </c>
      <c r="L111" s="147" t="s">
        <v>640</v>
      </c>
      <c r="M111" s="147" t="s">
        <v>343</v>
      </c>
      <c r="N111" s="147" t="s">
        <v>343</v>
      </c>
      <c r="O111" s="148">
        <v>7200</v>
      </c>
      <c r="P111" s="147" t="s">
        <v>343</v>
      </c>
      <c r="Q111" s="148">
        <v>7200</v>
      </c>
      <c r="R111" s="147" t="s">
        <v>343</v>
      </c>
      <c r="S111" s="147" t="s">
        <v>343</v>
      </c>
      <c r="T111" s="147" t="s">
        <v>343</v>
      </c>
      <c r="U111" s="147" t="s">
        <v>343</v>
      </c>
      <c r="V111" s="147" t="s">
        <v>343</v>
      </c>
      <c r="W111" s="147" t="s">
        <v>343</v>
      </c>
      <c r="X111" s="147" t="s">
        <v>343</v>
      </c>
      <c r="Y111" s="147" t="s">
        <v>343</v>
      </c>
      <c r="Z111" s="147" t="s">
        <v>343</v>
      </c>
      <c r="AA111" s="147" t="s">
        <v>343</v>
      </c>
      <c r="AB111" s="147" t="s">
        <v>343</v>
      </c>
      <c r="AC111" s="147" t="s">
        <v>343</v>
      </c>
      <c r="AD111" s="147" t="s">
        <v>343</v>
      </c>
      <c r="AE111" s="147" t="s">
        <v>343</v>
      </c>
      <c r="AF111" s="147" t="s">
        <v>510</v>
      </c>
    </row>
    <row r="112" spans="1:32">
      <c r="A112" s="147" t="s">
        <v>732</v>
      </c>
      <c r="B112" s="147" t="s">
        <v>567</v>
      </c>
      <c r="C112" s="147" t="s">
        <v>733</v>
      </c>
      <c r="D112" s="147" t="s">
        <v>343</v>
      </c>
      <c r="E112" s="147" t="s">
        <v>343</v>
      </c>
      <c r="F112" s="147" t="s">
        <v>343</v>
      </c>
      <c r="G112" s="147" t="s">
        <v>208</v>
      </c>
      <c r="H112" s="147">
        <v>11</v>
      </c>
      <c r="I112" s="147" t="s">
        <v>343</v>
      </c>
      <c r="J112" s="148">
        <v>2358.3333333333335</v>
      </c>
      <c r="K112" s="147" t="s">
        <v>343</v>
      </c>
      <c r="L112" s="147" t="s">
        <v>640</v>
      </c>
      <c r="M112" s="147" t="s">
        <v>343</v>
      </c>
      <c r="N112" s="147" t="s">
        <v>343</v>
      </c>
      <c r="O112" s="148">
        <v>7075</v>
      </c>
      <c r="P112" s="147" t="s">
        <v>343</v>
      </c>
      <c r="Q112" s="148">
        <v>4412.5</v>
      </c>
      <c r="R112" s="148">
        <v>2662.5</v>
      </c>
      <c r="S112" s="147" t="s">
        <v>343</v>
      </c>
      <c r="T112" s="147" t="s">
        <v>343</v>
      </c>
      <c r="U112" s="147" t="s">
        <v>343</v>
      </c>
      <c r="V112" s="147" t="s">
        <v>343</v>
      </c>
      <c r="W112" s="147" t="s">
        <v>343</v>
      </c>
      <c r="X112" s="147" t="s">
        <v>343</v>
      </c>
      <c r="Y112" s="147" t="s">
        <v>343</v>
      </c>
      <c r="Z112" s="147" t="s">
        <v>343</v>
      </c>
      <c r="AA112" s="147" t="s">
        <v>343</v>
      </c>
      <c r="AB112" s="147" t="s">
        <v>343</v>
      </c>
      <c r="AC112" s="147" t="s">
        <v>343</v>
      </c>
      <c r="AD112" s="147" t="s">
        <v>343</v>
      </c>
      <c r="AE112" s="147" t="s">
        <v>343</v>
      </c>
      <c r="AF112" s="147" t="s">
        <v>343</v>
      </c>
    </row>
    <row r="113" spans="1:32">
      <c r="A113" s="147" t="s">
        <v>734</v>
      </c>
      <c r="B113" s="147" t="s">
        <v>502</v>
      </c>
      <c r="C113" s="147" t="s">
        <v>683</v>
      </c>
      <c r="D113" s="147" t="s">
        <v>684</v>
      </c>
      <c r="E113" s="147" t="s">
        <v>343</v>
      </c>
      <c r="F113" s="147" t="s">
        <v>343</v>
      </c>
      <c r="G113" s="147" t="s">
        <v>126</v>
      </c>
      <c r="H113" s="147">
        <v>27</v>
      </c>
      <c r="I113" s="147" t="s">
        <v>343</v>
      </c>
      <c r="J113" s="148">
        <v>669.33333333333337</v>
      </c>
      <c r="K113" s="147" t="s">
        <v>343</v>
      </c>
      <c r="L113" s="147" t="s">
        <v>709</v>
      </c>
      <c r="M113" s="147" t="s">
        <v>343</v>
      </c>
      <c r="N113" s="147" t="s">
        <v>343</v>
      </c>
      <c r="O113" s="148">
        <v>7046.91</v>
      </c>
      <c r="P113" s="148">
        <v>724</v>
      </c>
      <c r="Q113" s="148">
        <v>5974</v>
      </c>
      <c r="R113" s="148">
        <v>4246.91</v>
      </c>
      <c r="S113" s="147" t="s">
        <v>343</v>
      </c>
      <c r="T113" s="147" t="s">
        <v>509</v>
      </c>
      <c r="U113" s="147">
        <v>3</v>
      </c>
      <c r="V113" s="147" t="s">
        <v>510</v>
      </c>
      <c r="W113" s="147" t="s">
        <v>518</v>
      </c>
      <c r="X113" s="147" t="s">
        <v>530</v>
      </c>
      <c r="Y113" s="147" t="s">
        <v>343</v>
      </c>
      <c r="Z113" s="147" t="s">
        <v>600</v>
      </c>
      <c r="AA113" s="147" t="s">
        <v>710</v>
      </c>
      <c r="AB113" s="147" t="s">
        <v>686</v>
      </c>
      <c r="AC113" s="147" t="s">
        <v>643</v>
      </c>
      <c r="AD113" s="147" t="s">
        <v>687</v>
      </c>
      <c r="AE113" s="147" t="s">
        <v>510</v>
      </c>
      <c r="AF113" s="147" t="s">
        <v>343</v>
      </c>
    </row>
    <row r="114" spans="1:32">
      <c r="A114" s="147" t="s">
        <v>735</v>
      </c>
      <c r="B114" s="147" t="s">
        <v>567</v>
      </c>
      <c r="C114" s="147" t="s">
        <v>637</v>
      </c>
      <c r="D114" s="147" t="s">
        <v>736</v>
      </c>
      <c r="E114" s="147" t="s">
        <v>343</v>
      </c>
      <c r="F114" s="147" t="s">
        <v>343</v>
      </c>
      <c r="G114" s="147" t="s">
        <v>737</v>
      </c>
      <c r="H114" s="147">
        <v>52</v>
      </c>
      <c r="I114" s="147" t="s">
        <v>627</v>
      </c>
      <c r="J114" s="148">
        <v>600</v>
      </c>
      <c r="K114" s="147" t="s">
        <v>343</v>
      </c>
      <c r="L114" s="147" t="s">
        <v>640</v>
      </c>
      <c r="M114" s="147" t="s">
        <v>343</v>
      </c>
      <c r="N114" s="147" t="s">
        <v>343</v>
      </c>
      <c r="O114" s="148">
        <v>7040</v>
      </c>
      <c r="P114" s="148">
        <v>600</v>
      </c>
      <c r="Q114" s="148">
        <v>6870</v>
      </c>
      <c r="R114" s="148">
        <v>4140</v>
      </c>
      <c r="S114" s="147" t="s">
        <v>343</v>
      </c>
      <c r="T114" s="147" t="s">
        <v>510</v>
      </c>
      <c r="U114" s="147" t="s">
        <v>343</v>
      </c>
      <c r="V114" s="147" t="s">
        <v>510</v>
      </c>
      <c r="W114" s="147" t="s">
        <v>343</v>
      </c>
      <c r="X114" s="147" t="s">
        <v>343</v>
      </c>
      <c r="Y114" s="147" t="s">
        <v>343</v>
      </c>
      <c r="Z114" s="147" t="s">
        <v>600</v>
      </c>
      <c r="AA114" s="147" t="s">
        <v>674</v>
      </c>
      <c r="AB114" s="147" t="s">
        <v>642</v>
      </c>
      <c r="AC114" s="147" t="s">
        <v>643</v>
      </c>
      <c r="AD114" s="147" t="s">
        <v>528</v>
      </c>
      <c r="AE114" s="147" t="s">
        <v>510</v>
      </c>
      <c r="AF114" s="147" t="s">
        <v>510</v>
      </c>
    </row>
    <row r="115" spans="1:32">
      <c r="A115" s="147" t="s">
        <v>738</v>
      </c>
      <c r="B115" s="147" t="s">
        <v>502</v>
      </c>
      <c r="C115" s="147" t="s">
        <v>503</v>
      </c>
      <c r="D115" s="147" t="s">
        <v>504</v>
      </c>
      <c r="E115" s="147" t="s">
        <v>505</v>
      </c>
      <c r="F115" s="147" t="s">
        <v>592</v>
      </c>
      <c r="G115" s="147" t="s">
        <v>127</v>
      </c>
      <c r="H115" s="147">
        <v>26</v>
      </c>
      <c r="I115" s="147" t="s">
        <v>343</v>
      </c>
      <c r="J115" s="148">
        <v>446.33333333333331</v>
      </c>
      <c r="K115" s="147">
        <v>8</v>
      </c>
      <c r="L115" s="147" t="s">
        <v>507</v>
      </c>
      <c r="M115" s="147">
        <v>8</v>
      </c>
      <c r="N115" s="147" t="s">
        <v>508</v>
      </c>
      <c r="O115" s="148">
        <v>6964</v>
      </c>
      <c r="P115" s="148">
        <v>447</v>
      </c>
      <c r="Q115" s="148">
        <v>6085</v>
      </c>
      <c r="R115" s="148">
        <v>3974</v>
      </c>
      <c r="S115" s="149">
        <v>72.541666666666671</v>
      </c>
      <c r="T115" s="147" t="s">
        <v>510</v>
      </c>
      <c r="U115" s="147" t="s">
        <v>343</v>
      </c>
      <c r="V115" s="147" t="s">
        <v>510</v>
      </c>
      <c r="W115" s="147" t="s">
        <v>511</v>
      </c>
      <c r="X115" s="147" t="s">
        <v>519</v>
      </c>
      <c r="Y115" s="147" t="s">
        <v>343</v>
      </c>
      <c r="Z115" s="147" t="s">
        <v>512</v>
      </c>
      <c r="AA115" s="147" t="s">
        <v>645</v>
      </c>
      <c r="AB115" s="147" t="s">
        <v>541</v>
      </c>
      <c r="AC115" s="147" t="s">
        <v>522</v>
      </c>
      <c r="AD115" s="147" t="s">
        <v>523</v>
      </c>
      <c r="AE115" s="147" t="s">
        <v>509</v>
      </c>
      <c r="AF115" s="147" t="s">
        <v>343</v>
      </c>
    </row>
    <row r="116" spans="1:32">
      <c r="A116" s="147" t="s">
        <v>739</v>
      </c>
      <c r="B116" s="147" t="s">
        <v>502</v>
      </c>
      <c r="C116" s="147" t="s">
        <v>503</v>
      </c>
      <c r="D116" s="147" t="s">
        <v>504</v>
      </c>
      <c r="E116" s="147" t="s">
        <v>505</v>
      </c>
      <c r="F116" s="147" t="s">
        <v>506</v>
      </c>
      <c r="G116" s="147" t="s">
        <v>242</v>
      </c>
      <c r="H116" s="147">
        <v>7</v>
      </c>
      <c r="I116" s="147" t="s">
        <v>343</v>
      </c>
      <c r="J116" s="148">
        <v>910</v>
      </c>
      <c r="K116" s="147">
        <v>8</v>
      </c>
      <c r="L116" s="147" t="s">
        <v>507</v>
      </c>
      <c r="M116" s="147">
        <v>8</v>
      </c>
      <c r="N116" s="147" t="s">
        <v>508</v>
      </c>
      <c r="O116" s="148">
        <v>6696.25</v>
      </c>
      <c r="P116" s="148">
        <v>910</v>
      </c>
      <c r="Q116" s="147" t="s">
        <v>343</v>
      </c>
      <c r="R116" s="148">
        <v>6696.25</v>
      </c>
      <c r="S116" s="149">
        <v>69.752604166666671</v>
      </c>
      <c r="T116" s="147" t="s">
        <v>509</v>
      </c>
      <c r="U116" s="147">
        <v>9</v>
      </c>
      <c r="V116" s="147" t="s">
        <v>509</v>
      </c>
      <c r="W116" s="147" t="s">
        <v>511</v>
      </c>
      <c r="X116" s="147" t="s">
        <v>615</v>
      </c>
      <c r="Y116" s="147" t="s">
        <v>347</v>
      </c>
      <c r="Z116" s="147" t="s">
        <v>512</v>
      </c>
      <c r="AA116" s="147" t="s">
        <v>581</v>
      </c>
      <c r="AB116" s="147" t="s">
        <v>555</v>
      </c>
      <c r="AC116" s="147" t="s">
        <v>515</v>
      </c>
      <c r="AD116" s="147" t="s">
        <v>528</v>
      </c>
      <c r="AE116" s="147" t="s">
        <v>509</v>
      </c>
      <c r="AF116" s="147" t="s">
        <v>343</v>
      </c>
    </row>
    <row r="117" spans="1:32">
      <c r="A117" s="147" t="s">
        <v>740</v>
      </c>
      <c r="B117" s="147" t="s">
        <v>502</v>
      </c>
      <c r="C117" s="147" t="s">
        <v>503</v>
      </c>
      <c r="D117" s="147" t="s">
        <v>504</v>
      </c>
      <c r="E117" s="147" t="s">
        <v>505</v>
      </c>
      <c r="F117" s="147" t="s">
        <v>506</v>
      </c>
      <c r="G117" s="147" t="s">
        <v>202</v>
      </c>
      <c r="H117" s="147">
        <v>17</v>
      </c>
      <c r="I117" s="147" t="s">
        <v>343</v>
      </c>
      <c r="J117" s="148">
        <v>649</v>
      </c>
      <c r="K117" s="147">
        <v>8</v>
      </c>
      <c r="L117" s="147" t="s">
        <v>560</v>
      </c>
      <c r="M117" s="147" t="s">
        <v>343</v>
      </c>
      <c r="N117" s="147" t="s">
        <v>343</v>
      </c>
      <c r="O117" s="148">
        <v>6616</v>
      </c>
      <c r="P117" s="148">
        <v>649</v>
      </c>
      <c r="Q117" s="148">
        <v>3910</v>
      </c>
      <c r="R117" s="148">
        <v>4276</v>
      </c>
      <c r="S117" s="149">
        <v>68.916666666666671</v>
      </c>
      <c r="T117" s="147" t="s">
        <v>510</v>
      </c>
      <c r="U117" s="147" t="s">
        <v>343</v>
      </c>
      <c r="V117" s="147" t="s">
        <v>510</v>
      </c>
      <c r="W117" s="147" t="s">
        <v>511</v>
      </c>
      <c r="X117" s="147" t="s">
        <v>519</v>
      </c>
      <c r="Y117" s="147" t="s">
        <v>343</v>
      </c>
      <c r="Z117" s="147" t="s">
        <v>512</v>
      </c>
      <c r="AA117" s="147" t="s">
        <v>573</v>
      </c>
      <c r="AB117" s="147" t="s">
        <v>562</v>
      </c>
      <c r="AC117" s="147" t="s">
        <v>515</v>
      </c>
      <c r="AD117" s="147" t="s">
        <v>563</v>
      </c>
      <c r="AE117" s="147" t="s">
        <v>509</v>
      </c>
      <c r="AF117" s="147" t="s">
        <v>343</v>
      </c>
    </row>
    <row r="118" spans="1:32">
      <c r="A118" s="147" t="s">
        <v>741</v>
      </c>
      <c r="B118" s="147" t="s">
        <v>502</v>
      </c>
      <c r="C118" s="147" t="s">
        <v>503</v>
      </c>
      <c r="D118" s="147" t="s">
        <v>504</v>
      </c>
      <c r="E118" s="147" t="s">
        <v>505</v>
      </c>
      <c r="F118" s="147" t="s">
        <v>592</v>
      </c>
      <c r="G118" s="147" t="s">
        <v>128</v>
      </c>
      <c r="H118" s="147">
        <v>25</v>
      </c>
      <c r="I118" s="147" t="s">
        <v>343</v>
      </c>
      <c r="J118" s="148">
        <v>493</v>
      </c>
      <c r="K118" s="147">
        <v>3</v>
      </c>
      <c r="L118" s="147" t="s">
        <v>560</v>
      </c>
      <c r="M118" s="147" t="s">
        <v>343</v>
      </c>
      <c r="N118" s="147" t="s">
        <v>343</v>
      </c>
      <c r="O118" s="148">
        <v>6614</v>
      </c>
      <c r="P118" s="148">
        <v>493</v>
      </c>
      <c r="Q118" s="148">
        <v>6970</v>
      </c>
      <c r="R118" s="148">
        <v>3859</v>
      </c>
      <c r="S118" s="149">
        <v>183.7222222222222</v>
      </c>
      <c r="T118" s="147" t="s">
        <v>510</v>
      </c>
      <c r="U118" s="147" t="s">
        <v>343</v>
      </c>
      <c r="V118" s="147" t="s">
        <v>509</v>
      </c>
      <c r="W118" s="147" t="s">
        <v>518</v>
      </c>
      <c r="X118" s="147" t="s">
        <v>545</v>
      </c>
      <c r="Y118" s="147" t="s">
        <v>359</v>
      </c>
      <c r="Z118" s="147" t="s">
        <v>512</v>
      </c>
      <c r="AA118" s="147" t="s">
        <v>543</v>
      </c>
      <c r="AB118" s="147" t="s">
        <v>537</v>
      </c>
      <c r="AC118" s="147" t="s">
        <v>538</v>
      </c>
      <c r="AD118" s="147" t="s">
        <v>523</v>
      </c>
      <c r="AE118" s="147" t="s">
        <v>510</v>
      </c>
      <c r="AF118" s="147" t="s">
        <v>343</v>
      </c>
    </row>
    <row r="119" spans="1:32">
      <c r="A119" s="147" t="s">
        <v>742</v>
      </c>
      <c r="B119" s="147" t="s">
        <v>502</v>
      </c>
      <c r="C119" s="147" t="s">
        <v>503</v>
      </c>
      <c r="D119" s="147" t="s">
        <v>504</v>
      </c>
      <c r="E119" s="147" t="s">
        <v>505</v>
      </c>
      <c r="F119" s="147" t="s">
        <v>506</v>
      </c>
      <c r="G119" s="147" t="s">
        <v>130</v>
      </c>
      <c r="H119" s="147">
        <v>23</v>
      </c>
      <c r="I119" s="147" t="s">
        <v>343</v>
      </c>
      <c r="J119" s="148">
        <v>630</v>
      </c>
      <c r="K119" s="147">
        <v>6</v>
      </c>
      <c r="L119" s="147" t="s">
        <v>560</v>
      </c>
      <c r="M119" s="147" t="s">
        <v>343</v>
      </c>
      <c r="N119" s="147" t="s">
        <v>343</v>
      </c>
      <c r="O119" s="148">
        <v>6590</v>
      </c>
      <c r="P119" s="148">
        <v>630</v>
      </c>
      <c r="Q119" s="148">
        <v>4930</v>
      </c>
      <c r="R119" s="148">
        <v>4200</v>
      </c>
      <c r="S119" s="149">
        <v>91.527777777777771</v>
      </c>
      <c r="T119" s="147" t="s">
        <v>509</v>
      </c>
      <c r="U119" s="147" t="s">
        <v>343</v>
      </c>
      <c r="V119" s="147" t="s">
        <v>510</v>
      </c>
      <c r="W119" s="147" t="s">
        <v>511</v>
      </c>
      <c r="X119" s="147" t="s">
        <v>530</v>
      </c>
      <c r="Y119" s="147" t="s">
        <v>343</v>
      </c>
      <c r="Z119" s="147" t="s">
        <v>512</v>
      </c>
      <c r="AA119" s="147" t="s">
        <v>561</v>
      </c>
      <c r="AB119" s="147" t="s">
        <v>562</v>
      </c>
      <c r="AC119" s="147" t="s">
        <v>515</v>
      </c>
      <c r="AD119" s="147" t="s">
        <v>563</v>
      </c>
      <c r="AE119" s="147" t="s">
        <v>509</v>
      </c>
      <c r="AF119" s="147" t="s">
        <v>343</v>
      </c>
    </row>
    <row r="120" spans="1:32">
      <c r="A120" s="147" t="s">
        <v>743</v>
      </c>
      <c r="B120" s="147" t="s">
        <v>502</v>
      </c>
      <c r="C120" s="147" t="s">
        <v>503</v>
      </c>
      <c r="D120" s="147" t="s">
        <v>504</v>
      </c>
      <c r="E120" s="147" t="s">
        <v>505</v>
      </c>
      <c r="F120" s="147" t="s">
        <v>506</v>
      </c>
      <c r="G120" s="147" t="s">
        <v>209</v>
      </c>
      <c r="H120" s="147">
        <v>10</v>
      </c>
      <c r="I120" s="147" t="s">
        <v>343</v>
      </c>
      <c r="J120" s="148">
        <v>650</v>
      </c>
      <c r="K120" s="147">
        <v>4</v>
      </c>
      <c r="L120" s="147" t="s">
        <v>560</v>
      </c>
      <c r="M120" s="147" t="s">
        <v>343</v>
      </c>
      <c r="N120" s="147" t="s">
        <v>343</v>
      </c>
      <c r="O120" s="148">
        <v>6475.1100000000006</v>
      </c>
      <c r="P120" s="148">
        <v>650</v>
      </c>
      <c r="Q120" s="148">
        <v>2311.25</v>
      </c>
      <c r="R120" s="148">
        <v>4163.8600000000006</v>
      </c>
      <c r="S120" s="149">
        <v>134.89812500000002</v>
      </c>
      <c r="T120" s="147" t="s">
        <v>510</v>
      </c>
      <c r="U120" s="147">
        <v>26</v>
      </c>
      <c r="V120" s="147" t="s">
        <v>509</v>
      </c>
      <c r="W120" s="147" t="s">
        <v>511</v>
      </c>
      <c r="X120" s="147" t="s">
        <v>545</v>
      </c>
      <c r="Y120" s="147" t="s">
        <v>347</v>
      </c>
      <c r="Z120" s="147" t="s">
        <v>512</v>
      </c>
      <c r="AA120" s="147" t="s">
        <v>631</v>
      </c>
      <c r="AB120" s="147" t="s">
        <v>514</v>
      </c>
      <c r="AC120" s="147" t="s">
        <v>515</v>
      </c>
      <c r="AD120" s="147" t="s">
        <v>516</v>
      </c>
      <c r="AE120" s="147" t="s">
        <v>509</v>
      </c>
      <c r="AF120" s="147" t="s">
        <v>343</v>
      </c>
    </row>
    <row r="121" spans="1:32">
      <c r="A121" s="147" t="s">
        <v>744</v>
      </c>
      <c r="B121" s="147" t="s">
        <v>502</v>
      </c>
      <c r="C121" s="147" t="s">
        <v>503</v>
      </c>
      <c r="D121" s="147" t="s">
        <v>504</v>
      </c>
      <c r="E121" s="147" t="s">
        <v>505</v>
      </c>
      <c r="F121" s="147" t="s">
        <v>506</v>
      </c>
      <c r="G121" s="147" t="s">
        <v>127</v>
      </c>
      <c r="H121" s="147">
        <v>26</v>
      </c>
      <c r="I121" s="147" t="s">
        <v>343</v>
      </c>
      <c r="J121" s="148">
        <v>476.66666666666669</v>
      </c>
      <c r="K121" s="147">
        <v>15</v>
      </c>
      <c r="L121" s="147" t="s">
        <v>560</v>
      </c>
      <c r="M121" s="147">
        <v>5</v>
      </c>
      <c r="N121" s="147" t="s">
        <v>584</v>
      </c>
      <c r="O121" s="148">
        <v>6470</v>
      </c>
      <c r="P121" s="148">
        <v>500</v>
      </c>
      <c r="Q121" s="148">
        <v>5095</v>
      </c>
      <c r="R121" s="148">
        <v>3650</v>
      </c>
      <c r="S121" s="149">
        <v>35.944444444444443</v>
      </c>
      <c r="T121" s="147" t="s">
        <v>510</v>
      </c>
      <c r="U121" s="147" t="s">
        <v>343</v>
      </c>
      <c r="V121" s="147" t="s">
        <v>510</v>
      </c>
      <c r="W121" s="147" t="s">
        <v>511</v>
      </c>
      <c r="X121" s="147" t="s">
        <v>519</v>
      </c>
      <c r="Y121" s="147" t="s">
        <v>343</v>
      </c>
      <c r="Z121" s="147" t="s">
        <v>512</v>
      </c>
      <c r="AA121" s="147" t="s">
        <v>554</v>
      </c>
      <c r="AB121" s="147" t="s">
        <v>555</v>
      </c>
      <c r="AC121" s="147" t="s">
        <v>515</v>
      </c>
      <c r="AD121" s="147" t="s">
        <v>528</v>
      </c>
      <c r="AE121" s="147" t="s">
        <v>509</v>
      </c>
      <c r="AF121" s="147" t="s">
        <v>343</v>
      </c>
    </row>
    <row r="122" spans="1:32">
      <c r="A122" s="147" t="s">
        <v>745</v>
      </c>
      <c r="B122" s="147" t="s">
        <v>567</v>
      </c>
      <c r="C122" s="147" t="s">
        <v>637</v>
      </c>
      <c r="D122" s="147" t="s">
        <v>746</v>
      </c>
      <c r="E122" s="147" t="s">
        <v>343</v>
      </c>
      <c r="F122" s="147" t="s">
        <v>343</v>
      </c>
      <c r="G122" s="147" t="s">
        <v>747</v>
      </c>
      <c r="H122" s="147">
        <v>57</v>
      </c>
      <c r="I122" s="147" t="s">
        <v>627</v>
      </c>
      <c r="J122" s="148">
        <v>535</v>
      </c>
      <c r="K122" s="147" t="s">
        <v>343</v>
      </c>
      <c r="L122" s="147" t="s">
        <v>640</v>
      </c>
      <c r="M122" s="147" t="s">
        <v>343</v>
      </c>
      <c r="N122" s="147" t="s">
        <v>343</v>
      </c>
      <c r="O122" s="148">
        <v>6375</v>
      </c>
      <c r="P122" s="148">
        <v>535</v>
      </c>
      <c r="Q122" s="148">
        <v>6265</v>
      </c>
      <c r="R122" s="148">
        <v>3760</v>
      </c>
      <c r="S122" s="147" t="s">
        <v>343</v>
      </c>
      <c r="T122" s="147" t="s">
        <v>510</v>
      </c>
      <c r="U122" s="147" t="s">
        <v>343</v>
      </c>
      <c r="V122" s="147" t="s">
        <v>510</v>
      </c>
      <c r="W122" s="147" t="s">
        <v>343</v>
      </c>
      <c r="X122" s="147" t="s">
        <v>343</v>
      </c>
      <c r="Y122" s="147" t="s">
        <v>343</v>
      </c>
      <c r="Z122" s="147" t="s">
        <v>600</v>
      </c>
      <c r="AA122" s="147" t="s">
        <v>641</v>
      </c>
      <c r="AB122" s="147" t="s">
        <v>642</v>
      </c>
      <c r="AC122" s="147" t="s">
        <v>643</v>
      </c>
      <c r="AD122" s="147" t="s">
        <v>528</v>
      </c>
      <c r="AE122" s="147" t="s">
        <v>510</v>
      </c>
      <c r="AF122" s="147" t="s">
        <v>510</v>
      </c>
    </row>
    <row r="123" spans="1:32">
      <c r="A123" s="147" t="s">
        <v>748</v>
      </c>
      <c r="B123" s="147" t="s">
        <v>502</v>
      </c>
      <c r="C123" s="147" t="s">
        <v>503</v>
      </c>
      <c r="D123" s="147" t="s">
        <v>504</v>
      </c>
      <c r="E123" s="147" t="s">
        <v>505</v>
      </c>
      <c r="F123" s="147" t="s">
        <v>506</v>
      </c>
      <c r="G123" s="147" t="s">
        <v>602</v>
      </c>
      <c r="H123" s="147">
        <v>35</v>
      </c>
      <c r="I123" s="147" t="s">
        <v>343</v>
      </c>
      <c r="J123" s="148">
        <v>520</v>
      </c>
      <c r="K123" s="147">
        <v>4</v>
      </c>
      <c r="L123" s="147" t="s">
        <v>560</v>
      </c>
      <c r="M123" s="147" t="s">
        <v>343</v>
      </c>
      <c r="N123" s="147" t="s">
        <v>343</v>
      </c>
      <c r="O123" s="148">
        <v>6280</v>
      </c>
      <c r="P123" s="148">
        <v>520</v>
      </c>
      <c r="Q123" s="148">
        <v>6191</v>
      </c>
      <c r="R123" s="148">
        <v>3685</v>
      </c>
      <c r="S123" s="149">
        <v>130.83333333333334</v>
      </c>
      <c r="T123" s="147" t="s">
        <v>509</v>
      </c>
      <c r="U123" s="147">
        <v>4</v>
      </c>
      <c r="V123" s="147" t="s">
        <v>509</v>
      </c>
      <c r="W123" s="147" t="s">
        <v>511</v>
      </c>
      <c r="X123" s="147" t="s">
        <v>519</v>
      </c>
      <c r="Y123" s="147" t="s">
        <v>347</v>
      </c>
      <c r="Z123" s="147" t="s">
        <v>512</v>
      </c>
      <c r="AA123" s="147" t="s">
        <v>645</v>
      </c>
      <c r="AB123" s="147" t="s">
        <v>541</v>
      </c>
      <c r="AC123" s="147" t="s">
        <v>522</v>
      </c>
      <c r="AD123" s="147" t="s">
        <v>523</v>
      </c>
      <c r="AE123" s="147" t="s">
        <v>509</v>
      </c>
      <c r="AF123" s="147" t="s">
        <v>343</v>
      </c>
    </row>
    <row r="124" spans="1:32">
      <c r="A124" s="147" t="s">
        <v>749</v>
      </c>
      <c r="B124" s="147" t="s">
        <v>502</v>
      </c>
      <c r="C124" s="147" t="s">
        <v>503</v>
      </c>
      <c r="D124" s="147" t="s">
        <v>504</v>
      </c>
      <c r="E124" s="147" t="s">
        <v>612</v>
      </c>
      <c r="F124" s="147" t="s">
        <v>599</v>
      </c>
      <c r="G124" s="147" t="s">
        <v>210</v>
      </c>
      <c r="H124" s="147">
        <v>9</v>
      </c>
      <c r="I124" s="147" t="s">
        <v>343</v>
      </c>
      <c r="J124" s="148">
        <v>1040</v>
      </c>
      <c r="K124" s="147">
        <v>17</v>
      </c>
      <c r="L124" s="147" t="s">
        <v>507</v>
      </c>
      <c r="M124" s="147">
        <v>17</v>
      </c>
      <c r="N124" s="147" t="s">
        <v>508</v>
      </c>
      <c r="O124" s="148">
        <v>6275</v>
      </c>
      <c r="P124" s="148">
        <v>1040</v>
      </c>
      <c r="Q124" s="148">
        <v>950</v>
      </c>
      <c r="R124" s="148">
        <v>5325</v>
      </c>
      <c r="S124" s="149">
        <v>30.759803921568626</v>
      </c>
      <c r="T124" s="147" t="s">
        <v>509</v>
      </c>
      <c r="U124" s="147" t="s">
        <v>343</v>
      </c>
      <c r="V124" s="147" t="s">
        <v>510</v>
      </c>
      <c r="W124" s="147" t="s">
        <v>511</v>
      </c>
      <c r="X124" s="147" t="s">
        <v>519</v>
      </c>
      <c r="Y124" s="147" t="s">
        <v>343</v>
      </c>
      <c r="Z124" s="147" t="s">
        <v>512</v>
      </c>
      <c r="AA124" s="147" t="s">
        <v>561</v>
      </c>
      <c r="AB124" s="147" t="s">
        <v>562</v>
      </c>
      <c r="AC124" s="147" t="s">
        <v>515</v>
      </c>
      <c r="AD124" s="147" t="s">
        <v>563</v>
      </c>
      <c r="AE124" s="147" t="s">
        <v>509</v>
      </c>
      <c r="AF124" s="147" t="s">
        <v>343</v>
      </c>
    </row>
    <row r="125" spans="1:32">
      <c r="A125" s="147" t="s">
        <v>750</v>
      </c>
      <c r="B125" s="147" t="s">
        <v>19</v>
      </c>
      <c r="C125" s="147" t="s">
        <v>503</v>
      </c>
      <c r="D125" s="147" t="s">
        <v>504</v>
      </c>
      <c r="E125" s="147" t="s">
        <v>621</v>
      </c>
      <c r="F125" s="147" t="s">
        <v>592</v>
      </c>
      <c r="G125" s="147" t="s">
        <v>245</v>
      </c>
      <c r="H125" s="147">
        <v>4</v>
      </c>
      <c r="I125" s="147" t="s">
        <v>343</v>
      </c>
      <c r="J125" s="148">
        <v>1327</v>
      </c>
      <c r="K125" s="147">
        <v>23</v>
      </c>
      <c r="L125" s="147" t="s">
        <v>507</v>
      </c>
      <c r="M125" s="147">
        <v>23</v>
      </c>
      <c r="N125" s="147" t="s">
        <v>508</v>
      </c>
      <c r="O125" s="148">
        <v>6254</v>
      </c>
      <c r="P125" s="148">
        <v>1400</v>
      </c>
      <c r="Q125" s="147" t="s">
        <v>343</v>
      </c>
      <c r="R125" s="148">
        <v>6254</v>
      </c>
      <c r="S125" s="149">
        <v>22.659420289855071</v>
      </c>
      <c r="T125" s="147" t="s">
        <v>509</v>
      </c>
      <c r="U125" s="147" t="s">
        <v>343</v>
      </c>
      <c r="V125" s="147" t="s">
        <v>509</v>
      </c>
      <c r="W125" s="147" t="s">
        <v>511</v>
      </c>
      <c r="X125" s="147" t="s">
        <v>530</v>
      </c>
      <c r="Y125" s="147" t="s">
        <v>347</v>
      </c>
      <c r="Z125" s="147" t="s">
        <v>512</v>
      </c>
      <c r="AA125" s="147" t="s">
        <v>558</v>
      </c>
      <c r="AB125" s="147" t="s">
        <v>541</v>
      </c>
      <c r="AC125" s="147" t="s">
        <v>522</v>
      </c>
      <c r="AD125" s="147" t="s">
        <v>523</v>
      </c>
      <c r="AE125" s="147" t="s">
        <v>509</v>
      </c>
      <c r="AF125" s="147" t="s">
        <v>343</v>
      </c>
    </row>
    <row r="126" spans="1:32">
      <c r="A126" s="147" t="s">
        <v>751</v>
      </c>
      <c r="B126" s="147" t="s">
        <v>19</v>
      </c>
      <c r="C126" s="147" t="s">
        <v>503</v>
      </c>
      <c r="D126" s="147" t="s">
        <v>504</v>
      </c>
      <c r="E126" s="147" t="s">
        <v>343</v>
      </c>
      <c r="F126" s="147" t="s">
        <v>506</v>
      </c>
      <c r="G126" s="147" t="s">
        <v>248</v>
      </c>
      <c r="H126" s="147">
        <v>1</v>
      </c>
      <c r="I126" s="147" t="s">
        <v>343</v>
      </c>
      <c r="J126" s="148">
        <v>6252</v>
      </c>
      <c r="K126" s="147">
        <v>83</v>
      </c>
      <c r="L126" s="147" t="s">
        <v>507</v>
      </c>
      <c r="M126" s="147">
        <v>83</v>
      </c>
      <c r="N126" s="147" t="s">
        <v>508</v>
      </c>
      <c r="O126" s="148">
        <v>6252</v>
      </c>
      <c r="P126" s="148">
        <v>6252</v>
      </c>
      <c r="Q126" s="147" t="s">
        <v>343</v>
      </c>
      <c r="R126" s="148">
        <v>6252</v>
      </c>
      <c r="S126" s="149">
        <v>6.2771084337349397</v>
      </c>
      <c r="T126" s="147" t="s">
        <v>509</v>
      </c>
      <c r="U126" s="147" t="s">
        <v>343</v>
      </c>
      <c r="V126" s="147" t="s">
        <v>510</v>
      </c>
      <c r="W126" s="147" t="s">
        <v>511</v>
      </c>
      <c r="X126" s="147" t="s">
        <v>519</v>
      </c>
      <c r="Y126" s="147" t="s">
        <v>347</v>
      </c>
      <c r="Z126" s="147" t="s">
        <v>512</v>
      </c>
      <c r="AA126" s="147" t="s">
        <v>720</v>
      </c>
      <c r="AB126" s="147" t="s">
        <v>657</v>
      </c>
      <c r="AC126" s="147" t="s">
        <v>571</v>
      </c>
      <c r="AD126" s="147" t="s">
        <v>721</v>
      </c>
      <c r="AE126" s="147" t="s">
        <v>509</v>
      </c>
      <c r="AF126" s="147" t="s">
        <v>343</v>
      </c>
    </row>
    <row r="127" spans="1:32">
      <c r="A127" s="147" t="s">
        <v>752</v>
      </c>
      <c r="B127" s="147" t="s">
        <v>502</v>
      </c>
      <c r="C127" s="147" t="s">
        <v>503</v>
      </c>
      <c r="D127" s="147" t="s">
        <v>504</v>
      </c>
      <c r="E127" s="147" t="s">
        <v>612</v>
      </c>
      <c r="F127" s="147" t="s">
        <v>506</v>
      </c>
      <c r="G127" s="147" t="s">
        <v>246</v>
      </c>
      <c r="H127" s="147">
        <v>3</v>
      </c>
      <c r="I127" s="147" t="s">
        <v>343</v>
      </c>
      <c r="J127" s="148">
        <v>2063</v>
      </c>
      <c r="K127" s="147">
        <v>47</v>
      </c>
      <c r="L127" s="147" t="s">
        <v>507</v>
      </c>
      <c r="M127" s="147">
        <v>47</v>
      </c>
      <c r="N127" s="147" t="s">
        <v>508</v>
      </c>
      <c r="O127" s="148">
        <v>6189</v>
      </c>
      <c r="P127" s="148">
        <v>2333</v>
      </c>
      <c r="Q127" s="147" t="s">
        <v>343</v>
      </c>
      <c r="R127" s="148">
        <v>6189</v>
      </c>
      <c r="S127" s="149">
        <v>10.973404255319149</v>
      </c>
      <c r="T127" s="147" t="s">
        <v>509</v>
      </c>
      <c r="U127" s="147" t="s">
        <v>343</v>
      </c>
      <c r="V127" s="147" t="s">
        <v>510</v>
      </c>
      <c r="W127" s="147" t="s">
        <v>511</v>
      </c>
      <c r="X127" s="147" t="s">
        <v>535</v>
      </c>
      <c r="Y127" s="147" t="s">
        <v>343</v>
      </c>
      <c r="Z127" s="147" t="s">
        <v>512</v>
      </c>
      <c r="AA127" s="147" t="s">
        <v>581</v>
      </c>
      <c r="AB127" s="147" t="s">
        <v>555</v>
      </c>
      <c r="AC127" s="147" t="s">
        <v>515</v>
      </c>
      <c r="AD127" s="147" t="s">
        <v>528</v>
      </c>
      <c r="AE127" s="147" t="s">
        <v>509</v>
      </c>
      <c r="AF127" s="147" t="s">
        <v>343</v>
      </c>
    </row>
    <row r="128" spans="1:32">
      <c r="A128" s="147" t="s">
        <v>753</v>
      </c>
      <c r="B128" s="147" t="s">
        <v>567</v>
      </c>
      <c r="C128" s="147" t="s">
        <v>662</v>
      </c>
      <c r="D128" s="147" t="s">
        <v>343</v>
      </c>
      <c r="E128" s="147" t="s">
        <v>343</v>
      </c>
      <c r="F128" s="147" t="s">
        <v>343</v>
      </c>
      <c r="G128" s="147" t="s">
        <v>205</v>
      </c>
      <c r="H128" s="147">
        <v>6</v>
      </c>
      <c r="I128" s="147" t="s">
        <v>211</v>
      </c>
      <c r="J128" s="148">
        <v>1574</v>
      </c>
      <c r="K128" s="147" t="s">
        <v>343</v>
      </c>
      <c r="L128" s="147" t="s">
        <v>640</v>
      </c>
      <c r="M128" s="147" t="s">
        <v>343</v>
      </c>
      <c r="N128" s="147" t="s">
        <v>343</v>
      </c>
      <c r="O128" s="148">
        <v>6162</v>
      </c>
      <c r="P128" s="147" t="s">
        <v>343</v>
      </c>
      <c r="Q128" s="148">
        <v>11280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7" t="s">
        <v>343</v>
      </c>
      <c r="W128" s="147" t="s">
        <v>343</v>
      </c>
      <c r="X128" s="147" t="s">
        <v>343</v>
      </c>
      <c r="Y128" s="147" t="s">
        <v>343</v>
      </c>
      <c r="Z128" s="147" t="s">
        <v>343</v>
      </c>
      <c r="AA128" s="147" t="s">
        <v>343</v>
      </c>
      <c r="AB128" s="147" t="s">
        <v>343</v>
      </c>
      <c r="AC128" s="147" t="s">
        <v>343</v>
      </c>
      <c r="AD128" s="147" t="s">
        <v>343</v>
      </c>
      <c r="AE128" s="147" t="s">
        <v>343</v>
      </c>
      <c r="AF128" s="147" t="s">
        <v>509</v>
      </c>
    </row>
    <row r="129" spans="1:32">
      <c r="A129" s="147" t="s">
        <v>754</v>
      </c>
      <c r="B129" s="147" t="s">
        <v>502</v>
      </c>
      <c r="C129" s="147" t="s">
        <v>503</v>
      </c>
      <c r="D129" s="147" t="s">
        <v>504</v>
      </c>
      <c r="E129" s="147" t="s">
        <v>612</v>
      </c>
      <c r="F129" s="147" t="s">
        <v>599</v>
      </c>
      <c r="G129" s="147" t="s">
        <v>207</v>
      </c>
      <c r="H129" s="147">
        <v>12</v>
      </c>
      <c r="I129" s="147" t="s">
        <v>343</v>
      </c>
      <c r="J129" s="148">
        <v>200</v>
      </c>
      <c r="K129" s="147">
        <v>5</v>
      </c>
      <c r="L129" s="147" t="s">
        <v>560</v>
      </c>
      <c r="M129" s="147">
        <v>5</v>
      </c>
      <c r="N129" s="147" t="s">
        <v>584</v>
      </c>
      <c r="O129" s="148">
        <v>6005</v>
      </c>
      <c r="P129" s="148">
        <v>200</v>
      </c>
      <c r="Q129" s="148">
        <v>3620</v>
      </c>
      <c r="R129" s="148">
        <v>2385</v>
      </c>
      <c r="S129" s="149">
        <v>100.08333333333334</v>
      </c>
      <c r="T129" s="147" t="s">
        <v>510</v>
      </c>
      <c r="U129" s="147" t="s">
        <v>343</v>
      </c>
      <c r="V129" s="147" t="s">
        <v>510</v>
      </c>
      <c r="W129" s="147" t="s">
        <v>511</v>
      </c>
      <c r="X129" s="147" t="s">
        <v>519</v>
      </c>
      <c r="Y129" s="147" t="s">
        <v>343</v>
      </c>
      <c r="Z129" s="147" t="s">
        <v>512</v>
      </c>
      <c r="AA129" s="147" t="s">
        <v>546</v>
      </c>
      <c r="AB129" s="147" t="s">
        <v>514</v>
      </c>
      <c r="AC129" s="147" t="s">
        <v>515</v>
      </c>
      <c r="AD129" s="147" t="s">
        <v>516</v>
      </c>
      <c r="AE129" s="147" t="s">
        <v>509</v>
      </c>
      <c r="AF129" s="147" t="s">
        <v>343</v>
      </c>
    </row>
    <row r="130" spans="1:32">
      <c r="A130" s="147" t="s">
        <v>755</v>
      </c>
      <c r="B130" s="147" t="s">
        <v>567</v>
      </c>
      <c r="C130" s="147" t="s">
        <v>662</v>
      </c>
      <c r="D130" s="147" t="s">
        <v>343</v>
      </c>
      <c r="E130" s="147" t="s">
        <v>343</v>
      </c>
      <c r="F130" s="147" t="s">
        <v>343</v>
      </c>
      <c r="G130" s="147" t="s">
        <v>245</v>
      </c>
      <c r="H130" s="147">
        <v>4</v>
      </c>
      <c r="I130" s="147" t="s">
        <v>627</v>
      </c>
      <c r="J130" s="148">
        <v>1500</v>
      </c>
      <c r="K130" s="147" t="s">
        <v>343</v>
      </c>
      <c r="L130" s="147" t="s">
        <v>640</v>
      </c>
      <c r="M130" s="147" t="s">
        <v>343</v>
      </c>
      <c r="N130" s="147" t="s">
        <v>343</v>
      </c>
      <c r="O130" s="148">
        <v>6000</v>
      </c>
      <c r="P130" s="148">
        <v>1500</v>
      </c>
      <c r="Q130" s="147" t="s">
        <v>343</v>
      </c>
      <c r="R130" s="148">
        <v>6000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7" t="s">
        <v>343</v>
      </c>
      <c r="AD130" s="147" t="s">
        <v>343</v>
      </c>
      <c r="AE130" s="147" t="s">
        <v>343</v>
      </c>
      <c r="AF130" s="147" t="s">
        <v>510</v>
      </c>
    </row>
    <row r="131" spans="1:32">
      <c r="A131" s="147" t="s">
        <v>756</v>
      </c>
      <c r="B131" s="147" t="s">
        <v>502</v>
      </c>
      <c r="C131" s="147" t="s">
        <v>503</v>
      </c>
      <c r="D131" s="147" t="s">
        <v>504</v>
      </c>
      <c r="E131" s="147" t="s">
        <v>505</v>
      </c>
      <c r="F131" s="147" t="s">
        <v>506</v>
      </c>
      <c r="G131" s="147" t="s">
        <v>203</v>
      </c>
      <c r="H131" s="147">
        <v>16</v>
      </c>
      <c r="I131" s="147" t="s">
        <v>343</v>
      </c>
      <c r="J131" s="148">
        <v>546.33333333333337</v>
      </c>
      <c r="K131" s="147">
        <v>10</v>
      </c>
      <c r="L131" s="147" t="s">
        <v>507</v>
      </c>
      <c r="M131" s="147">
        <v>10</v>
      </c>
      <c r="N131" s="147" t="s">
        <v>508</v>
      </c>
      <c r="O131" s="148">
        <v>5979</v>
      </c>
      <c r="P131" s="148">
        <v>649</v>
      </c>
      <c r="Q131" s="148">
        <v>4233.75</v>
      </c>
      <c r="R131" s="148">
        <v>3604</v>
      </c>
      <c r="S131" s="149">
        <v>49.825000000000003</v>
      </c>
      <c r="T131" s="147" t="s">
        <v>510</v>
      </c>
      <c r="U131" s="147" t="s">
        <v>343</v>
      </c>
      <c r="V131" s="147" t="s">
        <v>510</v>
      </c>
      <c r="W131" s="147" t="s">
        <v>511</v>
      </c>
      <c r="X131" s="147" t="s">
        <v>535</v>
      </c>
      <c r="Y131" s="147" t="s">
        <v>343</v>
      </c>
      <c r="Z131" s="147" t="s">
        <v>512</v>
      </c>
      <c r="AA131" s="147" t="s">
        <v>757</v>
      </c>
      <c r="AB131" s="147" t="s">
        <v>527</v>
      </c>
      <c r="AC131" s="147" t="s">
        <v>515</v>
      </c>
      <c r="AD131" s="147" t="s">
        <v>528</v>
      </c>
      <c r="AE131" s="147" t="s">
        <v>509</v>
      </c>
      <c r="AF131" s="147" t="s">
        <v>343</v>
      </c>
    </row>
    <row r="132" spans="1:32">
      <c r="A132" s="147" t="s">
        <v>758</v>
      </c>
      <c r="B132" s="147" t="s">
        <v>502</v>
      </c>
      <c r="C132" s="147" t="s">
        <v>503</v>
      </c>
      <c r="D132" s="147" t="s">
        <v>504</v>
      </c>
      <c r="E132" s="147" t="s">
        <v>505</v>
      </c>
      <c r="F132" s="147" t="s">
        <v>599</v>
      </c>
      <c r="G132" s="147" t="s">
        <v>126</v>
      </c>
      <c r="H132" s="147">
        <v>27</v>
      </c>
      <c r="I132" s="147" t="s">
        <v>343</v>
      </c>
      <c r="J132" s="148">
        <v>495</v>
      </c>
      <c r="K132" s="147">
        <v>16</v>
      </c>
      <c r="L132" s="147" t="s">
        <v>507</v>
      </c>
      <c r="M132" s="147">
        <v>16</v>
      </c>
      <c r="N132" s="147" t="s">
        <v>508</v>
      </c>
      <c r="O132" s="148">
        <v>5970</v>
      </c>
      <c r="P132" s="148">
        <v>525</v>
      </c>
      <c r="Q132" s="148">
        <v>4235</v>
      </c>
      <c r="R132" s="148">
        <v>4140</v>
      </c>
      <c r="S132" s="149">
        <v>31.09375</v>
      </c>
      <c r="T132" s="147" t="s">
        <v>510</v>
      </c>
      <c r="U132" s="147" t="s">
        <v>343</v>
      </c>
      <c r="V132" s="147" t="s">
        <v>510</v>
      </c>
      <c r="W132" s="147" t="s">
        <v>511</v>
      </c>
      <c r="X132" s="147" t="s">
        <v>519</v>
      </c>
      <c r="Y132" s="147" t="s">
        <v>343</v>
      </c>
      <c r="Z132" s="147" t="s">
        <v>512</v>
      </c>
      <c r="AA132" s="147" t="s">
        <v>561</v>
      </c>
      <c r="AB132" s="147" t="s">
        <v>562</v>
      </c>
      <c r="AC132" s="147" t="s">
        <v>515</v>
      </c>
      <c r="AD132" s="147" t="s">
        <v>563</v>
      </c>
      <c r="AE132" s="147" t="s">
        <v>509</v>
      </c>
      <c r="AF132" s="147" t="s">
        <v>343</v>
      </c>
    </row>
    <row r="133" spans="1:32">
      <c r="A133" s="147" t="s">
        <v>759</v>
      </c>
      <c r="B133" s="147" t="s">
        <v>502</v>
      </c>
      <c r="C133" s="147" t="s">
        <v>503</v>
      </c>
      <c r="D133" s="147" t="s">
        <v>504</v>
      </c>
      <c r="E133" s="147" t="s">
        <v>621</v>
      </c>
      <c r="F133" s="147" t="s">
        <v>592</v>
      </c>
      <c r="G133" s="147" t="s">
        <v>211</v>
      </c>
      <c r="H133" s="147">
        <v>8</v>
      </c>
      <c r="I133" s="147" t="s">
        <v>343</v>
      </c>
      <c r="J133" s="148">
        <v>840</v>
      </c>
      <c r="K133" s="147">
        <v>11</v>
      </c>
      <c r="L133" s="147" t="s">
        <v>507</v>
      </c>
      <c r="M133" s="147">
        <v>11</v>
      </c>
      <c r="N133" s="147" t="s">
        <v>508</v>
      </c>
      <c r="O133" s="148">
        <v>5960</v>
      </c>
      <c r="P133" s="148">
        <v>860</v>
      </c>
      <c r="Q133" s="148">
        <v>700</v>
      </c>
      <c r="R133" s="148">
        <v>5260</v>
      </c>
      <c r="S133" s="149">
        <v>45.151515151515156</v>
      </c>
      <c r="T133" s="147" t="s">
        <v>510</v>
      </c>
      <c r="U133" s="147" t="s">
        <v>343</v>
      </c>
      <c r="V133" s="147" t="s">
        <v>510</v>
      </c>
      <c r="W133" s="147" t="s">
        <v>511</v>
      </c>
      <c r="X133" s="147" t="s">
        <v>545</v>
      </c>
      <c r="Y133" s="147" t="s">
        <v>343</v>
      </c>
      <c r="Z133" s="147" t="s">
        <v>512</v>
      </c>
      <c r="AA133" s="147" t="s">
        <v>550</v>
      </c>
      <c r="AB133" s="147" t="s">
        <v>551</v>
      </c>
      <c r="AC133" s="147" t="s">
        <v>538</v>
      </c>
      <c r="AD133" s="147" t="s">
        <v>528</v>
      </c>
      <c r="AE133" s="147" t="s">
        <v>509</v>
      </c>
      <c r="AF133" s="147" t="s">
        <v>343</v>
      </c>
    </row>
    <row r="134" spans="1:32">
      <c r="A134" s="147" t="s">
        <v>760</v>
      </c>
      <c r="B134" s="147" t="s">
        <v>502</v>
      </c>
      <c r="C134" s="147" t="s">
        <v>503</v>
      </c>
      <c r="D134" s="147" t="s">
        <v>504</v>
      </c>
      <c r="E134" s="147" t="s">
        <v>505</v>
      </c>
      <c r="F134" s="147" t="s">
        <v>506</v>
      </c>
      <c r="G134" s="147" t="s">
        <v>206</v>
      </c>
      <c r="H134" s="147">
        <v>13</v>
      </c>
      <c r="I134" s="147" t="s">
        <v>343</v>
      </c>
      <c r="J134" s="148">
        <v>653.9666666666667</v>
      </c>
      <c r="K134" s="147">
        <v>6</v>
      </c>
      <c r="L134" s="147" t="s">
        <v>560</v>
      </c>
      <c r="M134" s="147">
        <v>6</v>
      </c>
      <c r="N134" s="147" t="s">
        <v>569</v>
      </c>
      <c r="O134" s="148">
        <v>5919.9</v>
      </c>
      <c r="P134" s="148">
        <v>641.9</v>
      </c>
      <c r="Q134" s="148">
        <v>2809.25</v>
      </c>
      <c r="R134" s="148">
        <v>4006.9</v>
      </c>
      <c r="S134" s="149">
        <v>82.220833333333331</v>
      </c>
      <c r="T134" s="147" t="s">
        <v>509</v>
      </c>
      <c r="U134" s="147">
        <v>5</v>
      </c>
      <c r="V134" s="147" t="s">
        <v>510</v>
      </c>
      <c r="W134" s="147" t="s">
        <v>511</v>
      </c>
      <c r="X134" s="147" t="s">
        <v>530</v>
      </c>
      <c r="Y134" s="147" t="s">
        <v>343</v>
      </c>
      <c r="Z134" s="147" t="s">
        <v>512</v>
      </c>
      <c r="AA134" s="147" t="s">
        <v>570</v>
      </c>
      <c r="AB134" s="147" t="s">
        <v>551</v>
      </c>
      <c r="AC134" s="147" t="s">
        <v>538</v>
      </c>
      <c r="AD134" s="147" t="s">
        <v>528</v>
      </c>
      <c r="AE134" s="147" t="s">
        <v>509</v>
      </c>
      <c r="AF134" s="147" t="s">
        <v>343</v>
      </c>
    </row>
    <row r="135" spans="1:32">
      <c r="A135" s="147" t="s">
        <v>761</v>
      </c>
      <c r="B135" s="147" t="s">
        <v>502</v>
      </c>
      <c r="C135" s="147" t="s">
        <v>683</v>
      </c>
      <c r="D135" s="147" t="s">
        <v>684</v>
      </c>
      <c r="E135" s="147" t="s">
        <v>343</v>
      </c>
      <c r="F135" s="147" t="s">
        <v>343</v>
      </c>
      <c r="G135" s="147" t="s">
        <v>762</v>
      </c>
      <c r="H135" s="147">
        <v>47</v>
      </c>
      <c r="I135" s="147" t="s">
        <v>343</v>
      </c>
      <c r="J135" s="148">
        <v>500</v>
      </c>
      <c r="K135" s="147">
        <v>0</v>
      </c>
      <c r="L135" s="147" t="s">
        <v>507</v>
      </c>
      <c r="M135" s="147">
        <v>0</v>
      </c>
      <c r="N135" s="147" t="s">
        <v>508</v>
      </c>
      <c r="O135" s="148">
        <v>5831</v>
      </c>
      <c r="P135" s="148">
        <v>500</v>
      </c>
      <c r="Q135" s="148">
        <v>5645</v>
      </c>
      <c r="R135" s="148">
        <v>3515</v>
      </c>
      <c r="S135" s="147" t="s">
        <v>343</v>
      </c>
      <c r="T135" s="147" t="s">
        <v>510</v>
      </c>
      <c r="U135" s="147" t="s">
        <v>343</v>
      </c>
      <c r="V135" s="147" t="s">
        <v>510</v>
      </c>
      <c r="W135" s="147" t="s">
        <v>343</v>
      </c>
      <c r="X135" s="147" t="s">
        <v>343</v>
      </c>
      <c r="Y135" s="147" t="s">
        <v>343</v>
      </c>
      <c r="Z135" s="147" t="s">
        <v>600</v>
      </c>
      <c r="AA135" s="147" t="s">
        <v>685</v>
      </c>
      <c r="AB135" s="147" t="s">
        <v>686</v>
      </c>
      <c r="AC135" s="147" t="s">
        <v>643</v>
      </c>
      <c r="AD135" s="147" t="s">
        <v>687</v>
      </c>
      <c r="AE135" s="147" t="s">
        <v>510</v>
      </c>
      <c r="AF135" s="147" t="s">
        <v>343</v>
      </c>
    </row>
    <row r="136" spans="1:32">
      <c r="A136" s="147" t="s">
        <v>763</v>
      </c>
      <c r="B136" s="147" t="s">
        <v>567</v>
      </c>
      <c r="C136" s="147" t="s">
        <v>637</v>
      </c>
      <c r="D136" s="147" t="s">
        <v>343</v>
      </c>
      <c r="E136" s="147" t="s">
        <v>343</v>
      </c>
      <c r="F136" s="147" t="s">
        <v>343</v>
      </c>
      <c r="G136" s="147" t="s">
        <v>764</v>
      </c>
      <c r="H136" s="147">
        <v>36</v>
      </c>
      <c r="I136" s="147" t="s">
        <v>627</v>
      </c>
      <c r="J136" s="148">
        <v>485</v>
      </c>
      <c r="K136" s="147" t="s">
        <v>343</v>
      </c>
      <c r="L136" s="147" t="s">
        <v>640</v>
      </c>
      <c r="M136" s="147" t="s">
        <v>343</v>
      </c>
      <c r="N136" s="147" t="s">
        <v>343</v>
      </c>
      <c r="O136" s="148">
        <v>5820</v>
      </c>
      <c r="P136" s="148">
        <v>485</v>
      </c>
      <c r="Q136" s="148">
        <v>5730</v>
      </c>
      <c r="R136" s="148">
        <v>3395</v>
      </c>
      <c r="S136" s="147" t="s">
        <v>343</v>
      </c>
      <c r="T136" s="147" t="s">
        <v>510</v>
      </c>
      <c r="U136" s="147" t="s">
        <v>343</v>
      </c>
      <c r="V136" s="147" t="s">
        <v>510</v>
      </c>
      <c r="W136" s="147" t="s">
        <v>343</v>
      </c>
      <c r="X136" s="147" t="s">
        <v>343</v>
      </c>
      <c r="Y136" s="147" t="s">
        <v>343</v>
      </c>
      <c r="Z136" s="147" t="s">
        <v>343</v>
      </c>
      <c r="AA136" s="147" t="s">
        <v>710</v>
      </c>
      <c r="AB136" s="147" t="s">
        <v>686</v>
      </c>
      <c r="AC136" s="147" t="s">
        <v>643</v>
      </c>
      <c r="AD136" s="147" t="s">
        <v>687</v>
      </c>
      <c r="AE136" s="147" t="s">
        <v>510</v>
      </c>
      <c r="AF136" s="147" t="s">
        <v>510</v>
      </c>
    </row>
    <row r="137" spans="1:32">
      <c r="A137" s="147" t="s">
        <v>765</v>
      </c>
      <c r="B137" s="147" t="s">
        <v>502</v>
      </c>
      <c r="C137" s="147" t="s">
        <v>683</v>
      </c>
      <c r="D137" s="147" t="s">
        <v>684</v>
      </c>
      <c r="E137" s="147" t="s">
        <v>343</v>
      </c>
      <c r="F137" s="147" t="s">
        <v>343</v>
      </c>
      <c r="G137" s="147" t="s">
        <v>204</v>
      </c>
      <c r="H137" s="147">
        <v>15</v>
      </c>
      <c r="I137" s="147" t="s">
        <v>343</v>
      </c>
      <c r="J137" s="148">
        <v>495</v>
      </c>
      <c r="K137" s="147" t="s">
        <v>343</v>
      </c>
      <c r="L137" s="147" t="s">
        <v>709</v>
      </c>
      <c r="M137" s="147" t="s">
        <v>343</v>
      </c>
      <c r="N137" s="147" t="s">
        <v>343</v>
      </c>
      <c r="O137" s="148">
        <v>5760</v>
      </c>
      <c r="P137" s="148">
        <v>495</v>
      </c>
      <c r="Q137" s="148">
        <v>3822.5</v>
      </c>
      <c r="R137" s="148">
        <v>3385</v>
      </c>
      <c r="S137" s="147" t="s">
        <v>343</v>
      </c>
      <c r="T137" s="147" t="s">
        <v>510</v>
      </c>
      <c r="U137" s="147" t="s">
        <v>343</v>
      </c>
      <c r="V137" s="147" t="s">
        <v>510</v>
      </c>
      <c r="W137" s="147" t="s">
        <v>343</v>
      </c>
      <c r="X137" s="147" t="s">
        <v>530</v>
      </c>
      <c r="Y137" s="147" t="s">
        <v>343</v>
      </c>
      <c r="Z137" s="147" t="s">
        <v>600</v>
      </c>
      <c r="AA137" s="147" t="s">
        <v>685</v>
      </c>
      <c r="AB137" s="147" t="s">
        <v>686</v>
      </c>
      <c r="AC137" s="147" t="s">
        <v>643</v>
      </c>
      <c r="AD137" s="147" t="s">
        <v>687</v>
      </c>
      <c r="AE137" s="147" t="s">
        <v>510</v>
      </c>
      <c r="AF137" s="147" t="s">
        <v>343</v>
      </c>
    </row>
    <row r="138" spans="1:32">
      <c r="A138" s="147" t="s">
        <v>766</v>
      </c>
      <c r="B138" s="147" t="s">
        <v>502</v>
      </c>
      <c r="C138" s="147" t="s">
        <v>683</v>
      </c>
      <c r="D138" s="147" t="s">
        <v>684</v>
      </c>
      <c r="E138" s="147" t="s">
        <v>343</v>
      </c>
      <c r="F138" s="147" t="s">
        <v>343</v>
      </c>
      <c r="G138" s="147" t="s">
        <v>128</v>
      </c>
      <c r="H138" s="147">
        <v>25</v>
      </c>
      <c r="I138" s="147" t="s">
        <v>343</v>
      </c>
      <c r="J138" s="148">
        <v>406</v>
      </c>
      <c r="K138" s="147" t="s">
        <v>343</v>
      </c>
      <c r="L138" s="147" t="s">
        <v>709</v>
      </c>
      <c r="M138" s="147" t="s">
        <v>343</v>
      </c>
      <c r="N138" s="147" t="s">
        <v>343</v>
      </c>
      <c r="O138" s="148">
        <v>5643</v>
      </c>
      <c r="P138" s="148">
        <v>418</v>
      </c>
      <c r="Q138" s="148">
        <v>5595</v>
      </c>
      <c r="R138" s="148">
        <v>2818</v>
      </c>
      <c r="S138" s="147" t="s">
        <v>343</v>
      </c>
      <c r="T138" s="147" t="s">
        <v>510</v>
      </c>
      <c r="U138" s="147" t="s">
        <v>343</v>
      </c>
      <c r="V138" s="147" t="s">
        <v>510</v>
      </c>
      <c r="W138" s="147" t="s">
        <v>518</v>
      </c>
      <c r="X138" s="147" t="s">
        <v>545</v>
      </c>
      <c r="Y138" s="147" t="s">
        <v>343</v>
      </c>
      <c r="Z138" s="147" t="s">
        <v>600</v>
      </c>
      <c r="AA138" s="147" t="s">
        <v>685</v>
      </c>
      <c r="AB138" s="147" t="s">
        <v>686</v>
      </c>
      <c r="AC138" s="147" t="s">
        <v>643</v>
      </c>
      <c r="AD138" s="147" t="s">
        <v>687</v>
      </c>
      <c r="AE138" s="147" t="s">
        <v>510</v>
      </c>
      <c r="AF138" s="147" t="s">
        <v>343</v>
      </c>
    </row>
    <row r="139" spans="1:32">
      <c r="A139" s="147" t="s">
        <v>767</v>
      </c>
      <c r="B139" s="147" t="s">
        <v>567</v>
      </c>
      <c r="C139" s="147" t="s">
        <v>637</v>
      </c>
      <c r="D139" s="147" t="s">
        <v>333</v>
      </c>
      <c r="E139" s="147" t="s">
        <v>343</v>
      </c>
      <c r="F139" s="147" t="s">
        <v>343</v>
      </c>
      <c r="G139" s="147" t="s">
        <v>737</v>
      </c>
      <c r="H139" s="147">
        <v>52</v>
      </c>
      <c r="I139" s="147" t="s">
        <v>627</v>
      </c>
      <c r="J139" s="148">
        <v>460</v>
      </c>
      <c r="K139" s="147" t="s">
        <v>343</v>
      </c>
      <c r="L139" s="147" t="s">
        <v>640</v>
      </c>
      <c r="M139" s="147" t="s">
        <v>343</v>
      </c>
      <c r="N139" s="147" t="s">
        <v>343</v>
      </c>
      <c r="O139" s="148">
        <v>5580</v>
      </c>
      <c r="P139" s="148">
        <v>460</v>
      </c>
      <c r="Q139" s="148">
        <v>5460</v>
      </c>
      <c r="R139" s="148">
        <v>3280</v>
      </c>
      <c r="S139" s="147" t="s">
        <v>343</v>
      </c>
      <c r="T139" s="147" t="s">
        <v>510</v>
      </c>
      <c r="U139" s="147" t="s">
        <v>343</v>
      </c>
      <c r="V139" s="147" t="s">
        <v>510</v>
      </c>
      <c r="W139" s="147" t="s">
        <v>343</v>
      </c>
      <c r="X139" s="147" t="s">
        <v>343</v>
      </c>
      <c r="Y139" s="147" t="s">
        <v>343</v>
      </c>
      <c r="Z139" s="147" t="s">
        <v>600</v>
      </c>
      <c r="AA139" s="147" t="s">
        <v>674</v>
      </c>
      <c r="AB139" s="147" t="s">
        <v>642</v>
      </c>
      <c r="AC139" s="147" t="s">
        <v>643</v>
      </c>
      <c r="AD139" s="147" t="s">
        <v>528</v>
      </c>
      <c r="AE139" s="147" t="s">
        <v>510</v>
      </c>
      <c r="AF139" s="147" t="s">
        <v>510</v>
      </c>
    </row>
    <row r="140" spans="1:32">
      <c r="A140" s="147" t="s">
        <v>768</v>
      </c>
      <c r="B140" s="147" t="s">
        <v>567</v>
      </c>
      <c r="C140" s="147" t="s">
        <v>503</v>
      </c>
      <c r="D140" s="147" t="s">
        <v>504</v>
      </c>
      <c r="E140" s="147" t="s">
        <v>505</v>
      </c>
      <c r="F140" s="147" t="s">
        <v>506</v>
      </c>
      <c r="G140" s="147" t="s">
        <v>127</v>
      </c>
      <c r="H140" s="147">
        <v>24</v>
      </c>
      <c r="I140" s="147" t="s">
        <v>247</v>
      </c>
      <c r="J140" s="148">
        <v>486.33333333333331</v>
      </c>
      <c r="K140" s="147">
        <v>0</v>
      </c>
      <c r="L140" s="147" t="s">
        <v>507</v>
      </c>
      <c r="M140" s="147">
        <v>0</v>
      </c>
      <c r="N140" s="147" t="s">
        <v>508</v>
      </c>
      <c r="O140" s="148">
        <v>5575</v>
      </c>
      <c r="P140" s="147" t="s">
        <v>343</v>
      </c>
      <c r="Q140" s="148">
        <v>7036</v>
      </c>
      <c r="R140" s="148">
        <v>2635</v>
      </c>
      <c r="S140" s="147" t="s">
        <v>343</v>
      </c>
      <c r="T140" s="147" t="s">
        <v>510</v>
      </c>
      <c r="U140" s="147" t="s">
        <v>343</v>
      </c>
      <c r="V140" s="147" t="s">
        <v>509</v>
      </c>
      <c r="W140" s="147" t="s">
        <v>518</v>
      </c>
      <c r="X140" s="147" t="s">
        <v>519</v>
      </c>
      <c r="Y140" s="147" t="s">
        <v>769</v>
      </c>
      <c r="Z140" s="147" t="s">
        <v>512</v>
      </c>
      <c r="AA140" s="147" t="s">
        <v>558</v>
      </c>
      <c r="AB140" s="147" t="s">
        <v>541</v>
      </c>
      <c r="AC140" s="147" t="s">
        <v>522</v>
      </c>
      <c r="AD140" s="147" t="s">
        <v>523</v>
      </c>
      <c r="AE140" s="147" t="s">
        <v>510</v>
      </c>
      <c r="AF140" s="147" t="s">
        <v>509</v>
      </c>
    </row>
    <row r="141" spans="1:32">
      <c r="A141" s="147" t="s">
        <v>770</v>
      </c>
      <c r="B141" s="147" t="s">
        <v>502</v>
      </c>
      <c r="C141" s="147" t="s">
        <v>683</v>
      </c>
      <c r="D141" s="147" t="s">
        <v>684</v>
      </c>
      <c r="E141" s="147" t="s">
        <v>343</v>
      </c>
      <c r="F141" s="147" t="s">
        <v>343</v>
      </c>
      <c r="G141" s="147" t="s">
        <v>127</v>
      </c>
      <c r="H141" s="147">
        <v>26</v>
      </c>
      <c r="I141" s="147" t="s">
        <v>343</v>
      </c>
      <c r="J141" s="148">
        <v>358.33333333333331</v>
      </c>
      <c r="K141" s="147" t="s">
        <v>343</v>
      </c>
      <c r="L141" s="147" t="s">
        <v>709</v>
      </c>
      <c r="M141" s="147" t="s">
        <v>343</v>
      </c>
      <c r="N141" s="147" t="s">
        <v>343</v>
      </c>
      <c r="O141" s="148">
        <v>5560</v>
      </c>
      <c r="P141" s="148">
        <v>375</v>
      </c>
      <c r="Q141" s="148">
        <v>4570</v>
      </c>
      <c r="R141" s="148">
        <v>3170</v>
      </c>
      <c r="S141" s="147" t="s">
        <v>343</v>
      </c>
      <c r="T141" s="147" t="s">
        <v>510</v>
      </c>
      <c r="U141" s="147" t="s">
        <v>343</v>
      </c>
      <c r="V141" s="147" t="s">
        <v>510</v>
      </c>
      <c r="W141" s="147" t="s">
        <v>343</v>
      </c>
      <c r="X141" s="147" t="s">
        <v>343</v>
      </c>
      <c r="Y141" s="147" t="s">
        <v>343</v>
      </c>
      <c r="Z141" s="147" t="s">
        <v>600</v>
      </c>
      <c r="AA141" s="147" t="s">
        <v>771</v>
      </c>
      <c r="AB141" s="147" t="s">
        <v>686</v>
      </c>
      <c r="AC141" s="147" t="s">
        <v>643</v>
      </c>
      <c r="AD141" s="147" t="s">
        <v>687</v>
      </c>
      <c r="AE141" s="147" t="s">
        <v>510</v>
      </c>
      <c r="AF141" s="147" t="s">
        <v>343</v>
      </c>
    </row>
    <row r="142" spans="1:32">
      <c r="A142" s="147" t="s">
        <v>772</v>
      </c>
      <c r="B142" s="147" t="s">
        <v>502</v>
      </c>
      <c r="C142" s="147" t="s">
        <v>683</v>
      </c>
      <c r="D142" s="147" t="s">
        <v>684</v>
      </c>
      <c r="E142" s="147" t="s">
        <v>343</v>
      </c>
      <c r="F142" s="147" t="s">
        <v>343</v>
      </c>
      <c r="G142" s="147" t="s">
        <v>211</v>
      </c>
      <c r="H142" s="147">
        <v>8</v>
      </c>
      <c r="I142" s="147" t="s">
        <v>343</v>
      </c>
      <c r="J142" s="148">
        <v>725</v>
      </c>
      <c r="K142" s="147" t="s">
        <v>343</v>
      </c>
      <c r="L142" s="147" t="s">
        <v>709</v>
      </c>
      <c r="M142" s="147" t="s">
        <v>343</v>
      </c>
      <c r="N142" s="147" t="s">
        <v>343</v>
      </c>
      <c r="O142" s="148">
        <v>5552.5</v>
      </c>
      <c r="P142" s="148">
        <v>725</v>
      </c>
      <c r="Q142" s="148">
        <v>695</v>
      </c>
      <c r="R142" s="148">
        <v>4857.5</v>
      </c>
      <c r="S142" s="147" t="s">
        <v>343</v>
      </c>
      <c r="T142" s="147" t="s">
        <v>510</v>
      </c>
      <c r="U142" s="147" t="s">
        <v>343</v>
      </c>
      <c r="V142" s="147" t="s">
        <v>510</v>
      </c>
      <c r="W142" s="147" t="s">
        <v>343</v>
      </c>
      <c r="X142" s="147" t="s">
        <v>343</v>
      </c>
      <c r="Y142" s="147" t="s">
        <v>343</v>
      </c>
      <c r="Z142" s="147" t="s">
        <v>343</v>
      </c>
      <c r="AA142" s="147" t="s">
        <v>771</v>
      </c>
      <c r="AB142" s="147" t="s">
        <v>686</v>
      </c>
      <c r="AC142" s="147" t="s">
        <v>571</v>
      </c>
      <c r="AD142" s="147" t="s">
        <v>687</v>
      </c>
      <c r="AE142" s="147" t="s">
        <v>510</v>
      </c>
      <c r="AF142" s="147" t="s">
        <v>343</v>
      </c>
    </row>
    <row r="143" spans="1:32">
      <c r="A143" s="147" t="s">
        <v>773</v>
      </c>
      <c r="B143" s="147" t="s">
        <v>567</v>
      </c>
      <c r="C143" s="147" t="s">
        <v>503</v>
      </c>
      <c r="D143" s="147" t="s">
        <v>504</v>
      </c>
      <c r="E143" s="147" t="s">
        <v>505</v>
      </c>
      <c r="F143" s="147" t="s">
        <v>506</v>
      </c>
      <c r="G143" s="147" t="s">
        <v>129</v>
      </c>
      <c r="H143" s="147">
        <v>24</v>
      </c>
      <c r="I143" s="147" t="s">
        <v>627</v>
      </c>
      <c r="J143" s="148">
        <v>350</v>
      </c>
      <c r="K143" s="147">
        <v>4</v>
      </c>
      <c r="L143" s="147" t="s">
        <v>568</v>
      </c>
      <c r="M143" s="147" t="s">
        <v>343</v>
      </c>
      <c r="N143" s="147" t="s">
        <v>343</v>
      </c>
      <c r="O143" s="148">
        <v>5550</v>
      </c>
      <c r="P143" s="148">
        <v>350</v>
      </c>
      <c r="Q143" s="148">
        <v>6761</v>
      </c>
      <c r="R143" s="148">
        <v>2675</v>
      </c>
      <c r="S143" s="149">
        <v>115.625</v>
      </c>
      <c r="T143" s="147" t="s">
        <v>510</v>
      </c>
      <c r="U143" s="147" t="s">
        <v>343</v>
      </c>
      <c r="V143" s="147" t="s">
        <v>510</v>
      </c>
      <c r="W143" s="147" t="s">
        <v>511</v>
      </c>
      <c r="X143" s="147" t="s">
        <v>545</v>
      </c>
      <c r="Y143" s="147" t="s">
        <v>343</v>
      </c>
      <c r="Z143" s="147" t="s">
        <v>512</v>
      </c>
      <c r="AA143" s="147" t="s">
        <v>537</v>
      </c>
      <c r="AB143" s="147" t="s">
        <v>774</v>
      </c>
      <c r="AC143" s="147" t="s">
        <v>538</v>
      </c>
      <c r="AD143" s="147" t="s">
        <v>523</v>
      </c>
      <c r="AE143" s="147" t="s">
        <v>510</v>
      </c>
      <c r="AF143" s="147" t="s">
        <v>509</v>
      </c>
    </row>
    <row r="144" spans="1:32">
      <c r="A144" s="147" t="s">
        <v>775</v>
      </c>
      <c r="B144" s="147" t="s">
        <v>567</v>
      </c>
      <c r="C144" s="147" t="s">
        <v>683</v>
      </c>
      <c r="D144" s="147" t="s">
        <v>684</v>
      </c>
      <c r="E144" s="147" t="s">
        <v>343</v>
      </c>
      <c r="F144" s="147" t="s">
        <v>343</v>
      </c>
      <c r="G144" s="147" t="s">
        <v>132</v>
      </c>
      <c r="H144" s="147">
        <v>19</v>
      </c>
      <c r="I144" s="147" t="s">
        <v>247</v>
      </c>
      <c r="J144" s="148">
        <v>500</v>
      </c>
      <c r="K144" s="147" t="s">
        <v>343</v>
      </c>
      <c r="L144" s="147" t="s">
        <v>640</v>
      </c>
      <c r="M144" s="147" t="s">
        <v>343</v>
      </c>
      <c r="N144" s="147" t="s">
        <v>343</v>
      </c>
      <c r="O144" s="148">
        <v>5495</v>
      </c>
      <c r="P144" s="147" t="s">
        <v>343</v>
      </c>
      <c r="Q144" s="148">
        <v>6000</v>
      </c>
      <c r="R144" s="148">
        <v>2745</v>
      </c>
      <c r="S144" s="147" t="s">
        <v>343</v>
      </c>
      <c r="T144" s="147" t="s">
        <v>510</v>
      </c>
      <c r="U144" s="147" t="s">
        <v>343</v>
      </c>
      <c r="V144" s="147" t="s">
        <v>510</v>
      </c>
      <c r="W144" s="147" t="s">
        <v>343</v>
      </c>
      <c r="X144" s="147" t="s">
        <v>343</v>
      </c>
      <c r="Y144" s="147" t="s">
        <v>343</v>
      </c>
      <c r="Z144" s="147" t="s">
        <v>600</v>
      </c>
      <c r="AA144" s="147" t="s">
        <v>771</v>
      </c>
      <c r="AB144" s="147" t="s">
        <v>686</v>
      </c>
      <c r="AC144" s="147" t="s">
        <v>643</v>
      </c>
      <c r="AD144" s="147" t="s">
        <v>516</v>
      </c>
      <c r="AE144" s="147" t="s">
        <v>510</v>
      </c>
      <c r="AF144" s="147" t="s">
        <v>509</v>
      </c>
    </row>
    <row r="145" spans="1:32">
      <c r="A145" s="147" t="s">
        <v>776</v>
      </c>
      <c r="B145" s="147" t="s">
        <v>502</v>
      </c>
      <c r="C145" s="147" t="s">
        <v>503</v>
      </c>
      <c r="D145" s="147" t="s">
        <v>504</v>
      </c>
      <c r="E145" s="147" t="s">
        <v>505</v>
      </c>
      <c r="F145" s="147" t="s">
        <v>506</v>
      </c>
      <c r="G145" s="147" t="s">
        <v>244</v>
      </c>
      <c r="H145" s="147">
        <v>5</v>
      </c>
      <c r="I145" s="147" t="s">
        <v>343</v>
      </c>
      <c r="J145" s="148">
        <v>1119.4666666666667</v>
      </c>
      <c r="K145" s="147">
        <v>17</v>
      </c>
      <c r="L145" s="147" t="s">
        <v>507</v>
      </c>
      <c r="M145" s="147">
        <v>17</v>
      </c>
      <c r="N145" s="147" t="s">
        <v>508</v>
      </c>
      <c r="O145" s="148">
        <v>5488.4</v>
      </c>
      <c r="P145" s="148">
        <v>1317</v>
      </c>
      <c r="Q145" s="147" t="s">
        <v>343</v>
      </c>
      <c r="R145" s="148">
        <v>5488.4</v>
      </c>
      <c r="S145" s="149">
        <v>26.90392156862745</v>
      </c>
      <c r="T145" s="147" t="s">
        <v>510</v>
      </c>
      <c r="U145" s="147" t="s">
        <v>343</v>
      </c>
      <c r="V145" s="147" t="s">
        <v>509</v>
      </c>
      <c r="W145" s="147" t="s">
        <v>511</v>
      </c>
      <c r="X145" s="147" t="s">
        <v>535</v>
      </c>
      <c r="Y145" s="147" t="s">
        <v>347</v>
      </c>
      <c r="Z145" s="147" t="s">
        <v>512</v>
      </c>
      <c r="AA145" s="147" t="s">
        <v>540</v>
      </c>
      <c r="AB145" s="147" t="s">
        <v>541</v>
      </c>
      <c r="AC145" s="147" t="s">
        <v>522</v>
      </c>
      <c r="AD145" s="147" t="s">
        <v>523</v>
      </c>
      <c r="AE145" s="147" t="s">
        <v>509</v>
      </c>
      <c r="AF145" s="147" t="s">
        <v>343</v>
      </c>
    </row>
    <row r="146" spans="1:32">
      <c r="A146" s="147" t="s">
        <v>777</v>
      </c>
      <c r="B146" s="147" t="s">
        <v>502</v>
      </c>
      <c r="C146" s="147" t="s">
        <v>503</v>
      </c>
      <c r="D146" s="147" t="s">
        <v>504</v>
      </c>
      <c r="E146" s="147" t="s">
        <v>505</v>
      </c>
      <c r="F146" s="147" t="s">
        <v>506</v>
      </c>
      <c r="G146" s="147" t="s">
        <v>203</v>
      </c>
      <c r="H146" s="147">
        <v>16</v>
      </c>
      <c r="I146" s="147" t="s">
        <v>343</v>
      </c>
      <c r="J146" s="148">
        <v>495</v>
      </c>
      <c r="K146" s="147">
        <v>4</v>
      </c>
      <c r="L146" s="147" t="s">
        <v>560</v>
      </c>
      <c r="M146" s="147" t="s">
        <v>343</v>
      </c>
      <c r="N146" s="147" t="s">
        <v>343</v>
      </c>
      <c r="O146" s="148">
        <v>5405</v>
      </c>
      <c r="P146" s="148">
        <v>495</v>
      </c>
      <c r="Q146" s="148">
        <v>3720</v>
      </c>
      <c r="R146" s="148">
        <v>3405</v>
      </c>
      <c r="S146" s="149">
        <v>112.60416666666667</v>
      </c>
      <c r="T146" s="147" t="s">
        <v>510</v>
      </c>
      <c r="U146" s="147" t="s">
        <v>343</v>
      </c>
      <c r="V146" s="147" t="s">
        <v>510</v>
      </c>
      <c r="W146" s="147" t="s">
        <v>511</v>
      </c>
      <c r="X146" s="147" t="s">
        <v>535</v>
      </c>
      <c r="Y146" s="147" t="s">
        <v>343</v>
      </c>
      <c r="Z146" s="147" t="s">
        <v>512</v>
      </c>
      <c r="AA146" s="147" t="s">
        <v>757</v>
      </c>
      <c r="AB146" s="147" t="s">
        <v>527</v>
      </c>
      <c r="AC146" s="147" t="s">
        <v>515</v>
      </c>
      <c r="AD146" s="147" t="s">
        <v>528</v>
      </c>
      <c r="AE146" s="147" t="s">
        <v>509</v>
      </c>
      <c r="AF146" s="147" t="s">
        <v>343</v>
      </c>
    </row>
    <row r="147" spans="1:32">
      <c r="A147" s="147" t="s">
        <v>778</v>
      </c>
      <c r="B147" s="147" t="s">
        <v>567</v>
      </c>
      <c r="C147" s="147" t="s">
        <v>637</v>
      </c>
      <c r="D147" s="147" t="s">
        <v>779</v>
      </c>
      <c r="E147" s="147" t="s">
        <v>343</v>
      </c>
      <c r="F147" s="147" t="s">
        <v>343</v>
      </c>
      <c r="G147" s="147" t="s">
        <v>639</v>
      </c>
      <c r="H147" s="147">
        <v>63</v>
      </c>
      <c r="I147" s="147" t="s">
        <v>343</v>
      </c>
      <c r="J147" s="148">
        <v>455</v>
      </c>
      <c r="K147" s="147" t="s">
        <v>343</v>
      </c>
      <c r="L147" s="147" t="s">
        <v>640</v>
      </c>
      <c r="M147" s="147" t="s">
        <v>343</v>
      </c>
      <c r="N147" s="147" t="s">
        <v>343</v>
      </c>
      <c r="O147" s="148">
        <v>5400</v>
      </c>
      <c r="P147" s="148">
        <v>455</v>
      </c>
      <c r="Q147" s="148">
        <v>5320</v>
      </c>
      <c r="R147" s="148">
        <v>3185</v>
      </c>
      <c r="S147" s="147" t="s">
        <v>343</v>
      </c>
      <c r="T147" s="147" t="s">
        <v>510</v>
      </c>
      <c r="U147" s="147" t="s">
        <v>343</v>
      </c>
      <c r="V147" s="147" t="s">
        <v>510</v>
      </c>
      <c r="W147" s="147" t="s">
        <v>343</v>
      </c>
      <c r="X147" s="147" t="s">
        <v>343</v>
      </c>
      <c r="Y147" s="147" t="s">
        <v>343</v>
      </c>
      <c r="Z147" s="147" t="s">
        <v>512</v>
      </c>
      <c r="AA147" s="147" t="s">
        <v>674</v>
      </c>
      <c r="AB147" s="147" t="s">
        <v>642</v>
      </c>
      <c r="AC147" s="147" t="s">
        <v>643</v>
      </c>
      <c r="AD147" s="147" t="s">
        <v>528</v>
      </c>
      <c r="AE147" s="147" t="s">
        <v>510</v>
      </c>
      <c r="AF147" s="147" t="s">
        <v>343</v>
      </c>
    </row>
    <row r="148" spans="1:32">
      <c r="A148" s="147" t="s">
        <v>780</v>
      </c>
      <c r="B148" s="147" t="s">
        <v>567</v>
      </c>
      <c r="C148" s="147" t="s">
        <v>637</v>
      </c>
      <c r="D148" s="147" t="s">
        <v>781</v>
      </c>
      <c r="E148" s="147" t="s">
        <v>343</v>
      </c>
      <c r="F148" s="147" t="s">
        <v>343</v>
      </c>
      <c r="G148" s="147" t="s">
        <v>782</v>
      </c>
      <c r="H148" s="147">
        <v>43</v>
      </c>
      <c r="I148" s="147" t="s">
        <v>627</v>
      </c>
      <c r="J148" s="148">
        <v>455</v>
      </c>
      <c r="K148" s="147" t="s">
        <v>343</v>
      </c>
      <c r="L148" s="147" t="s">
        <v>640</v>
      </c>
      <c r="M148" s="147" t="s">
        <v>343</v>
      </c>
      <c r="N148" s="147" t="s">
        <v>343</v>
      </c>
      <c r="O148" s="148">
        <v>5385</v>
      </c>
      <c r="P148" s="148">
        <v>455</v>
      </c>
      <c r="Q148" s="148">
        <v>5295</v>
      </c>
      <c r="R148" s="148">
        <v>3185</v>
      </c>
      <c r="S148" s="147" t="s">
        <v>343</v>
      </c>
      <c r="T148" s="147" t="s">
        <v>510</v>
      </c>
      <c r="U148" s="147" t="s">
        <v>343</v>
      </c>
      <c r="V148" s="147" t="s">
        <v>510</v>
      </c>
      <c r="W148" s="147" t="s">
        <v>343</v>
      </c>
      <c r="X148" s="147" t="s">
        <v>343</v>
      </c>
      <c r="Y148" s="147" t="s">
        <v>343</v>
      </c>
      <c r="Z148" s="147" t="s">
        <v>600</v>
      </c>
      <c r="AA148" s="147" t="s">
        <v>674</v>
      </c>
      <c r="AB148" s="147" t="s">
        <v>642</v>
      </c>
      <c r="AC148" s="147" t="s">
        <v>643</v>
      </c>
      <c r="AD148" s="147" t="s">
        <v>528</v>
      </c>
      <c r="AE148" s="147" t="s">
        <v>510</v>
      </c>
      <c r="AF148" s="147" t="s">
        <v>510</v>
      </c>
    </row>
    <row r="149" spans="1:32">
      <c r="A149" s="147" t="s">
        <v>783</v>
      </c>
      <c r="B149" s="147" t="s">
        <v>502</v>
      </c>
      <c r="C149" s="147" t="s">
        <v>683</v>
      </c>
      <c r="D149" s="147" t="s">
        <v>684</v>
      </c>
      <c r="E149" s="147" t="s">
        <v>343</v>
      </c>
      <c r="F149" s="147" t="s">
        <v>343</v>
      </c>
      <c r="G149" s="147" t="s">
        <v>131</v>
      </c>
      <c r="H149" s="147">
        <v>22</v>
      </c>
      <c r="I149" s="147" t="s">
        <v>343</v>
      </c>
      <c r="J149" s="148">
        <v>425</v>
      </c>
      <c r="K149" s="147" t="s">
        <v>343</v>
      </c>
      <c r="L149" s="147" t="s">
        <v>709</v>
      </c>
      <c r="M149" s="147" t="s">
        <v>343</v>
      </c>
      <c r="N149" s="147" t="s">
        <v>343</v>
      </c>
      <c r="O149" s="148">
        <v>5280</v>
      </c>
      <c r="P149" s="148">
        <v>425</v>
      </c>
      <c r="Q149" s="148">
        <v>5220</v>
      </c>
      <c r="R149" s="148">
        <v>3215</v>
      </c>
      <c r="S149" s="147" t="s">
        <v>343</v>
      </c>
      <c r="T149" s="147" t="s">
        <v>510</v>
      </c>
      <c r="U149" s="147" t="s">
        <v>343</v>
      </c>
      <c r="V149" s="147" t="s">
        <v>510</v>
      </c>
      <c r="W149" s="147" t="s">
        <v>343</v>
      </c>
      <c r="X149" s="147" t="s">
        <v>530</v>
      </c>
      <c r="Y149" s="147" t="s">
        <v>343</v>
      </c>
      <c r="Z149" s="147" t="s">
        <v>343</v>
      </c>
      <c r="AA149" s="147" t="s">
        <v>710</v>
      </c>
      <c r="AB149" s="147" t="s">
        <v>686</v>
      </c>
      <c r="AC149" s="147" t="s">
        <v>643</v>
      </c>
      <c r="AD149" s="147" t="s">
        <v>687</v>
      </c>
      <c r="AE149" s="147" t="s">
        <v>510</v>
      </c>
      <c r="AF149" s="147" t="s">
        <v>343</v>
      </c>
    </row>
    <row r="150" spans="1:32">
      <c r="A150" s="147" t="s">
        <v>784</v>
      </c>
      <c r="B150" s="147" t="s">
        <v>502</v>
      </c>
      <c r="C150" s="147" t="s">
        <v>683</v>
      </c>
      <c r="D150" s="147" t="s">
        <v>684</v>
      </c>
      <c r="E150" s="147" t="s">
        <v>343</v>
      </c>
      <c r="F150" s="147" t="s">
        <v>343</v>
      </c>
      <c r="G150" s="147" t="s">
        <v>200</v>
      </c>
      <c r="H150" s="147">
        <v>19</v>
      </c>
      <c r="I150" s="147" t="s">
        <v>343</v>
      </c>
      <c r="J150" s="148">
        <v>406.66666666666669</v>
      </c>
      <c r="K150" s="147" t="s">
        <v>343</v>
      </c>
      <c r="L150" s="147" t="s">
        <v>709</v>
      </c>
      <c r="M150" s="147" t="s">
        <v>343</v>
      </c>
      <c r="N150" s="147" t="s">
        <v>343</v>
      </c>
      <c r="O150" s="148">
        <v>5170</v>
      </c>
      <c r="P150" s="148">
        <v>410</v>
      </c>
      <c r="Q150" s="148">
        <v>5535</v>
      </c>
      <c r="R150" s="148">
        <v>2870</v>
      </c>
      <c r="S150" s="147" t="s">
        <v>343</v>
      </c>
      <c r="T150" s="147" t="s">
        <v>510</v>
      </c>
      <c r="U150" s="147" t="s">
        <v>343</v>
      </c>
      <c r="V150" s="147" t="s">
        <v>510</v>
      </c>
      <c r="W150" s="147" t="s">
        <v>343</v>
      </c>
      <c r="X150" s="147" t="s">
        <v>343</v>
      </c>
      <c r="Y150" s="147" t="s">
        <v>343</v>
      </c>
      <c r="Z150" s="147" t="s">
        <v>600</v>
      </c>
      <c r="AA150" s="147" t="s">
        <v>771</v>
      </c>
      <c r="AB150" s="147" t="s">
        <v>686</v>
      </c>
      <c r="AC150" s="147" t="s">
        <v>643</v>
      </c>
      <c r="AD150" s="147" t="s">
        <v>687</v>
      </c>
      <c r="AE150" s="147" t="s">
        <v>510</v>
      </c>
      <c r="AF150" s="147" t="s">
        <v>343</v>
      </c>
    </row>
    <row r="151" spans="1:32">
      <c r="A151" s="147" t="s">
        <v>785</v>
      </c>
      <c r="B151" s="147" t="s">
        <v>502</v>
      </c>
      <c r="C151" s="147" t="s">
        <v>503</v>
      </c>
      <c r="D151" s="147" t="s">
        <v>504</v>
      </c>
      <c r="E151" s="147" t="s">
        <v>505</v>
      </c>
      <c r="F151" s="147" t="s">
        <v>506</v>
      </c>
      <c r="G151" s="147" t="s">
        <v>245</v>
      </c>
      <c r="H151" s="147">
        <v>4</v>
      </c>
      <c r="I151" s="147" t="s">
        <v>343</v>
      </c>
      <c r="J151" s="148">
        <v>1265</v>
      </c>
      <c r="K151" s="147">
        <v>13</v>
      </c>
      <c r="L151" s="147" t="s">
        <v>507</v>
      </c>
      <c r="M151" s="147">
        <v>13</v>
      </c>
      <c r="N151" s="147" t="s">
        <v>508</v>
      </c>
      <c r="O151" s="148">
        <v>5155</v>
      </c>
      <c r="P151" s="148">
        <v>935</v>
      </c>
      <c r="Q151" s="147" t="s">
        <v>343</v>
      </c>
      <c r="R151" s="148">
        <v>5155</v>
      </c>
      <c r="S151" s="149">
        <v>33.044871794871796</v>
      </c>
      <c r="T151" s="147" t="s">
        <v>509</v>
      </c>
      <c r="U151" s="147">
        <v>3</v>
      </c>
      <c r="V151" s="147" t="s">
        <v>510</v>
      </c>
      <c r="W151" s="147" t="s">
        <v>511</v>
      </c>
      <c r="X151" s="147" t="s">
        <v>519</v>
      </c>
      <c r="Y151" s="147" t="s">
        <v>343</v>
      </c>
      <c r="Z151" s="147" t="s">
        <v>512</v>
      </c>
      <c r="AA151" s="147" t="s">
        <v>670</v>
      </c>
      <c r="AB151" s="147" t="s">
        <v>786</v>
      </c>
      <c r="AC151" s="147" t="s">
        <v>522</v>
      </c>
      <c r="AD151" s="147" t="s">
        <v>563</v>
      </c>
      <c r="AE151" s="147" t="s">
        <v>509</v>
      </c>
      <c r="AF151" s="147" t="s">
        <v>343</v>
      </c>
    </row>
    <row r="152" spans="1:32">
      <c r="A152" s="147" t="s">
        <v>787</v>
      </c>
      <c r="B152" s="147" t="s">
        <v>502</v>
      </c>
      <c r="C152" s="147" t="s">
        <v>503</v>
      </c>
      <c r="D152" s="147" t="s">
        <v>504</v>
      </c>
      <c r="E152" s="147" t="s">
        <v>505</v>
      </c>
      <c r="F152" s="147" t="s">
        <v>506</v>
      </c>
      <c r="G152" s="147" t="s">
        <v>207</v>
      </c>
      <c r="H152" s="147">
        <v>12</v>
      </c>
      <c r="I152" s="147" t="s">
        <v>343</v>
      </c>
      <c r="J152" s="148">
        <v>596.62</v>
      </c>
      <c r="K152" s="147">
        <v>5</v>
      </c>
      <c r="L152" s="147" t="s">
        <v>560</v>
      </c>
      <c r="M152" s="147" t="s">
        <v>343</v>
      </c>
      <c r="N152" s="147" t="s">
        <v>343</v>
      </c>
      <c r="O152" s="148">
        <v>5149.8599999999997</v>
      </c>
      <c r="P152" s="148">
        <v>625</v>
      </c>
      <c r="Q152" s="148">
        <v>1205</v>
      </c>
      <c r="R152" s="148">
        <v>3944.86</v>
      </c>
      <c r="S152" s="149">
        <v>85.830999999999989</v>
      </c>
      <c r="T152" s="147" t="s">
        <v>509</v>
      </c>
      <c r="U152" s="147">
        <v>4</v>
      </c>
      <c r="V152" s="147" t="s">
        <v>510</v>
      </c>
      <c r="W152" s="147" t="s">
        <v>511</v>
      </c>
      <c r="X152" s="147" t="s">
        <v>530</v>
      </c>
      <c r="Y152" s="147" t="s">
        <v>343</v>
      </c>
      <c r="Z152" s="147" t="s">
        <v>512</v>
      </c>
      <c r="AA152" s="147" t="s">
        <v>605</v>
      </c>
      <c r="AB152" s="147" t="s">
        <v>532</v>
      </c>
      <c r="AC152" s="147" t="s">
        <v>522</v>
      </c>
      <c r="AD152" s="147" t="s">
        <v>516</v>
      </c>
      <c r="AE152" s="147" t="s">
        <v>509</v>
      </c>
      <c r="AF152" s="147" t="s">
        <v>343</v>
      </c>
    </row>
    <row r="153" spans="1:32">
      <c r="A153" s="147" t="s">
        <v>788</v>
      </c>
      <c r="B153" s="147" t="s">
        <v>502</v>
      </c>
      <c r="C153" s="147" t="s">
        <v>683</v>
      </c>
      <c r="D153" s="147" t="s">
        <v>684</v>
      </c>
      <c r="E153" s="147" t="s">
        <v>343</v>
      </c>
      <c r="F153" s="147" t="s">
        <v>343</v>
      </c>
      <c r="G153" s="147" t="s">
        <v>207</v>
      </c>
      <c r="H153" s="147">
        <v>12</v>
      </c>
      <c r="I153" s="147" t="s">
        <v>343</v>
      </c>
      <c r="J153" s="148">
        <v>410</v>
      </c>
      <c r="K153" s="147" t="s">
        <v>343</v>
      </c>
      <c r="L153" s="147" t="s">
        <v>709</v>
      </c>
      <c r="M153" s="147" t="s">
        <v>343</v>
      </c>
      <c r="N153" s="147" t="s">
        <v>343</v>
      </c>
      <c r="O153" s="148">
        <v>5117.5</v>
      </c>
      <c r="P153" s="148">
        <v>410</v>
      </c>
      <c r="Q153" s="148">
        <v>1945</v>
      </c>
      <c r="R153" s="148">
        <v>3172.5</v>
      </c>
      <c r="S153" s="147" t="s">
        <v>343</v>
      </c>
      <c r="T153" s="147" t="s">
        <v>510</v>
      </c>
      <c r="U153" s="147" t="s">
        <v>343</v>
      </c>
      <c r="V153" s="147" t="s">
        <v>510</v>
      </c>
      <c r="W153" s="147" t="s">
        <v>518</v>
      </c>
      <c r="X153" s="147" t="s">
        <v>535</v>
      </c>
      <c r="Y153" s="147" t="s">
        <v>343</v>
      </c>
      <c r="Z153" s="147" t="s">
        <v>600</v>
      </c>
      <c r="AA153" s="147" t="s">
        <v>685</v>
      </c>
      <c r="AB153" s="147" t="s">
        <v>686</v>
      </c>
      <c r="AC153" s="147" t="s">
        <v>643</v>
      </c>
      <c r="AD153" s="147" t="s">
        <v>687</v>
      </c>
      <c r="AE153" s="147" t="s">
        <v>510</v>
      </c>
      <c r="AF153" s="147" t="s">
        <v>343</v>
      </c>
    </row>
    <row r="154" spans="1:32">
      <c r="A154" s="147" t="s">
        <v>789</v>
      </c>
      <c r="B154" s="147" t="s">
        <v>567</v>
      </c>
      <c r="C154" s="147" t="s">
        <v>503</v>
      </c>
      <c r="D154" s="147" t="s">
        <v>343</v>
      </c>
      <c r="E154" s="147" t="s">
        <v>343</v>
      </c>
      <c r="F154" s="147" t="s">
        <v>343</v>
      </c>
      <c r="G154" s="147" t="s">
        <v>790</v>
      </c>
      <c r="H154" s="147">
        <v>44</v>
      </c>
      <c r="I154" s="147" t="s">
        <v>343</v>
      </c>
      <c r="J154" s="148">
        <v>666.66666666666663</v>
      </c>
      <c r="K154" s="147">
        <v>14</v>
      </c>
      <c r="L154" s="147" t="s">
        <v>568</v>
      </c>
      <c r="M154" s="147" t="s">
        <v>343</v>
      </c>
      <c r="N154" s="147" t="s">
        <v>343</v>
      </c>
      <c r="O154" s="148">
        <v>5080</v>
      </c>
      <c r="P154" s="147" t="s">
        <v>343</v>
      </c>
      <c r="Q154" s="148">
        <v>6770</v>
      </c>
      <c r="R154" s="148">
        <v>2000</v>
      </c>
      <c r="S154" s="149">
        <v>30.238095238095237</v>
      </c>
      <c r="T154" s="147" t="s">
        <v>510</v>
      </c>
      <c r="U154" s="147" t="s">
        <v>343</v>
      </c>
      <c r="V154" s="147" t="s">
        <v>510</v>
      </c>
      <c r="W154" s="147" t="s">
        <v>343</v>
      </c>
      <c r="X154" s="147" t="s">
        <v>343</v>
      </c>
      <c r="Y154" s="147" t="s">
        <v>343</v>
      </c>
      <c r="Z154" s="147" t="s">
        <v>343</v>
      </c>
      <c r="AA154" s="147" t="s">
        <v>343</v>
      </c>
      <c r="AB154" s="147" t="s">
        <v>343</v>
      </c>
      <c r="AC154" s="147" t="s">
        <v>343</v>
      </c>
      <c r="AD154" s="147" t="s">
        <v>343</v>
      </c>
      <c r="AE154" s="147" t="s">
        <v>510</v>
      </c>
      <c r="AF154" s="147" t="s">
        <v>343</v>
      </c>
    </row>
    <row r="155" spans="1:32">
      <c r="A155" s="147" t="s">
        <v>791</v>
      </c>
      <c r="B155" s="147" t="s">
        <v>502</v>
      </c>
      <c r="C155" s="147" t="s">
        <v>683</v>
      </c>
      <c r="D155" s="147" t="s">
        <v>684</v>
      </c>
      <c r="E155" s="147" t="s">
        <v>343</v>
      </c>
      <c r="F155" s="147" t="s">
        <v>343</v>
      </c>
      <c r="G155" s="147" t="s">
        <v>695</v>
      </c>
      <c r="H155" s="147">
        <v>45</v>
      </c>
      <c r="I155" s="147" t="s">
        <v>343</v>
      </c>
      <c r="J155" s="148">
        <v>425</v>
      </c>
      <c r="K155" s="147">
        <v>0</v>
      </c>
      <c r="L155" s="147" t="s">
        <v>507</v>
      </c>
      <c r="M155" s="147">
        <v>0</v>
      </c>
      <c r="N155" s="147" t="s">
        <v>508</v>
      </c>
      <c r="O155" s="148">
        <v>5025</v>
      </c>
      <c r="P155" s="148">
        <v>425</v>
      </c>
      <c r="Q155" s="148">
        <v>4850</v>
      </c>
      <c r="R155" s="148">
        <v>2975</v>
      </c>
      <c r="S155" s="147" t="s">
        <v>343</v>
      </c>
      <c r="T155" s="147" t="s">
        <v>510</v>
      </c>
      <c r="U155" s="147" t="s">
        <v>343</v>
      </c>
      <c r="V155" s="147" t="s">
        <v>510</v>
      </c>
      <c r="W155" s="147" t="s">
        <v>343</v>
      </c>
      <c r="X155" s="147" t="s">
        <v>343</v>
      </c>
      <c r="Y155" s="147" t="s">
        <v>343</v>
      </c>
      <c r="Z155" s="147" t="s">
        <v>600</v>
      </c>
      <c r="AA155" s="147" t="s">
        <v>710</v>
      </c>
      <c r="AB155" s="147" t="s">
        <v>686</v>
      </c>
      <c r="AC155" s="147" t="s">
        <v>643</v>
      </c>
      <c r="AD155" s="147" t="s">
        <v>687</v>
      </c>
      <c r="AE155" s="147" t="s">
        <v>510</v>
      </c>
      <c r="AF155" s="147" t="s">
        <v>343</v>
      </c>
    </row>
    <row r="156" spans="1:32">
      <c r="A156" s="147" t="s">
        <v>792</v>
      </c>
      <c r="B156" s="147" t="s">
        <v>502</v>
      </c>
      <c r="C156" s="147" t="s">
        <v>683</v>
      </c>
      <c r="D156" s="147" t="s">
        <v>684</v>
      </c>
      <c r="E156" s="147" t="s">
        <v>343</v>
      </c>
      <c r="F156" s="147" t="s">
        <v>343</v>
      </c>
      <c r="G156" s="147" t="s">
        <v>575</v>
      </c>
      <c r="H156" s="147">
        <v>33</v>
      </c>
      <c r="I156" s="147" t="s">
        <v>343</v>
      </c>
      <c r="J156" s="148">
        <v>425</v>
      </c>
      <c r="K156" s="147">
        <v>11</v>
      </c>
      <c r="L156" s="147" t="s">
        <v>507</v>
      </c>
      <c r="M156" s="147">
        <v>11</v>
      </c>
      <c r="N156" s="147" t="s">
        <v>508</v>
      </c>
      <c r="O156" s="148">
        <v>5025</v>
      </c>
      <c r="P156" s="148">
        <v>425</v>
      </c>
      <c r="Q156" s="148">
        <v>4850</v>
      </c>
      <c r="R156" s="148">
        <v>2975</v>
      </c>
      <c r="S156" s="149">
        <v>38.06818181818182</v>
      </c>
      <c r="T156" s="147" t="s">
        <v>510</v>
      </c>
      <c r="U156" s="147" t="s">
        <v>343</v>
      </c>
      <c r="V156" s="147" t="s">
        <v>510</v>
      </c>
      <c r="W156" s="147" t="s">
        <v>343</v>
      </c>
      <c r="X156" s="147" t="s">
        <v>535</v>
      </c>
      <c r="Y156" s="147" t="s">
        <v>343</v>
      </c>
      <c r="Z156" s="147" t="s">
        <v>600</v>
      </c>
      <c r="AA156" s="147" t="s">
        <v>685</v>
      </c>
      <c r="AB156" s="147" t="s">
        <v>686</v>
      </c>
      <c r="AC156" s="147" t="s">
        <v>643</v>
      </c>
      <c r="AD156" s="147" t="s">
        <v>687</v>
      </c>
      <c r="AE156" s="147" t="s">
        <v>510</v>
      </c>
      <c r="AF156" s="147" t="s">
        <v>343</v>
      </c>
    </row>
    <row r="157" spans="1:32">
      <c r="A157" s="147" t="s">
        <v>793</v>
      </c>
      <c r="B157" s="147" t="s">
        <v>502</v>
      </c>
      <c r="C157" s="147" t="s">
        <v>503</v>
      </c>
      <c r="D157" s="147" t="s">
        <v>504</v>
      </c>
      <c r="E157" s="147" t="s">
        <v>505</v>
      </c>
      <c r="F157" s="147" t="s">
        <v>506</v>
      </c>
      <c r="G157" s="147" t="s">
        <v>127</v>
      </c>
      <c r="H157" s="147">
        <v>26</v>
      </c>
      <c r="I157" s="147" t="s">
        <v>343</v>
      </c>
      <c r="J157" s="148">
        <v>452</v>
      </c>
      <c r="K157" s="147">
        <v>2</v>
      </c>
      <c r="L157" s="147" t="s">
        <v>507</v>
      </c>
      <c r="M157" s="147">
        <v>2</v>
      </c>
      <c r="N157" s="147" t="s">
        <v>508</v>
      </c>
      <c r="O157" s="148">
        <v>5001</v>
      </c>
      <c r="P157" s="148">
        <v>478</v>
      </c>
      <c r="Q157" s="148">
        <v>4775</v>
      </c>
      <c r="R157" s="148">
        <v>3001</v>
      </c>
      <c r="S157" s="149">
        <v>208.375</v>
      </c>
      <c r="T157" s="147" t="s">
        <v>509</v>
      </c>
      <c r="U157" s="147" t="s">
        <v>343</v>
      </c>
      <c r="V157" s="147" t="s">
        <v>510</v>
      </c>
      <c r="W157" s="147" t="s">
        <v>518</v>
      </c>
      <c r="X157" s="147" t="s">
        <v>343</v>
      </c>
      <c r="Y157" s="147" t="s">
        <v>343</v>
      </c>
      <c r="Z157" s="147" t="s">
        <v>512</v>
      </c>
      <c r="AA157" s="147" t="s">
        <v>613</v>
      </c>
      <c r="AB157" s="147" t="s">
        <v>537</v>
      </c>
      <c r="AC157" s="147" t="s">
        <v>538</v>
      </c>
      <c r="AD157" s="147" t="s">
        <v>523</v>
      </c>
      <c r="AE157" s="147" t="s">
        <v>510</v>
      </c>
      <c r="AF157" s="147" t="s">
        <v>343</v>
      </c>
    </row>
    <row r="158" spans="1:32">
      <c r="A158" s="147" t="s">
        <v>794</v>
      </c>
      <c r="B158" s="147" t="s">
        <v>502</v>
      </c>
      <c r="C158" s="147" t="s">
        <v>683</v>
      </c>
      <c r="D158" s="147" t="s">
        <v>684</v>
      </c>
      <c r="E158" s="147" t="s">
        <v>343</v>
      </c>
      <c r="F158" s="147" t="s">
        <v>343</v>
      </c>
      <c r="G158" s="147" t="s">
        <v>206</v>
      </c>
      <c r="H158" s="147">
        <v>13</v>
      </c>
      <c r="I158" s="147" t="s">
        <v>343</v>
      </c>
      <c r="J158" s="148">
        <v>406</v>
      </c>
      <c r="K158" s="147" t="s">
        <v>343</v>
      </c>
      <c r="L158" s="147" t="s">
        <v>709</v>
      </c>
      <c r="M158" s="147" t="s">
        <v>343</v>
      </c>
      <c r="N158" s="147" t="s">
        <v>343</v>
      </c>
      <c r="O158" s="148">
        <v>4983</v>
      </c>
      <c r="P158" s="148">
        <v>418</v>
      </c>
      <c r="Q158" s="148">
        <v>2775</v>
      </c>
      <c r="R158" s="148">
        <v>2848</v>
      </c>
      <c r="S158" s="147" t="s">
        <v>343</v>
      </c>
      <c r="T158" s="147" t="s">
        <v>510</v>
      </c>
      <c r="U158" s="147" t="s">
        <v>343</v>
      </c>
      <c r="V158" s="147" t="s">
        <v>510</v>
      </c>
      <c r="W158" s="147" t="s">
        <v>518</v>
      </c>
      <c r="X158" s="147" t="s">
        <v>519</v>
      </c>
      <c r="Y158" s="147" t="s">
        <v>343</v>
      </c>
      <c r="Z158" s="147" t="s">
        <v>600</v>
      </c>
      <c r="AA158" s="147" t="s">
        <v>685</v>
      </c>
      <c r="AB158" s="147" t="s">
        <v>686</v>
      </c>
      <c r="AC158" s="147" t="s">
        <v>643</v>
      </c>
      <c r="AD158" s="147" t="s">
        <v>687</v>
      </c>
      <c r="AE158" s="147" t="s">
        <v>510</v>
      </c>
      <c r="AF158" s="147" t="s">
        <v>343</v>
      </c>
    </row>
    <row r="159" spans="1:32">
      <c r="A159" s="147" t="s">
        <v>795</v>
      </c>
      <c r="B159" s="147" t="s">
        <v>567</v>
      </c>
      <c r="C159" s="147" t="s">
        <v>637</v>
      </c>
      <c r="D159" s="147" t="s">
        <v>796</v>
      </c>
      <c r="E159" s="147" t="s">
        <v>343</v>
      </c>
      <c r="F159" s="147" t="s">
        <v>343</v>
      </c>
      <c r="G159" s="147" t="s">
        <v>122</v>
      </c>
      <c r="H159" s="147">
        <v>31</v>
      </c>
      <c r="I159" s="147" t="s">
        <v>627</v>
      </c>
      <c r="J159" s="148">
        <v>410</v>
      </c>
      <c r="K159" s="147" t="s">
        <v>343</v>
      </c>
      <c r="L159" s="147" t="s">
        <v>640</v>
      </c>
      <c r="M159" s="147" t="s">
        <v>343</v>
      </c>
      <c r="N159" s="147" t="s">
        <v>343</v>
      </c>
      <c r="O159" s="148">
        <v>4920</v>
      </c>
      <c r="P159" s="148">
        <v>410</v>
      </c>
      <c r="Q159" s="148">
        <v>4815</v>
      </c>
      <c r="R159" s="148">
        <v>2870</v>
      </c>
      <c r="S159" s="147" t="s">
        <v>343</v>
      </c>
      <c r="T159" s="147" t="s">
        <v>510</v>
      </c>
      <c r="U159" s="147" t="s">
        <v>343</v>
      </c>
      <c r="V159" s="147" t="s">
        <v>510</v>
      </c>
      <c r="W159" s="147" t="s">
        <v>343</v>
      </c>
      <c r="X159" s="147" t="s">
        <v>343</v>
      </c>
      <c r="Y159" s="147" t="s">
        <v>343</v>
      </c>
      <c r="Z159" s="147" t="s">
        <v>600</v>
      </c>
      <c r="AA159" s="147" t="s">
        <v>674</v>
      </c>
      <c r="AB159" s="147" t="s">
        <v>642</v>
      </c>
      <c r="AC159" s="147" t="s">
        <v>643</v>
      </c>
      <c r="AD159" s="147" t="s">
        <v>528</v>
      </c>
      <c r="AE159" s="147" t="s">
        <v>510</v>
      </c>
      <c r="AF159" s="147" t="s">
        <v>510</v>
      </c>
    </row>
    <row r="160" spans="1:32">
      <c r="A160" s="147" t="s">
        <v>797</v>
      </c>
      <c r="B160" s="147" t="s">
        <v>502</v>
      </c>
      <c r="C160" s="147" t="s">
        <v>503</v>
      </c>
      <c r="D160" s="147" t="s">
        <v>504</v>
      </c>
      <c r="E160" s="147" t="s">
        <v>505</v>
      </c>
      <c r="F160" s="147" t="s">
        <v>506</v>
      </c>
      <c r="G160" s="147" t="s">
        <v>203</v>
      </c>
      <c r="H160" s="147">
        <v>16</v>
      </c>
      <c r="I160" s="147" t="s">
        <v>343</v>
      </c>
      <c r="J160" s="148">
        <v>418</v>
      </c>
      <c r="K160" s="147">
        <v>4</v>
      </c>
      <c r="L160" s="147" t="s">
        <v>560</v>
      </c>
      <c r="M160" s="147" t="s">
        <v>343</v>
      </c>
      <c r="N160" s="147" t="s">
        <v>343</v>
      </c>
      <c r="O160" s="148">
        <v>4917</v>
      </c>
      <c r="P160" s="148">
        <v>418</v>
      </c>
      <c r="Q160" s="148">
        <v>3720</v>
      </c>
      <c r="R160" s="148">
        <v>2917</v>
      </c>
      <c r="S160" s="149">
        <v>102.4375</v>
      </c>
      <c r="T160" s="147" t="s">
        <v>510</v>
      </c>
      <c r="U160" s="147" t="s">
        <v>343</v>
      </c>
      <c r="V160" s="147" t="s">
        <v>510</v>
      </c>
      <c r="W160" s="147" t="s">
        <v>511</v>
      </c>
      <c r="X160" s="147" t="s">
        <v>343</v>
      </c>
      <c r="Y160" s="147" t="s">
        <v>343</v>
      </c>
      <c r="Z160" s="147" t="s">
        <v>512</v>
      </c>
      <c r="AA160" s="147" t="s">
        <v>520</v>
      </c>
      <c r="AB160" s="147" t="s">
        <v>521</v>
      </c>
      <c r="AC160" s="147" t="s">
        <v>522</v>
      </c>
      <c r="AD160" s="147" t="s">
        <v>523</v>
      </c>
      <c r="AE160" s="147" t="s">
        <v>509</v>
      </c>
      <c r="AF160" s="147" t="s">
        <v>343</v>
      </c>
    </row>
    <row r="161" spans="1:32">
      <c r="A161" s="147" t="s">
        <v>798</v>
      </c>
      <c r="B161" s="147" t="s">
        <v>502</v>
      </c>
      <c r="C161" s="147" t="s">
        <v>683</v>
      </c>
      <c r="D161" s="147" t="s">
        <v>684</v>
      </c>
      <c r="E161" s="147" t="s">
        <v>343</v>
      </c>
      <c r="F161" s="147" t="s">
        <v>343</v>
      </c>
      <c r="G161" s="147" t="s">
        <v>799</v>
      </c>
      <c r="H161" s="147">
        <v>48</v>
      </c>
      <c r="I161" s="147" t="s">
        <v>343</v>
      </c>
      <c r="J161" s="148">
        <v>400</v>
      </c>
      <c r="K161" s="147" t="s">
        <v>343</v>
      </c>
      <c r="L161" s="147" t="s">
        <v>709</v>
      </c>
      <c r="M161" s="147" t="s">
        <v>343</v>
      </c>
      <c r="N161" s="147" t="s">
        <v>343</v>
      </c>
      <c r="O161" s="148">
        <v>4875</v>
      </c>
      <c r="P161" s="148">
        <v>400</v>
      </c>
      <c r="Q161" s="148">
        <v>4825</v>
      </c>
      <c r="R161" s="148">
        <v>2875</v>
      </c>
      <c r="S161" s="147" t="s">
        <v>343</v>
      </c>
      <c r="T161" s="147" t="s">
        <v>510</v>
      </c>
      <c r="U161" s="147" t="s">
        <v>343</v>
      </c>
      <c r="V161" s="147" t="s">
        <v>510</v>
      </c>
      <c r="W161" s="147" t="s">
        <v>518</v>
      </c>
      <c r="X161" s="147" t="s">
        <v>530</v>
      </c>
      <c r="Y161" s="147" t="s">
        <v>343</v>
      </c>
      <c r="Z161" s="147" t="s">
        <v>600</v>
      </c>
      <c r="AA161" s="147" t="s">
        <v>710</v>
      </c>
      <c r="AB161" s="147" t="s">
        <v>686</v>
      </c>
      <c r="AC161" s="147" t="s">
        <v>643</v>
      </c>
      <c r="AD161" s="147" t="s">
        <v>687</v>
      </c>
      <c r="AE161" s="147" t="s">
        <v>510</v>
      </c>
      <c r="AF161" s="147" t="s">
        <v>343</v>
      </c>
    </row>
    <row r="162" spans="1:32">
      <c r="A162" s="147" t="s">
        <v>800</v>
      </c>
      <c r="B162" s="147" t="s">
        <v>502</v>
      </c>
      <c r="C162" s="147" t="s">
        <v>683</v>
      </c>
      <c r="D162" s="147" t="s">
        <v>684</v>
      </c>
      <c r="E162" s="147" t="s">
        <v>343</v>
      </c>
      <c r="F162" s="147" t="s">
        <v>343</v>
      </c>
      <c r="G162" s="147" t="s">
        <v>205</v>
      </c>
      <c r="H162" s="147">
        <v>14</v>
      </c>
      <c r="I162" s="147" t="s">
        <v>343</v>
      </c>
      <c r="J162" s="148">
        <v>412</v>
      </c>
      <c r="K162" s="147">
        <v>12</v>
      </c>
      <c r="L162" s="147" t="s">
        <v>507</v>
      </c>
      <c r="M162" s="147">
        <v>12</v>
      </c>
      <c r="N162" s="147" t="s">
        <v>508</v>
      </c>
      <c r="O162" s="148">
        <v>4866</v>
      </c>
      <c r="P162" s="148">
        <v>418</v>
      </c>
      <c r="Q162" s="148">
        <v>2800</v>
      </c>
      <c r="R162" s="148">
        <v>2866</v>
      </c>
      <c r="S162" s="149">
        <v>33.791666666666664</v>
      </c>
      <c r="T162" s="147" t="s">
        <v>510</v>
      </c>
      <c r="U162" s="147" t="s">
        <v>343</v>
      </c>
      <c r="V162" s="147" t="s">
        <v>510</v>
      </c>
      <c r="W162" s="147" t="s">
        <v>343</v>
      </c>
      <c r="X162" s="147" t="s">
        <v>535</v>
      </c>
      <c r="Y162" s="147" t="s">
        <v>343</v>
      </c>
      <c r="Z162" s="147" t="s">
        <v>600</v>
      </c>
      <c r="AA162" s="147" t="s">
        <v>771</v>
      </c>
      <c r="AB162" s="147" t="s">
        <v>686</v>
      </c>
      <c r="AC162" s="147" t="s">
        <v>643</v>
      </c>
      <c r="AD162" s="147" t="s">
        <v>687</v>
      </c>
      <c r="AE162" s="147" t="s">
        <v>510</v>
      </c>
      <c r="AF162" s="147" t="s">
        <v>343</v>
      </c>
    </row>
    <row r="163" spans="1:32">
      <c r="A163" s="147" t="s">
        <v>801</v>
      </c>
      <c r="B163" s="147" t="s">
        <v>567</v>
      </c>
      <c r="C163" s="147" t="s">
        <v>637</v>
      </c>
      <c r="D163" s="147" t="s">
        <v>672</v>
      </c>
      <c r="E163" s="147" t="s">
        <v>343</v>
      </c>
      <c r="F163" s="147" t="s">
        <v>343</v>
      </c>
      <c r="G163" s="147" t="s">
        <v>762</v>
      </c>
      <c r="H163" s="147">
        <v>47</v>
      </c>
      <c r="I163" s="147" t="s">
        <v>627</v>
      </c>
      <c r="J163" s="148">
        <v>405</v>
      </c>
      <c r="K163" s="147" t="s">
        <v>343</v>
      </c>
      <c r="L163" s="147" t="s">
        <v>640</v>
      </c>
      <c r="M163" s="147" t="s">
        <v>343</v>
      </c>
      <c r="N163" s="147" t="s">
        <v>343</v>
      </c>
      <c r="O163" s="148">
        <v>4865</v>
      </c>
      <c r="P163" s="148">
        <v>405</v>
      </c>
      <c r="Q163" s="148">
        <v>4810</v>
      </c>
      <c r="R163" s="148">
        <v>2850</v>
      </c>
      <c r="S163" s="147" t="s">
        <v>343</v>
      </c>
      <c r="T163" s="147" t="s">
        <v>510</v>
      </c>
      <c r="U163" s="147" t="s">
        <v>343</v>
      </c>
      <c r="V163" s="147" t="s">
        <v>510</v>
      </c>
      <c r="W163" s="147" t="s">
        <v>343</v>
      </c>
      <c r="X163" s="147" t="s">
        <v>343</v>
      </c>
      <c r="Y163" s="147" t="s">
        <v>343</v>
      </c>
      <c r="Z163" s="147" t="s">
        <v>600</v>
      </c>
      <c r="AA163" s="147" t="s">
        <v>674</v>
      </c>
      <c r="AB163" s="147" t="s">
        <v>642</v>
      </c>
      <c r="AC163" s="147" t="s">
        <v>643</v>
      </c>
      <c r="AD163" s="147" t="s">
        <v>528</v>
      </c>
      <c r="AE163" s="147" t="s">
        <v>510</v>
      </c>
      <c r="AF163" s="147" t="s">
        <v>510</v>
      </c>
    </row>
    <row r="164" spans="1:32">
      <c r="A164" s="147" t="s">
        <v>802</v>
      </c>
      <c r="B164" s="147" t="s">
        <v>502</v>
      </c>
      <c r="C164" s="147" t="s">
        <v>683</v>
      </c>
      <c r="D164" s="147" t="s">
        <v>684</v>
      </c>
      <c r="E164" s="147" t="s">
        <v>343</v>
      </c>
      <c r="F164" s="147" t="s">
        <v>343</v>
      </c>
      <c r="G164" s="147" t="s">
        <v>204</v>
      </c>
      <c r="H164" s="147">
        <v>15</v>
      </c>
      <c r="I164" s="147" t="s">
        <v>343</v>
      </c>
      <c r="J164" s="148">
        <v>418</v>
      </c>
      <c r="K164" s="147" t="s">
        <v>343</v>
      </c>
      <c r="L164" s="147" t="s">
        <v>709</v>
      </c>
      <c r="M164" s="147" t="s">
        <v>343</v>
      </c>
      <c r="N164" s="147" t="s">
        <v>343</v>
      </c>
      <c r="O164" s="148">
        <v>4854</v>
      </c>
      <c r="P164" s="148">
        <v>418</v>
      </c>
      <c r="Q164" s="148">
        <v>3020</v>
      </c>
      <c r="R164" s="148">
        <v>2854</v>
      </c>
      <c r="S164" s="147" t="s">
        <v>343</v>
      </c>
      <c r="T164" s="147" t="s">
        <v>510</v>
      </c>
      <c r="U164" s="147" t="s">
        <v>343</v>
      </c>
      <c r="V164" s="147" t="s">
        <v>510</v>
      </c>
      <c r="W164" s="147" t="s">
        <v>343</v>
      </c>
      <c r="X164" s="147" t="s">
        <v>530</v>
      </c>
      <c r="Y164" s="147" t="s">
        <v>343</v>
      </c>
      <c r="Z164" s="147" t="s">
        <v>600</v>
      </c>
      <c r="AA164" s="147" t="s">
        <v>685</v>
      </c>
      <c r="AB164" s="147" t="s">
        <v>686</v>
      </c>
      <c r="AC164" s="147" t="s">
        <v>643</v>
      </c>
      <c r="AD164" s="147" t="s">
        <v>687</v>
      </c>
      <c r="AE164" s="147" t="s">
        <v>510</v>
      </c>
      <c r="AF164" s="147" t="s">
        <v>343</v>
      </c>
    </row>
    <row r="165" spans="1:32">
      <c r="A165" s="147" t="s">
        <v>803</v>
      </c>
      <c r="B165" s="147" t="s">
        <v>502</v>
      </c>
      <c r="C165" s="147" t="s">
        <v>683</v>
      </c>
      <c r="D165" s="147" t="s">
        <v>684</v>
      </c>
      <c r="E165" s="147" t="s">
        <v>343</v>
      </c>
      <c r="F165" s="147" t="s">
        <v>343</v>
      </c>
      <c r="G165" s="147" t="s">
        <v>593</v>
      </c>
      <c r="H165" s="147">
        <v>32</v>
      </c>
      <c r="I165" s="147" t="s">
        <v>343</v>
      </c>
      <c r="J165" s="148">
        <v>400</v>
      </c>
      <c r="K165" s="147" t="s">
        <v>343</v>
      </c>
      <c r="L165" s="147" t="s">
        <v>709</v>
      </c>
      <c r="M165" s="147" t="s">
        <v>343</v>
      </c>
      <c r="N165" s="147" t="s">
        <v>343</v>
      </c>
      <c r="O165" s="148">
        <v>4830</v>
      </c>
      <c r="P165" s="148">
        <v>400</v>
      </c>
      <c r="Q165" s="148">
        <v>4815</v>
      </c>
      <c r="R165" s="148">
        <v>2830</v>
      </c>
      <c r="S165" s="147" t="s">
        <v>343</v>
      </c>
      <c r="T165" s="147" t="s">
        <v>510</v>
      </c>
      <c r="U165" s="147" t="s">
        <v>343</v>
      </c>
      <c r="V165" s="147" t="s">
        <v>510</v>
      </c>
      <c r="W165" s="147" t="s">
        <v>343</v>
      </c>
      <c r="X165" s="147" t="s">
        <v>535</v>
      </c>
      <c r="Y165" s="147" t="s">
        <v>343</v>
      </c>
      <c r="Z165" s="147" t="s">
        <v>600</v>
      </c>
      <c r="AA165" s="147" t="s">
        <v>710</v>
      </c>
      <c r="AB165" s="147" t="s">
        <v>686</v>
      </c>
      <c r="AC165" s="147" t="s">
        <v>643</v>
      </c>
      <c r="AD165" s="147" t="s">
        <v>687</v>
      </c>
      <c r="AE165" s="147" t="s">
        <v>510</v>
      </c>
      <c r="AF165" s="147" t="s">
        <v>343</v>
      </c>
    </row>
    <row r="166" spans="1:32">
      <c r="A166" s="147" t="s">
        <v>804</v>
      </c>
      <c r="B166" s="147" t="s">
        <v>567</v>
      </c>
      <c r="C166" s="147" t="s">
        <v>683</v>
      </c>
      <c r="D166" s="147" t="s">
        <v>684</v>
      </c>
      <c r="E166" s="147" t="s">
        <v>343</v>
      </c>
      <c r="F166" s="147" t="s">
        <v>343</v>
      </c>
      <c r="G166" s="147" t="s">
        <v>203</v>
      </c>
      <c r="H166" s="147">
        <v>16</v>
      </c>
      <c r="I166" s="147" t="s">
        <v>343</v>
      </c>
      <c r="J166" s="148">
        <v>648.33333333333337</v>
      </c>
      <c r="K166" s="147" t="s">
        <v>343</v>
      </c>
      <c r="L166" s="147" t="s">
        <v>640</v>
      </c>
      <c r="M166" s="147" t="s">
        <v>343</v>
      </c>
      <c r="N166" s="147" t="s">
        <v>343</v>
      </c>
      <c r="O166" s="148">
        <v>4820</v>
      </c>
      <c r="P166" s="147" t="s">
        <v>343</v>
      </c>
      <c r="Q166" s="148">
        <v>5336.25</v>
      </c>
      <c r="R166" s="148">
        <v>1945</v>
      </c>
      <c r="S166" s="147" t="s">
        <v>343</v>
      </c>
      <c r="T166" s="147" t="s">
        <v>509</v>
      </c>
      <c r="U166" s="147">
        <v>5</v>
      </c>
      <c r="V166" s="147" t="s">
        <v>510</v>
      </c>
      <c r="W166" s="147" t="s">
        <v>343</v>
      </c>
      <c r="X166" s="147" t="s">
        <v>343</v>
      </c>
      <c r="Y166" s="147" t="s">
        <v>343</v>
      </c>
      <c r="Z166" s="147" t="s">
        <v>600</v>
      </c>
      <c r="AA166" s="147" t="s">
        <v>710</v>
      </c>
      <c r="AB166" s="147" t="s">
        <v>686</v>
      </c>
      <c r="AC166" s="147" t="s">
        <v>643</v>
      </c>
      <c r="AD166" s="147" t="s">
        <v>516</v>
      </c>
      <c r="AE166" s="147" t="s">
        <v>510</v>
      </c>
      <c r="AF166" s="147" t="s">
        <v>343</v>
      </c>
    </row>
    <row r="167" spans="1:32">
      <c r="A167" s="147" t="s">
        <v>805</v>
      </c>
      <c r="B167" s="147" t="s">
        <v>502</v>
      </c>
      <c r="C167" s="147" t="s">
        <v>503</v>
      </c>
      <c r="D167" s="147" t="s">
        <v>504</v>
      </c>
      <c r="E167" s="147" t="s">
        <v>621</v>
      </c>
      <c r="F167" s="147" t="s">
        <v>592</v>
      </c>
      <c r="G167" s="147" t="s">
        <v>246</v>
      </c>
      <c r="H167" s="147">
        <v>3</v>
      </c>
      <c r="I167" s="147" t="s">
        <v>343</v>
      </c>
      <c r="J167" s="148">
        <v>1592.6666666666667</v>
      </c>
      <c r="K167" s="147">
        <v>15</v>
      </c>
      <c r="L167" s="147" t="s">
        <v>507</v>
      </c>
      <c r="M167" s="147">
        <v>15</v>
      </c>
      <c r="N167" s="147" t="s">
        <v>508</v>
      </c>
      <c r="O167" s="148">
        <v>4778</v>
      </c>
      <c r="P167" s="148">
        <v>1108</v>
      </c>
      <c r="Q167" s="147" t="s">
        <v>343</v>
      </c>
      <c r="R167" s="148">
        <v>4778</v>
      </c>
      <c r="S167" s="149">
        <v>26.544444444444444</v>
      </c>
      <c r="T167" s="147" t="s">
        <v>510</v>
      </c>
      <c r="U167" s="147" t="s">
        <v>343</v>
      </c>
      <c r="V167" s="147" t="s">
        <v>510</v>
      </c>
      <c r="W167" s="147" t="s">
        <v>511</v>
      </c>
      <c r="X167" s="147" t="s">
        <v>545</v>
      </c>
      <c r="Y167" s="147" t="s">
        <v>347</v>
      </c>
      <c r="Z167" s="147" t="s">
        <v>512</v>
      </c>
      <c r="AA167" s="147" t="s">
        <v>653</v>
      </c>
      <c r="AB167" s="147" t="s">
        <v>653</v>
      </c>
      <c r="AC167" s="147" t="s">
        <v>538</v>
      </c>
      <c r="AD167" s="147" t="s">
        <v>516</v>
      </c>
      <c r="AE167" s="147" t="s">
        <v>509</v>
      </c>
      <c r="AF167" s="147" t="s">
        <v>343</v>
      </c>
    </row>
    <row r="168" spans="1:32">
      <c r="A168" s="147" t="s">
        <v>806</v>
      </c>
      <c r="B168" s="147" t="s">
        <v>567</v>
      </c>
      <c r="C168" s="147" t="s">
        <v>637</v>
      </c>
      <c r="D168" s="147" t="s">
        <v>807</v>
      </c>
      <c r="E168" s="147" t="s">
        <v>343</v>
      </c>
      <c r="F168" s="147" t="s">
        <v>343</v>
      </c>
      <c r="G168" s="147" t="s">
        <v>639</v>
      </c>
      <c r="H168" s="147">
        <v>63</v>
      </c>
      <c r="I168" s="147" t="s">
        <v>627</v>
      </c>
      <c r="J168" s="148">
        <v>400</v>
      </c>
      <c r="K168" s="147" t="s">
        <v>343</v>
      </c>
      <c r="L168" s="147" t="s">
        <v>640</v>
      </c>
      <c r="M168" s="147" t="s">
        <v>343</v>
      </c>
      <c r="N168" s="147" t="s">
        <v>343</v>
      </c>
      <c r="O168" s="148">
        <v>4725</v>
      </c>
      <c r="P168" s="148">
        <v>400</v>
      </c>
      <c r="Q168" s="148">
        <v>4620</v>
      </c>
      <c r="R168" s="148">
        <v>2800</v>
      </c>
      <c r="S168" s="147" t="s">
        <v>343</v>
      </c>
      <c r="T168" s="147" t="s">
        <v>510</v>
      </c>
      <c r="U168" s="147" t="s">
        <v>343</v>
      </c>
      <c r="V168" s="147" t="s">
        <v>510</v>
      </c>
      <c r="W168" s="147" t="s">
        <v>343</v>
      </c>
      <c r="X168" s="147" t="s">
        <v>343</v>
      </c>
      <c r="Y168" s="147" t="s">
        <v>343</v>
      </c>
      <c r="Z168" s="147" t="s">
        <v>600</v>
      </c>
      <c r="AA168" s="147" t="s">
        <v>641</v>
      </c>
      <c r="AB168" s="147" t="s">
        <v>642</v>
      </c>
      <c r="AC168" s="147" t="s">
        <v>643</v>
      </c>
      <c r="AD168" s="147" t="s">
        <v>528</v>
      </c>
      <c r="AE168" s="147" t="s">
        <v>510</v>
      </c>
      <c r="AF168" s="147" t="s">
        <v>510</v>
      </c>
    </row>
    <row r="169" spans="1:32">
      <c r="A169" s="147" t="s">
        <v>808</v>
      </c>
      <c r="B169" s="147" t="s">
        <v>502</v>
      </c>
      <c r="C169" s="147" t="s">
        <v>503</v>
      </c>
      <c r="D169" s="147" t="s">
        <v>504</v>
      </c>
      <c r="E169" s="147" t="s">
        <v>612</v>
      </c>
      <c r="F169" s="147" t="s">
        <v>599</v>
      </c>
      <c r="G169" s="147" t="s">
        <v>205</v>
      </c>
      <c r="H169" s="147">
        <v>14</v>
      </c>
      <c r="I169" s="147" t="s">
        <v>343</v>
      </c>
      <c r="J169" s="148">
        <v>363.3</v>
      </c>
      <c r="K169" s="147">
        <v>10</v>
      </c>
      <c r="L169" s="147" t="s">
        <v>507</v>
      </c>
      <c r="M169" s="147">
        <v>10</v>
      </c>
      <c r="N169" s="147" t="s">
        <v>508</v>
      </c>
      <c r="O169" s="148">
        <v>4709.8999999999996</v>
      </c>
      <c r="P169" s="148">
        <v>369.9</v>
      </c>
      <c r="Q169" s="148">
        <v>3085</v>
      </c>
      <c r="R169" s="148">
        <v>2334.9</v>
      </c>
      <c r="S169" s="149">
        <v>39.24916666666666</v>
      </c>
      <c r="T169" s="147" t="s">
        <v>509</v>
      </c>
      <c r="U169" s="147" t="s">
        <v>343</v>
      </c>
      <c r="V169" s="147" t="s">
        <v>510</v>
      </c>
      <c r="W169" s="147" t="s">
        <v>511</v>
      </c>
      <c r="X169" s="147" t="s">
        <v>519</v>
      </c>
      <c r="Y169" s="147" t="s">
        <v>343</v>
      </c>
      <c r="Z169" s="147" t="s">
        <v>512</v>
      </c>
      <c r="AA169" s="147" t="s">
        <v>596</v>
      </c>
      <c r="AB169" s="147" t="s">
        <v>532</v>
      </c>
      <c r="AC169" s="147" t="s">
        <v>522</v>
      </c>
      <c r="AD169" s="147" t="s">
        <v>516</v>
      </c>
      <c r="AE169" s="147" t="s">
        <v>509</v>
      </c>
      <c r="AF169" s="147" t="s">
        <v>343</v>
      </c>
    </row>
    <row r="170" spans="1:32">
      <c r="A170" s="147" t="s">
        <v>809</v>
      </c>
      <c r="B170" s="147" t="s">
        <v>502</v>
      </c>
      <c r="C170" s="147" t="s">
        <v>503</v>
      </c>
      <c r="D170" s="147" t="s">
        <v>504</v>
      </c>
      <c r="E170" s="147" t="s">
        <v>505</v>
      </c>
      <c r="F170" s="147" t="s">
        <v>592</v>
      </c>
      <c r="G170" s="147" t="s">
        <v>206</v>
      </c>
      <c r="H170" s="147">
        <v>13</v>
      </c>
      <c r="I170" s="147" t="s">
        <v>343</v>
      </c>
      <c r="J170" s="148">
        <v>386</v>
      </c>
      <c r="K170" s="147">
        <v>2</v>
      </c>
      <c r="L170" s="147" t="s">
        <v>507</v>
      </c>
      <c r="M170" s="147">
        <v>2</v>
      </c>
      <c r="N170" s="147" t="s">
        <v>508</v>
      </c>
      <c r="O170" s="148">
        <v>4668</v>
      </c>
      <c r="P170" s="148">
        <v>358</v>
      </c>
      <c r="Q170" s="148">
        <v>2220</v>
      </c>
      <c r="R170" s="148">
        <v>2788</v>
      </c>
      <c r="S170" s="149">
        <v>194.5</v>
      </c>
      <c r="T170" s="147" t="s">
        <v>510</v>
      </c>
      <c r="U170" s="147" t="s">
        <v>343</v>
      </c>
      <c r="V170" s="147" t="s">
        <v>510</v>
      </c>
      <c r="W170" s="147" t="s">
        <v>511</v>
      </c>
      <c r="X170" s="147" t="s">
        <v>810</v>
      </c>
      <c r="Y170" s="147" t="s">
        <v>343</v>
      </c>
      <c r="Z170" s="147" t="s">
        <v>512</v>
      </c>
      <c r="AA170" s="147" t="s">
        <v>558</v>
      </c>
      <c r="AB170" s="147" t="s">
        <v>541</v>
      </c>
      <c r="AC170" s="147" t="s">
        <v>522</v>
      </c>
      <c r="AD170" s="147" t="s">
        <v>523</v>
      </c>
      <c r="AE170" s="147" t="s">
        <v>509</v>
      </c>
      <c r="AF170" s="147" t="s">
        <v>343</v>
      </c>
    </row>
    <row r="171" spans="1:32">
      <c r="A171" s="147" t="s">
        <v>811</v>
      </c>
      <c r="B171" s="147" t="s">
        <v>567</v>
      </c>
      <c r="C171" s="147" t="s">
        <v>637</v>
      </c>
      <c r="D171" s="147" t="s">
        <v>812</v>
      </c>
      <c r="E171" s="147" t="s">
        <v>343</v>
      </c>
      <c r="F171" s="147" t="s">
        <v>343</v>
      </c>
      <c r="G171" s="147" t="s">
        <v>813</v>
      </c>
      <c r="H171" s="147">
        <v>58</v>
      </c>
      <c r="I171" s="147" t="s">
        <v>627</v>
      </c>
      <c r="J171" s="148">
        <v>385</v>
      </c>
      <c r="K171" s="147" t="s">
        <v>343</v>
      </c>
      <c r="L171" s="147" t="s">
        <v>640</v>
      </c>
      <c r="M171" s="147" t="s">
        <v>343</v>
      </c>
      <c r="N171" s="147" t="s">
        <v>343</v>
      </c>
      <c r="O171" s="148">
        <v>4660</v>
      </c>
      <c r="P171" s="148">
        <v>385</v>
      </c>
      <c r="Q171" s="148">
        <v>4635</v>
      </c>
      <c r="R171" s="148">
        <v>2755</v>
      </c>
      <c r="S171" s="147" t="s">
        <v>343</v>
      </c>
      <c r="T171" s="147" t="s">
        <v>510</v>
      </c>
      <c r="U171" s="147" t="s">
        <v>343</v>
      </c>
      <c r="V171" s="147" t="s">
        <v>510</v>
      </c>
      <c r="W171" s="147" t="s">
        <v>343</v>
      </c>
      <c r="X171" s="147" t="s">
        <v>343</v>
      </c>
      <c r="Y171" s="147" t="s">
        <v>343</v>
      </c>
      <c r="Z171" s="147" t="s">
        <v>600</v>
      </c>
      <c r="AA171" s="147" t="s">
        <v>674</v>
      </c>
      <c r="AB171" s="147" t="s">
        <v>642</v>
      </c>
      <c r="AC171" s="147" t="s">
        <v>643</v>
      </c>
      <c r="AD171" s="147" t="s">
        <v>528</v>
      </c>
      <c r="AE171" s="147" t="s">
        <v>510</v>
      </c>
      <c r="AF171" s="147" t="s">
        <v>510</v>
      </c>
    </row>
    <row r="172" spans="1:32">
      <c r="A172" s="147" t="s">
        <v>814</v>
      </c>
      <c r="B172" s="147" t="s">
        <v>567</v>
      </c>
      <c r="C172" s="147" t="s">
        <v>503</v>
      </c>
      <c r="D172" s="147" t="s">
        <v>504</v>
      </c>
      <c r="E172" s="147" t="s">
        <v>505</v>
      </c>
      <c r="F172" s="147" t="s">
        <v>506</v>
      </c>
      <c r="G172" s="147" t="s">
        <v>204</v>
      </c>
      <c r="H172" s="147">
        <v>12</v>
      </c>
      <c r="I172" s="147" t="s">
        <v>246</v>
      </c>
      <c r="J172" s="148">
        <v>540</v>
      </c>
      <c r="K172" s="147">
        <v>0</v>
      </c>
      <c r="L172" s="147" t="s">
        <v>507</v>
      </c>
      <c r="M172" s="147">
        <v>0</v>
      </c>
      <c r="N172" s="147" t="s">
        <v>508</v>
      </c>
      <c r="O172" s="148">
        <v>4640</v>
      </c>
      <c r="P172" s="147" t="s">
        <v>343</v>
      </c>
      <c r="Q172" s="148">
        <v>4360</v>
      </c>
      <c r="R172" s="148">
        <v>2140</v>
      </c>
      <c r="S172" s="147" t="s">
        <v>343</v>
      </c>
      <c r="T172" s="147" t="s">
        <v>510</v>
      </c>
      <c r="U172" s="147" t="s">
        <v>343</v>
      </c>
      <c r="V172" s="147" t="s">
        <v>510</v>
      </c>
      <c r="W172" s="147" t="s">
        <v>518</v>
      </c>
      <c r="X172" s="147" t="s">
        <v>343</v>
      </c>
      <c r="Y172" s="147" t="s">
        <v>359</v>
      </c>
      <c r="Z172" s="147" t="s">
        <v>512</v>
      </c>
      <c r="AA172" s="147" t="s">
        <v>648</v>
      </c>
      <c r="AB172" s="147" t="s">
        <v>551</v>
      </c>
      <c r="AC172" s="147" t="s">
        <v>571</v>
      </c>
      <c r="AD172" s="147" t="s">
        <v>528</v>
      </c>
      <c r="AE172" s="147" t="s">
        <v>510</v>
      </c>
      <c r="AF172" s="147" t="s">
        <v>510</v>
      </c>
    </row>
    <row r="173" spans="1:32">
      <c r="A173" s="147" t="s">
        <v>815</v>
      </c>
      <c r="B173" s="147" t="s">
        <v>567</v>
      </c>
      <c r="C173" s="147" t="s">
        <v>503</v>
      </c>
      <c r="D173" s="147" t="s">
        <v>504</v>
      </c>
      <c r="E173" s="147" t="s">
        <v>505</v>
      </c>
      <c r="F173" s="147" t="s">
        <v>506</v>
      </c>
      <c r="G173" s="147" t="s">
        <v>123</v>
      </c>
      <c r="H173" s="147">
        <v>29</v>
      </c>
      <c r="I173" s="147" t="s">
        <v>248</v>
      </c>
      <c r="J173" s="148">
        <v>358</v>
      </c>
      <c r="K173" s="147">
        <v>0</v>
      </c>
      <c r="L173" s="147" t="s">
        <v>507</v>
      </c>
      <c r="M173" s="147">
        <v>0</v>
      </c>
      <c r="N173" s="147" t="s">
        <v>508</v>
      </c>
      <c r="O173" s="148">
        <v>4625</v>
      </c>
      <c r="P173" s="147" t="s">
        <v>343</v>
      </c>
      <c r="Q173" s="148">
        <v>5960</v>
      </c>
      <c r="R173" s="148">
        <v>2475</v>
      </c>
      <c r="S173" s="147" t="s">
        <v>343</v>
      </c>
      <c r="T173" s="147" t="s">
        <v>510</v>
      </c>
      <c r="U173" s="147" t="s">
        <v>343</v>
      </c>
      <c r="V173" s="147" t="s">
        <v>510</v>
      </c>
      <c r="W173" s="147" t="s">
        <v>518</v>
      </c>
      <c r="X173" s="147" t="s">
        <v>535</v>
      </c>
      <c r="Y173" s="147" t="s">
        <v>343</v>
      </c>
      <c r="Z173" s="147" t="s">
        <v>512</v>
      </c>
      <c r="AA173" s="147" t="s">
        <v>536</v>
      </c>
      <c r="AB173" s="147" t="s">
        <v>774</v>
      </c>
      <c r="AC173" s="147" t="s">
        <v>538</v>
      </c>
      <c r="AD173" s="147" t="s">
        <v>523</v>
      </c>
      <c r="AE173" s="147" t="s">
        <v>510</v>
      </c>
      <c r="AF173" s="147" t="s">
        <v>509</v>
      </c>
    </row>
    <row r="174" spans="1:32">
      <c r="A174" s="147" t="s">
        <v>816</v>
      </c>
      <c r="B174" s="147" t="s">
        <v>567</v>
      </c>
      <c r="C174" s="147" t="s">
        <v>637</v>
      </c>
      <c r="D174" s="147" t="s">
        <v>817</v>
      </c>
      <c r="E174" s="147" t="s">
        <v>343</v>
      </c>
      <c r="F174" s="147" t="s">
        <v>343</v>
      </c>
      <c r="G174" s="147" t="s">
        <v>602</v>
      </c>
      <c r="H174" s="147">
        <v>35</v>
      </c>
      <c r="I174" s="147" t="s">
        <v>627</v>
      </c>
      <c r="J174" s="148">
        <v>385</v>
      </c>
      <c r="K174" s="147" t="s">
        <v>343</v>
      </c>
      <c r="L174" s="147" t="s">
        <v>640</v>
      </c>
      <c r="M174" s="147" t="s">
        <v>343</v>
      </c>
      <c r="N174" s="147" t="s">
        <v>343</v>
      </c>
      <c r="O174" s="148">
        <v>4600</v>
      </c>
      <c r="P174" s="148">
        <v>385</v>
      </c>
      <c r="Q174" s="148">
        <v>4530</v>
      </c>
      <c r="R174" s="148">
        <v>2695</v>
      </c>
      <c r="S174" s="147" t="s">
        <v>343</v>
      </c>
      <c r="T174" s="147" t="s">
        <v>510</v>
      </c>
      <c r="U174" s="147" t="s">
        <v>343</v>
      </c>
      <c r="V174" s="147" t="s">
        <v>510</v>
      </c>
      <c r="W174" s="147" t="s">
        <v>343</v>
      </c>
      <c r="X174" s="147" t="s">
        <v>343</v>
      </c>
      <c r="Y174" s="147" t="s">
        <v>343</v>
      </c>
      <c r="Z174" s="147" t="s">
        <v>600</v>
      </c>
      <c r="AA174" s="147" t="s">
        <v>641</v>
      </c>
      <c r="AB174" s="147" t="s">
        <v>642</v>
      </c>
      <c r="AC174" s="147" t="s">
        <v>643</v>
      </c>
      <c r="AD174" s="147" t="s">
        <v>528</v>
      </c>
      <c r="AE174" s="147" t="s">
        <v>510</v>
      </c>
      <c r="AF174" s="147" t="s">
        <v>510</v>
      </c>
    </row>
    <row r="175" spans="1:32">
      <c r="A175" s="147" t="s">
        <v>818</v>
      </c>
      <c r="B175" s="147" t="s">
        <v>502</v>
      </c>
      <c r="C175" s="147" t="s">
        <v>503</v>
      </c>
      <c r="D175" s="147" t="s">
        <v>504</v>
      </c>
      <c r="E175" s="147" t="s">
        <v>505</v>
      </c>
      <c r="F175" s="147" t="s">
        <v>506</v>
      </c>
      <c r="G175" s="147" t="s">
        <v>126</v>
      </c>
      <c r="H175" s="147">
        <v>27</v>
      </c>
      <c r="I175" s="147" t="s">
        <v>343</v>
      </c>
      <c r="J175" s="148">
        <v>389.33333333333331</v>
      </c>
      <c r="K175" s="147">
        <v>3</v>
      </c>
      <c r="L175" s="147" t="s">
        <v>560</v>
      </c>
      <c r="M175" s="147" t="s">
        <v>343</v>
      </c>
      <c r="N175" s="147" t="s">
        <v>343</v>
      </c>
      <c r="O175" s="148">
        <v>4588</v>
      </c>
      <c r="P175" s="148">
        <v>418</v>
      </c>
      <c r="Q175" s="148">
        <v>4535</v>
      </c>
      <c r="R175" s="148">
        <v>2758</v>
      </c>
      <c r="S175" s="149">
        <v>127.44444444444444</v>
      </c>
      <c r="T175" s="147" t="s">
        <v>510</v>
      </c>
      <c r="U175" s="147" t="s">
        <v>343</v>
      </c>
      <c r="V175" s="147" t="s">
        <v>510</v>
      </c>
      <c r="W175" s="147" t="s">
        <v>511</v>
      </c>
      <c r="X175" s="147" t="s">
        <v>519</v>
      </c>
      <c r="Y175" s="147" t="s">
        <v>343</v>
      </c>
      <c r="Z175" s="147" t="s">
        <v>512</v>
      </c>
      <c r="AA175" s="147" t="s">
        <v>594</v>
      </c>
      <c r="AB175" s="147" t="s">
        <v>586</v>
      </c>
      <c r="AC175" s="147" t="s">
        <v>515</v>
      </c>
      <c r="AD175" s="147" t="s">
        <v>528</v>
      </c>
      <c r="AE175" s="147" t="s">
        <v>509</v>
      </c>
      <c r="AF175" s="147" t="s">
        <v>343</v>
      </c>
    </row>
    <row r="176" spans="1:32">
      <c r="A176" s="147" t="s">
        <v>819</v>
      </c>
      <c r="B176" s="147" t="s">
        <v>502</v>
      </c>
      <c r="C176" s="147" t="s">
        <v>683</v>
      </c>
      <c r="D176" s="147" t="s">
        <v>684</v>
      </c>
      <c r="E176" s="147" t="s">
        <v>343</v>
      </c>
      <c r="F176" s="147" t="s">
        <v>343</v>
      </c>
      <c r="G176" s="147" t="s">
        <v>577</v>
      </c>
      <c r="H176" s="147">
        <v>42</v>
      </c>
      <c r="I176" s="147" t="s">
        <v>343</v>
      </c>
      <c r="J176" s="148">
        <v>410</v>
      </c>
      <c r="K176" s="147">
        <v>0</v>
      </c>
      <c r="L176" s="147" t="s">
        <v>507</v>
      </c>
      <c r="M176" s="147">
        <v>0</v>
      </c>
      <c r="N176" s="147" t="s">
        <v>508</v>
      </c>
      <c r="O176" s="148">
        <v>4535</v>
      </c>
      <c r="P176" s="148">
        <v>410</v>
      </c>
      <c r="Q176" s="148">
        <v>4375</v>
      </c>
      <c r="R176" s="148">
        <v>2885</v>
      </c>
      <c r="S176" s="147" t="s">
        <v>343</v>
      </c>
      <c r="T176" s="147" t="s">
        <v>510</v>
      </c>
      <c r="U176" s="147" t="s">
        <v>343</v>
      </c>
      <c r="V176" s="147" t="s">
        <v>510</v>
      </c>
      <c r="W176" s="147" t="s">
        <v>343</v>
      </c>
      <c r="X176" s="147" t="s">
        <v>343</v>
      </c>
      <c r="Y176" s="147" t="s">
        <v>343</v>
      </c>
      <c r="Z176" s="147" t="s">
        <v>600</v>
      </c>
      <c r="AA176" s="147" t="s">
        <v>685</v>
      </c>
      <c r="AB176" s="147" t="s">
        <v>686</v>
      </c>
      <c r="AC176" s="147" t="s">
        <v>643</v>
      </c>
      <c r="AD176" s="147" t="s">
        <v>687</v>
      </c>
      <c r="AE176" s="147" t="s">
        <v>510</v>
      </c>
      <c r="AF176" s="147" t="s">
        <v>343</v>
      </c>
    </row>
    <row r="177" spans="1:32">
      <c r="A177" s="147" t="s">
        <v>820</v>
      </c>
      <c r="B177" s="147" t="s">
        <v>502</v>
      </c>
      <c r="C177" s="147" t="s">
        <v>683</v>
      </c>
      <c r="D177" s="147" t="s">
        <v>684</v>
      </c>
      <c r="E177" s="147" t="s">
        <v>343</v>
      </c>
      <c r="F177" s="147" t="s">
        <v>343</v>
      </c>
      <c r="G177" s="147" t="s">
        <v>209</v>
      </c>
      <c r="H177" s="147">
        <v>10</v>
      </c>
      <c r="I177" s="147" t="s">
        <v>343</v>
      </c>
      <c r="J177" s="148">
        <v>420</v>
      </c>
      <c r="K177" s="147">
        <v>2</v>
      </c>
      <c r="L177" s="147" t="s">
        <v>507</v>
      </c>
      <c r="M177" s="147">
        <v>2</v>
      </c>
      <c r="N177" s="147" t="s">
        <v>508</v>
      </c>
      <c r="O177" s="148">
        <v>4415</v>
      </c>
      <c r="P177" s="148">
        <v>420</v>
      </c>
      <c r="Q177" s="148">
        <v>1520</v>
      </c>
      <c r="R177" s="148">
        <v>2895</v>
      </c>
      <c r="S177" s="149">
        <v>183.95833333333334</v>
      </c>
      <c r="T177" s="147" t="s">
        <v>509</v>
      </c>
      <c r="U177" s="147">
        <v>1</v>
      </c>
      <c r="V177" s="147" t="s">
        <v>510</v>
      </c>
      <c r="W177" s="147" t="s">
        <v>518</v>
      </c>
      <c r="X177" s="147" t="s">
        <v>535</v>
      </c>
      <c r="Y177" s="147" t="s">
        <v>343</v>
      </c>
      <c r="Z177" s="147" t="s">
        <v>600</v>
      </c>
      <c r="AA177" s="147" t="s">
        <v>710</v>
      </c>
      <c r="AB177" s="147" t="s">
        <v>686</v>
      </c>
      <c r="AC177" s="147" t="s">
        <v>643</v>
      </c>
      <c r="AD177" s="147" t="s">
        <v>687</v>
      </c>
      <c r="AE177" s="147" t="s">
        <v>510</v>
      </c>
      <c r="AF177" s="147" t="s">
        <v>343</v>
      </c>
    </row>
    <row r="178" spans="1:32">
      <c r="A178" s="147" t="s">
        <v>821</v>
      </c>
      <c r="B178" s="147" t="s">
        <v>567</v>
      </c>
      <c r="C178" s="147" t="s">
        <v>683</v>
      </c>
      <c r="D178" s="147" t="s">
        <v>684</v>
      </c>
      <c r="E178" s="147" t="s">
        <v>343</v>
      </c>
      <c r="F178" s="147" t="s">
        <v>343</v>
      </c>
      <c r="G178" s="147" t="s">
        <v>205</v>
      </c>
      <c r="H178" s="147">
        <v>12</v>
      </c>
      <c r="I178" s="147" t="s">
        <v>247</v>
      </c>
      <c r="J178" s="148">
        <v>306.66666666666669</v>
      </c>
      <c r="K178" s="147" t="s">
        <v>343</v>
      </c>
      <c r="L178" s="147" t="s">
        <v>640</v>
      </c>
      <c r="M178" s="147" t="s">
        <v>343</v>
      </c>
      <c r="N178" s="147" t="s">
        <v>343</v>
      </c>
      <c r="O178" s="148">
        <v>4400</v>
      </c>
      <c r="P178" s="147" t="s">
        <v>343</v>
      </c>
      <c r="Q178" s="148">
        <v>3379.25</v>
      </c>
      <c r="R178" s="148">
        <v>2300</v>
      </c>
      <c r="S178" s="147" t="s">
        <v>343</v>
      </c>
      <c r="T178" s="147" t="s">
        <v>509</v>
      </c>
      <c r="U178" s="147" t="s">
        <v>343</v>
      </c>
      <c r="V178" s="147" t="s">
        <v>510</v>
      </c>
      <c r="W178" s="147" t="s">
        <v>343</v>
      </c>
      <c r="X178" s="147" t="s">
        <v>530</v>
      </c>
      <c r="Y178" s="147" t="s">
        <v>343</v>
      </c>
      <c r="Z178" s="147" t="s">
        <v>600</v>
      </c>
      <c r="AA178" s="147" t="s">
        <v>771</v>
      </c>
      <c r="AB178" s="147" t="s">
        <v>686</v>
      </c>
      <c r="AC178" s="147" t="s">
        <v>643</v>
      </c>
      <c r="AD178" s="147" t="s">
        <v>687</v>
      </c>
      <c r="AE178" s="147" t="s">
        <v>510</v>
      </c>
      <c r="AF178" s="147" t="s">
        <v>509</v>
      </c>
    </row>
    <row r="179" spans="1:32">
      <c r="A179" s="147" t="s">
        <v>822</v>
      </c>
      <c r="B179" s="147" t="s">
        <v>567</v>
      </c>
      <c r="C179" s="147" t="s">
        <v>683</v>
      </c>
      <c r="D179" s="147" t="s">
        <v>684</v>
      </c>
      <c r="E179" s="147" t="s">
        <v>343</v>
      </c>
      <c r="F179" s="147" t="s">
        <v>343</v>
      </c>
      <c r="G179" s="147" t="s">
        <v>131</v>
      </c>
      <c r="H179" s="147">
        <v>21</v>
      </c>
      <c r="I179" s="147" t="s">
        <v>248</v>
      </c>
      <c r="J179" s="148">
        <v>400</v>
      </c>
      <c r="K179" s="147">
        <v>25</v>
      </c>
      <c r="L179" s="147" t="s">
        <v>507</v>
      </c>
      <c r="M179" s="147">
        <v>25</v>
      </c>
      <c r="N179" s="147" t="s">
        <v>508</v>
      </c>
      <c r="O179" s="148">
        <v>4390</v>
      </c>
      <c r="P179" s="147" t="s">
        <v>343</v>
      </c>
      <c r="Q179" s="148">
        <v>4755</v>
      </c>
      <c r="R179" s="148">
        <v>2400</v>
      </c>
      <c r="S179" s="149">
        <v>14.633333333333333</v>
      </c>
      <c r="T179" s="147" t="s">
        <v>510</v>
      </c>
      <c r="U179" s="147" t="s">
        <v>343</v>
      </c>
      <c r="V179" s="147" t="s">
        <v>510</v>
      </c>
      <c r="W179" s="147" t="s">
        <v>343</v>
      </c>
      <c r="X179" s="147" t="s">
        <v>545</v>
      </c>
      <c r="Y179" s="147" t="s">
        <v>343</v>
      </c>
      <c r="Z179" s="147" t="s">
        <v>600</v>
      </c>
      <c r="AA179" s="147" t="s">
        <v>685</v>
      </c>
      <c r="AB179" s="147" t="s">
        <v>686</v>
      </c>
      <c r="AC179" s="147" t="s">
        <v>643</v>
      </c>
      <c r="AD179" s="147" t="s">
        <v>516</v>
      </c>
      <c r="AE179" s="147" t="s">
        <v>510</v>
      </c>
      <c r="AF179" s="147" t="s">
        <v>509</v>
      </c>
    </row>
    <row r="180" spans="1:32">
      <c r="A180" s="147" t="s">
        <v>823</v>
      </c>
      <c r="B180" s="147" t="s">
        <v>567</v>
      </c>
      <c r="C180" s="147" t="s">
        <v>503</v>
      </c>
      <c r="D180" s="147" t="s">
        <v>504</v>
      </c>
      <c r="E180" s="147" t="s">
        <v>505</v>
      </c>
      <c r="F180" s="147" t="s">
        <v>506</v>
      </c>
      <c r="G180" s="147" t="s">
        <v>206</v>
      </c>
      <c r="H180" s="147">
        <v>12</v>
      </c>
      <c r="I180" s="147" t="s">
        <v>248</v>
      </c>
      <c r="J180" s="148">
        <v>400</v>
      </c>
      <c r="K180" s="147">
        <v>4</v>
      </c>
      <c r="L180" s="147" t="s">
        <v>568</v>
      </c>
      <c r="M180" s="147" t="s">
        <v>343</v>
      </c>
      <c r="N180" s="147" t="s">
        <v>343</v>
      </c>
      <c r="O180" s="148">
        <v>4370</v>
      </c>
      <c r="P180" s="147" t="s">
        <v>343</v>
      </c>
      <c r="Q180" s="148">
        <v>1970</v>
      </c>
      <c r="R180" s="148">
        <v>2400</v>
      </c>
      <c r="S180" s="149">
        <v>91.041666666666671</v>
      </c>
      <c r="T180" s="147" t="s">
        <v>509</v>
      </c>
      <c r="U180" s="147" t="s">
        <v>343</v>
      </c>
      <c r="V180" s="147" t="s">
        <v>510</v>
      </c>
      <c r="W180" s="147" t="s">
        <v>511</v>
      </c>
      <c r="X180" s="147" t="s">
        <v>530</v>
      </c>
      <c r="Y180" s="147" t="s">
        <v>343</v>
      </c>
      <c r="Z180" s="147" t="s">
        <v>512</v>
      </c>
      <c r="AA180" s="147" t="s">
        <v>605</v>
      </c>
      <c r="AB180" s="147" t="s">
        <v>532</v>
      </c>
      <c r="AC180" s="147" t="s">
        <v>522</v>
      </c>
      <c r="AD180" s="147" t="s">
        <v>516</v>
      </c>
      <c r="AE180" s="147" t="s">
        <v>509</v>
      </c>
      <c r="AF180" s="147" t="s">
        <v>509</v>
      </c>
    </row>
    <row r="181" spans="1:32">
      <c r="A181" s="147" t="s">
        <v>824</v>
      </c>
      <c r="B181" s="147" t="s">
        <v>567</v>
      </c>
      <c r="C181" s="147" t="s">
        <v>637</v>
      </c>
      <c r="D181" s="147" t="s">
        <v>343</v>
      </c>
      <c r="E181" s="147" t="s">
        <v>343</v>
      </c>
      <c r="F181" s="147" t="s">
        <v>343</v>
      </c>
      <c r="G181" s="147" t="s">
        <v>205</v>
      </c>
      <c r="H181" s="147">
        <v>12</v>
      </c>
      <c r="I181" s="147" t="s">
        <v>247</v>
      </c>
      <c r="J181" s="148">
        <v>340</v>
      </c>
      <c r="K181" s="147" t="s">
        <v>343</v>
      </c>
      <c r="L181" s="147" t="s">
        <v>640</v>
      </c>
      <c r="M181" s="147" t="s">
        <v>343</v>
      </c>
      <c r="N181" s="147" t="s">
        <v>343</v>
      </c>
      <c r="O181" s="148">
        <v>4345</v>
      </c>
      <c r="P181" s="147" t="s">
        <v>343</v>
      </c>
      <c r="Q181" s="148">
        <v>3325</v>
      </c>
      <c r="R181" s="148">
        <v>1700</v>
      </c>
      <c r="S181" s="147" t="s">
        <v>343</v>
      </c>
      <c r="T181" s="147" t="s">
        <v>510</v>
      </c>
      <c r="U181" s="147" t="s">
        <v>343</v>
      </c>
      <c r="V181" s="147" t="s">
        <v>510</v>
      </c>
      <c r="W181" s="147" t="s">
        <v>343</v>
      </c>
      <c r="X181" s="147" t="s">
        <v>343</v>
      </c>
      <c r="Y181" s="147" t="s">
        <v>343</v>
      </c>
      <c r="Z181" s="147" t="s">
        <v>600</v>
      </c>
      <c r="AA181" s="147" t="s">
        <v>771</v>
      </c>
      <c r="AB181" s="147" t="s">
        <v>686</v>
      </c>
      <c r="AC181" s="147" t="s">
        <v>643</v>
      </c>
      <c r="AD181" s="147" t="s">
        <v>687</v>
      </c>
      <c r="AE181" s="147" t="s">
        <v>510</v>
      </c>
      <c r="AF181" s="147" t="s">
        <v>509</v>
      </c>
    </row>
    <row r="182" spans="1:32">
      <c r="A182" s="147" t="s">
        <v>825</v>
      </c>
      <c r="B182" s="147" t="s">
        <v>567</v>
      </c>
      <c r="C182" s="147" t="s">
        <v>662</v>
      </c>
      <c r="D182" s="147" t="s">
        <v>343</v>
      </c>
      <c r="E182" s="147" t="s">
        <v>343</v>
      </c>
      <c r="F182" s="147" t="s">
        <v>343</v>
      </c>
      <c r="G182" s="147" t="s">
        <v>129</v>
      </c>
      <c r="H182" s="147">
        <v>17</v>
      </c>
      <c r="I182" s="147" t="s">
        <v>242</v>
      </c>
      <c r="J182" s="148">
        <v>851.66666666666663</v>
      </c>
      <c r="K182" s="147" t="s">
        <v>343</v>
      </c>
      <c r="L182" s="147" t="s">
        <v>640</v>
      </c>
      <c r="M182" s="147" t="s">
        <v>343</v>
      </c>
      <c r="N182" s="147" t="s">
        <v>343</v>
      </c>
      <c r="O182" s="148">
        <v>4315</v>
      </c>
      <c r="P182" s="147" t="s">
        <v>343</v>
      </c>
      <c r="Q182" s="148">
        <v>5085</v>
      </c>
      <c r="R182" s="148">
        <v>2115</v>
      </c>
      <c r="S182" s="147" t="s">
        <v>343</v>
      </c>
      <c r="T182" s="147" t="s">
        <v>343</v>
      </c>
      <c r="U182" s="147" t="s">
        <v>343</v>
      </c>
      <c r="V182" s="147" t="s">
        <v>343</v>
      </c>
      <c r="W182" s="147" t="s">
        <v>343</v>
      </c>
      <c r="X182" s="147" t="s">
        <v>343</v>
      </c>
      <c r="Y182" s="147" t="s">
        <v>343</v>
      </c>
      <c r="Z182" s="147" t="s">
        <v>343</v>
      </c>
      <c r="AA182" s="147" t="s">
        <v>343</v>
      </c>
      <c r="AB182" s="147" t="s">
        <v>343</v>
      </c>
      <c r="AC182" s="147" t="s">
        <v>343</v>
      </c>
      <c r="AD182" s="147" t="s">
        <v>343</v>
      </c>
      <c r="AE182" s="147" t="s">
        <v>343</v>
      </c>
      <c r="AF182" s="147" t="s">
        <v>509</v>
      </c>
    </row>
    <row r="183" spans="1:32">
      <c r="A183" s="147" t="s">
        <v>826</v>
      </c>
      <c r="B183" s="147" t="s">
        <v>502</v>
      </c>
      <c r="C183" s="147" t="s">
        <v>503</v>
      </c>
      <c r="D183" s="147" t="s">
        <v>504</v>
      </c>
      <c r="E183" s="147" t="s">
        <v>505</v>
      </c>
      <c r="F183" s="147" t="s">
        <v>506</v>
      </c>
      <c r="G183" s="147" t="s">
        <v>242</v>
      </c>
      <c r="H183" s="147">
        <v>7</v>
      </c>
      <c r="I183" s="147" t="s">
        <v>343</v>
      </c>
      <c r="J183" s="148">
        <v>719</v>
      </c>
      <c r="K183" s="147">
        <v>8</v>
      </c>
      <c r="L183" s="147" t="s">
        <v>507</v>
      </c>
      <c r="M183" s="147">
        <v>8</v>
      </c>
      <c r="N183" s="147" t="s">
        <v>508</v>
      </c>
      <c r="O183" s="148">
        <v>4276</v>
      </c>
      <c r="P183" s="148">
        <v>719</v>
      </c>
      <c r="Q183" s="147" t="s">
        <v>343</v>
      </c>
      <c r="R183" s="148">
        <v>4276</v>
      </c>
      <c r="S183" s="149">
        <v>44.541666666666664</v>
      </c>
      <c r="T183" s="147" t="s">
        <v>510</v>
      </c>
      <c r="U183" s="147" t="s">
        <v>343</v>
      </c>
      <c r="V183" s="147" t="s">
        <v>509</v>
      </c>
      <c r="W183" s="147" t="s">
        <v>511</v>
      </c>
      <c r="X183" s="147" t="s">
        <v>535</v>
      </c>
      <c r="Y183" s="147" t="s">
        <v>347</v>
      </c>
      <c r="Z183" s="147" t="s">
        <v>512</v>
      </c>
      <c r="AA183" s="147" t="s">
        <v>561</v>
      </c>
      <c r="AB183" s="147" t="s">
        <v>562</v>
      </c>
      <c r="AC183" s="147" t="s">
        <v>515</v>
      </c>
      <c r="AD183" s="147" t="s">
        <v>563</v>
      </c>
      <c r="AE183" s="147" t="s">
        <v>509</v>
      </c>
      <c r="AF183" s="147" t="s">
        <v>343</v>
      </c>
    </row>
    <row r="184" spans="1:32">
      <c r="A184" s="147" t="s">
        <v>827</v>
      </c>
      <c r="B184" s="147" t="s">
        <v>502</v>
      </c>
      <c r="C184" s="147" t="s">
        <v>637</v>
      </c>
      <c r="D184" s="147" t="s">
        <v>828</v>
      </c>
      <c r="E184" s="147" t="s">
        <v>343</v>
      </c>
      <c r="F184" s="147" t="s">
        <v>343</v>
      </c>
      <c r="G184" s="147" t="s">
        <v>639</v>
      </c>
      <c r="H184" s="147">
        <v>63</v>
      </c>
      <c r="I184" s="147" t="s">
        <v>343</v>
      </c>
      <c r="J184" s="148">
        <v>355</v>
      </c>
      <c r="K184" s="147" t="s">
        <v>343</v>
      </c>
      <c r="L184" s="147" t="s">
        <v>673</v>
      </c>
      <c r="M184" s="147" t="s">
        <v>343</v>
      </c>
      <c r="N184" s="147" t="s">
        <v>343</v>
      </c>
      <c r="O184" s="148">
        <v>4275</v>
      </c>
      <c r="P184" s="148">
        <v>355</v>
      </c>
      <c r="Q184" s="148">
        <v>4305</v>
      </c>
      <c r="R184" s="148">
        <v>2500</v>
      </c>
      <c r="S184" s="147" t="s">
        <v>343</v>
      </c>
      <c r="T184" s="147" t="s">
        <v>510</v>
      </c>
      <c r="U184" s="147" t="s">
        <v>343</v>
      </c>
      <c r="V184" s="147" t="s">
        <v>510</v>
      </c>
      <c r="W184" s="147" t="s">
        <v>343</v>
      </c>
      <c r="X184" s="147" t="s">
        <v>343</v>
      </c>
      <c r="Y184" s="147" t="s">
        <v>343</v>
      </c>
      <c r="Z184" s="147" t="s">
        <v>600</v>
      </c>
      <c r="AA184" s="147" t="s">
        <v>641</v>
      </c>
      <c r="AB184" s="147" t="s">
        <v>642</v>
      </c>
      <c r="AC184" s="147" t="s">
        <v>643</v>
      </c>
      <c r="AD184" s="147" t="s">
        <v>528</v>
      </c>
      <c r="AE184" s="147" t="s">
        <v>510</v>
      </c>
      <c r="AF184" s="147" t="s">
        <v>343</v>
      </c>
    </row>
    <row r="185" spans="1:32">
      <c r="A185" s="147" t="s">
        <v>829</v>
      </c>
      <c r="B185" s="147" t="s">
        <v>502</v>
      </c>
      <c r="C185" s="147" t="s">
        <v>503</v>
      </c>
      <c r="D185" s="147" t="s">
        <v>504</v>
      </c>
      <c r="E185" s="147" t="s">
        <v>612</v>
      </c>
      <c r="F185" s="147" t="s">
        <v>599</v>
      </c>
      <c r="G185" s="147" t="s">
        <v>205</v>
      </c>
      <c r="H185" s="147">
        <v>14</v>
      </c>
      <c r="I185" s="147" t="s">
        <v>343</v>
      </c>
      <c r="J185" s="148">
        <v>360</v>
      </c>
      <c r="K185" s="147">
        <v>5</v>
      </c>
      <c r="L185" s="147" t="s">
        <v>560</v>
      </c>
      <c r="M185" s="147" t="s">
        <v>343</v>
      </c>
      <c r="N185" s="147" t="s">
        <v>343</v>
      </c>
      <c r="O185" s="148">
        <v>4245</v>
      </c>
      <c r="P185" s="148">
        <v>360</v>
      </c>
      <c r="Q185" s="148">
        <v>2810</v>
      </c>
      <c r="R185" s="148">
        <v>2160</v>
      </c>
      <c r="S185" s="149">
        <v>70.75</v>
      </c>
      <c r="T185" s="147" t="s">
        <v>509</v>
      </c>
      <c r="U185" s="147">
        <v>6</v>
      </c>
      <c r="V185" s="147" t="s">
        <v>510</v>
      </c>
      <c r="W185" s="147" t="s">
        <v>511</v>
      </c>
      <c r="X185" s="147" t="s">
        <v>519</v>
      </c>
      <c r="Y185" s="147" t="s">
        <v>343</v>
      </c>
      <c r="Z185" s="147" t="s">
        <v>512</v>
      </c>
      <c r="AA185" s="147" t="s">
        <v>536</v>
      </c>
      <c r="AB185" s="147" t="s">
        <v>537</v>
      </c>
      <c r="AC185" s="147" t="s">
        <v>538</v>
      </c>
      <c r="AD185" s="147" t="s">
        <v>523</v>
      </c>
      <c r="AE185" s="147" t="s">
        <v>509</v>
      </c>
      <c r="AF185" s="147" t="s">
        <v>343</v>
      </c>
    </row>
    <row r="186" spans="1:32">
      <c r="A186" s="147" t="s">
        <v>830</v>
      </c>
      <c r="B186" s="147" t="s">
        <v>502</v>
      </c>
      <c r="C186" s="147" t="s">
        <v>503</v>
      </c>
      <c r="D186" s="147" t="s">
        <v>504</v>
      </c>
      <c r="E186" s="147" t="s">
        <v>621</v>
      </c>
      <c r="F186" s="147" t="s">
        <v>592</v>
      </c>
      <c r="G186" s="147" t="s">
        <v>244</v>
      </c>
      <c r="H186" s="147">
        <v>5</v>
      </c>
      <c r="I186" s="147" t="s">
        <v>343</v>
      </c>
      <c r="J186" s="148">
        <v>899.33333333333337</v>
      </c>
      <c r="K186" s="147">
        <v>8</v>
      </c>
      <c r="L186" s="147" t="s">
        <v>507</v>
      </c>
      <c r="M186" s="147">
        <v>8</v>
      </c>
      <c r="N186" s="147" t="s">
        <v>508</v>
      </c>
      <c r="O186" s="148">
        <v>4204</v>
      </c>
      <c r="P186" s="148">
        <v>886</v>
      </c>
      <c r="Q186" s="147" t="s">
        <v>343</v>
      </c>
      <c r="R186" s="148">
        <v>4204</v>
      </c>
      <c r="S186" s="149">
        <v>43.791666666666664</v>
      </c>
      <c r="T186" s="147" t="s">
        <v>509</v>
      </c>
      <c r="U186" s="147" t="s">
        <v>343</v>
      </c>
      <c r="V186" s="147" t="s">
        <v>510</v>
      </c>
      <c r="W186" s="147" t="s">
        <v>511</v>
      </c>
      <c r="X186" s="147" t="s">
        <v>519</v>
      </c>
      <c r="Y186" s="147" t="s">
        <v>347</v>
      </c>
      <c r="Z186" s="147" t="s">
        <v>512</v>
      </c>
      <c r="AA186" s="147" t="s">
        <v>540</v>
      </c>
      <c r="AB186" s="147" t="s">
        <v>541</v>
      </c>
      <c r="AC186" s="147" t="s">
        <v>522</v>
      </c>
      <c r="AD186" s="147" t="s">
        <v>523</v>
      </c>
      <c r="AE186" s="147" t="s">
        <v>509</v>
      </c>
      <c r="AF186" s="147" t="s">
        <v>343</v>
      </c>
    </row>
    <row r="187" spans="1:32">
      <c r="A187" s="147" t="s">
        <v>831</v>
      </c>
      <c r="B187" s="147" t="s">
        <v>19</v>
      </c>
      <c r="C187" s="147" t="s">
        <v>503</v>
      </c>
      <c r="D187" s="147" t="s">
        <v>504</v>
      </c>
      <c r="E187" s="147" t="s">
        <v>343</v>
      </c>
      <c r="F187" s="147" t="s">
        <v>506</v>
      </c>
      <c r="G187" s="147" t="s">
        <v>247</v>
      </c>
      <c r="H187" s="147">
        <v>2</v>
      </c>
      <c r="I187" s="147" t="s">
        <v>343</v>
      </c>
      <c r="J187" s="148">
        <v>1986</v>
      </c>
      <c r="K187" s="147">
        <v>21</v>
      </c>
      <c r="L187" s="147" t="s">
        <v>507</v>
      </c>
      <c r="M187" s="147">
        <v>21</v>
      </c>
      <c r="N187" s="147" t="s">
        <v>508</v>
      </c>
      <c r="O187" s="148">
        <v>3972</v>
      </c>
      <c r="P187" s="148">
        <v>1316</v>
      </c>
      <c r="Q187" s="147" t="s">
        <v>343</v>
      </c>
      <c r="R187" s="148">
        <v>3972</v>
      </c>
      <c r="S187" s="149">
        <v>15.761904761904763</v>
      </c>
      <c r="T187" s="147" t="s">
        <v>509</v>
      </c>
      <c r="U187" s="147" t="s">
        <v>343</v>
      </c>
      <c r="V187" s="147" t="s">
        <v>509</v>
      </c>
      <c r="W187" s="147" t="s">
        <v>511</v>
      </c>
      <c r="X187" s="147" t="s">
        <v>615</v>
      </c>
      <c r="Y187" s="147" t="s">
        <v>347</v>
      </c>
      <c r="Z187" s="147" t="s">
        <v>512</v>
      </c>
      <c r="AA187" s="147" t="s">
        <v>656</v>
      </c>
      <c r="AB187" s="147" t="s">
        <v>657</v>
      </c>
      <c r="AC187" s="147" t="s">
        <v>571</v>
      </c>
      <c r="AD187" s="147" t="s">
        <v>658</v>
      </c>
      <c r="AE187" s="147" t="s">
        <v>509</v>
      </c>
      <c r="AF187" s="147" t="s">
        <v>343</v>
      </c>
    </row>
    <row r="188" spans="1:32">
      <c r="A188" s="147" t="s">
        <v>832</v>
      </c>
      <c r="B188" s="147" t="s">
        <v>567</v>
      </c>
      <c r="C188" s="147" t="s">
        <v>683</v>
      </c>
      <c r="D188" s="147" t="s">
        <v>684</v>
      </c>
      <c r="E188" s="147" t="s">
        <v>343</v>
      </c>
      <c r="F188" s="147" t="s">
        <v>343</v>
      </c>
      <c r="G188" s="147" t="s">
        <v>207</v>
      </c>
      <c r="H188" s="147">
        <v>9</v>
      </c>
      <c r="I188" s="147" t="s">
        <v>246</v>
      </c>
      <c r="J188" s="148">
        <v>400</v>
      </c>
      <c r="K188" s="147" t="s">
        <v>343</v>
      </c>
      <c r="L188" s="147" t="s">
        <v>640</v>
      </c>
      <c r="M188" s="147" t="s">
        <v>343</v>
      </c>
      <c r="N188" s="147" t="s">
        <v>343</v>
      </c>
      <c r="O188" s="148">
        <v>3940</v>
      </c>
      <c r="P188" s="147" t="s">
        <v>343</v>
      </c>
      <c r="Q188" s="148">
        <v>2190</v>
      </c>
      <c r="R188" s="148">
        <v>1750</v>
      </c>
      <c r="S188" s="147" t="s">
        <v>343</v>
      </c>
      <c r="T188" s="147" t="s">
        <v>510</v>
      </c>
      <c r="U188" s="147" t="s">
        <v>343</v>
      </c>
      <c r="V188" s="147" t="s">
        <v>510</v>
      </c>
      <c r="W188" s="147" t="s">
        <v>343</v>
      </c>
      <c r="X188" s="147" t="s">
        <v>343</v>
      </c>
      <c r="Y188" s="147" t="s">
        <v>343</v>
      </c>
      <c r="Z188" s="147" t="s">
        <v>600</v>
      </c>
      <c r="AA188" s="147" t="s">
        <v>710</v>
      </c>
      <c r="AB188" s="147" t="s">
        <v>686</v>
      </c>
      <c r="AC188" s="147" t="s">
        <v>643</v>
      </c>
      <c r="AD188" s="147" t="s">
        <v>516</v>
      </c>
      <c r="AE188" s="147" t="s">
        <v>510</v>
      </c>
      <c r="AF188" s="147" t="s">
        <v>509</v>
      </c>
    </row>
    <row r="189" spans="1:32">
      <c r="A189" s="147" t="s">
        <v>833</v>
      </c>
      <c r="B189" s="147" t="s">
        <v>567</v>
      </c>
      <c r="C189" s="147" t="s">
        <v>503</v>
      </c>
      <c r="D189" s="147" t="s">
        <v>504</v>
      </c>
      <c r="E189" s="147" t="s">
        <v>505</v>
      </c>
      <c r="F189" s="147" t="s">
        <v>506</v>
      </c>
      <c r="G189" s="147" t="s">
        <v>203</v>
      </c>
      <c r="H189" s="147">
        <v>12</v>
      </c>
      <c r="I189" s="147" t="s">
        <v>245</v>
      </c>
      <c r="J189" s="148">
        <v>523.33333333333337</v>
      </c>
      <c r="K189" s="147">
        <v>4</v>
      </c>
      <c r="L189" s="147" t="s">
        <v>568</v>
      </c>
      <c r="M189" s="147" t="s">
        <v>343</v>
      </c>
      <c r="N189" s="147" t="s">
        <v>343</v>
      </c>
      <c r="O189" s="148">
        <v>3800</v>
      </c>
      <c r="P189" s="147" t="s">
        <v>343</v>
      </c>
      <c r="Q189" s="148">
        <v>2940</v>
      </c>
      <c r="R189" s="148">
        <v>1570</v>
      </c>
      <c r="S189" s="149">
        <v>79.166666666666671</v>
      </c>
      <c r="T189" s="147" t="s">
        <v>510</v>
      </c>
      <c r="U189" s="147">
        <v>2</v>
      </c>
      <c r="V189" s="147" t="s">
        <v>510</v>
      </c>
      <c r="W189" s="147" t="s">
        <v>343</v>
      </c>
      <c r="X189" s="147" t="s">
        <v>343</v>
      </c>
      <c r="Y189" s="147" t="s">
        <v>343</v>
      </c>
      <c r="Z189" s="147" t="s">
        <v>343</v>
      </c>
      <c r="AA189" s="147" t="s">
        <v>596</v>
      </c>
      <c r="AB189" s="147" t="s">
        <v>532</v>
      </c>
      <c r="AC189" s="147" t="s">
        <v>343</v>
      </c>
      <c r="AD189" s="147" t="s">
        <v>343</v>
      </c>
      <c r="AE189" s="147" t="s">
        <v>510</v>
      </c>
      <c r="AF189" s="147" t="s">
        <v>509</v>
      </c>
    </row>
    <row r="190" spans="1:32">
      <c r="A190" s="147" t="s">
        <v>834</v>
      </c>
      <c r="B190" s="147" t="s">
        <v>567</v>
      </c>
      <c r="C190" s="147" t="s">
        <v>503</v>
      </c>
      <c r="D190" s="147" t="s">
        <v>504</v>
      </c>
      <c r="E190" s="147" t="s">
        <v>505</v>
      </c>
      <c r="F190" s="147" t="s">
        <v>506</v>
      </c>
      <c r="G190" s="147" t="s">
        <v>123</v>
      </c>
      <c r="H190" s="147">
        <v>18</v>
      </c>
      <c r="I190" s="147" t="s">
        <v>207</v>
      </c>
      <c r="J190" s="148">
        <v>584.66666666666663</v>
      </c>
      <c r="K190" s="147">
        <v>2</v>
      </c>
      <c r="L190" s="147" t="s">
        <v>560</v>
      </c>
      <c r="M190" s="147" t="s">
        <v>343</v>
      </c>
      <c r="N190" s="147" t="s">
        <v>343</v>
      </c>
      <c r="O190" s="148">
        <v>3774</v>
      </c>
      <c r="P190" s="148">
        <v>418</v>
      </c>
      <c r="Q190" s="148">
        <v>3090</v>
      </c>
      <c r="R190" s="148">
        <v>3774</v>
      </c>
      <c r="S190" s="149">
        <v>157.25</v>
      </c>
      <c r="T190" s="147" t="s">
        <v>510</v>
      </c>
      <c r="U190" s="147" t="s">
        <v>343</v>
      </c>
      <c r="V190" s="147" t="s">
        <v>510</v>
      </c>
      <c r="W190" s="147" t="s">
        <v>511</v>
      </c>
      <c r="X190" s="147" t="s">
        <v>519</v>
      </c>
      <c r="Y190" s="147" t="s">
        <v>343</v>
      </c>
      <c r="Z190" s="147" t="s">
        <v>512</v>
      </c>
      <c r="AA190" s="147" t="s">
        <v>656</v>
      </c>
      <c r="AB190" s="147" t="s">
        <v>657</v>
      </c>
      <c r="AC190" s="147" t="s">
        <v>571</v>
      </c>
      <c r="AD190" s="147" t="s">
        <v>658</v>
      </c>
      <c r="AE190" s="147" t="s">
        <v>509</v>
      </c>
      <c r="AF190" s="147" t="s">
        <v>509</v>
      </c>
    </row>
    <row r="191" spans="1:32">
      <c r="A191" s="147" t="s">
        <v>835</v>
      </c>
      <c r="B191" s="147" t="s">
        <v>502</v>
      </c>
      <c r="C191" s="147" t="s">
        <v>503</v>
      </c>
      <c r="D191" s="147" t="s">
        <v>504</v>
      </c>
      <c r="E191" s="147" t="s">
        <v>621</v>
      </c>
      <c r="F191" s="147" t="s">
        <v>592</v>
      </c>
      <c r="G191" s="147" t="s">
        <v>246</v>
      </c>
      <c r="H191" s="147">
        <v>3</v>
      </c>
      <c r="I191" s="147" t="s">
        <v>343</v>
      </c>
      <c r="J191" s="148">
        <v>1256.3333333333333</v>
      </c>
      <c r="K191" s="147">
        <v>22</v>
      </c>
      <c r="L191" s="147" t="s">
        <v>507</v>
      </c>
      <c r="M191" s="147">
        <v>22</v>
      </c>
      <c r="N191" s="147" t="s">
        <v>508</v>
      </c>
      <c r="O191" s="148">
        <v>3769</v>
      </c>
      <c r="P191" s="148">
        <v>885</v>
      </c>
      <c r="Q191" s="147" t="s">
        <v>343</v>
      </c>
      <c r="R191" s="148">
        <v>3769</v>
      </c>
      <c r="S191" s="149">
        <v>14.27651515151515</v>
      </c>
      <c r="T191" s="147" t="s">
        <v>510</v>
      </c>
      <c r="U191" s="147" t="s">
        <v>343</v>
      </c>
      <c r="V191" s="147" t="s">
        <v>510</v>
      </c>
      <c r="W191" s="147" t="s">
        <v>511</v>
      </c>
      <c r="X191" s="147" t="s">
        <v>535</v>
      </c>
      <c r="Y191" s="147" t="s">
        <v>343</v>
      </c>
      <c r="Z191" s="147" t="s">
        <v>512</v>
      </c>
      <c r="AA191" s="147" t="s">
        <v>653</v>
      </c>
      <c r="AB191" s="147" t="s">
        <v>653</v>
      </c>
      <c r="AC191" s="147" t="s">
        <v>538</v>
      </c>
      <c r="AD191" s="147" t="s">
        <v>516</v>
      </c>
      <c r="AE191" s="147" t="s">
        <v>509</v>
      </c>
      <c r="AF191" s="147" t="s">
        <v>343</v>
      </c>
    </row>
    <row r="192" spans="1:32">
      <c r="A192" s="147" t="s">
        <v>836</v>
      </c>
      <c r="B192" s="147" t="s">
        <v>502</v>
      </c>
      <c r="C192" s="147" t="s">
        <v>503</v>
      </c>
      <c r="D192" s="147" t="s">
        <v>504</v>
      </c>
      <c r="E192" s="147" t="s">
        <v>505</v>
      </c>
      <c r="F192" s="147" t="s">
        <v>506</v>
      </c>
      <c r="G192" s="147" t="s">
        <v>211</v>
      </c>
      <c r="H192" s="147">
        <v>8</v>
      </c>
      <c r="I192" s="147" t="s">
        <v>343</v>
      </c>
      <c r="J192" s="148">
        <v>425</v>
      </c>
      <c r="K192" s="147">
        <v>6</v>
      </c>
      <c r="L192" s="147" t="s">
        <v>507</v>
      </c>
      <c r="M192" s="147">
        <v>6</v>
      </c>
      <c r="N192" s="147" t="s">
        <v>508</v>
      </c>
      <c r="O192" s="148">
        <v>3760</v>
      </c>
      <c r="P192" s="148">
        <v>475</v>
      </c>
      <c r="Q192" s="148">
        <v>700</v>
      </c>
      <c r="R192" s="148">
        <v>3060</v>
      </c>
      <c r="S192" s="149">
        <v>52.222222222222221</v>
      </c>
      <c r="T192" s="147" t="s">
        <v>509</v>
      </c>
      <c r="U192" s="147" t="s">
        <v>343</v>
      </c>
      <c r="V192" s="147" t="s">
        <v>510</v>
      </c>
      <c r="W192" s="147" t="s">
        <v>511</v>
      </c>
      <c r="X192" s="147" t="s">
        <v>535</v>
      </c>
      <c r="Y192" s="147" t="s">
        <v>343</v>
      </c>
      <c r="Z192" s="147" t="s">
        <v>512</v>
      </c>
      <c r="AA192" s="147" t="s">
        <v>631</v>
      </c>
      <c r="AB192" s="147" t="s">
        <v>514</v>
      </c>
      <c r="AC192" s="147" t="s">
        <v>515</v>
      </c>
      <c r="AD192" s="147" t="s">
        <v>516</v>
      </c>
      <c r="AE192" s="147" t="s">
        <v>509</v>
      </c>
      <c r="AF192" s="147" t="s">
        <v>343</v>
      </c>
    </row>
    <row r="193" spans="1:32">
      <c r="A193" s="147" t="s">
        <v>837</v>
      </c>
      <c r="B193" s="147" t="s">
        <v>567</v>
      </c>
      <c r="C193" s="147" t="s">
        <v>503</v>
      </c>
      <c r="D193" s="147" t="s">
        <v>504</v>
      </c>
      <c r="E193" s="147" t="s">
        <v>621</v>
      </c>
      <c r="F193" s="147" t="s">
        <v>592</v>
      </c>
      <c r="G193" s="147" t="s">
        <v>243</v>
      </c>
      <c r="H193" s="147">
        <v>5</v>
      </c>
      <c r="I193" s="147" t="s">
        <v>248</v>
      </c>
      <c r="J193" s="148">
        <v>632.33333333333337</v>
      </c>
      <c r="K193" s="147">
        <v>14</v>
      </c>
      <c r="L193" s="147" t="s">
        <v>507</v>
      </c>
      <c r="M193" s="147">
        <v>14</v>
      </c>
      <c r="N193" s="147" t="s">
        <v>508</v>
      </c>
      <c r="O193" s="148">
        <v>3748</v>
      </c>
      <c r="P193" s="147" t="s">
        <v>343</v>
      </c>
      <c r="Q193" s="147" t="s">
        <v>343</v>
      </c>
      <c r="R193" s="148">
        <v>3748</v>
      </c>
      <c r="S193" s="149">
        <v>22.309523809523807</v>
      </c>
      <c r="T193" s="147" t="s">
        <v>510</v>
      </c>
      <c r="U193" s="147" t="s">
        <v>343</v>
      </c>
      <c r="V193" s="147" t="s">
        <v>509</v>
      </c>
      <c r="W193" s="147" t="s">
        <v>518</v>
      </c>
      <c r="X193" s="147" t="s">
        <v>530</v>
      </c>
      <c r="Y193" s="147" t="s">
        <v>347</v>
      </c>
      <c r="Z193" s="147" t="s">
        <v>512</v>
      </c>
      <c r="AA193" s="147" t="s">
        <v>838</v>
      </c>
      <c r="AB193" s="147" t="s">
        <v>838</v>
      </c>
      <c r="AC193" s="147" t="s">
        <v>522</v>
      </c>
      <c r="AD193" s="147" t="s">
        <v>523</v>
      </c>
      <c r="AE193" s="147" t="s">
        <v>510</v>
      </c>
      <c r="AF193" s="147" t="s">
        <v>509</v>
      </c>
    </row>
    <row r="194" spans="1:32">
      <c r="A194" s="147" t="s">
        <v>839</v>
      </c>
      <c r="B194" s="147" t="s">
        <v>502</v>
      </c>
      <c r="C194" s="147" t="s">
        <v>503</v>
      </c>
      <c r="D194" s="147" t="s">
        <v>504</v>
      </c>
      <c r="E194" s="147" t="s">
        <v>612</v>
      </c>
      <c r="F194" s="147" t="s">
        <v>599</v>
      </c>
      <c r="G194" s="147" t="s">
        <v>245</v>
      </c>
      <c r="H194" s="147">
        <v>4</v>
      </c>
      <c r="I194" s="147" t="s">
        <v>343</v>
      </c>
      <c r="J194" s="148">
        <v>760</v>
      </c>
      <c r="K194" s="147">
        <v>25</v>
      </c>
      <c r="L194" s="147" t="s">
        <v>560</v>
      </c>
      <c r="M194" s="147" t="s">
        <v>343</v>
      </c>
      <c r="N194" s="147" t="s">
        <v>343</v>
      </c>
      <c r="O194" s="148">
        <v>3660</v>
      </c>
      <c r="P194" s="148">
        <v>750</v>
      </c>
      <c r="Q194" s="147" t="s">
        <v>343</v>
      </c>
      <c r="R194" s="148">
        <v>3660</v>
      </c>
      <c r="S194" s="149">
        <v>12.2</v>
      </c>
      <c r="T194" s="147" t="s">
        <v>510</v>
      </c>
      <c r="U194" s="147" t="s">
        <v>343</v>
      </c>
      <c r="V194" s="147" t="s">
        <v>510</v>
      </c>
      <c r="W194" s="147" t="s">
        <v>511</v>
      </c>
      <c r="X194" s="147" t="s">
        <v>519</v>
      </c>
      <c r="Y194" s="147" t="s">
        <v>343</v>
      </c>
      <c r="Z194" s="147" t="s">
        <v>512</v>
      </c>
      <c r="AA194" s="147" t="s">
        <v>540</v>
      </c>
      <c r="AB194" s="147" t="s">
        <v>541</v>
      </c>
      <c r="AC194" s="147" t="s">
        <v>522</v>
      </c>
      <c r="AD194" s="147" t="s">
        <v>523</v>
      </c>
      <c r="AE194" s="147" t="s">
        <v>510</v>
      </c>
      <c r="AF194" s="147" t="s">
        <v>343</v>
      </c>
    </row>
    <row r="195" spans="1:32">
      <c r="A195" s="147" t="s">
        <v>840</v>
      </c>
      <c r="B195" s="147" t="s">
        <v>502</v>
      </c>
      <c r="C195" s="147" t="s">
        <v>683</v>
      </c>
      <c r="D195" s="147" t="s">
        <v>684</v>
      </c>
      <c r="E195" s="147" t="s">
        <v>343</v>
      </c>
      <c r="F195" s="147" t="s">
        <v>343</v>
      </c>
      <c r="G195" s="147" t="s">
        <v>125</v>
      </c>
      <c r="H195" s="147">
        <v>28</v>
      </c>
      <c r="I195" s="147" t="s">
        <v>343</v>
      </c>
      <c r="J195" s="148">
        <v>306.66666666666669</v>
      </c>
      <c r="K195" s="147" t="s">
        <v>343</v>
      </c>
      <c r="L195" s="147" t="s">
        <v>709</v>
      </c>
      <c r="M195" s="147" t="s">
        <v>343</v>
      </c>
      <c r="N195" s="147" t="s">
        <v>343</v>
      </c>
      <c r="O195" s="148">
        <v>3620</v>
      </c>
      <c r="P195" s="148">
        <v>310</v>
      </c>
      <c r="Q195" s="148">
        <v>3700</v>
      </c>
      <c r="R195" s="148">
        <v>2120</v>
      </c>
      <c r="S195" s="147" t="s">
        <v>343</v>
      </c>
      <c r="T195" s="147" t="s">
        <v>510</v>
      </c>
      <c r="U195" s="147" t="s">
        <v>343</v>
      </c>
      <c r="V195" s="147" t="s">
        <v>510</v>
      </c>
      <c r="W195" s="147" t="s">
        <v>343</v>
      </c>
      <c r="X195" s="147" t="s">
        <v>343</v>
      </c>
      <c r="Y195" s="147" t="s">
        <v>343</v>
      </c>
      <c r="Z195" s="147" t="s">
        <v>600</v>
      </c>
      <c r="AA195" s="147" t="s">
        <v>685</v>
      </c>
      <c r="AB195" s="147" t="s">
        <v>686</v>
      </c>
      <c r="AC195" s="147" t="s">
        <v>643</v>
      </c>
      <c r="AD195" s="147" t="s">
        <v>687</v>
      </c>
      <c r="AE195" s="147" t="s">
        <v>510</v>
      </c>
      <c r="AF195" s="147" t="s">
        <v>343</v>
      </c>
    </row>
    <row r="196" spans="1:32">
      <c r="A196" s="147" t="s">
        <v>841</v>
      </c>
      <c r="B196" s="147" t="s">
        <v>502</v>
      </c>
      <c r="C196" s="147" t="s">
        <v>503</v>
      </c>
      <c r="D196" s="147" t="s">
        <v>504</v>
      </c>
      <c r="E196" s="147" t="s">
        <v>505</v>
      </c>
      <c r="F196" s="147" t="s">
        <v>506</v>
      </c>
      <c r="G196" s="147" t="s">
        <v>208</v>
      </c>
      <c r="H196" s="147">
        <v>11</v>
      </c>
      <c r="I196" s="147" t="s">
        <v>343</v>
      </c>
      <c r="J196" s="148">
        <v>407.12333333333328</v>
      </c>
      <c r="K196" s="147">
        <v>2</v>
      </c>
      <c r="L196" s="147" t="s">
        <v>560</v>
      </c>
      <c r="M196" s="147" t="s">
        <v>343</v>
      </c>
      <c r="N196" s="147" t="s">
        <v>343</v>
      </c>
      <c r="O196" s="148">
        <v>3566.37</v>
      </c>
      <c r="P196" s="148">
        <v>440</v>
      </c>
      <c r="Q196" s="148">
        <v>1020</v>
      </c>
      <c r="R196" s="148">
        <v>2546.37</v>
      </c>
      <c r="S196" s="149">
        <v>148.59875</v>
      </c>
      <c r="T196" s="147" t="s">
        <v>509</v>
      </c>
      <c r="U196" s="147" t="s">
        <v>343</v>
      </c>
      <c r="V196" s="147" t="s">
        <v>510</v>
      </c>
      <c r="W196" s="147" t="s">
        <v>511</v>
      </c>
      <c r="X196" s="147" t="s">
        <v>535</v>
      </c>
      <c r="Y196" s="147" t="s">
        <v>343</v>
      </c>
      <c r="Z196" s="147" t="s">
        <v>512</v>
      </c>
      <c r="AA196" s="147" t="s">
        <v>631</v>
      </c>
      <c r="AB196" s="147" t="s">
        <v>514</v>
      </c>
      <c r="AC196" s="147" t="s">
        <v>515</v>
      </c>
      <c r="AD196" s="147" t="s">
        <v>516</v>
      </c>
      <c r="AE196" s="147" t="s">
        <v>509</v>
      </c>
      <c r="AF196" s="147" t="s">
        <v>343</v>
      </c>
    </row>
    <row r="197" spans="1:32">
      <c r="A197" s="147" t="s">
        <v>842</v>
      </c>
      <c r="B197" s="147" t="s">
        <v>502</v>
      </c>
      <c r="C197" s="147" t="s">
        <v>683</v>
      </c>
      <c r="D197" s="147" t="s">
        <v>684</v>
      </c>
      <c r="E197" s="147" t="s">
        <v>343</v>
      </c>
      <c r="F197" s="147" t="s">
        <v>343</v>
      </c>
      <c r="G197" s="147" t="s">
        <v>210</v>
      </c>
      <c r="H197" s="147">
        <v>9</v>
      </c>
      <c r="I197" s="147" t="s">
        <v>343</v>
      </c>
      <c r="J197" s="148">
        <v>400</v>
      </c>
      <c r="K197" s="147" t="s">
        <v>343</v>
      </c>
      <c r="L197" s="147" t="s">
        <v>709</v>
      </c>
      <c r="M197" s="147" t="s">
        <v>343</v>
      </c>
      <c r="N197" s="147" t="s">
        <v>343</v>
      </c>
      <c r="O197" s="148">
        <v>3500</v>
      </c>
      <c r="P197" s="148">
        <v>400</v>
      </c>
      <c r="Q197" s="148">
        <v>700</v>
      </c>
      <c r="R197" s="148">
        <v>2800</v>
      </c>
      <c r="S197" s="147" t="s">
        <v>343</v>
      </c>
      <c r="T197" s="147" t="s">
        <v>510</v>
      </c>
      <c r="U197" s="147" t="s">
        <v>343</v>
      </c>
      <c r="V197" s="147" t="s">
        <v>510</v>
      </c>
      <c r="W197" s="147" t="s">
        <v>518</v>
      </c>
      <c r="X197" s="147" t="s">
        <v>519</v>
      </c>
      <c r="Y197" s="147" t="s">
        <v>343</v>
      </c>
      <c r="Z197" s="147" t="s">
        <v>600</v>
      </c>
      <c r="AA197" s="147" t="s">
        <v>771</v>
      </c>
      <c r="AB197" s="147" t="s">
        <v>686</v>
      </c>
      <c r="AC197" s="147" t="s">
        <v>643</v>
      </c>
      <c r="AD197" s="147" t="s">
        <v>687</v>
      </c>
      <c r="AE197" s="147" t="s">
        <v>510</v>
      </c>
      <c r="AF197" s="147" t="s">
        <v>343</v>
      </c>
    </row>
    <row r="198" spans="1:32">
      <c r="A198" s="147" t="s">
        <v>843</v>
      </c>
      <c r="B198" s="147" t="s">
        <v>567</v>
      </c>
      <c r="C198" s="147" t="s">
        <v>503</v>
      </c>
      <c r="D198" s="147" t="s">
        <v>504</v>
      </c>
      <c r="E198" s="147" t="s">
        <v>505</v>
      </c>
      <c r="F198" s="147" t="s">
        <v>506</v>
      </c>
      <c r="G198" s="147" t="s">
        <v>128</v>
      </c>
      <c r="H198" s="147">
        <v>21</v>
      </c>
      <c r="I198" s="147" t="s">
        <v>245</v>
      </c>
      <c r="J198" s="148">
        <v>400</v>
      </c>
      <c r="K198" s="147">
        <v>4</v>
      </c>
      <c r="L198" s="147" t="s">
        <v>568</v>
      </c>
      <c r="M198" s="147" t="s">
        <v>343</v>
      </c>
      <c r="N198" s="147" t="s">
        <v>343</v>
      </c>
      <c r="O198" s="148">
        <v>3455</v>
      </c>
      <c r="P198" s="147" t="s">
        <v>343</v>
      </c>
      <c r="Q198" s="148">
        <v>5025</v>
      </c>
      <c r="R198" s="148">
        <v>1200</v>
      </c>
      <c r="S198" s="149">
        <v>71.979166666666671</v>
      </c>
      <c r="T198" s="147" t="s">
        <v>510</v>
      </c>
      <c r="U198" s="147" t="s">
        <v>343</v>
      </c>
      <c r="V198" s="147" t="s">
        <v>510</v>
      </c>
      <c r="W198" s="147" t="s">
        <v>343</v>
      </c>
      <c r="X198" s="147" t="s">
        <v>343</v>
      </c>
      <c r="Y198" s="147" t="s">
        <v>343</v>
      </c>
      <c r="Z198" s="147" t="s">
        <v>343</v>
      </c>
      <c r="AA198" s="147" t="s">
        <v>550</v>
      </c>
      <c r="AB198" s="147" t="s">
        <v>551</v>
      </c>
      <c r="AC198" s="147" t="s">
        <v>343</v>
      </c>
      <c r="AD198" s="147" t="s">
        <v>343</v>
      </c>
      <c r="AE198" s="147" t="s">
        <v>510</v>
      </c>
      <c r="AF198" s="147" t="s">
        <v>509</v>
      </c>
    </row>
    <row r="199" spans="1:32">
      <c r="A199" s="147" t="s">
        <v>844</v>
      </c>
      <c r="B199" s="147" t="s">
        <v>567</v>
      </c>
      <c r="C199" s="147" t="s">
        <v>637</v>
      </c>
      <c r="D199" s="147" t="s">
        <v>672</v>
      </c>
      <c r="E199" s="147" t="s">
        <v>343</v>
      </c>
      <c r="F199" s="147" t="s">
        <v>343</v>
      </c>
      <c r="G199" s="147" t="s">
        <v>762</v>
      </c>
      <c r="H199" s="147">
        <v>47</v>
      </c>
      <c r="I199" s="147" t="s">
        <v>627</v>
      </c>
      <c r="J199" s="148">
        <v>285</v>
      </c>
      <c r="K199" s="147" t="s">
        <v>343</v>
      </c>
      <c r="L199" s="147" t="s">
        <v>640</v>
      </c>
      <c r="M199" s="147" t="s">
        <v>343</v>
      </c>
      <c r="N199" s="147" t="s">
        <v>343</v>
      </c>
      <c r="O199" s="148">
        <v>3440</v>
      </c>
      <c r="P199" s="148">
        <v>285</v>
      </c>
      <c r="Q199" s="148">
        <v>3400</v>
      </c>
      <c r="R199" s="148">
        <v>2025</v>
      </c>
      <c r="S199" s="147" t="s">
        <v>343</v>
      </c>
      <c r="T199" s="147" t="s">
        <v>510</v>
      </c>
      <c r="U199" s="147" t="s">
        <v>343</v>
      </c>
      <c r="V199" s="147" t="s">
        <v>510</v>
      </c>
      <c r="W199" s="147" t="s">
        <v>343</v>
      </c>
      <c r="X199" s="147" t="s">
        <v>343</v>
      </c>
      <c r="Y199" s="147" t="s">
        <v>343</v>
      </c>
      <c r="Z199" s="147" t="s">
        <v>600</v>
      </c>
      <c r="AA199" s="147" t="s">
        <v>674</v>
      </c>
      <c r="AB199" s="147" t="s">
        <v>642</v>
      </c>
      <c r="AC199" s="147" t="s">
        <v>643</v>
      </c>
      <c r="AD199" s="147" t="s">
        <v>528</v>
      </c>
      <c r="AE199" s="147" t="s">
        <v>510</v>
      </c>
      <c r="AF199" s="147" t="s">
        <v>510</v>
      </c>
    </row>
    <row r="200" spans="1:32">
      <c r="A200" s="147" t="s">
        <v>845</v>
      </c>
      <c r="B200" s="147" t="s">
        <v>567</v>
      </c>
      <c r="C200" s="147" t="s">
        <v>683</v>
      </c>
      <c r="D200" s="147" t="s">
        <v>684</v>
      </c>
      <c r="E200" s="147" t="s">
        <v>343</v>
      </c>
      <c r="F200" s="147" t="s">
        <v>343</v>
      </c>
      <c r="G200" s="147" t="s">
        <v>211</v>
      </c>
      <c r="H200" s="147">
        <v>6</v>
      </c>
      <c r="I200" s="147" t="s">
        <v>247</v>
      </c>
      <c r="J200" s="148">
        <v>560</v>
      </c>
      <c r="K200" s="147" t="s">
        <v>343</v>
      </c>
      <c r="L200" s="147" t="s">
        <v>640</v>
      </c>
      <c r="M200" s="147" t="s">
        <v>343</v>
      </c>
      <c r="N200" s="147" t="s">
        <v>343</v>
      </c>
      <c r="O200" s="148">
        <v>3340</v>
      </c>
      <c r="P200" s="147" t="s">
        <v>343</v>
      </c>
      <c r="Q200" s="148">
        <v>640</v>
      </c>
      <c r="R200" s="148">
        <v>2700</v>
      </c>
      <c r="S200" s="147" t="s">
        <v>343</v>
      </c>
      <c r="T200" s="147" t="s">
        <v>510</v>
      </c>
      <c r="U200" s="147" t="s">
        <v>343</v>
      </c>
      <c r="V200" s="147" t="s">
        <v>510</v>
      </c>
      <c r="W200" s="147" t="s">
        <v>518</v>
      </c>
      <c r="X200" s="147" t="s">
        <v>535</v>
      </c>
      <c r="Y200" s="147" t="s">
        <v>343</v>
      </c>
      <c r="Z200" s="147" t="s">
        <v>600</v>
      </c>
      <c r="AA200" s="147" t="s">
        <v>710</v>
      </c>
      <c r="AB200" s="147" t="s">
        <v>686</v>
      </c>
      <c r="AC200" s="147" t="s">
        <v>643</v>
      </c>
      <c r="AD200" s="147" t="s">
        <v>516</v>
      </c>
      <c r="AE200" s="147" t="s">
        <v>510</v>
      </c>
      <c r="AF200" s="147" t="s">
        <v>509</v>
      </c>
    </row>
    <row r="201" spans="1:32">
      <c r="A201" s="147" t="s">
        <v>846</v>
      </c>
      <c r="B201" s="147" t="s">
        <v>19</v>
      </c>
      <c r="C201" s="147" t="s">
        <v>503</v>
      </c>
      <c r="D201" s="147" t="s">
        <v>504</v>
      </c>
      <c r="E201" s="147" t="s">
        <v>343</v>
      </c>
      <c r="F201" s="147" t="s">
        <v>592</v>
      </c>
      <c r="G201" s="147" t="s">
        <v>247</v>
      </c>
      <c r="H201" s="147">
        <v>2</v>
      </c>
      <c r="I201" s="147" t="s">
        <v>343</v>
      </c>
      <c r="J201" s="148">
        <v>1662.5</v>
      </c>
      <c r="K201" s="147">
        <v>15</v>
      </c>
      <c r="L201" s="147" t="s">
        <v>507</v>
      </c>
      <c r="M201" s="147">
        <v>15</v>
      </c>
      <c r="N201" s="147" t="s">
        <v>508</v>
      </c>
      <c r="O201" s="148">
        <v>3325</v>
      </c>
      <c r="P201" s="148">
        <v>965</v>
      </c>
      <c r="Q201" s="147" t="s">
        <v>343</v>
      </c>
      <c r="R201" s="148">
        <v>3325</v>
      </c>
      <c r="S201" s="149">
        <v>18.472222222222221</v>
      </c>
      <c r="T201" s="147" t="s">
        <v>510</v>
      </c>
      <c r="U201" s="147" t="s">
        <v>343</v>
      </c>
      <c r="V201" s="147" t="s">
        <v>510</v>
      </c>
      <c r="W201" s="147" t="s">
        <v>847</v>
      </c>
      <c r="X201" s="147" t="s">
        <v>530</v>
      </c>
      <c r="Y201" s="147" t="s">
        <v>343</v>
      </c>
      <c r="Z201" s="147" t="s">
        <v>512</v>
      </c>
      <c r="AA201" s="147" t="s">
        <v>720</v>
      </c>
      <c r="AB201" s="147" t="s">
        <v>657</v>
      </c>
      <c r="AC201" s="147" t="s">
        <v>571</v>
      </c>
      <c r="AD201" s="147" t="s">
        <v>721</v>
      </c>
      <c r="AE201" s="147" t="s">
        <v>510</v>
      </c>
      <c r="AF201" s="147" t="s">
        <v>343</v>
      </c>
    </row>
    <row r="202" spans="1:32">
      <c r="A202" s="147" t="s">
        <v>848</v>
      </c>
      <c r="B202" s="147" t="s">
        <v>502</v>
      </c>
      <c r="C202" s="147" t="s">
        <v>503</v>
      </c>
      <c r="D202" s="147" t="s">
        <v>504</v>
      </c>
      <c r="E202" s="147" t="s">
        <v>621</v>
      </c>
      <c r="F202" s="147" t="s">
        <v>592</v>
      </c>
      <c r="G202" s="147" t="s">
        <v>243</v>
      </c>
      <c r="H202" s="147">
        <v>6</v>
      </c>
      <c r="I202" s="147" t="s">
        <v>343</v>
      </c>
      <c r="J202" s="148">
        <v>585.33333333333337</v>
      </c>
      <c r="K202" s="147">
        <v>10</v>
      </c>
      <c r="L202" s="147" t="s">
        <v>507</v>
      </c>
      <c r="M202" s="147">
        <v>10</v>
      </c>
      <c r="N202" s="147" t="s">
        <v>508</v>
      </c>
      <c r="O202" s="148">
        <v>3278</v>
      </c>
      <c r="P202" s="148">
        <v>606</v>
      </c>
      <c r="Q202" s="147" t="s">
        <v>343</v>
      </c>
      <c r="R202" s="148">
        <v>3278</v>
      </c>
      <c r="S202" s="149">
        <v>27.31666666666667</v>
      </c>
      <c r="T202" s="147" t="s">
        <v>510</v>
      </c>
      <c r="U202" s="147" t="s">
        <v>343</v>
      </c>
      <c r="V202" s="147" t="s">
        <v>510</v>
      </c>
      <c r="W202" s="147" t="s">
        <v>511</v>
      </c>
      <c r="X202" s="147" t="s">
        <v>535</v>
      </c>
      <c r="Y202" s="147" t="s">
        <v>343</v>
      </c>
      <c r="Z202" s="147" t="s">
        <v>512</v>
      </c>
      <c r="AA202" s="147" t="s">
        <v>526</v>
      </c>
      <c r="AB202" s="147" t="s">
        <v>527</v>
      </c>
      <c r="AC202" s="147" t="s">
        <v>515</v>
      </c>
      <c r="AD202" s="147" t="s">
        <v>528</v>
      </c>
      <c r="AE202" s="147" t="s">
        <v>509</v>
      </c>
      <c r="AF202" s="147" t="s">
        <v>343</v>
      </c>
    </row>
    <row r="203" spans="1:32">
      <c r="A203" s="147" t="s">
        <v>849</v>
      </c>
      <c r="B203" s="147" t="s">
        <v>567</v>
      </c>
      <c r="C203" s="147" t="s">
        <v>637</v>
      </c>
      <c r="D203" s="147" t="s">
        <v>850</v>
      </c>
      <c r="E203" s="147" t="s">
        <v>343</v>
      </c>
      <c r="F203" s="147" t="s">
        <v>343</v>
      </c>
      <c r="G203" s="147" t="s">
        <v>639</v>
      </c>
      <c r="H203" s="147">
        <v>63</v>
      </c>
      <c r="I203" s="147" t="s">
        <v>627</v>
      </c>
      <c r="J203" s="148">
        <v>285</v>
      </c>
      <c r="K203" s="147" t="s">
        <v>343</v>
      </c>
      <c r="L203" s="147" t="s">
        <v>640</v>
      </c>
      <c r="M203" s="147" t="s">
        <v>343</v>
      </c>
      <c r="N203" s="147" t="s">
        <v>343</v>
      </c>
      <c r="O203" s="148">
        <v>3260</v>
      </c>
      <c r="P203" s="148">
        <v>285</v>
      </c>
      <c r="Q203" s="148">
        <v>3045</v>
      </c>
      <c r="R203" s="148">
        <v>2010</v>
      </c>
      <c r="S203" s="147" t="s">
        <v>343</v>
      </c>
      <c r="T203" s="147" t="s">
        <v>510</v>
      </c>
      <c r="U203" s="147" t="s">
        <v>343</v>
      </c>
      <c r="V203" s="147" t="s">
        <v>510</v>
      </c>
      <c r="W203" s="147" t="s">
        <v>343</v>
      </c>
      <c r="X203" s="147" t="s">
        <v>343</v>
      </c>
      <c r="Y203" s="147" t="s">
        <v>343</v>
      </c>
      <c r="Z203" s="147" t="s">
        <v>600</v>
      </c>
      <c r="AA203" s="147" t="s">
        <v>641</v>
      </c>
      <c r="AB203" s="147" t="s">
        <v>642</v>
      </c>
      <c r="AC203" s="147" t="s">
        <v>643</v>
      </c>
      <c r="AD203" s="147" t="s">
        <v>528</v>
      </c>
      <c r="AE203" s="147" t="s">
        <v>510</v>
      </c>
      <c r="AF203" s="147" t="s">
        <v>510</v>
      </c>
    </row>
    <row r="204" spans="1:32">
      <c r="A204" s="147" t="s">
        <v>851</v>
      </c>
      <c r="B204" s="147" t="s">
        <v>502</v>
      </c>
      <c r="C204" s="147" t="s">
        <v>503</v>
      </c>
      <c r="D204" s="147" t="s">
        <v>504</v>
      </c>
      <c r="E204" s="147" t="s">
        <v>505</v>
      </c>
      <c r="F204" s="147" t="s">
        <v>506</v>
      </c>
      <c r="G204" s="147" t="s">
        <v>210</v>
      </c>
      <c r="H204" s="147">
        <v>9</v>
      </c>
      <c r="I204" s="147" t="s">
        <v>343</v>
      </c>
      <c r="J204" s="148">
        <v>400</v>
      </c>
      <c r="K204" s="147">
        <v>4</v>
      </c>
      <c r="L204" s="147" t="s">
        <v>560</v>
      </c>
      <c r="M204" s="147" t="s">
        <v>343</v>
      </c>
      <c r="N204" s="147" t="s">
        <v>343</v>
      </c>
      <c r="O204" s="148">
        <v>3240</v>
      </c>
      <c r="P204" s="148">
        <v>400</v>
      </c>
      <c r="Q204" s="148">
        <v>725</v>
      </c>
      <c r="R204" s="148">
        <v>2515</v>
      </c>
      <c r="S204" s="149">
        <v>67.5</v>
      </c>
      <c r="T204" s="147" t="s">
        <v>510</v>
      </c>
      <c r="U204" s="147" t="s">
        <v>343</v>
      </c>
      <c r="V204" s="147" t="s">
        <v>510</v>
      </c>
      <c r="W204" s="147" t="s">
        <v>511</v>
      </c>
      <c r="X204" s="147" t="s">
        <v>535</v>
      </c>
      <c r="Y204" s="147" t="s">
        <v>343</v>
      </c>
      <c r="Z204" s="147" t="s">
        <v>512</v>
      </c>
      <c r="AA204" s="147" t="s">
        <v>648</v>
      </c>
      <c r="AB204" s="147" t="s">
        <v>551</v>
      </c>
      <c r="AC204" s="147" t="s">
        <v>538</v>
      </c>
      <c r="AD204" s="147" t="s">
        <v>528</v>
      </c>
      <c r="AE204" s="147" t="s">
        <v>509</v>
      </c>
      <c r="AF204" s="147" t="s">
        <v>343</v>
      </c>
    </row>
    <row r="205" spans="1:32">
      <c r="A205" s="147" t="s">
        <v>852</v>
      </c>
      <c r="B205" s="147" t="s">
        <v>502</v>
      </c>
      <c r="C205" s="147" t="s">
        <v>503</v>
      </c>
      <c r="D205" s="147" t="s">
        <v>504</v>
      </c>
      <c r="E205" s="147" t="s">
        <v>612</v>
      </c>
      <c r="F205" s="147" t="s">
        <v>599</v>
      </c>
      <c r="G205" s="147" t="s">
        <v>209</v>
      </c>
      <c r="H205" s="147">
        <v>10</v>
      </c>
      <c r="I205" s="147" t="s">
        <v>343</v>
      </c>
      <c r="J205" s="148">
        <v>350</v>
      </c>
      <c r="K205" s="147">
        <v>10</v>
      </c>
      <c r="L205" s="147" t="s">
        <v>560</v>
      </c>
      <c r="M205" s="147" t="s">
        <v>343</v>
      </c>
      <c r="N205" s="147" t="s">
        <v>343</v>
      </c>
      <c r="O205" s="148">
        <v>3225</v>
      </c>
      <c r="P205" s="148">
        <v>350</v>
      </c>
      <c r="Q205" s="148">
        <v>595</v>
      </c>
      <c r="R205" s="148">
        <v>2630</v>
      </c>
      <c r="S205" s="149">
        <v>26.875</v>
      </c>
      <c r="T205" s="147" t="s">
        <v>510</v>
      </c>
      <c r="U205" s="147" t="s">
        <v>343</v>
      </c>
      <c r="V205" s="147" t="s">
        <v>510</v>
      </c>
      <c r="W205" s="147" t="s">
        <v>511</v>
      </c>
      <c r="X205" s="147" t="s">
        <v>519</v>
      </c>
      <c r="Y205" s="147" t="s">
        <v>343</v>
      </c>
      <c r="Z205" s="147" t="s">
        <v>512</v>
      </c>
      <c r="AA205" s="147" t="s">
        <v>561</v>
      </c>
      <c r="AB205" s="147" t="s">
        <v>562</v>
      </c>
      <c r="AC205" s="147" t="s">
        <v>515</v>
      </c>
      <c r="AD205" s="147" t="s">
        <v>563</v>
      </c>
      <c r="AE205" s="147" t="s">
        <v>509</v>
      </c>
      <c r="AF205" s="147" t="s">
        <v>343</v>
      </c>
    </row>
    <row r="206" spans="1:32">
      <c r="A206" s="147" t="s">
        <v>853</v>
      </c>
      <c r="B206" s="147" t="s">
        <v>502</v>
      </c>
      <c r="C206" s="147" t="s">
        <v>503</v>
      </c>
      <c r="D206" s="147" t="s">
        <v>504</v>
      </c>
      <c r="E206" s="147" t="s">
        <v>612</v>
      </c>
      <c r="F206" s="147" t="s">
        <v>599</v>
      </c>
      <c r="G206" s="147" t="s">
        <v>242</v>
      </c>
      <c r="H206" s="147">
        <v>7</v>
      </c>
      <c r="I206" s="147" t="s">
        <v>343</v>
      </c>
      <c r="J206" s="148">
        <v>420</v>
      </c>
      <c r="K206" s="147">
        <v>12</v>
      </c>
      <c r="L206" s="147" t="s">
        <v>560</v>
      </c>
      <c r="M206" s="147">
        <v>12</v>
      </c>
      <c r="N206" s="147" t="s">
        <v>584</v>
      </c>
      <c r="O206" s="148">
        <v>3220</v>
      </c>
      <c r="P206" s="148">
        <v>420</v>
      </c>
      <c r="Q206" s="147" t="s">
        <v>343</v>
      </c>
      <c r="R206" s="148">
        <v>3220</v>
      </c>
      <c r="S206" s="149">
        <v>22.361111111111111</v>
      </c>
      <c r="T206" s="147" t="s">
        <v>510</v>
      </c>
      <c r="U206" s="147" t="s">
        <v>343</v>
      </c>
      <c r="V206" s="147" t="s">
        <v>510</v>
      </c>
      <c r="W206" s="147" t="s">
        <v>511</v>
      </c>
      <c r="X206" s="147" t="s">
        <v>519</v>
      </c>
      <c r="Y206" s="147" t="s">
        <v>343</v>
      </c>
      <c r="Z206" s="147" t="s">
        <v>512</v>
      </c>
      <c r="AA206" s="147" t="s">
        <v>669</v>
      </c>
      <c r="AB206" s="147" t="s">
        <v>670</v>
      </c>
      <c r="AC206" s="147" t="s">
        <v>522</v>
      </c>
      <c r="AD206" s="147" t="s">
        <v>563</v>
      </c>
      <c r="AE206" s="147" t="s">
        <v>509</v>
      </c>
      <c r="AF206" s="147" t="s">
        <v>343</v>
      </c>
    </row>
    <row r="207" spans="1:32">
      <c r="A207" s="147" t="s">
        <v>854</v>
      </c>
      <c r="B207" s="147" t="s">
        <v>567</v>
      </c>
      <c r="C207" s="147" t="s">
        <v>503</v>
      </c>
      <c r="D207" s="147" t="s">
        <v>504</v>
      </c>
      <c r="E207" s="147" t="s">
        <v>621</v>
      </c>
      <c r="F207" s="147" t="s">
        <v>592</v>
      </c>
      <c r="G207" s="147" t="s">
        <v>211</v>
      </c>
      <c r="H207" s="147">
        <v>6</v>
      </c>
      <c r="I207" s="147" t="s">
        <v>247</v>
      </c>
      <c r="J207" s="148">
        <v>626.66666666666663</v>
      </c>
      <c r="K207" s="147">
        <v>9</v>
      </c>
      <c r="L207" s="147" t="s">
        <v>568</v>
      </c>
      <c r="M207" s="147" t="s">
        <v>343</v>
      </c>
      <c r="N207" s="147" t="s">
        <v>343</v>
      </c>
      <c r="O207" s="148">
        <v>3123</v>
      </c>
      <c r="P207" s="147" t="s">
        <v>343</v>
      </c>
      <c r="Q207" s="148">
        <v>973</v>
      </c>
      <c r="R207" s="148">
        <v>2150</v>
      </c>
      <c r="S207" s="149">
        <v>28.916666666666668</v>
      </c>
      <c r="T207" s="147" t="s">
        <v>510</v>
      </c>
      <c r="U207" s="147" t="s">
        <v>343</v>
      </c>
      <c r="V207" s="147" t="s">
        <v>510</v>
      </c>
      <c r="W207" s="147" t="s">
        <v>847</v>
      </c>
      <c r="X207" s="147" t="s">
        <v>343</v>
      </c>
      <c r="Y207" s="147" t="s">
        <v>343</v>
      </c>
      <c r="Z207" s="147" t="s">
        <v>512</v>
      </c>
      <c r="AA207" s="147" t="s">
        <v>558</v>
      </c>
      <c r="AB207" s="147" t="s">
        <v>541</v>
      </c>
      <c r="AC207" s="147" t="s">
        <v>571</v>
      </c>
      <c r="AD207" s="147" t="s">
        <v>523</v>
      </c>
      <c r="AE207" s="147" t="s">
        <v>510</v>
      </c>
      <c r="AF207" s="147" t="s">
        <v>509</v>
      </c>
    </row>
    <row r="208" spans="1:32">
      <c r="A208" s="147" t="s">
        <v>855</v>
      </c>
      <c r="B208" s="147" t="s">
        <v>567</v>
      </c>
      <c r="C208" s="147" t="s">
        <v>503</v>
      </c>
      <c r="D208" s="147" t="s">
        <v>504</v>
      </c>
      <c r="E208" s="147" t="s">
        <v>621</v>
      </c>
      <c r="F208" s="147" t="s">
        <v>592</v>
      </c>
      <c r="G208" s="147" t="s">
        <v>242</v>
      </c>
      <c r="H208" s="147">
        <v>4</v>
      </c>
      <c r="I208" s="147" t="s">
        <v>246</v>
      </c>
      <c r="J208" s="148">
        <v>563.33333333333337</v>
      </c>
      <c r="K208" s="147">
        <v>8</v>
      </c>
      <c r="L208" s="147" t="s">
        <v>568</v>
      </c>
      <c r="M208" s="147" t="s">
        <v>343</v>
      </c>
      <c r="N208" s="147" t="s">
        <v>343</v>
      </c>
      <c r="O208" s="148">
        <v>3035</v>
      </c>
      <c r="P208" s="147" t="s">
        <v>343</v>
      </c>
      <c r="Q208" s="147" t="s">
        <v>343</v>
      </c>
      <c r="R208" s="148">
        <v>3035</v>
      </c>
      <c r="S208" s="149">
        <v>31.614583333333332</v>
      </c>
      <c r="T208" s="147" t="s">
        <v>510</v>
      </c>
      <c r="U208" s="147" t="s">
        <v>343</v>
      </c>
      <c r="V208" s="147" t="s">
        <v>510</v>
      </c>
      <c r="W208" s="147" t="s">
        <v>343</v>
      </c>
      <c r="X208" s="147" t="s">
        <v>343</v>
      </c>
      <c r="Y208" s="147" t="s">
        <v>343</v>
      </c>
      <c r="Z208" s="147" t="s">
        <v>343</v>
      </c>
      <c r="AA208" s="147" t="s">
        <v>856</v>
      </c>
      <c r="AB208" s="147" t="s">
        <v>857</v>
      </c>
      <c r="AC208" s="147" t="s">
        <v>343</v>
      </c>
      <c r="AD208" s="147" t="s">
        <v>343</v>
      </c>
      <c r="AE208" s="147" t="s">
        <v>510</v>
      </c>
      <c r="AF208" s="147" t="s">
        <v>509</v>
      </c>
    </row>
    <row r="209" spans="1:32">
      <c r="A209" s="147" t="s">
        <v>858</v>
      </c>
      <c r="B209" s="147" t="s">
        <v>567</v>
      </c>
      <c r="C209" s="147" t="s">
        <v>662</v>
      </c>
      <c r="D209" s="147" t="s">
        <v>343</v>
      </c>
      <c r="E209" s="147" t="s">
        <v>343</v>
      </c>
      <c r="F209" s="147" t="s">
        <v>343</v>
      </c>
      <c r="G209" s="147" t="s">
        <v>202</v>
      </c>
      <c r="H209" s="147">
        <v>10</v>
      </c>
      <c r="I209" s="147" t="s">
        <v>242</v>
      </c>
      <c r="J209" s="148">
        <v>471.66666666666669</v>
      </c>
      <c r="K209" s="147" t="s">
        <v>343</v>
      </c>
      <c r="L209" s="147" t="s">
        <v>640</v>
      </c>
      <c r="M209" s="147" t="s">
        <v>343</v>
      </c>
      <c r="N209" s="147" t="s">
        <v>343</v>
      </c>
      <c r="O209" s="148">
        <v>2982.5</v>
      </c>
      <c r="P209" s="147" t="s">
        <v>343</v>
      </c>
      <c r="Q209" s="148">
        <v>4737.5</v>
      </c>
      <c r="R209" s="148">
        <v>90</v>
      </c>
      <c r="S209" s="147" t="s">
        <v>343</v>
      </c>
      <c r="T209" s="147" t="s">
        <v>343</v>
      </c>
      <c r="U209" s="147" t="s">
        <v>343</v>
      </c>
      <c r="V209" s="147" t="s">
        <v>343</v>
      </c>
      <c r="W209" s="147" t="s">
        <v>343</v>
      </c>
      <c r="X209" s="147" t="s">
        <v>343</v>
      </c>
      <c r="Y209" s="147" t="s">
        <v>343</v>
      </c>
      <c r="Z209" s="147" t="s">
        <v>343</v>
      </c>
      <c r="AA209" s="147" t="s">
        <v>343</v>
      </c>
      <c r="AB209" s="147" t="s">
        <v>343</v>
      </c>
      <c r="AC209" s="147" t="s">
        <v>343</v>
      </c>
      <c r="AD209" s="147" t="s">
        <v>343</v>
      </c>
      <c r="AE209" s="147" t="s">
        <v>343</v>
      </c>
      <c r="AF209" s="147" t="s">
        <v>509</v>
      </c>
    </row>
    <row r="210" spans="1:32">
      <c r="A210" s="147" t="s">
        <v>859</v>
      </c>
      <c r="B210" s="147" t="s">
        <v>567</v>
      </c>
      <c r="C210" s="147" t="s">
        <v>503</v>
      </c>
      <c r="D210" s="147" t="s">
        <v>504</v>
      </c>
      <c r="E210" s="147" t="s">
        <v>505</v>
      </c>
      <c r="F210" s="147" t="s">
        <v>506</v>
      </c>
      <c r="G210" s="147" t="s">
        <v>200</v>
      </c>
      <c r="H210" s="147">
        <v>17</v>
      </c>
      <c r="I210" s="147" t="s">
        <v>247</v>
      </c>
      <c r="J210" s="148">
        <v>446</v>
      </c>
      <c r="K210" s="147">
        <v>5</v>
      </c>
      <c r="L210" s="147" t="s">
        <v>568</v>
      </c>
      <c r="M210" s="147" t="s">
        <v>343</v>
      </c>
      <c r="N210" s="147" t="s">
        <v>343</v>
      </c>
      <c r="O210" s="148">
        <v>2926</v>
      </c>
      <c r="P210" s="147" t="s">
        <v>343</v>
      </c>
      <c r="Q210" s="147" t="s">
        <v>343</v>
      </c>
      <c r="R210" s="148">
        <v>2926</v>
      </c>
      <c r="S210" s="149">
        <v>48.766666666666666</v>
      </c>
      <c r="T210" s="147" t="s">
        <v>510</v>
      </c>
      <c r="U210" s="147" t="s">
        <v>343</v>
      </c>
      <c r="V210" s="147" t="s">
        <v>510</v>
      </c>
      <c r="W210" s="147" t="s">
        <v>847</v>
      </c>
      <c r="X210" s="147" t="s">
        <v>343</v>
      </c>
      <c r="Y210" s="147" t="s">
        <v>343</v>
      </c>
      <c r="Z210" s="147" t="s">
        <v>512</v>
      </c>
      <c r="AA210" s="147" t="s">
        <v>558</v>
      </c>
      <c r="AB210" s="147" t="s">
        <v>541</v>
      </c>
      <c r="AC210" s="147" t="s">
        <v>571</v>
      </c>
      <c r="AD210" s="147" t="s">
        <v>523</v>
      </c>
      <c r="AE210" s="147" t="s">
        <v>510</v>
      </c>
      <c r="AF210" s="147" t="s">
        <v>509</v>
      </c>
    </row>
    <row r="211" spans="1:32">
      <c r="A211" s="147" t="s">
        <v>860</v>
      </c>
      <c r="B211" s="147" t="s">
        <v>567</v>
      </c>
      <c r="C211" s="147" t="s">
        <v>503</v>
      </c>
      <c r="D211" s="147" t="s">
        <v>504</v>
      </c>
      <c r="E211" s="147" t="s">
        <v>343</v>
      </c>
      <c r="F211" s="147" t="s">
        <v>343</v>
      </c>
      <c r="G211" s="147" t="s">
        <v>126</v>
      </c>
      <c r="H211" s="147">
        <v>22</v>
      </c>
      <c r="I211" s="147" t="s">
        <v>244</v>
      </c>
      <c r="J211" s="148">
        <v>425</v>
      </c>
      <c r="K211" s="147">
        <v>4</v>
      </c>
      <c r="L211" s="147" t="s">
        <v>568</v>
      </c>
      <c r="M211" s="147" t="s">
        <v>343</v>
      </c>
      <c r="N211" s="147" t="s">
        <v>343</v>
      </c>
      <c r="O211" s="148">
        <v>2875</v>
      </c>
      <c r="P211" s="147" t="s">
        <v>343</v>
      </c>
      <c r="Q211" s="148">
        <v>5171</v>
      </c>
      <c r="R211" s="148">
        <v>875</v>
      </c>
      <c r="S211" s="149">
        <v>59.895833333333336</v>
      </c>
      <c r="T211" s="147" t="s">
        <v>510</v>
      </c>
      <c r="U211" s="147" t="s">
        <v>343</v>
      </c>
      <c r="V211" s="147" t="s">
        <v>510</v>
      </c>
      <c r="W211" s="147" t="s">
        <v>343</v>
      </c>
      <c r="X211" s="147" t="s">
        <v>343</v>
      </c>
      <c r="Y211" s="147" t="s">
        <v>343</v>
      </c>
      <c r="Z211" s="147" t="s">
        <v>343</v>
      </c>
      <c r="AA211" s="147" t="s">
        <v>710</v>
      </c>
      <c r="AB211" s="147" t="s">
        <v>686</v>
      </c>
      <c r="AC211" s="147" t="s">
        <v>343</v>
      </c>
      <c r="AD211" s="147" t="s">
        <v>343</v>
      </c>
      <c r="AE211" s="147" t="s">
        <v>510</v>
      </c>
      <c r="AF211" s="147" t="s">
        <v>509</v>
      </c>
    </row>
    <row r="212" spans="1:32">
      <c r="A212" s="147" t="s">
        <v>861</v>
      </c>
      <c r="B212" s="147" t="s">
        <v>502</v>
      </c>
      <c r="C212" s="147" t="s">
        <v>503</v>
      </c>
      <c r="D212" s="147" t="s">
        <v>504</v>
      </c>
      <c r="E212" s="147" t="s">
        <v>621</v>
      </c>
      <c r="F212" s="147" t="s">
        <v>592</v>
      </c>
      <c r="G212" s="147" t="s">
        <v>243</v>
      </c>
      <c r="H212" s="147">
        <v>6</v>
      </c>
      <c r="I212" s="147" t="s">
        <v>343</v>
      </c>
      <c r="J212" s="148">
        <v>420</v>
      </c>
      <c r="K212" s="147">
        <v>6</v>
      </c>
      <c r="L212" s="147" t="s">
        <v>560</v>
      </c>
      <c r="M212" s="147" t="s">
        <v>343</v>
      </c>
      <c r="N212" s="147" t="s">
        <v>343</v>
      </c>
      <c r="O212" s="148">
        <v>2794</v>
      </c>
      <c r="P212" s="148">
        <v>420</v>
      </c>
      <c r="Q212" s="147" t="s">
        <v>343</v>
      </c>
      <c r="R212" s="148">
        <v>2794</v>
      </c>
      <c r="S212" s="149">
        <v>38.805555555555557</v>
      </c>
      <c r="T212" s="147" t="s">
        <v>510</v>
      </c>
      <c r="U212" s="147" t="s">
        <v>343</v>
      </c>
      <c r="V212" s="147" t="s">
        <v>510</v>
      </c>
      <c r="W212" s="147" t="s">
        <v>511</v>
      </c>
      <c r="X212" s="147" t="s">
        <v>519</v>
      </c>
      <c r="Y212" s="147" t="s">
        <v>343</v>
      </c>
      <c r="Z212" s="147" t="s">
        <v>512</v>
      </c>
      <c r="AA212" s="147" t="s">
        <v>669</v>
      </c>
      <c r="AB212" s="147" t="s">
        <v>670</v>
      </c>
      <c r="AC212" s="147" t="s">
        <v>522</v>
      </c>
      <c r="AD212" s="147" t="s">
        <v>563</v>
      </c>
      <c r="AE212" s="147" t="s">
        <v>509</v>
      </c>
      <c r="AF212" s="147" t="s">
        <v>343</v>
      </c>
    </row>
    <row r="213" spans="1:32">
      <c r="A213" s="147" t="s">
        <v>862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343</v>
      </c>
      <c r="G213" s="147" t="s">
        <v>123</v>
      </c>
      <c r="H213" s="147">
        <v>23</v>
      </c>
      <c r="I213" s="147" t="s">
        <v>242</v>
      </c>
      <c r="J213" s="148">
        <v>558.33333333333337</v>
      </c>
      <c r="K213" s="147" t="s">
        <v>343</v>
      </c>
      <c r="L213" s="147" t="s">
        <v>640</v>
      </c>
      <c r="M213" s="147" t="s">
        <v>343</v>
      </c>
      <c r="N213" s="147" t="s">
        <v>343</v>
      </c>
      <c r="O213" s="148">
        <v>2775</v>
      </c>
      <c r="P213" s="147" t="s">
        <v>343</v>
      </c>
      <c r="Q213" s="148">
        <v>7455</v>
      </c>
      <c r="R213" s="147" t="s">
        <v>343</v>
      </c>
      <c r="S213" s="147" t="s">
        <v>343</v>
      </c>
      <c r="T213" s="147" t="s">
        <v>343</v>
      </c>
      <c r="U213" s="147" t="s">
        <v>343</v>
      </c>
      <c r="V213" s="147" t="s">
        <v>343</v>
      </c>
      <c r="W213" s="147" t="s">
        <v>343</v>
      </c>
      <c r="X213" s="147" t="s">
        <v>343</v>
      </c>
      <c r="Y213" s="147" t="s">
        <v>343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7" t="s">
        <v>343</v>
      </c>
      <c r="AE213" s="147" t="s">
        <v>343</v>
      </c>
      <c r="AF213" s="147" t="s">
        <v>510</v>
      </c>
    </row>
    <row r="214" spans="1:32">
      <c r="A214" s="147" t="s">
        <v>863</v>
      </c>
      <c r="B214" s="147" t="s">
        <v>502</v>
      </c>
      <c r="C214" s="147" t="s">
        <v>683</v>
      </c>
      <c r="D214" s="147" t="s">
        <v>684</v>
      </c>
      <c r="E214" s="147" t="s">
        <v>343</v>
      </c>
      <c r="F214" s="147" t="s">
        <v>343</v>
      </c>
      <c r="G214" s="147" t="s">
        <v>243</v>
      </c>
      <c r="H214" s="147">
        <v>6</v>
      </c>
      <c r="I214" s="147" t="s">
        <v>343</v>
      </c>
      <c r="J214" s="148">
        <v>418</v>
      </c>
      <c r="K214" s="147">
        <v>5</v>
      </c>
      <c r="L214" s="147" t="s">
        <v>507</v>
      </c>
      <c r="M214" s="147">
        <v>5</v>
      </c>
      <c r="N214" s="147" t="s">
        <v>508</v>
      </c>
      <c r="O214" s="148">
        <v>2621</v>
      </c>
      <c r="P214" s="148">
        <v>418</v>
      </c>
      <c r="Q214" s="147" t="s">
        <v>343</v>
      </c>
      <c r="R214" s="148">
        <v>2621</v>
      </c>
      <c r="S214" s="149">
        <v>43.68333333333333</v>
      </c>
      <c r="T214" s="147" t="s">
        <v>510</v>
      </c>
      <c r="U214" s="147" t="s">
        <v>343</v>
      </c>
      <c r="V214" s="147" t="s">
        <v>510</v>
      </c>
      <c r="W214" s="147" t="s">
        <v>518</v>
      </c>
      <c r="X214" s="147" t="s">
        <v>530</v>
      </c>
      <c r="Y214" s="147" t="s">
        <v>343</v>
      </c>
      <c r="Z214" s="147" t="s">
        <v>600</v>
      </c>
      <c r="AA214" s="147" t="s">
        <v>771</v>
      </c>
      <c r="AB214" s="147" t="s">
        <v>686</v>
      </c>
      <c r="AC214" s="147" t="s">
        <v>643</v>
      </c>
      <c r="AD214" s="147" t="s">
        <v>687</v>
      </c>
      <c r="AE214" s="147" t="s">
        <v>510</v>
      </c>
      <c r="AF214" s="147" t="s">
        <v>343</v>
      </c>
    </row>
    <row r="215" spans="1:32">
      <c r="A215" s="147" t="s">
        <v>864</v>
      </c>
      <c r="B215" s="147" t="s">
        <v>567</v>
      </c>
      <c r="C215" s="147" t="s">
        <v>662</v>
      </c>
      <c r="D215" s="147" t="s">
        <v>343</v>
      </c>
      <c r="E215" s="147" t="s">
        <v>343</v>
      </c>
      <c r="F215" s="147" t="s">
        <v>343</v>
      </c>
      <c r="G215" s="147" t="s">
        <v>202</v>
      </c>
      <c r="H215" s="147">
        <v>10</v>
      </c>
      <c r="I215" s="147" t="s">
        <v>242</v>
      </c>
      <c r="J215" s="148">
        <v>543.33333333333337</v>
      </c>
      <c r="K215" s="147" t="s">
        <v>343</v>
      </c>
      <c r="L215" s="147" t="s">
        <v>640</v>
      </c>
      <c r="M215" s="147" t="s">
        <v>343</v>
      </c>
      <c r="N215" s="147" t="s">
        <v>343</v>
      </c>
      <c r="O215" s="148">
        <v>2590</v>
      </c>
      <c r="P215" s="147" t="s">
        <v>343</v>
      </c>
      <c r="Q215" s="148">
        <v>5411.25</v>
      </c>
      <c r="R215" s="147" t="s">
        <v>343</v>
      </c>
      <c r="S215" s="147" t="s">
        <v>343</v>
      </c>
      <c r="T215" s="147" t="s">
        <v>343</v>
      </c>
      <c r="U215" s="147" t="s">
        <v>343</v>
      </c>
      <c r="V215" s="147" t="s">
        <v>343</v>
      </c>
      <c r="W215" s="147" t="s">
        <v>343</v>
      </c>
      <c r="X215" s="147" t="s">
        <v>343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7" t="s">
        <v>343</v>
      </c>
      <c r="AE215" s="147" t="s">
        <v>343</v>
      </c>
      <c r="AF215" s="147" t="s">
        <v>509</v>
      </c>
    </row>
    <row r="216" spans="1:32">
      <c r="A216" s="147" t="s">
        <v>865</v>
      </c>
      <c r="B216" s="147" t="s">
        <v>502</v>
      </c>
      <c r="C216" s="147" t="s">
        <v>503</v>
      </c>
      <c r="D216" s="147" t="s">
        <v>504</v>
      </c>
      <c r="E216" s="147" t="s">
        <v>505</v>
      </c>
      <c r="F216" s="147" t="s">
        <v>506</v>
      </c>
      <c r="G216" s="147" t="s">
        <v>245</v>
      </c>
      <c r="H216" s="147">
        <v>4</v>
      </c>
      <c r="I216" s="147" t="s">
        <v>343</v>
      </c>
      <c r="J216" s="148">
        <v>547.66666666666663</v>
      </c>
      <c r="K216" s="147">
        <v>8</v>
      </c>
      <c r="L216" s="147" t="s">
        <v>560</v>
      </c>
      <c r="M216" s="147">
        <v>6</v>
      </c>
      <c r="N216" s="147" t="s">
        <v>584</v>
      </c>
      <c r="O216" s="148">
        <v>2581</v>
      </c>
      <c r="P216" s="148">
        <v>632</v>
      </c>
      <c r="Q216" s="147" t="s">
        <v>343</v>
      </c>
      <c r="R216" s="148">
        <v>2581</v>
      </c>
      <c r="S216" s="149">
        <v>26.885416666666668</v>
      </c>
      <c r="T216" s="147" t="s">
        <v>510</v>
      </c>
      <c r="U216" s="147" t="s">
        <v>343</v>
      </c>
      <c r="V216" s="147" t="s">
        <v>509</v>
      </c>
      <c r="W216" s="147" t="s">
        <v>511</v>
      </c>
      <c r="X216" s="147" t="s">
        <v>530</v>
      </c>
      <c r="Y216" s="147" t="s">
        <v>347</v>
      </c>
      <c r="Z216" s="147" t="s">
        <v>512</v>
      </c>
      <c r="AA216" s="147" t="s">
        <v>617</v>
      </c>
      <c r="AB216" s="147" t="s">
        <v>618</v>
      </c>
      <c r="AC216" s="147" t="s">
        <v>538</v>
      </c>
      <c r="AD216" s="147" t="s">
        <v>516</v>
      </c>
      <c r="AE216" s="147" t="s">
        <v>509</v>
      </c>
      <c r="AF216" s="147" t="s">
        <v>343</v>
      </c>
    </row>
    <row r="217" spans="1:32">
      <c r="A217" s="147" t="s">
        <v>866</v>
      </c>
      <c r="B217" s="147" t="s">
        <v>19</v>
      </c>
      <c r="C217" s="147" t="s">
        <v>503</v>
      </c>
      <c r="D217" s="147" t="s">
        <v>504</v>
      </c>
      <c r="E217" s="147" t="s">
        <v>343</v>
      </c>
      <c r="F217" s="147" t="s">
        <v>599</v>
      </c>
      <c r="G217" s="147" t="s">
        <v>248</v>
      </c>
      <c r="H217" s="147">
        <v>1</v>
      </c>
      <c r="I217" s="147" t="s">
        <v>343</v>
      </c>
      <c r="J217" s="148">
        <v>2460</v>
      </c>
      <c r="K217" s="147">
        <v>41</v>
      </c>
      <c r="L217" s="147" t="s">
        <v>560</v>
      </c>
      <c r="M217" s="147" t="s">
        <v>343</v>
      </c>
      <c r="N217" s="147" t="s">
        <v>343</v>
      </c>
      <c r="O217" s="148">
        <v>2460</v>
      </c>
      <c r="P217" s="148">
        <v>2460</v>
      </c>
      <c r="Q217" s="147" t="s">
        <v>343</v>
      </c>
      <c r="R217" s="148">
        <v>2460</v>
      </c>
      <c r="S217" s="149">
        <v>5</v>
      </c>
      <c r="T217" s="147" t="s">
        <v>510</v>
      </c>
      <c r="U217" s="147" t="s">
        <v>343</v>
      </c>
      <c r="V217" s="147" t="s">
        <v>510</v>
      </c>
      <c r="W217" s="147" t="s">
        <v>511</v>
      </c>
      <c r="X217" s="147" t="s">
        <v>519</v>
      </c>
      <c r="Y217" s="147" t="s">
        <v>343</v>
      </c>
      <c r="Z217" s="147" t="s">
        <v>512</v>
      </c>
      <c r="AA217" s="147" t="s">
        <v>867</v>
      </c>
      <c r="AB217" s="147" t="s">
        <v>657</v>
      </c>
      <c r="AC217" s="147" t="s">
        <v>571</v>
      </c>
      <c r="AD217" s="147" t="s">
        <v>658</v>
      </c>
      <c r="AE217" s="147" t="s">
        <v>509</v>
      </c>
      <c r="AF217" s="147" t="s">
        <v>343</v>
      </c>
    </row>
    <row r="218" spans="1:32">
      <c r="A218" s="147" t="s">
        <v>868</v>
      </c>
      <c r="B218" s="147" t="s">
        <v>567</v>
      </c>
      <c r="C218" s="147" t="s">
        <v>503</v>
      </c>
      <c r="D218" s="147" t="s">
        <v>504</v>
      </c>
      <c r="E218" s="147" t="s">
        <v>505</v>
      </c>
      <c r="F218" s="147" t="s">
        <v>506</v>
      </c>
      <c r="G218" s="147" t="s">
        <v>244</v>
      </c>
      <c r="H218" s="147">
        <v>3</v>
      </c>
      <c r="I218" s="147" t="s">
        <v>247</v>
      </c>
      <c r="J218" s="148">
        <v>786.66666666666663</v>
      </c>
      <c r="K218" s="147">
        <v>8</v>
      </c>
      <c r="L218" s="147" t="s">
        <v>568</v>
      </c>
      <c r="M218" s="147" t="s">
        <v>343</v>
      </c>
      <c r="N218" s="147" t="s">
        <v>343</v>
      </c>
      <c r="O218" s="148">
        <v>2360</v>
      </c>
      <c r="P218" s="147" t="s">
        <v>343</v>
      </c>
      <c r="Q218" s="147" t="s">
        <v>343</v>
      </c>
      <c r="R218" s="148">
        <v>2360</v>
      </c>
      <c r="S218" s="149">
        <v>24.583333333333332</v>
      </c>
      <c r="T218" s="147" t="s">
        <v>510</v>
      </c>
      <c r="U218" s="147" t="s">
        <v>343</v>
      </c>
      <c r="V218" s="147" t="s">
        <v>510</v>
      </c>
      <c r="W218" s="147" t="s">
        <v>519</v>
      </c>
      <c r="X218" s="147" t="s">
        <v>343</v>
      </c>
      <c r="Y218" s="147" t="s">
        <v>343</v>
      </c>
      <c r="Z218" s="147" t="s">
        <v>512</v>
      </c>
      <c r="AA218" s="147" t="s">
        <v>573</v>
      </c>
      <c r="AB218" s="147" t="s">
        <v>562</v>
      </c>
      <c r="AC218" s="147" t="s">
        <v>515</v>
      </c>
      <c r="AD218" s="147" t="s">
        <v>563</v>
      </c>
      <c r="AE218" s="147" t="s">
        <v>510</v>
      </c>
      <c r="AF218" s="147" t="s">
        <v>510</v>
      </c>
    </row>
    <row r="219" spans="1:32">
      <c r="A219" s="147" t="s">
        <v>869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343</v>
      </c>
      <c r="G219" s="147" t="s">
        <v>575</v>
      </c>
      <c r="H219" s="147">
        <v>23</v>
      </c>
      <c r="I219" s="147" t="s">
        <v>209</v>
      </c>
      <c r="J219" s="148">
        <v>1200</v>
      </c>
      <c r="K219" s="147" t="s">
        <v>343</v>
      </c>
      <c r="L219" s="147" t="s">
        <v>640</v>
      </c>
      <c r="M219" s="147" t="s">
        <v>343</v>
      </c>
      <c r="N219" s="147" t="s">
        <v>343</v>
      </c>
      <c r="O219" s="148">
        <v>2330</v>
      </c>
      <c r="P219" s="147" t="s">
        <v>343</v>
      </c>
      <c r="Q219" s="148">
        <v>10615</v>
      </c>
      <c r="R219" s="147" t="s">
        <v>343</v>
      </c>
      <c r="S219" s="147" t="s">
        <v>343</v>
      </c>
      <c r="T219" s="147" t="s">
        <v>343</v>
      </c>
      <c r="U219" s="147" t="s">
        <v>343</v>
      </c>
      <c r="V219" s="147" t="s">
        <v>343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7" t="s">
        <v>343</v>
      </c>
      <c r="AE219" s="147" t="s">
        <v>343</v>
      </c>
      <c r="AF219" s="147" t="s">
        <v>509</v>
      </c>
    </row>
    <row r="220" spans="1:32">
      <c r="A220" s="147" t="s">
        <v>870</v>
      </c>
      <c r="B220" s="147" t="s">
        <v>567</v>
      </c>
      <c r="C220" s="147" t="s">
        <v>637</v>
      </c>
      <c r="D220" s="147" t="s">
        <v>343</v>
      </c>
      <c r="E220" s="147" t="s">
        <v>343</v>
      </c>
      <c r="F220" s="147" t="s">
        <v>343</v>
      </c>
      <c r="G220" s="147" t="s">
        <v>639</v>
      </c>
      <c r="H220" s="147">
        <v>59</v>
      </c>
      <c r="I220" s="147" t="s">
        <v>245</v>
      </c>
      <c r="J220" s="148">
        <v>300</v>
      </c>
      <c r="K220" s="147" t="s">
        <v>343</v>
      </c>
      <c r="L220" s="147" t="s">
        <v>640</v>
      </c>
      <c r="M220" s="147" t="s">
        <v>343</v>
      </c>
      <c r="N220" s="147" t="s">
        <v>343</v>
      </c>
      <c r="O220" s="148">
        <v>2225</v>
      </c>
      <c r="P220" s="147" t="s">
        <v>343</v>
      </c>
      <c r="Q220" s="148">
        <v>3210</v>
      </c>
      <c r="R220" s="148">
        <v>900</v>
      </c>
      <c r="S220" s="147" t="s">
        <v>343</v>
      </c>
      <c r="T220" s="147" t="s">
        <v>510</v>
      </c>
      <c r="U220" s="147" t="s">
        <v>343</v>
      </c>
      <c r="V220" s="147" t="s">
        <v>510</v>
      </c>
      <c r="W220" s="147" t="s">
        <v>343</v>
      </c>
      <c r="X220" s="147" t="s">
        <v>343</v>
      </c>
      <c r="Y220" s="147" t="s">
        <v>343</v>
      </c>
      <c r="Z220" s="147" t="s">
        <v>343</v>
      </c>
      <c r="AA220" s="147" t="s">
        <v>674</v>
      </c>
      <c r="AB220" s="147" t="s">
        <v>642</v>
      </c>
      <c r="AC220" s="147" t="s">
        <v>343</v>
      </c>
      <c r="AD220" s="147" t="s">
        <v>343</v>
      </c>
      <c r="AE220" s="147" t="s">
        <v>510</v>
      </c>
      <c r="AF220" s="147" t="s">
        <v>509</v>
      </c>
    </row>
    <row r="221" spans="1:32">
      <c r="A221" s="147" t="s">
        <v>871</v>
      </c>
      <c r="B221" s="147" t="s">
        <v>567</v>
      </c>
      <c r="C221" s="147" t="s">
        <v>662</v>
      </c>
      <c r="D221" s="147" t="s">
        <v>343</v>
      </c>
      <c r="E221" s="147" t="s">
        <v>343</v>
      </c>
      <c r="F221" s="147" t="s">
        <v>343</v>
      </c>
      <c r="G221" s="147" t="s">
        <v>201</v>
      </c>
      <c r="H221" s="147">
        <v>12</v>
      </c>
      <c r="I221" s="147" t="s">
        <v>243</v>
      </c>
      <c r="J221" s="148">
        <v>375</v>
      </c>
      <c r="K221" s="147" t="s">
        <v>343</v>
      </c>
      <c r="L221" s="147" t="s">
        <v>640</v>
      </c>
      <c r="M221" s="147" t="s">
        <v>343</v>
      </c>
      <c r="N221" s="147" t="s">
        <v>343</v>
      </c>
      <c r="O221" s="148">
        <v>2205</v>
      </c>
      <c r="P221" s="147" t="s">
        <v>343</v>
      </c>
      <c r="Q221" s="148">
        <v>3260</v>
      </c>
      <c r="R221" s="148">
        <v>375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7" t="s">
        <v>343</v>
      </c>
      <c r="AD221" s="147" t="s">
        <v>343</v>
      </c>
      <c r="AE221" s="147" t="s">
        <v>343</v>
      </c>
      <c r="AF221" s="147" t="s">
        <v>510</v>
      </c>
    </row>
    <row r="222" spans="1:32">
      <c r="A222" s="147" t="s">
        <v>872</v>
      </c>
      <c r="B222" s="147" t="s">
        <v>19</v>
      </c>
      <c r="C222" s="147" t="s">
        <v>503</v>
      </c>
      <c r="D222" s="147" t="s">
        <v>504</v>
      </c>
      <c r="E222" s="147" t="s">
        <v>343</v>
      </c>
      <c r="F222" s="147" t="s">
        <v>506</v>
      </c>
      <c r="G222" s="147" t="s">
        <v>248</v>
      </c>
      <c r="H222" s="147">
        <v>1</v>
      </c>
      <c r="I222" s="147" t="s">
        <v>343</v>
      </c>
      <c r="J222" s="148">
        <v>2198</v>
      </c>
      <c r="K222" s="147">
        <v>29</v>
      </c>
      <c r="L222" s="147" t="s">
        <v>560</v>
      </c>
      <c r="M222" s="147" t="s">
        <v>343</v>
      </c>
      <c r="N222" s="147" t="s">
        <v>343</v>
      </c>
      <c r="O222" s="148">
        <v>2198</v>
      </c>
      <c r="P222" s="148">
        <v>2198</v>
      </c>
      <c r="Q222" s="147" t="s">
        <v>343</v>
      </c>
      <c r="R222" s="148">
        <v>2198</v>
      </c>
      <c r="S222" s="149">
        <v>6.3160919540229878</v>
      </c>
      <c r="T222" s="147" t="s">
        <v>509</v>
      </c>
      <c r="U222" s="147" t="s">
        <v>343</v>
      </c>
      <c r="V222" s="147" t="s">
        <v>510</v>
      </c>
      <c r="W222" s="147" t="s">
        <v>511</v>
      </c>
      <c r="X222" s="147" t="s">
        <v>519</v>
      </c>
      <c r="Y222" s="147" t="s">
        <v>343</v>
      </c>
      <c r="Z222" s="147" t="s">
        <v>512</v>
      </c>
      <c r="AA222" s="147" t="s">
        <v>656</v>
      </c>
      <c r="AB222" s="147" t="s">
        <v>657</v>
      </c>
      <c r="AC222" s="147" t="s">
        <v>571</v>
      </c>
      <c r="AD222" s="147" t="s">
        <v>658</v>
      </c>
      <c r="AE222" s="147" t="s">
        <v>509</v>
      </c>
      <c r="AF222" s="147" t="s">
        <v>343</v>
      </c>
    </row>
    <row r="223" spans="1:32">
      <c r="A223" s="147" t="s">
        <v>873</v>
      </c>
      <c r="B223" s="147" t="s">
        <v>567</v>
      </c>
      <c r="C223" s="147" t="s">
        <v>503</v>
      </c>
      <c r="D223" s="147" t="s">
        <v>504</v>
      </c>
      <c r="E223" s="147" t="s">
        <v>343</v>
      </c>
      <c r="F223" s="147" t="s">
        <v>592</v>
      </c>
      <c r="G223" s="147" t="s">
        <v>246</v>
      </c>
      <c r="H223" s="147">
        <v>3</v>
      </c>
      <c r="I223" s="147" t="s">
        <v>343</v>
      </c>
      <c r="J223" s="148">
        <v>1097</v>
      </c>
      <c r="K223" s="147">
        <v>20</v>
      </c>
      <c r="L223" s="147" t="s">
        <v>507</v>
      </c>
      <c r="M223" s="147">
        <v>20</v>
      </c>
      <c r="N223" s="147" t="s">
        <v>508</v>
      </c>
      <c r="O223" s="148">
        <v>2194</v>
      </c>
      <c r="P223" s="148">
        <v>1097</v>
      </c>
      <c r="Q223" s="147" t="s">
        <v>343</v>
      </c>
      <c r="R223" s="148">
        <v>2194</v>
      </c>
      <c r="S223" s="149">
        <v>9.1416666666666675</v>
      </c>
      <c r="T223" s="147" t="s">
        <v>510</v>
      </c>
      <c r="U223" s="147" t="s">
        <v>343</v>
      </c>
      <c r="V223" s="147" t="s">
        <v>510</v>
      </c>
      <c r="W223" s="147" t="s">
        <v>847</v>
      </c>
      <c r="X223" s="147" t="s">
        <v>519</v>
      </c>
      <c r="Y223" s="147" t="s">
        <v>343</v>
      </c>
      <c r="Z223" s="147" t="s">
        <v>512</v>
      </c>
      <c r="AA223" s="147" t="s">
        <v>720</v>
      </c>
      <c r="AB223" s="147" t="s">
        <v>657</v>
      </c>
      <c r="AC223" s="147" t="s">
        <v>571</v>
      </c>
      <c r="AD223" s="147" t="s">
        <v>721</v>
      </c>
      <c r="AE223" s="147" t="s">
        <v>510</v>
      </c>
      <c r="AF223" s="147" t="s">
        <v>343</v>
      </c>
    </row>
    <row r="224" spans="1:32">
      <c r="A224" s="147" t="s">
        <v>874</v>
      </c>
      <c r="B224" s="147" t="s">
        <v>567</v>
      </c>
      <c r="C224" s="147" t="s">
        <v>662</v>
      </c>
      <c r="D224" s="147" t="s">
        <v>343</v>
      </c>
      <c r="E224" s="147" t="s">
        <v>343</v>
      </c>
      <c r="F224" s="147" t="s">
        <v>343</v>
      </c>
      <c r="G224" s="147" t="s">
        <v>204</v>
      </c>
      <c r="H224" s="147">
        <v>7</v>
      </c>
      <c r="I224" s="147" t="s">
        <v>211</v>
      </c>
      <c r="J224" s="148">
        <v>386.66666666666669</v>
      </c>
      <c r="K224" s="147" t="s">
        <v>343</v>
      </c>
      <c r="L224" s="147" t="s">
        <v>640</v>
      </c>
      <c r="M224" s="147" t="s">
        <v>343</v>
      </c>
      <c r="N224" s="147" t="s">
        <v>343</v>
      </c>
      <c r="O224" s="148">
        <v>2185</v>
      </c>
      <c r="P224" s="147" t="s">
        <v>343</v>
      </c>
      <c r="Q224" s="148">
        <v>3508.75</v>
      </c>
      <c r="R224" s="148">
        <v>60</v>
      </c>
      <c r="S224" s="147" t="s">
        <v>343</v>
      </c>
      <c r="T224" s="147" t="s">
        <v>343</v>
      </c>
      <c r="U224" s="147" t="s">
        <v>343</v>
      </c>
      <c r="V224" s="147" t="s">
        <v>343</v>
      </c>
      <c r="W224" s="147" t="s">
        <v>343</v>
      </c>
      <c r="X224" s="147" t="s">
        <v>343</v>
      </c>
      <c r="Y224" s="147" t="s">
        <v>343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7" t="s">
        <v>343</v>
      </c>
      <c r="AE224" s="147" t="s">
        <v>343</v>
      </c>
      <c r="AF224" s="147" t="s">
        <v>509</v>
      </c>
    </row>
    <row r="225" spans="1:32">
      <c r="A225" s="147" t="s">
        <v>875</v>
      </c>
      <c r="B225" s="147" t="s">
        <v>502</v>
      </c>
      <c r="C225" s="147" t="s">
        <v>683</v>
      </c>
      <c r="D225" s="147" t="s">
        <v>684</v>
      </c>
      <c r="E225" s="147" t="s">
        <v>343</v>
      </c>
      <c r="F225" s="147" t="s">
        <v>343</v>
      </c>
      <c r="G225" s="147" t="s">
        <v>242</v>
      </c>
      <c r="H225" s="147">
        <v>7</v>
      </c>
      <c r="I225" s="147" t="s">
        <v>343</v>
      </c>
      <c r="J225" s="148">
        <v>300</v>
      </c>
      <c r="K225" s="147">
        <v>5</v>
      </c>
      <c r="L225" s="147" t="s">
        <v>507</v>
      </c>
      <c r="M225" s="147">
        <v>5</v>
      </c>
      <c r="N225" s="147" t="s">
        <v>508</v>
      </c>
      <c r="O225" s="148">
        <v>2165</v>
      </c>
      <c r="P225" s="148">
        <v>300</v>
      </c>
      <c r="Q225" s="147" t="s">
        <v>343</v>
      </c>
      <c r="R225" s="148">
        <v>2165</v>
      </c>
      <c r="S225" s="149">
        <v>36.083333333333329</v>
      </c>
      <c r="T225" s="147" t="s">
        <v>509</v>
      </c>
      <c r="U225" s="147" t="s">
        <v>343</v>
      </c>
      <c r="V225" s="147" t="s">
        <v>510</v>
      </c>
      <c r="W225" s="147" t="s">
        <v>518</v>
      </c>
      <c r="X225" s="147" t="s">
        <v>343</v>
      </c>
      <c r="Y225" s="147" t="s">
        <v>359</v>
      </c>
      <c r="Z225" s="147" t="s">
        <v>600</v>
      </c>
      <c r="AA225" s="147" t="s">
        <v>771</v>
      </c>
      <c r="AB225" s="147" t="s">
        <v>686</v>
      </c>
      <c r="AC225" s="147" t="s">
        <v>643</v>
      </c>
      <c r="AD225" s="147" t="s">
        <v>687</v>
      </c>
      <c r="AE225" s="147" t="s">
        <v>510</v>
      </c>
      <c r="AF225" s="147" t="s">
        <v>343</v>
      </c>
    </row>
    <row r="226" spans="1:32">
      <c r="A226" s="147" t="s">
        <v>876</v>
      </c>
      <c r="B226" s="147" t="s">
        <v>567</v>
      </c>
      <c r="C226" s="147" t="s">
        <v>877</v>
      </c>
      <c r="D226" s="147" t="s">
        <v>343</v>
      </c>
      <c r="E226" s="147" t="s">
        <v>343</v>
      </c>
      <c r="F226" s="147" t="s">
        <v>343</v>
      </c>
      <c r="G226" s="147" t="s">
        <v>878</v>
      </c>
      <c r="H226" s="147">
        <v>54</v>
      </c>
      <c r="I226" s="147" t="s">
        <v>244</v>
      </c>
      <c r="J226" s="148">
        <v>305</v>
      </c>
      <c r="K226" s="147" t="s">
        <v>343</v>
      </c>
      <c r="L226" s="147" t="s">
        <v>640</v>
      </c>
      <c r="M226" s="147" t="s">
        <v>343</v>
      </c>
      <c r="N226" s="147" t="s">
        <v>343</v>
      </c>
      <c r="O226" s="148">
        <v>2125</v>
      </c>
      <c r="P226" s="147" t="s">
        <v>343</v>
      </c>
      <c r="Q226" s="148">
        <v>3595</v>
      </c>
      <c r="R226" s="148">
        <v>610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7" t="s">
        <v>343</v>
      </c>
      <c r="AD226" s="147" t="s">
        <v>343</v>
      </c>
      <c r="AE226" s="147" t="s">
        <v>343</v>
      </c>
      <c r="AF226" s="147" t="s">
        <v>509</v>
      </c>
    </row>
    <row r="227" spans="1:32">
      <c r="A227" s="147" t="s">
        <v>879</v>
      </c>
      <c r="B227" s="147" t="s">
        <v>567</v>
      </c>
      <c r="C227" s="147" t="s">
        <v>877</v>
      </c>
      <c r="D227" s="147" t="s">
        <v>343</v>
      </c>
      <c r="E227" s="147" t="s">
        <v>343</v>
      </c>
      <c r="F227" s="147" t="s">
        <v>343</v>
      </c>
      <c r="G227" s="147" t="s">
        <v>737</v>
      </c>
      <c r="H227" s="147">
        <v>46</v>
      </c>
      <c r="I227" s="147" t="s">
        <v>243</v>
      </c>
      <c r="J227" s="148">
        <v>350</v>
      </c>
      <c r="K227" s="147" t="s">
        <v>343</v>
      </c>
      <c r="L227" s="147" t="s">
        <v>640</v>
      </c>
      <c r="M227" s="147" t="s">
        <v>343</v>
      </c>
      <c r="N227" s="147" t="s">
        <v>343</v>
      </c>
      <c r="O227" s="148">
        <v>2100</v>
      </c>
      <c r="P227" s="147" t="s">
        <v>343</v>
      </c>
      <c r="Q227" s="148">
        <v>4155</v>
      </c>
      <c r="R227" s="148">
        <v>350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7" t="s">
        <v>343</v>
      </c>
      <c r="AB227" s="147" t="s">
        <v>343</v>
      </c>
      <c r="AC227" s="147" t="s">
        <v>343</v>
      </c>
      <c r="AD227" s="147" t="s">
        <v>343</v>
      </c>
      <c r="AE227" s="147" t="s">
        <v>343</v>
      </c>
      <c r="AF227" s="147" t="s">
        <v>509</v>
      </c>
    </row>
    <row r="228" spans="1:32">
      <c r="A228" s="147" t="s">
        <v>880</v>
      </c>
      <c r="B228" s="147" t="s">
        <v>567</v>
      </c>
      <c r="C228" s="147" t="s">
        <v>503</v>
      </c>
      <c r="D228" s="147" t="s">
        <v>504</v>
      </c>
      <c r="E228" s="147" t="s">
        <v>505</v>
      </c>
      <c r="F228" s="147" t="s">
        <v>506</v>
      </c>
      <c r="G228" s="147" t="s">
        <v>204</v>
      </c>
      <c r="H228" s="147">
        <v>8</v>
      </c>
      <c r="I228" s="147" t="s">
        <v>242</v>
      </c>
      <c r="J228" s="148">
        <v>300</v>
      </c>
      <c r="K228" s="147">
        <v>4</v>
      </c>
      <c r="L228" s="147" t="s">
        <v>568</v>
      </c>
      <c r="M228" s="147" t="s">
        <v>343</v>
      </c>
      <c r="N228" s="147" t="s">
        <v>343</v>
      </c>
      <c r="O228" s="148">
        <v>2100</v>
      </c>
      <c r="P228" s="147" t="s">
        <v>343</v>
      </c>
      <c r="Q228" s="148">
        <v>3620</v>
      </c>
      <c r="R228" s="148">
        <v>-200</v>
      </c>
      <c r="S228" s="149">
        <v>43.75</v>
      </c>
      <c r="T228" s="147" t="s">
        <v>510</v>
      </c>
      <c r="U228" s="147" t="s">
        <v>343</v>
      </c>
      <c r="V228" s="147" t="s">
        <v>510</v>
      </c>
      <c r="W228" s="147" t="s">
        <v>343</v>
      </c>
      <c r="X228" s="147" t="s">
        <v>343</v>
      </c>
      <c r="Y228" s="147" t="s">
        <v>343</v>
      </c>
      <c r="Z228" s="147" t="s">
        <v>343</v>
      </c>
      <c r="AA228" s="147" t="s">
        <v>881</v>
      </c>
      <c r="AB228" s="147" t="s">
        <v>882</v>
      </c>
      <c r="AC228" s="147" t="s">
        <v>343</v>
      </c>
      <c r="AD228" s="147" t="s">
        <v>343</v>
      </c>
      <c r="AE228" s="147" t="s">
        <v>510</v>
      </c>
      <c r="AF228" s="147" t="s">
        <v>510</v>
      </c>
    </row>
    <row r="229" spans="1:32">
      <c r="A229" s="147" t="s">
        <v>883</v>
      </c>
      <c r="B229" s="147" t="s">
        <v>567</v>
      </c>
      <c r="C229" s="147" t="s">
        <v>662</v>
      </c>
      <c r="D229" s="147" t="s">
        <v>343</v>
      </c>
      <c r="E229" s="147" t="s">
        <v>343</v>
      </c>
      <c r="F229" s="147" t="s">
        <v>343</v>
      </c>
      <c r="G229" s="147" t="s">
        <v>204</v>
      </c>
      <c r="H229" s="147">
        <v>7</v>
      </c>
      <c r="I229" s="147" t="s">
        <v>211</v>
      </c>
      <c r="J229" s="148">
        <v>580</v>
      </c>
      <c r="K229" s="147" t="s">
        <v>343</v>
      </c>
      <c r="L229" s="147" t="s">
        <v>640</v>
      </c>
      <c r="M229" s="147" t="s">
        <v>343</v>
      </c>
      <c r="N229" s="147" t="s">
        <v>343</v>
      </c>
      <c r="O229" s="148">
        <v>2065</v>
      </c>
      <c r="P229" s="147" t="s">
        <v>343</v>
      </c>
      <c r="Q229" s="148">
        <v>7271.25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7" t="s">
        <v>343</v>
      </c>
      <c r="X229" s="147" t="s">
        <v>343</v>
      </c>
      <c r="Y229" s="147" t="s">
        <v>343</v>
      </c>
      <c r="Z229" s="147" t="s">
        <v>343</v>
      </c>
      <c r="AA229" s="147" t="s">
        <v>343</v>
      </c>
      <c r="AB229" s="147" t="s">
        <v>343</v>
      </c>
      <c r="AC229" s="147" t="s">
        <v>343</v>
      </c>
      <c r="AD229" s="147" t="s">
        <v>343</v>
      </c>
      <c r="AE229" s="147" t="s">
        <v>343</v>
      </c>
      <c r="AF229" s="147" t="s">
        <v>510</v>
      </c>
    </row>
    <row r="230" spans="1:32">
      <c r="A230" s="147" t="s">
        <v>884</v>
      </c>
      <c r="B230" s="147" t="s">
        <v>502</v>
      </c>
      <c r="C230" s="147" t="s">
        <v>503</v>
      </c>
      <c r="D230" s="147" t="s">
        <v>504</v>
      </c>
      <c r="E230" s="147" t="s">
        <v>505</v>
      </c>
      <c r="F230" s="147" t="s">
        <v>506</v>
      </c>
      <c r="G230" s="147" t="s">
        <v>246</v>
      </c>
      <c r="H230" s="147">
        <v>3</v>
      </c>
      <c r="I230" s="147" t="s">
        <v>343</v>
      </c>
      <c r="J230" s="148">
        <v>680.66666666666663</v>
      </c>
      <c r="K230" s="147">
        <v>3</v>
      </c>
      <c r="L230" s="147" t="s">
        <v>507</v>
      </c>
      <c r="M230" s="147">
        <v>3</v>
      </c>
      <c r="N230" s="147" t="s">
        <v>508</v>
      </c>
      <c r="O230" s="148">
        <v>2042</v>
      </c>
      <c r="P230" s="148">
        <v>378</v>
      </c>
      <c r="Q230" s="147" t="s">
        <v>343</v>
      </c>
      <c r="R230" s="148">
        <v>2042</v>
      </c>
      <c r="S230" s="149">
        <v>56.722222222222221</v>
      </c>
      <c r="T230" s="147" t="s">
        <v>509</v>
      </c>
      <c r="U230" s="147" t="s">
        <v>343</v>
      </c>
      <c r="V230" s="147" t="s">
        <v>510</v>
      </c>
      <c r="W230" s="147" t="s">
        <v>511</v>
      </c>
      <c r="X230" s="147" t="s">
        <v>535</v>
      </c>
      <c r="Y230" s="147" t="s">
        <v>343</v>
      </c>
      <c r="Z230" s="147" t="s">
        <v>512</v>
      </c>
      <c r="AA230" s="147" t="s">
        <v>605</v>
      </c>
      <c r="AB230" s="147" t="s">
        <v>532</v>
      </c>
      <c r="AC230" s="147" t="s">
        <v>522</v>
      </c>
      <c r="AD230" s="147" t="s">
        <v>516</v>
      </c>
      <c r="AE230" s="147" t="s">
        <v>509</v>
      </c>
      <c r="AF230" s="147" t="s">
        <v>343</v>
      </c>
    </row>
    <row r="231" spans="1:32">
      <c r="A231" s="147" t="s">
        <v>885</v>
      </c>
      <c r="B231" s="147" t="s">
        <v>567</v>
      </c>
      <c r="C231" s="147" t="s">
        <v>683</v>
      </c>
      <c r="D231" s="147" t="s">
        <v>684</v>
      </c>
      <c r="E231" s="147" t="s">
        <v>343</v>
      </c>
      <c r="F231" s="147" t="s">
        <v>343</v>
      </c>
      <c r="G231" s="147" t="s">
        <v>127</v>
      </c>
      <c r="H231" s="147">
        <v>24</v>
      </c>
      <c r="I231" s="147" t="s">
        <v>247</v>
      </c>
      <c r="J231" s="148">
        <v>200</v>
      </c>
      <c r="K231" s="147" t="s">
        <v>343</v>
      </c>
      <c r="L231" s="147" t="s">
        <v>640</v>
      </c>
      <c r="M231" s="147" t="s">
        <v>343</v>
      </c>
      <c r="N231" s="147" t="s">
        <v>343</v>
      </c>
      <c r="O231" s="148">
        <v>2000</v>
      </c>
      <c r="P231" s="147" t="s">
        <v>343</v>
      </c>
      <c r="Q231" s="148">
        <v>2432.5</v>
      </c>
      <c r="R231" s="148">
        <v>1000</v>
      </c>
      <c r="S231" s="147" t="s">
        <v>343</v>
      </c>
      <c r="T231" s="147" t="s">
        <v>510</v>
      </c>
      <c r="U231" s="147" t="s">
        <v>343</v>
      </c>
      <c r="V231" s="147" t="s">
        <v>510</v>
      </c>
      <c r="W231" s="147" t="s">
        <v>343</v>
      </c>
      <c r="X231" s="147" t="s">
        <v>519</v>
      </c>
      <c r="Y231" s="147" t="s">
        <v>343</v>
      </c>
      <c r="Z231" s="147" t="s">
        <v>600</v>
      </c>
      <c r="AA231" s="147" t="s">
        <v>685</v>
      </c>
      <c r="AB231" s="147" t="s">
        <v>686</v>
      </c>
      <c r="AC231" s="147" t="s">
        <v>643</v>
      </c>
      <c r="AD231" s="147" t="s">
        <v>516</v>
      </c>
      <c r="AE231" s="147" t="s">
        <v>510</v>
      </c>
      <c r="AF231" s="147" t="s">
        <v>509</v>
      </c>
    </row>
    <row r="232" spans="1:32">
      <c r="A232" s="147" t="s">
        <v>886</v>
      </c>
      <c r="B232" s="147" t="s">
        <v>567</v>
      </c>
      <c r="C232" s="147" t="s">
        <v>662</v>
      </c>
      <c r="D232" s="147" t="s">
        <v>343</v>
      </c>
      <c r="E232" s="147" t="s">
        <v>343</v>
      </c>
      <c r="F232" s="147" t="s">
        <v>343</v>
      </c>
      <c r="G232" s="147" t="s">
        <v>127</v>
      </c>
      <c r="H232" s="147">
        <v>24</v>
      </c>
      <c r="I232" s="147" t="s">
        <v>247</v>
      </c>
      <c r="J232" s="148">
        <v>200</v>
      </c>
      <c r="K232" s="147" t="s">
        <v>343</v>
      </c>
      <c r="L232" s="147" t="s">
        <v>640</v>
      </c>
      <c r="M232" s="147" t="s">
        <v>343</v>
      </c>
      <c r="N232" s="147" t="s">
        <v>343</v>
      </c>
      <c r="O232" s="148">
        <v>2000</v>
      </c>
      <c r="P232" s="147" t="s">
        <v>343</v>
      </c>
      <c r="Q232" s="148">
        <v>2387.5</v>
      </c>
      <c r="R232" s="148">
        <v>1000</v>
      </c>
      <c r="S232" s="147" t="s">
        <v>343</v>
      </c>
      <c r="T232" s="147" t="s">
        <v>343</v>
      </c>
      <c r="U232" s="147" t="s">
        <v>343</v>
      </c>
      <c r="V232" s="147" t="s">
        <v>343</v>
      </c>
      <c r="W232" s="147" t="s">
        <v>343</v>
      </c>
      <c r="X232" s="147" t="s">
        <v>343</v>
      </c>
      <c r="Y232" s="147" t="s">
        <v>343</v>
      </c>
      <c r="Z232" s="147" t="s">
        <v>343</v>
      </c>
      <c r="AA232" s="147" t="s">
        <v>343</v>
      </c>
      <c r="AB232" s="147" t="s">
        <v>343</v>
      </c>
      <c r="AC232" s="147" t="s">
        <v>343</v>
      </c>
      <c r="AD232" s="147" t="s">
        <v>343</v>
      </c>
      <c r="AE232" s="147" t="s">
        <v>343</v>
      </c>
      <c r="AF232" s="147" t="s">
        <v>509</v>
      </c>
    </row>
    <row r="233" spans="1:32">
      <c r="A233" s="147" t="s">
        <v>887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343</v>
      </c>
      <c r="G233" s="147" t="s">
        <v>122</v>
      </c>
      <c r="H233" s="147">
        <v>22</v>
      </c>
      <c r="I233" s="147" t="s">
        <v>210</v>
      </c>
      <c r="J233" s="148">
        <v>630</v>
      </c>
      <c r="K233" s="147" t="s">
        <v>343</v>
      </c>
      <c r="L233" s="147" t="s">
        <v>640</v>
      </c>
      <c r="M233" s="147" t="s">
        <v>343</v>
      </c>
      <c r="N233" s="147" t="s">
        <v>343</v>
      </c>
      <c r="O233" s="148">
        <v>1890</v>
      </c>
      <c r="P233" s="147" t="s">
        <v>343</v>
      </c>
      <c r="Q233" s="148">
        <v>8275</v>
      </c>
      <c r="R233" s="147" t="s">
        <v>343</v>
      </c>
      <c r="S233" s="147" t="s">
        <v>343</v>
      </c>
      <c r="T233" s="147" t="s">
        <v>343</v>
      </c>
      <c r="U233" s="147" t="s">
        <v>343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7" t="s">
        <v>343</v>
      </c>
      <c r="AE233" s="147" t="s">
        <v>343</v>
      </c>
      <c r="AF233" s="147" t="s">
        <v>509</v>
      </c>
    </row>
    <row r="234" spans="1:32">
      <c r="A234" s="147" t="s">
        <v>888</v>
      </c>
      <c r="B234" s="147" t="s">
        <v>567</v>
      </c>
      <c r="C234" s="147" t="s">
        <v>503</v>
      </c>
      <c r="D234" s="147" t="s">
        <v>504</v>
      </c>
      <c r="E234" s="147" t="s">
        <v>505</v>
      </c>
      <c r="F234" s="147" t="s">
        <v>506</v>
      </c>
      <c r="G234" s="147" t="s">
        <v>245</v>
      </c>
      <c r="H234" s="147">
        <v>2</v>
      </c>
      <c r="I234" s="147" t="s">
        <v>247</v>
      </c>
      <c r="J234" s="148">
        <v>897</v>
      </c>
      <c r="K234" s="147">
        <v>9</v>
      </c>
      <c r="L234" s="147" t="s">
        <v>568</v>
      </c>
      <c r="M234" s="147" t="s">
        <v>343</v>
      </c>
      <c r="N234" s="147" t="s">
        <v>343</v>
      </c>
      <c r="O234" s="148">
        <v>1794</v>
      </c>
      <c r="P234" s="147" t="s">
        <v>343</v>
      </c>
      <c r="Q234" s="147" t="s">
        <v>343</v>
      </c>
      <c r="R234" s="148">
        <v>1794</v>
      </c>
      <c r="S234" s="149">
        <v>16.611111111111111</v>
      </c>
      <c r="T234" s="147" t="s">
        <v>510</v>
      </c>
      <c r="U234" s="147" t="s">
        <v>343</v>
      </c>
      <c r="V234" s="147" t="s">
        <v>510</v>
      </c>
      <c r="W234" s="147" t="s">
        <v>519</v>
      </c>
      <c r="X234" s="147" t="s">
        <v>343</v>
      </c>
      <c r="Y234" s="147" t="s">
        <v>343</v>
      </c>
      <c r="Z234" s="147" t="s">
        <v>512</v>
      </c>
      <c r="AA234" s="147" t="s">
        <v>856</v>
      </c>
      <c r="AB234" s="147" t="s">
        <v>857</v>
      </c>
      <c r="AC234" s="147" t="s">
        <v>786</v>
      </c>
      <c r="AD234" s="147" t="s">
        <v>721</v>
      </c>
      <c r="AE234" s="147" t="s">
        <v>510</v>
      </c>
      <c r="AF234" s="147" t="s">
        <v>510</v>
      </c>
    </row>
    <row r="235" spans="1:32">
      <c r="A235" s="147" t="s">
        <v>889</v>
      </c>
      <c r="B235" s="147" t="s">
        <v>567</v>
      </c>
      <c r="C235" s="147" t="s">
        <v>733</v>
      </c>
      <c r="D235" s="147" t="s">
        <v>343</v>
      </c>
      <c r="E235" s="147" t="s">
        <v>343</v>
      </c>
      <c r="F235" s="147" t="s">
        <v>343</v>
      </c>
      <c r="G235" s="147" t="s">
        <v>133</v>
      </c>
      <c r="H235" s="147">
        <v>20</v>
      </c>
      <c r="I235" s="147" t="s">
        <v>343</v>
      </c>
      <c r="J235" s="148">
        <v>400</v>
      </c>
      <c r="K235" s="147" t="s">
        <v>343</v>
      </c>
      <c r="L235" s="147" t="s">
        <v>640</v>
      </c>
      <c r="M235" s="147" t="s">
        <v>343</v>
      </c>
      <c r="N235" s="147" t="s">
        <v>343</v>
      </c>
      <c r="O235" s="148">
        <v>1600</v>
      </c>
      <c r="P235" s="147" t="s">
        <v>343</v>
      </c>
      <c r="Q235" s="148">
        <v>4600</v>
      </c>
      <c r="R235" s="147" t="s">
        <v>343</v>
      </c>
      <c r="S235" s="147" t="s">
        <v>343</v>
      </c>
      <c r="T235" s="147" t="s">
        <v>343</v>
      </c>
      <c r="U235" s="147" t="s">
        <v>343</v>
      </c>
      <c r="V235" s="147" t="s">
        <v>343</v>
      </c>
      <c r="W235" s="147" t="s">
        <v>343</v>
      </c>
      <c r="X235" s="147" t="s">
        <v>343</v>
      </c>
      <c r="Y235" s="147" t="s">
        <v>343</v>
      </c>
      <c r="Z235" s="147" t="s">
        <v>343</v>
      </c>
      <c r="AA235" s="147" t="s">
        <v>343</v>
      </c>
      <c r="AB235" s="147" t="s">
        <v>343</v>
      </c>
      <c r="AC235" s="147" t="s">
        <v>343</v>
      </c>
      <c r="AD235" s="147" t="s">
        <v>343</v>
      </c>
      <c r="AE235" s="147" t="s">
        <v>343</v>
      </c>
      <c r="AF235" s="147" t="s">
        <v>343</v>
      </c>
    </row>
    <row r="236" spans="1:32">
      <c r="A236" s="147" t="s">
        <v>890</v>
      </c>
      <c r="B236" s="147" t="s">
        <v>502</v>
      </c>
      <c r="C236" s="147" t="s">
        <v>503</v>
      </c>
      <c r="D236" s="147" t="s">
        <v>504</v>
      </c>
      <c r="E236" s="147" t="s">
        <v>612</v>
      </c>
      <c r="F236" s="147" t="s">
        <v>599</v>
      </c>
      <c r="G236" s="147" t="s">
        <v>209</v>
      </c>
      <c r="H236" s="147">
        <v>10</v>
      </c>
      <c r="I236" s="147" t="s">
        <v>343</v>
      </c>
      <c r="J236" s="148">
        <v>333.33333333333331</v>
      </c>
      <c r="K236" s="147">
        <v>9</v>
      </c>
      <c r="L236" s="147" t="s">
        <v>560</v>
      </c>
      <c r="M236" s="147" t="s">
        <v>343</v>
      </c>
      <c r="N236" s="147" t="s">
        <v>343</v>
      </c>
      <c r="O236" s="148">
        <v>1600</v>
      </c>
      <c r="P236" s="148">
        <v>400</v>
      </c>
      <c r="Q236" s="147" t="s">
        <v>343</v>
      </c>
      <c r="R236" s="148">
        <v>1600</v>
      </c>
      <c r="S236" s="149">
        <v>14.814814814814817</v>
      </c>
      <c r="T236" s="147" t="s">
        <v>509</v>
      </c>
      <c r="U236" s="147" t="s">
        <v>343</v>
      </c>
      <c r="V236" s="147" t="s">
        <v>510</v>
      </c>
      <c r="W236" s="147" t="s">
        <v>511</v>
      </c>
      <c r="X236" s="147" t="s">
        <v>535</v>
      </c>
      <c r="Y236" s="147" t="s">
        <v>343</v>
      </c>
      <c r="Z236" s="147" t="s">
        <v>343</v>
      </c>
      <c r="AA236" s="147" t="s">
        <v>645</v>
      </c>
      <c r="AB236" s="147" t="s">
        <v>541</v>
      </c>
      <c r="AC236" s="147" t="s">
        <v>522</v>
      </c>
      <c r="AD236" s="147" t="s">
        <v>523</v>
      </c>
      <c r="AE236" s="147" t="s">
        <v>509</v>
      </c>
      <c r="AF236" s="147" t="s">
        <v>343</v>
      </c>
    </row>
    <row r="237" spans="1:32">
      <c r="A237" s="147" t="s">
        <v>891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343</v>
      </c>
      <c r="G237" s="147" t="s">
        <v>122</v>
      </c>
      <c r="H237" s="147">
        <v>23</v>
      </c>
      <c r="I237" s="147" t="s">
        <v>211</v>
      </c>
      <c r="J237" s="148">
        <v>217.66666666666666</v>
      </c>
      <c r="K237" s="147" t="s">
        <v>343</v>
      </c>
      <c r="L237" s="147" t="s">
        <v>640</v>
      </c>
      <c r="M237" s="147" t="s">
        <v>343</v>
      </c>
      <c r="N237" s="147" t="s">
        <v>343</v>
      </c>
      <c r="O237" s="148">
        <v>1537</v>
      </c>
      <c r="P237" s="147" t="s">
        <v>343</v>
      </c>
      <c r="Q237" s="148">
        <v>5194</v>
      </c>
      <c r="R237" s="148">
        <v>225</v>
      </c>
      <c r="S237" s="147" t="s">
        <v>343</v>
      </c>
      <c r="T237" s="147" t="s">
        <v>343</v>
      </c>
      <c r="U237" s="147" t="s">
        <v>343</v>
      </c>
      <c r="V237" s="147" t="s">
        <v>343</v>
      </c>
      <c r="W237" s="147" t="s">
        <v>343</v>
      </c>
      <c r="X237" s="147" t="s">
        <v>343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7" t="s">
        <v>343</v>
      </c>
      <c r="AE237" s="147" t="s">
        <v>343</v>
      </c>
      <c r="AF237" s="147" t="s">
        <v>509</v>
      </c>
    </row>
    <row r="238" spans="1:32">
      <c r="A238" s="147" t="s">
        <v>892</v>
      </c>
      <c r="B238" s="147" t="s">
        <v>567</v>
      </c>
      <c r="C238" s="147" t="s">
        <v>733</v>
      </c>
      <c r="D238" s="147" t="s">
        <v>343</v>
      </c>
      <c r="E238" s="147" t="s">
        <v>343</v>
      </c>
      <c r="F238" s="147" t="s">
        <v>343</v>
      </c>
      <c r="G238" s="147" t="s">
        <v>209</v>
      </c>
      <c r="H238" s="147">
        <v>10</v>
      </c>
      <c r="I238" s="147" t="s">
        <v>343</v>
      </c>
      <c r="J238" s="148">
        <v>765</v>
      </c>
      <c r="K238" s="147" t="s">
        <v>343</v>
      </c>
      <c r="L238" s="147" t="s">
        <v>640</v>
      </c>
      <c r="M238" s="147" t="s">
        <v>343</v>
      </c>
      <c r="N238" s="147" t="s">
        <v>343</v>
      </c>
      <c r="O238" s="148">
        <v>1530</v>
      </c>
      <c r="P238" s="147" t="s">
        <v>343</v>
      </c>
      <c r="Q238" s="148">
        <v>765</v>
      </c>
      <c r="R238" s="148">
        <v>765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7" t="s">
        <v>343</v>
      </c>
      <c r="AA238" s="147" t="s">
        <v>343</v>
      </c>
      <c r="AB238" s="147" t="s">
        <v>343</v>
      </c>
      <c r="AC238" s="147" t="s">
        <v>343</v>
      </c>
      <c r="AD238" s="147" t="s">
        <v>343</v>
      </c>
      <c r="AE238" s="147" t="s">
        <v>343</v>
      </c>
      <c r="AF238" s="147" t="s">
        <v>343</v>
      </c>
    </row>
    <row r="239" spans="1:32">
      <c r="A239" s="147" t="s">
        <v>893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343</v>
      </c>
      <c r="G239" s="147" t="s">
        <v>209</v>
      </c>
      <c r="H239" s="147">
        <v>10</v>
      </c>
      <c r="I239" s="147" t="s">
        <v>343</v>
      </c>
      <c r="J239" s="148">
        <v>765</v>
      </c>
      <c r="K239" s="147" t="s">
        <v>343</v>
      </c>
      <c r="L239" s="147" t="s">
        <v>640</v>
      </c>
      <c r="M239" s="147" t="s">
        <v>343</v>
      </c>
      <c r="N239" s="147" t="s">
        <v>343</v>
      </c>
      <c r="O239" s="148">
        <v>1530</v>
      </c>
      <c r="P239" s="147" t="s">
        <v>343</v>
      </c>
      <c r="Q239" s="148">
        <v>765</v>
      </c>
      <c r="R239" s="148">
        <v>765</v>
      </c>
      <c r="S239" s="147" t="s">
        <v>343</v>
      </c>
      <c r="T239" s="147" t="s">
        <v>343</v>
      </c>
      <c r="U239" s="147" t="s">
        <v>343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7" t="s">
        <v>343</v>
      </c>
      <c r="AE239" s="147" t="s">
        <v>343</v>
      </c>
      <c r="AF239" s="147" t="s">
        <v>343</v>
      </c>
    </row>
    <row r="240" spans="1:32">
      <c r="A240" s="147" t="s">
        <v>894</v>
      </c>
      <c r="B240" s="147" t="s">
        <v>567</v>
      </c>
      <c r="C240" s="147" t="s">
        <v>733</v>
      </c>
      <c r="D240" s="147" t="s">
        <v>343</v>
      </c>
      <c r="E240" s="147" t="s">
        <v>343</v>
      </c>
      <c r="F240" s="147" t="s">
        <v>343</v>
      </c>
      <c r="G240" s="147" t="s">
        <v>209</v>
      </c>
      <c r="H240" s="147">
        <v>10</v>
      </c>
      <c r="I240" s="147" t="s">
        <v>343</v>
      </c>
      <c r="J240" s="148">
        <v>765</v>
      </c>
      <c r="K240" s="147" t="s">
        <v>343</v>
      </c>
      <c r="L240" s="147" t="s">
        <v>640</v>
      </c>
      <c r="M240" s="147" t="s">
        <v>343</v>
      </c>
      <c r="N240" s="147" t="s">
        <v>343</v>
      </c>
      <c r="O240" s="148">
        <v>1530</v>
      </c>
      <c r="P240" s="147" t="s">
        <v>343</v>
      </c>
      <c r="Q240" s="148">
        <v>765</v>
      </c>
      <c r="R240" s="148">
        <v>765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7" t="s">
        <v>343</v>
      </c>
      <c r="X240" s="147" t="s">
        <v>343</v>
      </c>
      <c r="Y240" s="147" t="s">
        <v>343</v>
      </c>
      <c r="Z240" s="147" t="s">
        <v>343</v>
      </c>
      <c r="AA240" s="147" t="s">
        <v>343</v>
      </c>
      <c r="AB240" s="147" t="s">
        <v>343</v>
      </c>
      <c r="AC240" s="147" t="s">
        <v>343</v>
      </c>
      <c r="AD240" s="147" t="s">
        <v>343</v>
      </c>
      <c r="AE240" s="147" t="s">
        <v>343</v>
      </c>
      <c r="AF240" s="147" t="s">
        <v>343</v>
      </c>
    </row>
    <row r="241" spans="1:32">
      <c r="A241" s="147" t="s">
        <v>895</v>
      </c>
      <c r="B241" s="147" t="s">
        <v>567</v>
      </c>
      <c r="C241" s="147" t="s">
        <v>733</v>
      </c>
      <c r="D241" s="147" t="s">
        <v>343</v>
      </c>
      <c r="E241" s="147" t="s">
        <v>343</v>
      </c>
      <c r="F241" s="147" t="s">
        <v>343</v>
      </c>
      <c r="G241" s="147" t="s">
        <v>209</v>
      </c>
      <c r="H241" s="147">
        <v>10</v>
      </c>
      <c r="I241" s="147" t="s">
        <v>343</v>
      </c>
      <c r="J241" s="148">
        <v>765</v>
      </c>
      <c r="K241" s="147" t="s">
        <v>343</v>
      </c>
      <c r="L241" s="147" t="s">
        <v>640</v>
      </c>
      <c r="M241" s="147" t="s">
        <v>343</v>
      </c>
      <c r="N241" s="147" t="s">
        <v>343</v>
      </c>
      <c r="O241" s="148">
        <v>1530</v>
      </c>
      <c r="P241" s="147" t="s">
        <v>343</v>
      </c>
      <c r="Q241" s="148">
        <v>765</v>
      </c>
      <c r="R241" s="148">
        <v>765</v>
      </c>
      <c r="S241" s="147" t="s">
        <v>343</v>
      </c>
      <c r="T241" s="147" t="s">
        <v>343</v>
      </c>
      <c r="U241" s="147" t="s">
        <v>343</v>
      </c>
      <c r="V241" s="147" t="s">
        <v>343</v>
      </c>
      <c r="W241" s="147" t="s">
        <v>343</v>
      </c>
      <c r="X241" s="147" t="s">
        <v>343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7" t="s">
        <v>343</v>
      </c>
      <c r="AE241" s="147" t="s">
        <v>343</v>
      </c>
      <c r="AF241" s="147" t="s">
        <v>343</v>
      </c>
    </row>
    <row r="242" spans="1:32">
      <c r="A242" s="147" t="s">
        <v>896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343</v>
      </c>
      <c r="G242" s="147" t="s">
        <v>209</v>
      </c>
      <c r="H242" s="147">
        <v>10</v>
      </c>
      <c r="I242" s="147" t="s">
        <v>343</v>
      </c>
      <c r="J242" s="148">
        <v>765</v>
      </c>
      <c r="K242" s="147" t="s">
        <v>343</v>
      </c>
      <c r="L242" s="147" t="s">
        <v>640</v>
      </c>
      <c r="M242" s="147" t="s">
        <v>343</v>
      </c>
      <c r="N242" s="147" t="s">
        <v>343</v>
      </c>
      <c r="O242" s="148">
        <v>1530</v>
      </c>
      <c r="P242" s="147" t="s">
        <v>343</v>
      </c>
      <c r="Q242" s="148">
        <v>765</v>
      </c>
      <c r="R242" s="148">
        <v>765</v>
      </c>
      <c r="S242" s="147" t="s">
        <v>343</v>
      </c>
      <c r="T242" s="147" t="s">
        <v>343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7" t="s">
        <v>343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7" t="s">
        <v>343</v>
      </c>
      <c r="AE242" s="147" t="s">
        <v>343</v>
      </c>
      <c r="AF242" s="147" t="s">
        <v>343</v>
      </c>
    </row>
    <row r="243" spans="1:32">
      <c r="A243" s="147" t="s">
        <v>897</v>
      </c>
      <c r="B243" s="147" t="s">
        <v>567</v>
      </c>
      <c r="C243" s="147" t="s">
        <v>733</v>
      </c>
      <c r="D243" s="147" t="s">
        <v>343</v>
      </c>
      <c r="E243" s="147" t="s">
        <v>343</v>
      </c>
      <c r="F243" s="147" t="s">
        <v>343</v>
      </c>
      <c r="G243" s="147" t="s">
        <v>209</v>
      </c>
      <c r="H243" s="147">
        <v>10</v>
      </c>
      <c r="I243" s="147" t="s">
        <v>343</v>
      </c>
      <c r="J243" s="148">
        <v>765</v>
      </c>
      <c r="K243" s="147" t="s">
        <v>343</v>
      </c>
      <c r="L243" s="147" t="s">
        <v>640</v>
      </c>
      <c r="M243" s="147" t="s">
        <v>343</v>
      </c>
      <c r="N243" s="147" t="s">
        <v>343</v>
      </c>
      <c r="O243" s="148">
        <v>1530</v>
      </c>
      <c r="P243" s="147" t="s">
        <v>343</v>
      </c>
      <c r="Q243" s="148">
        <v>765</v>
      </c>
      <c r="R243" s="148">
        <v>765</v>
      </c>
      <c r="S243" s="147" t="s">
        <v>343</v>
      </c>
      <c r="T243" s="147" t="s">
        <v>343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7" t="s">
        <v>343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7" t="s">
        <v>343</v>
      </c>
      <c r="AE243" s="147" t="s">
        <v>343</v>
      </c>
      <c r="AF243" s="147" t="s">
        <v>343</v>
      </c>
    </row>
    <row r="244" spans="1:32">
      <c r="A244" s="147" t="s">
        <v>898</v>
      </c>
      <c r="B244" s="147" t="s">
        <v>567</v>
      </c>
      <c r="C244" s="147" t="s">
        <v>877</v>
      </c>
      <c r="D244" s="147" t="s">
        <v>343</v>
      </c>
      <c r="E244" s="147" t="s">
        <v>343</v>
      </c>
      <c r="F244" s="147" t="s">
        <v>343</v>
      </c>
      <c r="G244" s="147" t="s">
        <v>782</v>
      </c>
      <c r="H244" s="147">
        <v>36</v>
      </c>
      <c r="I244" s="147" t="s">
        <v>242</v>
      </c>
      <c r="J244" s="148">
        <v>305</v>
      </c>
      <c r="K244" s="147" t="s">
        <v>343</v>
      </c>
      <c r="L244" s="147" t="s">
        <v>640</v>
      </c>
      <c r="M244" s="147" t="s">
        <v>343</v>
      </c>
      <c r="N244" s="147" t="s">
        <v>343</v>
      </c>
      <c r="O244" s="148">
        <v>1525</v>
      </c>
      <c r="P244" s="147" t="s">
        <v>343</v>
      </c>
      <c r="Q244" s="148">
        <v>3735</v>
      </c>
      <c r="R244" s="147" t="s">
        <v>343</v>
      </c>
      <c r="S244" s="147" t="s">
        <v>343</v>
      </c>
      <c r="T244" s="147" t="s">
        <v>343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7" t="s">
        <v>343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7" t="s">
        <v>343</v>
      </c>
      <c r="AE244" s="147" t="s">
        <v>343</v>
      </c>
      <c r="AF244" s="147" t="s">
        <v>509</v>
      </c>
    </row>
    <row r="245" spans="1:32">
      <c r="A245" s="147" t="s">
        <v>899</v>
      </c>
      <c r="B245" s="147" t="s">
        <v>502</v>
      </c>
      <c r="C245" s="147" t="s">
        <v>683</v>
      </c>
      <c r="D245" s="147" t="s">
        <v>684</v>
      </c>
      <c r="E245" s="147" t="s">
        <v>343</v>
      </c>
      <c r="F245" s="147" t="s">
        <v>343</v>
      </c>
      <c r="G245" s="147" t="s">
        <v>244</v>
      </c>
      <c r="H245" s="147">
        <v>5</v>
      </c>
      <c r="I245" s="147" t="s">
        <v>343</v>
      </c>
      <c r="J245" s="148">
        <v>401.66666666666669</v>
      </c>
      <c r="K245" s="147">
        <v>0</v>
      </c>
      <c r="L245" s="147" t="s">
        <v>507</v>
      </c>
      <c r="M245" s="147">
        <v>0</v>
      </c>
      <c r="N245" s="147" t="s">
        <v>508</v>
      </c>
      <c r="O245" s="148">
        <v>1525</v>
      </c>
      <c r="P245" s="148">
        <v>260</v>
      </c>
      <c r="Q245" s="147" t="s">
        <v>343</v>
      </c>
      <c r="R245" s="148">
        <v>1525</v>
      </c>
      <c r="S245" s="147" t="s">
        <v>343</v>
      </c>
      <c r="T245" s="147" t="s">
        <v>510</v>
      </c>
      <c r="U245" s="147" t="s">
        <v>343</v>
      </c>
      <c r="V245" s="147" t="s">
        <v>510</v>
      </c>
      <c r="W245" s="147" t="s">
        <v>518</v>
      </c>
      <c r="X245" s="147" t="s">
        <v>535</v>
      </c>
      <c r="Y245" s="147" t="s">
        <v>343</v>
      </c>
      <c r="Z245" s="147" t="s">
        <v>343</v>
      </c>
      <c r="AA245" s="147" t="s">
        <v>710</v>
      </c>
      <c r="AB245" s="147" t="s">
        <v>686</v>
      </c>
      <c r="AC245" s="147" t="s">
        <v>571</v>
      </c>
      <c r="AD245" s="147" t="s">
        <v>687</v>
      </c>
      <c r="AE245" s="147" t="s">
        <v>510</v>
      </c>
      <c r="AF245" s="147" t="s">
        <v>343</v>
      </c>
    </row>
    <row r="246" spans="1:32">
      <c r="A246" s="147" t="s">
        <v>900</v>
      </c>
      <c r="B246" s="147" t="s">
        <v>502</v>
      </c>
      <c r="C246" s="147" t="s">
        <v>503</v>
      </c>
      <c r="D246" s="147" t="s">
        <v>504</v>
      </c>
      <c r="E246" s="147" t="s">
        <v>612</v>
      </c>
      <c r="F246" s="147" t="s">
        <v>599</v>
      </c>
      <c r="G246" s="147" t="s">
        <v>203</v>
      </c>
      <c r="H246" s="147">
        <v>16</v>
      </c>
      <c r="I246" s="147" t="s">
        <v>343</v>
      </c>
      <c r="J246" s="148">
        <v>116.66666666666667</v>
      </c>
      <c r="K246" s="147">
        <v>5</v>
      </c>
      <c r="L246" s="147" t="s">
        <v>507</v>
      </c>
      <c r="M246" s="147">
        <v>5</v>
      </c>
      <c r="N246" s="147" t="s">
        <v>508</v>
      </c>
      <c r="O246" s="148">
        <v>1505</v>
      </c>
      <c r="P246" s="148">
        <v>140</v>
      </c>
      <c r="Q246" s="148">
        <v>1170</v>
      </c>
      <c r="R246" s="148">
        <v>835</v>
      </c>
      <c r="S246" s="149">
        <v>25.083333333333336</v>
      </c>
      <c r="T246" s="147" t="s">
        <v>510</v>
      </c>
      <c r="U246" s="147" t="s">
        <v>343</v>
      </c>
      <c r="V246" s="147" t="s">
        <v>510</v>
      </c>
      <c r="W246" s="147" t="s">
        <v>519</v>
      </c>
      <c r="X246" s="147" t="s">
        <v>519</v>
      </c>
      <c r="Y246" s="147" t="s">
        <v>343</v>
      </c>
      <c r="Z246" s="147" t="s">
        <v>512</v>
      </c>
      <c r="AA246" s="147" t="s">
        <v>594</v>
      </c>
      <c r="AB246" s="147" t="s">
        <v>586</v>
      </c>
      <c r="AC246" s="147" t="s">
        <v>515</v>
      </c>
      <c r="AD246" s="147" t="s">
        <v>528</v>
      </c>
      <c r="AE246" s="147" t="s">
        <v>510</v>
      </c>
      <c r="AF246" s="147" t="s">
        <v>343</v>
      </c>
    </row>
    <row r="247" spans="1:32">
      <c r="A247" s="147" t="s">
        <v>901</v>
      </c>
      <c r="B247" s="147" t="s">
        <v>502</v>
      </c>
      <c r="C247" s="147" t="s">
        <v>503</v>
      </c>
      <c r="D247" s="147" t="s">
        <v>504</v>
      </c>
      <c r="E247" s="147" t="s">
        <v>505</v>
      </c>
      <c r="F247" s="147" t="s">
        <v>599</v>
      </c>
      <c r="G247" s="147" t="s">
        <v>243</v>
      </c>
      <c r="H247" s="147">
        <v>6</v>
      </c>
      <c r="I247" s="147" t="s">
        <v>343</v>
      </c>
      <c r="J247" s="148">
        <v>120</v>
      </c>
      <c r="K247" s="147">
        <v>2</v>
      </c>
      <c r="L247" s="147" t="s">
        <v>560</v>
      </c>
      <c r="M247" s="147" t="s">
        <v>343</v>
      </c>
      <c r="N247" s="147" t="s">
        <v>343</v>
      </c>
      <c r="O247" s="148">
        <v>1502.5</v>
      </c>
      <c r="P247" s="148">
        <v>120</v>
      </c>
      <c r="Q247" s="147" t="s">
        <v>343</v>
      </c>
      <c r="R247" s="148">
        <v>1502.5</v>
      </c>
      <c r="S247" s="149">
        <v>62.604166666666664</v>
      </c>
      <c r="T247" s="147" t="s">
        <v>510</v>
      </c>
      <c r="U247" s="147" t="s">
        <v>343</v>
      </c>
      <c r="V247" s="147" t="s">
        <v>510</v>
      </c>
      <c r="W247" s="147" t="s">
        <v>511</v>
      </c>
      <c r="X247" s="147" t="s">
        <v>519</v>
      </c>
      <c r="Y247" s="147" t="s">
        <v>343</v>
      </c>
      <c r="Z247" s="147" t="s">
        <v>512</v>
      </c>
      <c r="AA247" s="147" t="s">
        <v>573</v>
      </c>
      <c r="AB247" s="147" t="s">
        <v>562</v>
      </c>
      <c r="AC247" s="147" t="s">
        <v>515</v>
      </c>
      <c r="AD247" s="147" t="s">
        <v>563</v>
      </c>
      <c r="AE247" s="147" t="s">
        <v>509</v>
      </c>
      <c r="AF247" s="147" t="s">
        <v>343</v>
      </c>
    </row>
    <row r="248" spans="1:32">
      <c r="A248" s="147" t="s">
        <v>902</v>
      </c>
      <c r="B248" s="147" t="s">
        <v>567</v>
      </c>
      <c r="C248" s="147" t="s">
        <v>662</v>
      </c>
      <c r="D248" s="147" t="s">
        <v>343</v>
      </c>
      <c r="E248" s="147" t="s">
        <v>343</v>
      </c>
      <c r="F248" s="147" t="s">
        <v>343</v>
      </c>
      <c r="G248" s="147" t="s">
        <v>129</v>
      </c>
      <c r="H248" s="147">
        <v>17</v>
      </c>
      <c r="I248" s="147" t="s">
        <v>242</v>
      </c>
      <c r="J248" s="148">
        <v>300</v>
      </c>
      <c r="K248" s="147" t="s">
        <v>343</v>
      </c>
      <c r="L248" s="147" t="s">
        <v>640</v>
      </c>
      <c r="M248" s="147" t="s">
        <v>343</v>
      </c>
      <c r="N248" s="147" t="s">
        <v>343</v>
      </c>
      <c r="O248" s="148">
        <v>1450</v>
      </c>
      <c r="P248" s="147" t="s">
        <v>343</v>
      </c>
      <c r="Q248" s="148">
        <v>3200</v>
      </c>
      <c r="R248" s="147" t="s">
        <v>343</v>
      </c>
      <c r="S248" s="147" t="s">
        <v>343</v>
      </c>
      <c r="T248" s="147" t="s">
        <v>343</v>
      </c>
      <c r="U248" s="147" t="s">
        <v>343</v>
      </c>
      <c r="V248" s="147" t="s">
        <v>343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7" t="s">
        <v>343</v>
      </c>
      <c r="AE248" s="147" t="s">
        <v>343</v>
      </c>
      <c r="AF248" s="147" t="s">
        <v>509</v>
      </c>
    </row>
    <row r="249" spans="1:32">
      <c r="A249" s="147" t="s">
        <v>903</v>
      </c>
      <c r="B249" s="147" t="s">
        <v>567</v>
      </c>
      <c r="C249" s="147" t="s">
        <v>662</v>
      </c>
      <c r="D249" s="147" t="s">
        <v>343</v>
      </c>
      <c r="E249" s="147" t="s">
        <v>343</v>
      </c>
      <c r="F249" s="147" t="s">
        <v>343</v>
      </c>
      <c r="G249" s="147" t="s">
        <v>206</v>
      </c>
      <c r="H249" s="147">
        <v>7</v>
      </c>
      <c r="I249" s="147" t="s">
        <v>243</v>
      </c>
      <c r="J249" s="148">
        <v>110</v>
      </c>
      <c r="K249" s="147" t="s">
        <v>343</v>
      </c>
      <c r="L249" s="147" t="s">
        <v>640</v>
      </c>
      <c r="M249" s="147" t="s">
        <v>343</v>
      </c>
      <c r="N249" s="147" t="s">
        <v>343</v>
      </c>
      <c r="O249" s="148">
        <v>1410</v>
      </c>
      <c r="P249" s="147" t="s">
        <v>343</v>
      </c>
      <c r="Q249" s="148">
        <v>1640</v>
      </c>
      <c r="R249" s="148">
        <v>120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7" t="s">
        <v>343</v>
      </c>
      <c r="Z249" s="147" t="s">
        <v>343</v>
      </c>
      <c r="AA249" s="147" t="s">
        <v>343</v>
      </c>
      <c r="AB249" s="147" t="s">
        <v>343</v>
      </c>
      <c r="AC249" s="147" t="s">
        <v>343</v>
      </c>
      <c r="AD249" s="147" t="s">
        <v>343</v>
      </c>
      <c r="AE249" s="147" t="s">
        <v>343</v>
      </c>
      <c r="AF249" s="147" t="s">
        <v>509</v>
      </c>
    </row>
    <row r="250" spans="1:32">
      <c r="A250" s="147" t="s">
        <v>904</v>
      </c>
      <c r="B250" s="147" t="s">
        <v>567</v>
      </c>
      <c r="C250" s="147" t="s">
        <v>683</v>
      </c>
      <c r="D250" s="147" t="s">
        <v>684</v>
      </c>
      <c r="E250" s="147" t="s">
        <v>343</v>
      </c>
      <c r="F250" s="147" t="s">
        <v>343</v>
      </c>
      <c r="G250" s="147" t="s">
        <v>243</v>
      </c>
      <c r="H250" s="147">
        <v>4</v>
      </c>
      <c r="I250" s="147" t="s">
        <v>247</v>
      </c>
      <c r="J250" s="148">
        <v>270.16666666666669</v>
      </c>
      <c r="K250" s="147">
        <v>4</v>
      </c>
      <c r="L250" s="147" t="s">
        <v>507</v>
      </c>
      <c r="M250" s="147">
        <v>4</v>
      </c>
      <c r="N250" s="147" t="s">
        <v>508</v>
      </c>
      <c r="O250" s="148">
        <v>1336.5</v>
      </c>
      <c r="P250" s="147" t="s">
        <v>343</v>
      </c>
      <c r="Q250" s="147" t="s">
        <v>343</v>
      </c>
      <c r="R250" s="148">
        <v>1336.5</v>
      </c>
      <c r="S250" s="149">
        <v>27.84375</v>
      </c>
      <c r="T250" s="147" t="s">
        <v>510</v>
      </c>
      <c r="U250" s="147" t="s">
        <v>343</v>
      </c>
      <c r="V250" s="147" t="s">
        <v>510</v>
      </c>
      <c r="W250" s="147" t="s">
        <v>518</v>
      </c>
      <c r="X250" s="147" t="s">
        <v>530</v>
      </c>
      <c r="Y250" s="147" t="s">
        <v>343</v>
      </c>
      <c r="Z250" s="147" t="s">
        <v>600</v>
      </c>
      <c r="AA250" s="147" t="s">
        <v>642</v>
      </c>
      <c r="AB250" s="147" t="s">
        <v>642</v>
      </c>
      <c r="AC250" s="147" t="s">
        <v>643</v>
      </c>
      <c r="AD250" s="147" t="s">
        <v>528</v>
      </c>
      <c r="AE250" s="147" t="s">
        <v>510</v>
      </c>
      <c r="AF250" s="147" t="s">
        <v>509</v>
      </c>
    </row>
    <row r="251" spans="1:32">
      <c r="A251" s="147" t="s">
        <v>905</v>
      </c>
      <c r="B251" s="147" t="s">
        <v>502</v>
      </c>
      <c r="C251" s="147" t="s">
        <v>683</v>
      </c>
      <c r="D251" s="147" t="s">
        <v>684</v>
      </c>
      <c r="E251" s="147" t="s">
        <v>343</v>
      </c>
      <c r="F251" s="147" t="s">
        <v>343</v>
      </c>
      <c r="G251" s="147" t="s">
        <v>245</v>
      </c>
      <c r="H251" s="147">
        <v>4</v>
      </c>
      <c r="I251" s="147" t="s">
        <v>343</v>
      </c>
      <c r="J251" s="148">
        <v>310</v>
      </c>
      <c r="K251" s="147" t="s">
        <v>343</v>
      </c>
      <c r="L251" s="147" t="s">
        <v>709</v>
      </c>
      <c r="M251" s="147" t="s">
        <v>343</v>
      </c>
      <c r="N251" s="147" t="s">
        <v>343</v>
      </c>
      <c r="O251" s="148">
        <v>1240</v>
      </c>
      <c r="P251" s="148">
        <v>310</v>
      </c>
      <c r="Q251" s="147" t="s">
        <v>343</v>
      </c>
      <c r="R251" s="148">
        <v>1240</v>
      </c>
      <c r="S251" s="147" t="s">
        <v>343</v>
      </c>
      <c r="T251" s="147" t="s">
        <v>510</v>
      </c>
      <c r="U251" s="147" t="s">
        <v>343</v>
      </c>
      <c r="V251" s="147" t="s">
        <v>510</v>
      </c>
      <c r="W251" s="147" t="s">
        <v>518</v>
      </c>
      <c r="X251" s="147" t="s">
        <v>519</v>
      </c>
      <c r="Y251" s="147" t="s">
        <v>343</v>
      </c>
      <c r="Z251" s="147" t="s">
        <v>343</v>
      </c>
      <c r="AA251" s="147" t="s">
        <v>771</v>
      </c>
      <c r="AB251" s="147" t="s">
        <v>686</v>
      </c>
      <c r="AC251" s="147" t="s">
        <v>571</v>
      </c>
      <c r="AD251" s="147" t="s">
        <v>687</v>
      </c>
      <c r="AE251" s="147" t="s">
        <v>510</v>
      </c>
      <c r="AF251" s="147" t="s">
        <v>343</v>
      </c>
    </row>
    <row r="252" spans="1:32">
      <c r="A252" s="147" t="s">
        <v>906</v>
      </c>
      <c r="B252" s="147" t="s">
        <v>502</v>
      </c>
      <c r="C252" s="147" t="s">
        <v>503</v>
      </c>
      <c r="D252" s="147" t="s">
        <v>504</v>
      </c>
      <c r="E252" s="147" t="s">
        <v>343</v>
      </c>
      <c r="F252" s="147" t="s">
        <v>506</v>
      </c>
      <c r="G252" s="147" t="s">
        <v>247</v>
      </c>
      <c r="H252" s="147">
        <v>2</v>
      </c>
      <c r="I252" s="147" t="s">
        <v>343</v>
      </c>
      <c r="J252" s="148">
        <v>614.5</v>
      </c>
      <c r="K252" s="147">
        <v>4</v>
      </c>
      <c r="L252" s="147" t="s">
        <v>507</v>
      </c>
      <c r="M252" s="147">
        <v>4</v>
      </c>
      <c r="N252" s="147" t="s">
        <v>508</v>
      </c>
      <c r="O252" s="148">
        <v>1229</v>
      </c>
      <c r="P252" s="148">
        <v>418</v>
      </c>
      <c r="Q252" s="147" t="s">
        <v>343</v>
      </c>
      <c r="R252" s="148">
        <v>1229</v>
      </c>
      <c r="S252" s="149">
        <v>25.604166666666668</v>
      </c>
      <c r="T252" s="147" t="s">
        <v>510</v>
      </c>
      <c r="U252" s="147" t="s">
        <v>343</v>
      </c>
      <c r="V252" s="147" t="s">
        <v>510</v>
      </c>
      <c r="W252" s="147" t="s">
        <v>511</v>
      </c>
      <c r="X252" s="147" t="s">
        <v>530</v>
      </c>
      <c r="Y252" s="147" t="s">
        <v>347</v>
      </c>
      <c r="Z252" s="147" t="s">
        <v>512</v>
      </c>
      <c r="AA252" s="147" t="s">
        <v>907</v>
      </c>
      <c r="AB252" s="147" t="s">
        <v>653</v>
      </c>
      <c r="AC252" s="147" t="s">
        <v>538</v>
      </c>
      <c r="AD252" s="147" t="s">
        <v>516</v>
      </c>
      <c r="AE252" s="147" t="s">
        <v>509</v>
      </c>
      <c r="AF252" s="147" t="s">
        <v>343</v>
      </c>
    </row>
    <row r="253" spans="1:32">
      <c r="A253" s="147" t="s">
        <v>908</v>
      </c>
      <c r="B253" s="147" t="s">
        <v>502</v>
      </c>
      <c r="C253" s="147" t="s">
        <v>683</v>
      </c>
      <c r="D253" s="147" t="s">
        <v>684</v>
      </c>
      <c r="E253" s="147" t="s">
        <v>343</v>
      </c>
      <c r="F253" s="147" t="s">
        <v>343</v>
      </c>
      <c r="G253" s="147" t="s">
        <v>211</v>
      </c>
      <c r="H253" s="147">
        <v>8</v>
      </c>
      <c r="I253" s="147" t="s">
        <v>343</v>
      </c>
      <c r="J253" s="148">
        <v>150</v>
      </c>
      <c r="K253" s="147">
        <v>0</v>
      </c>
      <c r="L253" s="147" t="s">
        <v>507</v>
      </c>
      <c r="M253" s="147">
        <v>0</v>
      </c>
      <c r="N253" s="147" t="s">
        <v>508</v>
      </c>
      <c r="O253" s="148">
        <v>1215</v>
      </c>
      <c r="P253" s="148">
        <v>150</v>
      </c>
      <c r="Q253" s="148">
        <v>150</v>
      </c>
      <c r="R253" s="148">
        <v>1065</v>
      </c>
      <c r="S253" s="147" t="s">
        <v>343</v>
      </c>
      <c r="T253" s="147" t="s">
        <v>510</v>
      </c>
      <c r="U253" s="147" t="s">
        <v>343</v>
      </c>
      <c r="V253" s="147" t="s">
        <v>510</v>
      </c>
      <c r="W253" s="147" t="s">
        <v>343</v>
      </c>
      <c r="X253" s="147" t="s">
        <v>343</v>
      </c>
      <c r="Y253" s="147" t="s">
        <v>343</v>
      </c>
      <c r="Z253" s="147" t="s">
        <v>600</v>
      </c>
      <c r="AA253" s="147" t="s">
        <v>771</v>
      </c>
      <c r="AB253" s="147" t="s">
        <v>686</v>
      </c>
      <c r="AC253" s="147" t="s">
        <v>643</v>
      </c>
      <c r="AD253" s="147" t="s">
        <v>687</v>
      </c>
      <c r="AE253" s="147" t="s">
        <v>510</v>
      </c>
      <c r="AF253" s="147" t="s">
        <v>343</v>
      </c>
    </row>
    <row r="254" spans="1:32">
      <c r="A254" s="147" t="s">
        <v>909</v>
      </c>
      <c r="B254" s="147" t="s">
        <v>502</v>
      </c>
      <c r="C254" s="147" t="s">
        <v>503</v>
      </c>
      <c r="D254" s="147" t="s">
        <v>504</v>
      </c>
      <c r="E254" s="147" t="s">
        <v>343</v>
      </c>
      <c r="F254" s="147" t="s">
        <v>592</v>
      </c>
      <c r="G254" s="147" t="s">
        <v>247</v>
      </c>
      <c r="H254" s="147">
        <v>2</v>
      </c>
      <c r="I254" s="147" t="s">
        <v>343</v>
      </c>
      <c r="J254" s="148">
        <v>603.25</v>
      </c>
      <c r="K254" s="147">
        <v>3</v>
      </c>
      <c r="L254" s="147" t="s">
        <v>507</v>
      </c>
      <c r="M254" s="147">
        <v>3</v>
      </c>
      <c r="N254" s="147" t="s">
        <v>508</v>
      </c>
      <c r="O254" s="148">
        <v>1206.5</v>
      </c>
      <c r="P254" s="148">
        <v>373</v>
      </c>
      <c r="Q254" s="147" t="s">
        <v>343</v>
      </c>
      <c r="R254" s="148">
        <v>1206.5</v>
      </c>
      <c r="S254" s="149">
        <v>33.513888888888893</v>
      </c>
      <c r="T254" s="147" t="s">
        <v>510</v>
      </c>
      <c r="U254" s="147" t="s">
        <v>343</v>
      </c>
      <c r="V254" s="147" t="s">
        <v>510</v>
      </c>
      <c r="W254" s="147" t="s">
        <v>511</v>
      </c>
      <c r="X254" s="147" t="s">
        <v>535</v>
      </c>
      <c r="Y254" s="147" t="s">
        <v>347</v>
      </c>
      <c r="Z254" s="147" t="s">
        <v>512</v>
      </c>
      <c r="AA254" s="147" t="s">
        <v>907</v>
      </c>
      <c r="AB254" s="147" t="s">
        <v>653</v>
      </c>
      <c r="AC254" s="147" t="s">
        <v>538</v>
      </c>
      <c r="AD254" s="147" t="s">
        <v>516</v>
      </c>
      <c r="AE254" s="147" t="s">
        <v>509</v>
      </c>
      <c r="AF254" s="147" t="s">
        <v>343</v>
      </c>
    </row>
    <row r="255" spans="1:32">
      <c r="A255" s="147" t="s">
        <v>910</v>
      </c>
      <c r="B255" s="147" t="s">
        <v>567</v>
      </c>
      <c r="C255" s="147" t="s">
        <v>733</v>
      </c>
      <c r="D255" s="147" t="s">
        <v>343</v>
      </c>
      <c r="E255" s="147" t="s">
        <v>343</v>
      </c>
      <c r="F255" s="147" t="s">
        <v>343</v>
      </c>
      <c r="G255" s="147" t="s">
        <v>242</v>
      </c>
      <c r="H255" s="147">
        <v>7</v>
      </c>
      <c r="I255" s="147" t="s">
        <v>343</v>
      </c>
      <c r="J255" s="148">
        <v>1125</v>
      </c>
      <c r="K255" s="147" t="s">
        <v>343</v>
      </c>
      <c r="L255" s="147" t="s">
        <v>640</v>
      </c>
      <c r="M255" s="147" t="s">
        <v>343</v>
      </c>
      <c r="N255" s="147" t="s">
        <v>343</v>
      </c>
      <c r="O255" s="148">
        <v>1125</v>
      </c>
      <c r="P255" s="147" t="s">
        <v>343</v>
      </c>
      <c r="Q255" s="147" t="s">
        <v>343</v>
      </c>
      <c r="R255" s="148">
        <v>1125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7" t="s">
        <v>343</v>
      </c>
      <c r="AA255" s="147" t="s">
        <v>343</v>
      </c>
      <c r="AB255" s="147" t="s">
        <v>343</v>
      </c>
      <c r="AC255" s="147" t="s">
        <v>343</v>
      </c>
      <c r="AD255" s="147" t="s">
        <v>343</v>
      </c>
      <c r="AE255" s="147" t="s">
        <v>343</v>
      </c>
      <c r="AF255" s="147" t="s">
        <v>343</v>
      </c>
    </row>
    <row r="256" spans="1:32">
      <c r="A256" s="147" t="s">
        <v>911</v>
      </c>
      <c r="B256" s="147" t="s">
        <v>19</v>
      </c>
      <c r="C256" s="147" t="s">
        <v>503</v>
      </c>
      <c r="D256" s="147" t="s">
        <v>504</v>
      </c>
      <c r="E256" s="147" t="s">
        <v>343</v>
      </c>
      <c r="F256" s="147" t="s">
        <v>506</v>
      </c>
      <c r="G256" s="147" t="s">
        <v>248</v>
      </c>
      <c r="H256" s="147">
        <v>1</v>
      </c>
      <c r="I256" s="147" t="s">
        <v>343</v>
      </c>
      <c r="J256" s="148">
        <v>1101</v>
      </c>
      <c r="K256" s="147">
        <v>6</v>
      </c>
      <c r="L256" s="147" t="s">
        <v>507</v>
      </c>
      <c r="M256" s="147">
        <v>6</v>
      </c>
      <c r="N256" s="147" t="s">
        <v>508</v>
      </c>
      <c r="O256" s="148">
        <v>1101</v>
      </c>
      <c r="P256" s="148">
        <v>1101</v>
      </c>
      <c r="Q256" s="147" t="s">
        <v>343</v>
      </c>
      <c r="R256" s="148">
        <v>1101</v>
      </c>
      <c r="S256" s="149">
        <v>15.291666666666666</v>
      </c>
      <c r="T256" s="147" t="s">
        <v>509</v>
      </c>
      <c r="U256" s="147" t="s">
        <v>343</v>
      </c>
      <c r="V256" s="147" t="s">
        <v>510</v>
      </c>
      <c r="W256" s="147" t="s">
        <v>511</v>
      </c>
      <c r="X256" s="147" t="s">
        <v>530</v>
      </c>
      <c r="Y256" s="147" t="s">
        <v>347</v>
      </c>
      <c r="Z256" s="147" t="s">
        <v>512</v>
      </c>
      <c r="AA256" s="147" t="s">
        <v>867</v>
      </c>
      <c r="AB256" s="147" t="s">
        <v>657</v>
      </c>
      <c r="AC256" s="147" t="s">
        <v>571</v>
      </c>
      <c r="AD256" s="147" t="s">
        <v>721</v>
      </c>
      <c r="AE256" s="147" t="s">
        <v>509</v>
      </c>
      <c r="AF256" s="147" t="s">
        <v>343</v>
      </c>
    </row>
    <row r="257" spans="1:32">
      <c r="A257" s="147" t="s">
        <v>912</v>
      </c>
      <c r="B257" s="147" t="s">
        <v>567</v>
      </c>
      <c r="C257" s="147" t="s">
        <v>733</v>
      </c>
      <c r="D257" s="147" t="s">
        <v>343</v>
      </c>
      <c r="E257" s="147" t="s">
        <v>343</v>
      </c>
      <c r="F257" s="147" t="s">
        <v>343</v>
      </c>
      <c r="G257" s="147" t="s">
        <v>208</v>
      </c>
      <c r="H257" s="147">
        <v>11</v>
      </c>
      <c r="I257" s="147" t="s">
        <v>343</v>
      </c>
      <c r="J257" s="148">
        <v>1080</v>
      </c>
      <c r="K257" s="147" t="s">
        <v>343</v>
      </c>
      <c r="L257" s="147" t="s">
        <v>640</v>
      </c>
      <c r="M257" s="147" t="s">
        <v>343</v>
      </c>
      <c r="N257" s="147" t="s">
        <v>343</v>
      </c>
      <c r="O257" s="148">
        <v>1080</v>
      </c>
      <c r="P257" s="147" t="s">
        <v>343</v>
      </c>
      <c r="Q257" s="148">
        <v>1080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7" t="s">
        <v>343</v>
      </c>
      <c r="W257" s="147" t="s">
        <v>343</v>
      </c>
      <c r="X257" s="147" t="s">
        <v>343</v>
      </c>
      <c r="Y257" s="147" t="s">
        <v>343</v>
      </c>
      <c r="Z257" s="147" t="s">
        <v>343</v>
      </c>
      <c r="AA257" s="147" t="s">
        <v>343</v>
      </c>
      <c r="AB257" s="147" t="s">
        <v>343</v>
      </c>
      <c r="AC257" s="147" t="s">
        <v>343</v>
      </c>
      <c r="AD257" s="147" t="s">
        <v>343</v>
      </c>
      <c r="AE257" s="147" t="s">
        <v>343</v>
      </c>
      <c r="AF257" s="147" t="s">
        <v>343</v>
      </c>
    </row>
    <row r="258" spans="1:32">
      <c r="A258" s="147" t="s">
        <v>913</v>
      </c>
      <c r="B258" s="147" t="s">
        <v>502</v>
      </c>
      <c r="C258" s="147" t="s">
        <v>683</v>
      </c>
      <c r="D258" s="147" t="s">
        <v>684</v>
      </c>
      <c r="E258" s="147" t="s">
        <v>343</v>
      </c>
      <c r="F258" s="147" t="s">
        <v>343</v>
      </c>
      <c r="G258" s="147" t="s">
        <v>245</v>
      </c>
      <c r="H258" s="147">
        <v>4</v>
      </c>
      <c r="I258" s="147" t="s">
        <v>343</v>
      </c>
      <c r="J258" s="148">
        <v>260</v>
      </c>
      <c r="K258" s="147" t="s">
        <v>343</v>
      </c>
      <c r="L258" s="147" t="s">
        <v>709</v>
      </c>
      <c r="M258" s="147" t="s">
        <v>343</v>
      </c>
      <c r="N258" s="147" t="s">
        <v>343</v>
      </c>
      <c r="O258" s="148">
        <v>1040</v>
      </c>
      <c r="P258" s="148">
        <v>260</v>
      </c>
      <c r="Q258" s="147" t="s">
        <v>343</v>
      </c>
      <c r="R258" s="148">
        <v>1040</v>
      </c>
      <c r="S258" s="147" t="s">
        <v>343</v>
      </c>
      <c r="T258" s="147" t="s">
        <v>510</v>
      </c>
      <c r="U258" s="147" t="s">
        <v>343</v>
      </c>
      <c r="V258" s="147" t="s">
        <v>510</v>
      </c>
      <c r="W258" s="147" t="s">
        <v>518</v>
      </c>
      <c r="X258" s="147" t="s">
        <v>535</v>
      </c>
      <c r="Y258" s="147" t="s">
        <v>343</v>
      </c>
      <c r="Z258" s="147" t="s">
        <v>600</v>
      </c>
      <c r="AA258" s="147" t="s">
        <v>710</v>
      </c>
      <c r="AB258" s="147" t="s">
        <v>686</v>
      </c>
      <c r="AC258" s="147" t="s">
        <v>571</v>
      </c>
      <c r="AD258" s="147" t="s">
        <v>687</v>
      </c>
      <c r="AE258" s="147" t="s">
        <v>510</v>
      </c>
      <c r="AF258" s="147" t="s">
        <v>343</v>
      </c>
    </row>
    <row r="259" spans="1:32">
      <c r="A259" s="147" t="s">
        <v>914</v>
      </c>
      <c r="B259" s="147" t="s">
        <v>567</v>
      </c>
      <c r="C259" s="147" t="s">
        <v>637</v>
      </c>
      <c r="D259" s="147" t="s">
        <v>343</v>
      </c>
      <c r="E259" s="147" t="s">
        <v>343</v>
      </c>
      <c r="F259" s="147" t="s">
        <v>343</v>
      </c>
      <c r="G259" s="147" t="s">
        <v>639</v>
      </c>
      <c r="H259" s="147">
        <v>56</v>
      </c>
      <c r="I259" s="147" t="s">
        <v>242</v>
      </c>
      <c r="J259" s="148">
        <v>148.33333333333334</v>
      </c>
      <c r="K259" s="147" t="s">
        <v>343</v>
      </c>
      <c r="L259" s="147" t="s">
        <v>640</v>
      </c>
      <c r="M259" s="147" t="s">
        <v>343</v>
      </c>
      <c r="N259" s="147" t="s">
        <v>343</v>
      </c>
      <c r="O259" s="148">
        <v>1000</v>
      </c>
      <c r="P259" s="147" t="s">
        <v>343</v>
      </c>
      <c r="Q259" s="148">
        <v>2325</v>
      </c>
      <c r="R259" s="148">
        <v>75</v>
      </c>
      <c r="S259" s="147" t="s">
        <v>343</v>
      </c>
      <c r="T259" s="147" t="s">
        <v>510</v>
      </c>
      <c r="U259" s="147" t="s">
        <v>343</v>
      </c>
      <c r="V259" s="147" t="s">
        <v>510</v>
      </c>
      <c r="W259" s="147" t="s">
        <v>343</v>
      </c>
      <c r="X259" s="147" t="s">
        <v>343</v>
      </c>
      <c r="Y259" s="147" t="s">
        <v>343</v>
      </c>
      <c r="Z259" s="147" t="s">
        <v>343</v>
      </c>
      <c r="AA259" s="147" t="s">
        <v>641</v>
      </c>
      <c r="AB259" s="147" t="s">
        <v>642</v>
      </c>
      <c r="AC259" s="147" t="s">
        <v>343</v>
      </c>
      <c r="AD259" s="147" t="s">
        <v>343</v>
      </c>
      <c r="AE259" s="147" t="s">
        <v>510</v>
      </c>
      <c r="AF259" s="147" t="s">
        <v>509</v>
      </c>
    </row>
    <row r="260" spans="1:32">
      <c r="A260" s="147" t="s">
        <v>915</v>
      </c>
      <c r="B260" s="147" t="s">
        <v>567</v>
      </c>
      <c r="C260" s="147" t="s">
        <v>662</v>
      </c>
      <c r="D260" s="147" t="s">
        <v>343</v>
      </c>
      <c r="E260" s="147" t="s">
        <v>343</v>
      </c>
      <c r="F260" s="147" t="s">
        <v>343</v>
      </c>
      <c r="G260" s="147" t="s">
        <v>207</v>
      </c>
      <c r="H260" s="147">
        <v>2</v>
      </c>
      <c r="I260" s="147" t="s">
        <v>209</v>
      </c>
      <c r="J260" s="148">
        <v>490</v>
      </c>
      <c r="K260" s="147" t="s">
        <v>343</v>
      </c>
      <c r="L260" s="147" t="s">
        <v>640</v>
      </c>
      <c r="M260" s="147" t="s">
        <v>343</v>
      </c>
      <c r="N260" s="147" t="s">
        <v>343</v>
      </c>
      <c r="O260" s="148">
        <v>980</v>
      </c>
      <c r="P260" s="147" t="s">
        <v>343</v>
      </c>
      <c r="Q260" s="148">
        <v>980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7" t="s">
        <v>343</v>
      </c>
      <c r="AD260" s="147" t="s">
        <v>343</v>
      </c>
      <c r="AE260" s="147" t="s">
        <v>343</v>
      </c>
      <c r="AF260" s="147" t="s">
        <v>510</v>
      </c>
    </row>
    <row r="261" spans="1:32">
      <c r="A261" s="147" t="s">
        <v>916</v>
      </c>
      <c r="B261" s="147" t="s">
        <v>19</v>
      </c>
      <c r="C261" s="147" t="s">
        <v>683</v>
      </c>
      <c r="D261" s="147" t="s">
        <v>684</v>
      </c>
      <c r="E261" s="147" t="s">
        <v>343</v>
      </c>
      <c r="F261" s="147" t="s">
        <v>343</v>
      </c>
      <c r="G261" s="147" t="s">
        <v>243</v>
      </c>
      <c r="H261" s="147">
        <v>6</v>
      </c>
      <c r="I261" s="147" t="s">
        <v>343</v>
      </c>
      <c r="J261" s="148">
        <v>975</v>
      </c>
      <c r="K261" s="147" t="s">
        <v>343</v>
      </c>
      <c r="L261" s="147" t="s">
        <v>709</v>
      </c>
      <c r="M261" s="147" t="s">
        <v>343</v>
      </c>
      <c r="N261" s="147" t="s">
        <v>343</v>
      </c>
      <c r="O261" s="148">
        <v>975</v>
      </c>
      <c r="P261" s="147" t="s">
        <v>343</v>
      </c>
      <c r="Q261" s="147" t="s">
        <v>343</v>
      </c>
      <c r="R261" s="148">
        <v>975</v>
      </c>
      <c r="S261" s="147" t="s">
        <v>343</v>
      </c>
      <c r="T261" s="147" t="s">
        <v>510</v>
      </c>
      <c r="U261" s="147" t="s">
        <v>343</v>
      </c>
      <c r="V261" s="147" t="s">
        <v>510</v>
      </c>
      <c r="W261" s="147" t="s">
        <v>518</v>
      </c>
      <c r="X261" s="147" t="s">
        <v>343</v>
      </c>
      <c r="Y261" s="147" t="s">
        <v>343</v>
      </c>
      <c r="Z261" s="147" t="s">
        <v>343</v>
      </c>
      <c r="AA261" s="147" t="s">
        <v>656</v>
      </c>
      <c r="AB261" s="147" t="s">
        <v>657</v>
      </c>
      <c r="AC261" s="147" t="s">
        <v>571</v>
      </c>
      <c r="AD261" s="147" t="s">
        <v>721</v>
      </c>
      <c r="AE261" s="147" t="s">
        <v>509</v>
      </c>
      <c r="AF261" s="147" t="s">
        <v>343</v>
      </c>
    </row>
    <row r="262" spans="1:32">
      <c r="A262" s="147" t="s">
        <v>917</v>
      </c>
      <c r="B262" s="147" t="s">
        <v>567</v>
      </c>
      <c r="C262" s="147" t="s">
        <v>733</v>
      </c>
      <c r="D262" s="147" t="s">
        <v>343</v>
      </c>
      <c r="E262" s="147" t="s">
        <v>343</v>
      </c>
      <c r="F262" s="147" t="s">
        <v>343</v>
      </c>
      <c r="G262" s="147" t="s">
        <v>243</v>
      </c>
      <c r="H262" s="147">
        <v>6</v>
      </c>
      <c r="I262" s="147" t="s">
        <v>343</v>
      </c>
      <c r="J262" s="148">
        <v>975</v>
      </c>
      <c r="K262" s="147" t="s">
        <v>343</v>
      </c>
      <c r="L262" s="147" t="s">
        <v>640</v>
      </c>
      <c r="M262" s="147" t="s">
        <v>343</v>
      </c>
      <c r="N262" s="147" t="s">
        <v>343</v>
      </c>
      <c r="O262" s="148">
        <v>975</v>
      </c>
      <c r="P262" s="147" t="s">
        <v>343</v>
      </c>
      <c r="Q262" s="147" t="s">
        <v>343</v>
      </c>
      <c r="R262" s="148">
        <v>975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7" t="s">
        <v>343</v>
      </c>
      <c r="AA262" s="147" t="s">
        <v>343</v>
      </c>
      <c r="AB262" s="147" t="s">
        <v>343</v>
      </c>
      <c r="AC262" s="147" t="s">
        <v>343</v>
      </c>
      <c r="AD262" s="147" t="s">
        <v>343</v>
      </c>
      <c r="AE262" s="147" t="s">
        <v>343</v>
      </c>
      <c r="AF262" s="147" t="s">
        <v>343</v>
      </c>
    </row>
    <row r="263" spans="1:32">
      <c r="A263" s="147" t="s">
        <v>918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343</v>
      </c>
      <c r="G263" s="147" t="s">
        <v>919</v>
      </c>
      <c r="H263" s="147">
        <v>47</v>
      </c>
      <c r="I263" s="147" t="s">
        <v>245</v>
      </c>
      <c r="J263" s="148">
        <v>65.5</v>
      </c>
      <c r="K263" s="147" t="s">
        <v>343</v>
      </c>
      <c r="L263" s="147" t="s">
        <v>640</v>
      </c>
      <c r="M263" s="147" t="s">
        <v>343</v>
      </c>
      <c r="N263" s="147" t="s">
        <v>343</v>
      </c>
      <c r="O263" s="148">
        <v>956.5</v>
      </c>
      <c r="P263" s="147" t="s">
        <v>343</v>
      </c>
      <c r="Q263" s="148">
        <v>1895</v>
      </c>
      <c r="R263" s="148">
        <v>196.5</v>
      </c>
      <c r="S263" s="147" t="s">
        <v>343</v>
      </c>
      <c r="T263" s="147" t="s">
        <v>510</v>
      </c>
      <c r="U263" s="147" t="s">
        <v>343</v>
      </c>
      <c r="V263" s="147" t="s">
        <v>510</v>
      </c>
      <c r="W263" s="147" t="s">
        <v>343</v>
      </c>
      <c r="X263" s="147" t="s">
        <v>343</v>
      </c>
      <c r="Y263" s="147" t="s">
        <v>343</v>
      </c>
      <c r="Z263" s="147" t="s">
        <v>343</v>
      </c>
      <c r="AA263" s="147" t="s">
        <v>641</v>
      </c>
      <c r="AB263" s="147" t="s">
        <v>642</v>
      </c>
      <c r="AC263" s="147" t="s">
        <v>343</v>
      </c>
      <c r="AD263" s="147" t="s">
        <v>343</v>
      </c>
      <c r="AE263" s="147" t="s">
        <v>510</v>
      </c>
      <c r="AF263" s="147" t="s">
        <v>509</v>
      </c>
    </row>
    <row r="264" spans="1:32">
      <c r="A264" s="147" t="s">
        <v>920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343</v>
      </c>
      <c r="G264" s="147" t="s">
        <v>130</v>
      </c>
      <c r="H264" s="147">
        <v>13</v>
      </c>
      <c r="I264" s="147" t="s">
        <v>209</v>
      </c>
      <c r="J264" s="148">
        <v>450</v>
      </c>
      <c r="K264" s="147" t="s">
        <v>343</v>
      </c>
      <c r="L264" s="147" t="s">
        <v>640</v>
      </c>
      <c r="M264" s="147" t="s">
        <v>343</v>
      </c>
      <c r="N264" s="147" t="s">
        <v>343</v>
      </c>
      <c r="O264" s="148">
        <v>900</v>
      </c>
      <c r="P264" s="147" t="s">
        <v>343</v>
      </c>
      <c r="Q264" s="148">
        <v>4050</v>
      </c>
      <c r="R264" s="147" t="s">
        <v>343</v>
      </c>
      <c r="S264" s="147" t="s">
        <v>343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7" t="s">
        <v>343</v>
      </c>
      <c r="AE264" s="147" t="s">
        <v>343</v>
      </c>
      <c r="AF264" s="147" t="s">
        <v>509</v>
      </c>
    </row>
    <row r="265" spans="1:32">
      <c r="A265" s="147" t="s">
        <v>921</v>
      </c>
      <c r="B265" s="147" t="s">
        <v>567</v>
      </c>
      <c r="C265" s="147" t="s">
        <v>733</v>
      </c>
      <c r="D265" s="147" t="s">
        <v>343</v>
      </c>
      <c r="E265" s="147" t="s">
        <v>343</v>
      </c>
      <c r="F265" s="147" t="s">
        <v>343</v>
      </c>
      <c r="G265" s="147" t="s">
        <v>125</v>
      </c>
      <c r="H265" s="147">
        <v>28</v>
      </c>
      <c r="I265" s="147" t="s">
        <v>343</v>
      </c>
      <c r="J265" s="148">
        <v>425</v>
      </c>
      <c r="K265" s="147">
        <v>5</v>
      </c>
      <c r="L265" s="147" t="s">
        <v>568</v>
      </c>
      <c r="M265" s="147" t="s">
        <v>343</v>
      </c>
      <c r="N265" s="147" t="s">
        <v>343</v>
      </c>
      <c r="O265" s="148">
        <v>875</v>
      </c>
      <c r="P265" s="147" t="s">
        <v>343</v>
      </c>
      <c r="Q265" s="148">
        <v>3750</v>
      </c>
      <c r="R265" s="147" t="s">
        <v>343</v>
      </c>
      <c r="S265" s="149">
        <v>14.583333333333334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7" t="s">
        <v>343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7" t="s">
        <v>343</v>
      </c>
      <c r="AE265" s="147" t="s">
        <v>343</v>
      </c>
      <c r="AF265" s="147" t="s">
        <v>343</v>
      </c>
    </row>
    <row r="266" spans="1:32">
      <c r="A266" s="147" t="s">
        <v>922</v>
      </c>
      <c r="B266" s="147" t="s">
        <v>567</v>
      </c>
      <c r="C266" s="147" t="s">
        <v>683</v>
      </c>
      <c r="D266" s="147" t="s">
        <v>684</v>
      </c>
      <c r="E266" s="147" t="s">
        <v>343</v>
      </c>
      <c r="F266" s="147" t="s">
        <v>343</v>
      </c>
      <c r="G266" s="147" t="s">
        <v>242</v>
      </c>
      <c r="H266" s="147">
        <v>5</v>
      </c>
      <c r="I266" s="147" t="s">
        <v>247</v>
      </c>
      <c r="J266" s="148">
        <v>160</v>
      </c>
      <c r="K266" s="147">
        <v>0</v>
      </c>
      <c r="L266" s="147" t="s">
        <v>507</v>
      </c>
      <c r="M266" s="147">
        <v>0</v>
      </c>
      <c r="N266" s="147" t="s">
        <v>508</v>
      </c>
      <c r="O266" s="148">
        <v>800</v>
      </c>
      <c r="P266" s="147" t="s">
        <v>343</v>
      </c>
      <c r="Q266" s="147" t="s">
        <v>343</v>
      </c>
      <c r="R266" s="148">
        <v>800</v>
      </c>
      <c r="S266" s="147" t="s">
        <v>343</v>
      </c>
      <c r="T266" s="147" t="s">
        <v>510</v>
      </c>
      <c r="U266" s="147" t="s">
        <v>343</v>
      </c>
      <c r="V266" s="147" t="s">
        <v>510</v>
      </c>
      <c r="W266" s="147" t="s">
        <v>343</v>
      </c>
      <c r="X266" s="147" t="s">
        <v>343</v>
      </c>
      <c r="Y266" s="147" t="s">
        <v>343</v>
      </c>
      <c r="Z266" s="147" t="s">
        <v>600</v>
      </c>
      <c r="AA266" s="147" t="s">
        <v>771</v>
      </c>
      <c r="AB266" s="147" t="s">
        <v>686</v>
      </c>
      <c r="AC266" s="147" t="s">
        <v>643</v>
      </c>
      <c r="AD266" s="147" t="s">
        <v>516</v>
      </c>
      <c r="AE266" s="147" t="s">
        <v>510</v>
      </c>
      <c r="AF266" s="147" t="s">
        <v>509</v>
      </c>
    </row>
    <row r="267" spans="1:32">
      <c r="A267" s="147" t="s">
        <v>923</v>
      </c>
      <c r="B267" s="147" t="s">
        <v>567</v>
      </c>
      <c r="C267" s="147" t="s">
        <v>683</v>
      </c>
      <c r="D267" s="147" t="s">
        <v>684</v>
      </c>
      <c r="E267" s="147" t="s">
        <v>343</v>
      </c>
      <c r="F267" s="147" t="s">
        <v>343</v>
      </c>
      <c r="G267" s="147" t="s">
        <v>242</v>
      </c>
      <c r="H267" s="147">
        <v>5</v>
      </c>
      <c r="I267" s="147" t="s">
        <v>247</v>
      </c>
      <c r="J267" s="148">
        <v>160</v>
      </c>
      <c r="K267" s="147">
        <v>0</v>
      </c>
      <c r="L267" s="147" t="s">
        <v>507</v>
      </c>
      <c r="M267" s="147">
        <v>0</v>
      </c>
      <c r="N267" s="147" t="s">
        <v>508</v>
      </c>
      <c r="O267" s="148">
        <v>800</v>
      </c>
      <c r="P267" s="147" t="s">
        <v>343</v>
      </c>
      <c r="Q267" s="147" t="s">
        <v>343</v>
      </c>
      <c r="R267" s="148">
        <v>800</v>
      </c>
      <c r="S267" s="147" t="s">
        <v>343</v>
      </c>
      <c r="T267" s="147" t="s">
        <v>510</v>
      </c>
      <c r="U267" s="147" t="s">
        <v>343</v>
      </c>
      <c r="V267" s="147" t="s">
        <v>510</v>
      </c>
      <c r="W267" s="147" t="s">
        <v>343</v>
      </c>
      <c r="X267" s="147" t="s">
        <v>343</v>
      </c>
      <c r="Y267" s="147" t="s">
        <v>343</v>
      </c>
      <c r="Z267" s="147" t="s">
        <v>600</v>
      </c>
      <c r="AA267" s="147" t="s">
        <v>771</v>
      </c>
      <c r="AB267" s="147" t="s">
        <v>686</v>
      </c>
      <c r="AC267" s="147" t="s">
        <v>643</v>
      </c>
      <c r="AD267" s="147" t="s">
        <v>516</v>
      </c>
      <c r="AE267" s="147" t="s">
        <v>510</v>
      </c>
      <c r="AF267" s="147" t="s">
        <v>509</v>
      </c>
    </row>
    <row r="268" spans="1:32">
      <c r="A268" s="147" t="s">
        <v>924</v>
      </c>
      <c r="B268" s="147" t="s">
        <v>567</v>
      </c>
      <c r="C268" s="147" t="s">
        <v>877</v>
      </c>
      <c r="D268" s="147" t="s">
        <v>343</v>
      </c>
      <c r="E268" s="147" t="s">
        <v>343</v>
      </c>
      <c r="F268" s="147" t="s">
        <v>343</v>
      </c>
      <c r="G268" s="147" t="s">
        <v>207</v>
      </c>
      <c r="H268" s="147">
        <v>2</v>
      </c>
      <c r="I268" s="147" t="s">
        <v>209</v>
      </c>
      <c r="J268" s="148">
        <v>400</v>
      </c>
      <c r="K268" s="147" t="s">
        <v>343</v>
      </c>
      <c r="L268" s="147" t="s">
        <v>640</v>
      </c>
      <c r="M268" s="147" t="s">
        <v>343</v>
      </c>
      <c r="N268" s="147" t="s">
        <v>343</v>
      </c>
      <c r="O268" s="148">
        <v>800</v>
      </c>
      <c r="P268" s="147" t="s">
        <v>343</v>
      </c>
      <c r="Q268" s="148">
        <v>800</v>
      </c>
      <c r="R268" s="147" t="s">
        <v>343</v>
      </c>
      <c r="S268" s="147" t="s">
        <v>343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7" t="s">
        <v>343</v>
      </c>
      <c r="AE268" s="147" t="s">
        <v>343</v>
      </c>
      <c r="AF268" s="147" t="s">
        <v>510</v>
      </c>
    </row>
    <row r="269" spans="1:32">
      <c r="A269" s="147" t="s">
        <v>925</v>
      </c>
      <c r="B269" s="147" t="s">
        <v>567</v>
      </c>
      <c r="C269" s="147" t="s">
        <v>662</v>
      </c>
      <c r="D269" s="147" t="s">
        <v>343</v>
      </c>
      <c r="E269" s="147" t="s">
        <v>343</v>
      </c>
      <c r="F269" s="147" t="s">
        <v>343</v>
      </c>
      <c r="G269" s="147" t="s">
        <v>210</v>
      </c>
      <c r="H269" s="147">
        <v>2</v>
      </c>
      <c r="I269" s="147" t="s">
        <v>242</v>
      </c>
      <c r="J269" s="148">
        <v>400</v>
      </c>
      <c r="K269" s="147" t="s">
        <v>343</v>
      </c>
      <c r="L269" s="147" t="s">
        <v>640</v>
      </c>
      <c r="M269" s="147" t="s">
        <v>343</v>
      </c>
      <c r="N269" s="147" t="s">
        <v>343</v>
      </c>
      <c r="O269" s="148">
        <v>800</v>
      </c>
      <c r="P269" s="147" t="s">
        <v>343</v>
      </c>
      <c r="Q269" s="148">
        <v>800</v>
      </c>
      <c r="R269" s="147" t="s">
        <v>343</v>
      </c>
      <c r="S269" s="147" t="s">
        <v>343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7" t="s">
        <v>343</v>
      </c>
      <c r="AE269" s="147" t="s">
        <v>343</v>
      </c>
      <c r="AF269" s="147" t="s">
        <v>510</v>
      </c>
    </row>
    <row r="270" spans="1:32">
      <c r="A270" s="147" t="s">
        <v>926</v>
      </c>
      <c r="B270" s="147" t="s">
        <v>567</v>
      </c>
      <c r="C270" s="147" t="s">
        <v>637</v>
      </c>
      <c r="D270" s="147" t="s">
        <v>672</v>
      </c>
      <c r="E270" s="147" t="s">
        <v>343</v>
      </c>
      <c r="F270" s="147" t="s">
        <v>343</v>
      </c>
      <c r="G270" s="147" t="s">
        <v>639</v>
      </c>
      <c r="H270" s="147">
        <v>56</v>
      </c>
      <c r="I270" s="147" t="s">
        <v>242</v>
      </c>
      <c r="J270" s="148">
        <v>147</v>
      </c>
      <c r="K270" s="147" t="s">
        <v>343</v>
      </c>
      <c r="L270" s="147" t="s">
        <v>640</v>
      </c>
      <c r="M270" s="147" t="s">
        <v>343</v>
      </c>
      <c r="N270" s="147" t="s">
        <v>343</v>
      </c>
      <c r="O270" s="148">
        <v>735</v>
      </c>
      <c r="P270" s="147" t="s">
        <v>343</v>
      </c>
      <c r="Q270" s="148">
        <v>1809</v>
      </c>
      <c r="R270" s="147" t="s">
        <v>343</v>
      </c>
      <c r="S270" s="147" t="s">
        <v>343</v>
      </c>
      <c r="T270" s="147" t="s">
        <v>510</v>
      </c>
      <c r="U270" s="147" t="s">
        <v>343</v>
      </c>
      <c r="V270" s="147" t="s">
        <v>510</v>
      </c>
      <c r="W270" s="147" t="s">
        <v>343</v>
      </c>
      <c r="X270" s="147" t="s">
        <v>343</v>
      </c>
      <c r="Y270" s="147" t="s">
        <v>343</v>
      </c>
      <c r="Z270" s="147" t="s">
        <v>600</v>
      </c>
      <c r="AA270" s="147" t="s">
        <v>641</v>
      </c>
      <c r="AB270" s="147" t="s">
        <v>642</v>
      </c>
      <c r="AC270" s="147" t="s">
        <v>643</v>
      </c>
      <c r="AD270" s="147" t="s">
        <v>528</v>
      </c>
      <c r="AE270" s="147" t="s">
        <v>510</v>
      </c>
      <c r="AF270" s="147" t="s">
        <v>509</v>
      </c>
    </row>
    <row r="271" spans="1:32">
      <c r="A271" s="147" t="s">
        <v>927</v>
      </c>
      <c r="B271" s="147" t="s">
        <v>567</v>
      </c>
      <c r="C271" s="147" t="s">
        <v>662</v>
      </c>
      <c r="D271" s="147" t="s">
        <v>343</v>
      </c>
      <c r="E271" s="147" t="s">
        <v>343</v>
      </c>
      <c r="F271" s="147" t="s">
        <v>343</v>
      </c>
      <c r="G271" s="147" t="s">
        <v>209</v>
      </c>
      <c r="H271" s="147">
        <v>2</v>
      </c>
      <c r="I271" s="147" t="s">
        <v>211</v>
      </c>
      <c r="J271" s="148">
        <v>362.5</v>
      </c>
      <c r="K271" s="147" t="s">
        <v>343</v>
      </c>
      <c r="L271" s="147" t="s">
        <v>640</v>
      </c>
      <c r="M271" s="147" t="s">
        <v>343</v>
      </c>
      <c r="N271" s="147" t="s">
        <v>343</v>
      </c>
      <c r="O271" s="148">
        <v>725</v>
      </c>
      <c r="P271" s="147" t="s">
        <v>343</v>
      </c>
      <c r="Q271" s="148">
        <v>725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7" t="s">
        <v>343</v>
      </c>
      <c r="X271" s="147" t="s">
        <v>343</v>
      </c>
      <c r="Y271" s="147" t="s">
        <v>343</v>
      </c>
      <c r="Z271" s="147" t="s">
        <v>343</v>
      </c>
      <c r="AA271" s="147" t="s">
        <v>343</v>
      </c>
      <c r="AB271" s="147" t="s">
        <v>343</v>
      </c>
      <c r="AC271" s="147" t="s">
        <v>343</v>
      </c>
      <c r="AD271" s="147" t="s">
        <v>343</v>
      </c>
      <c r="AE271" s="147" t="s">
        <v>343</v>
      </c>
      <c r="AF271" s="147" t="s">
        <v>510</v>
      </c>
    </row>
    <row r="272" spans="1:32">
      <c r="A272" s="147" t="s">
        <v>928</v>
      </c>
      <c r="B272" s="147" t="s">
        <v>567</v>
      </c>
      <c r="C272" s="147" t="s">
        <v>733</v>
      </c>
      <c r="D272" s="147" t="s">
        <v>343</v>
      </c>
      <c r="E272" s="147" t="s">
        <v>343</v>
      </c>
      <c r="F272" s="147" t="s">
        <v>343</v>
      </c>
      <c r="G272" s="147" t="s">
        <v>243</v>
      </c>
      <c r="H272" s="147">
        <v>6</v>
      </c>
      <c r="I272" s="147" t="s">
        <v>343</v>
      </c>
      <c r="J272" s="148">
        <v>650</v>
      </c>
      <c r="K272" s="147" t="s">
        <v>343</v>
      </c>
      <c r="L272" s="147" t="s">
        <v>640</v>
      </c>
      <c r="M272" s="147" t="s">
        <v>343</v>
      </c>
      <c r="N272" s="147" t="s">
        <v>343</v>
      </c>
      <c r="O272" s="148">
        <v>650</v>
      </c>
      <c r="P272" s="147" t="s">
        <v>343</v>
      </c>
      <c r="Q272" s="147" t="s">
        <v>343</v>
      </c>
      <c r="R272" s="148">
        <v>650</v>
      </c>
      <c r="S272" s="147" t="s">
        <v>343</v>
      </c>
      <c r="T272" s="147" t="s">
        <v>343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7" t="s">
        <v>343</v>
      </c>
      <c r="AE272" s="147" t="s">
        <v>343</v>
      </c>
      <c r="AF272" s="147" t="s">
        <v>343</v>
      </c>
    </row>
    <row r="273" spans="1:32">
      <c r="A273" s="147" t="s">
        <v>929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343</v>
      </c>
      <c r="G273" s="147" t="s">
        <v>123</v>
      </c>
      <c r="H273" s="147">
        <v>19</v>
      </c>
      <c r="I273" s="147" t="s">
        <v>208</v>
      </c>
      <c r="J273" s="148">
        <v>183.33333333333334</v>
      </c>
      <c r="K273" s="147" t="s">
        <v>343</v>
      </c>
      <c r="L273" s="147" t="s">
        <v>640</v>
      </c>
      <c r="M273" s="147" t="s">
        <v>343</v>
      </c>
      <c r="N273" s="147" t="s">
        <v>343</v>
      </c>
      <c r="O273" s="148">
        <v>550</v>
      </c>
      <c r="P273" s="147" t="s">
        <v>343</v>
      </c>
      <c r="Q273" s="148">
        <v>4460</v>
      </c>
      <c r="R273" s="147" t="s">
        <v>343</v>
      </c>
      <c r="S273" s="147" t="s">
        <v>343</v>
      </c>
      <c r="T273" s="147" t="s">
        <v>343</v>
      </c>
      <c r="U273" s="147" t="s">
        <v>343</v>
      </c>
      <c r="V273" s="147" t="s">
        <v>343</v>
      </c>
      <c r="W273" s="147" t="s">
        <v>343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7" t="s">
        <v>343</v>
      </c>
      <c r="AE273" s="147" t="s">
        <v>343</v>
      </c>
      <c r="AF273" s="147" t="s">
        <v>509</v>
      </c>
    </row>
    <row r="274" spans="1:32">
      <c r="A274" s="147" t="s">
        <v>930</v>
      </c>
      <c r="B274" s="147" t="s">
        <v>567</v>
      </c>
      <c r="C274" s="147" t="s">
        <v>733</v>
      </c>
      <c r="D274" s="147" t="s">
        <v>343</v>
      </c>
      <c r="E274" s="147" t="s">
        <v>343</v>
      </c>
      <c r="F274" s="147" t="s">
        <v>343</v>
      </c>
      <c r="G274" s="147" t="s">
        <v>209</v>
      </c>
      <c r="H274" s="147">
        <v>10</v>
      </c>
      <c r="I274" s="147" t="s">
        <v>343</v>
      </c>
      <c r="J274" s="148">
        <v>495</v>
      </c>
      <c r="K274" s="147" t="s">
        <v>343</v>
      </c>
      <c r="L274" s="147" t="s">
        <v>640</v>
      </c>
      <c r="M274" s="147" t="s">
        <v>343</v>
      </c>
      <c r="N274" s="147" t="s">
        <v>343</v>
      </c>
      <c r="O274" s="148">
        <v>495</v>
      </c>
      <c r="P274" s="147" t="s">
        <v>343</v>
      </c>
      <c r="Q274" s="148">
        <v>495</v>
      </c>
      <c r="R274" s="147" t="s">
        <v>343</v>
      </c>
      <c r="S274" s="147" t="s">
        <v>343</v>
      </c>
      <c r="T274" s="147" t="s">
        <v>343</v>
      </c>
      <c r="U274" s="147" t="s">
        <v>343</v>
      </c>
      <c r="V274" s="147" t="s">
        <v>343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7" t="s">
        <v>343</v>
      </c>
      <c r="AE274" s="147" t="s">
        <v>343</v>
      </c>
      <c r="AF274" s="147" t="s">
        <v>343</v>
      </c>
    </row>
    <row r="275" spans="1:32">
      <c r="A275" s="147" t="s">
        <v>931</v>
      </c>
      <c r="B275" s="147" t="s">
        <v>19</v>
      </c>
      <c r="C275" s="147" t="s">
        <v>683</v>
      </c>
      <c r="D275" s="147" t="s">
        <v>684</v>
      </c>
      <c r="E275" s="147" t="s">
        <v>343</v>
      </c>
      <c r="F275" s="147" t="s">
        <v>343</v>
      </c>
      <c r="G275" s="147" t="s">
        <v>248</v>
      </c>
      <c r="H275" s="147">
        <v>1</v>
      </c>
      <c r="I275" s="147" t="s">
        <v>343</v>
      </c>
      <c r="J275" s="148">
        <v>418</v>
      </c>
      <c r="K275" s="147" t="s">
        <v>343</v>
      </c>
      <c r="L275" s="147" t="s">
        <v>709</v>
      </c>
      <c r="M275" s="147" t="s">
        <v>343</v>
      </c>
      <c r="N275" s="147" t="s">
        <v>343</v>
      </c>
      <c r="O275" s="148">
        <v>418</v>
      </c>
      <c r="P275" s="148">
        <v>418</v>
      </c>
      <c r="Q275" s="147" t="s">
        <v>343</v>
      </c>
      <c r="R275" s="148">
        <v>418</v>
      </c>
      <c r="S275" s="147" t="s">
        <v>343</v>
      </c>
      <c r="T275" s="147" t="s">
        <v>510</v>
      </c>
      <c r="U275" s="147" t="s">
        <v>343</v>
      </c>
      <c r="V275" s="147" t="s">
        <v>510</v>
      </c>
      <c r="W275" s="147" t="s">
        <v>518</v>
      </c>
      <c r="X275" s="147" t="s">
        <v>535</v>
      </c>
      <c r="Y275" s="147" t="s">
        <v>343</v>
      </c>
      <c r="Z275" s="147" t="s">
        <v>600</v>
      </c>
      <c r="AA275" s="147" t="s">
        <v>867</v>
      </c>
      <c r="AB275" s="147" t="s">
        <v>657</v>
      </c>
      <c r="AC275" s="147" t="s">
        <v>571</v>
      </c>
      <c r="AD275" s="147" t="s">
        <v>721</v>
      </c>
      <c r="AE275" s="147" t="s">
        <v>510</v>
      </c>
      <c r="AF275" s="147" t="s">
        <v>343</v>
      </c>
    </row>
    <row r="276" spans="1:32">
      <c r="A276" s="147" t="s">
        <v>932</v>
      </c>
      <c r="B276" s="147" t="s">
        <v>567</v>
      </c>
      <c r="C276" s="147" t="s">
        <v>662</v>
      </c>
      <c r="D276" s="147" t="s">
        <v>343</v>
      </c>
      <c r="E276" s="147" t="s">
        <v>343</v>
      </c>
      <c r="F276" s="147" t="s">
        <v>343</v>
      </c>
      <c r="G276" s="147" t="s">
        <v>130</v>
      </c>
      <c r="H276" s="147">
        <v>12</v>
      </c>
      <c r="I276" s="147" t="s">
        <v>208</v>
      </c>
      <c r="J276" s="148">
        <v>395</v>
      </c>
      <c r="K276" s="147" t="s">
        <v>343</v>
      </c>
      <c r="L276" s="147" t="s">
        <v>640</v>
      </c>
      <c r="M276" s="147" t="s">
        <v>343</v>
      </c>
      <c r="N276" s="147" t="s">
        <v>343</v>
      </c>
      <c r="O276" s="148">
        <v>395</v>
      </c>
      <c r="P276" s="147" t="s">
        <v>343</v>
      </c>
      <c r="Q276" s="148">
        <v>3160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7" t="s">
        <v>343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7" t="s">
        <v>343</v>
      </c>
      <c r="AE276" s="147" t="s">
        <v>343</v>
      </c>
      <c r="AF276" s="147" t="s">
        <v>509</v>
      </c>
    </row>
    <row r="277" spans="1:32">
      <c r="A277" s="147" t="s">
        <v>933</v>
      </c>
      <c r="B277" s="147" t="s">
        <v>567</v>
      </c>
      <c r="C277" s="147" t="s">
        <v>733</v>
      </c>
      <c r="D277" s="147" t="s">
        <v>343</v>
      </c>
      <c r="E277" s="147" t="s">
        <v>343</v>
      </c>
      <c r="F277" s="147" t="s">
        <v>343</v>
      </c>
      <c r="G277" s="147" t="s">
        <v>209</v>
      </c>
      <c r="H277" s="147">
        <v>10</v>
      </c>
      <c r="I277" s="147" t="s">
        <v>343</v>
      </c>
      <c r="J277" s="148">
        <v>380.25</v>
      </c>
      <c r="K277" s="147" t="s">
        <v>343</v>
      </c>
      <c r="L277" s="147" t="s">
        <v>640</v>
      </c>
      <c r="M277" s="147" t="s">
        <v>343</v>
      </c>
      <c r="N277" s="147" t="s">
        <v>343</v>
      </c>
      <c r="O277" s="148">
        <v>380.25</v>
      </c>
      <c r="P277" s="147" t="s">
        <v>343</v>
      </c>
      <c r="Q277" s="148">
        <v>380.25</v>
      </c>
      <c r="R277" s="147" t="s">
        <v>343</v>
      </c>
      <c r="S277" s="147" t="s">
        <v>343</v>
      </c>
      <c r="T277" s="147" t="s">
        <v>343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7" t="s">
        <v>343</v>
      </c>
      <c r="AE277" s="147" t="s">
        <v>343</v>
      </c>
      <c r="AF277" s="147" t="s">
        <v>343</v>
      </c>
    </row>
    <row r="278" spans="1:32">
      <c r="A278" s="147" t="s">
        <v>934</v>
      </c>
      <c r="B278" s="147" t="s">
        <v>567</v>
      </c>
      <c r="C278" s="147" t="s">
        <v>662</v>
      </c>
      <c r="D278" s="147" t="s">
        <v>343</v>
      </c>
      <c r="E278" s="147" t="s">
        <v>343</v>
      </c>
      <c r="F278" s="147" t="s">
        <v>343</v>
      </c>
      <c r="G278" s="147" t="s">
        <v>208</v>
      </c>
      <c r="H278" s="147">
        <v>3</v>
      </c>
      <c r="I278" s="147" t="s">
        <v>211</v>
      </c>
      <c r="J278" s="148">
        <v>90</v>
      </c>
      <c r="K278" s="147" t="s">
        <v>343</v>
      </c>
      <c r="L278" s="147" t="s">
        <v>640</v>
      </c>
      <c r="M278" s="147" t="s">
        <v>343</v>
      </c>
      <c r="N278" s="147" t="s">
        <v>343</v>
      </c>
      <c r="O278" s="148">
        <v>355</v>
      </c>
      <c r="P278" s="147" t="s">
        <v>343</v>
      </c>
      <c r="Q278" s="148">
        <v>355</v>
      </c>
      <c r="R278" s="147" t="s">
        <v>343</v>
      </c>
      <c r="S278" s="147" t="s">
        <v>343</v>
      </c>
      <c r="T278" s="147" t="s">
        <v>343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7" t="s">
        <v>343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7" t="s">
        <v>343</v>
      </c>
      <c r="AE278" s="147" t="s">
        <v>343</v>
      </c>
      <c r="AF278" s="147" t="s">
        <v>510</v>
      </c>
    </row>
    <row r="279" spans="1:32">
      <c r="A279" s="147" t="s">
        <v>935</v>
      </c>
      <c r="B279" s="147" t="s">
        <v>567</v>
      </c>
      <c r="C279" s="147" t="s">
        <v>662</v>
      </c>
      <c r="D279" s="147" t="s">
        <v>343</v>
      </c>
      <c r="E279" s="147" t="s">
        <v>343</v>
      </c>
      <c r="F279" s="147" t="s">
        <v>343</v>
      </c>
      <c r="G279" s="147" t="s">
        <v>211</v>
      </c>
      <c r="H279" s="147">
        <v>1</v>
      </c>
      <c r="I279" s="147" t="s">
        <v>242</v>
      </c>
      <c r="J279" s="148">
        <v>200</v>
      </c>
      <c r="K279" s="147" t="s">
        <v>343</v>
      </c>
      <c r="L279" s="147" t="s">
        <v>640</v>
      </c>
      <c r="M279" s="147" t="s">
        <v>343</v>
      </c>
      <c r="N279" s="147" t="s">
        <v>343</v>
      </c>
      <c r="O279" s="148">
        <v>200</v>
      </c>
      <c r="P279" s="147" t="s">
        <v>343</v>
      </c>
      <c r="Q279" s="148">
        <v>200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7" t="s">
        <v>343</v>
      </c>
      <c r="AD279" s="147" t="s">
        <v>343</v>
      </c>
      <c r="AE279" s="147" t="s">
        <v>343</v>
      </c>
      <c r="AF279" s="147" t="s">
        <v>510</v>
      </c>
    </row>
    <row r="280" spans="1:32">
      <c r="A280" s="147" t="s">
        <v>936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343</v>
      </c>
      <c r="G280" s="147" t="s">
        <v>124</v>
      </c>
      <c r="H280" s="147">
        <v>16</v>
      </c>
      <c r="I280" s="147" t="s">
        <v>206</v>
      </c>
      <c r="J280" s="148">
        <v>488.33333333333331</v>
      </c>
      <c r="K280" s="147" t="s">
        <v>343</v>
      </c>
      <c r="L280" s="147" t="s">
        <v>640</v>
      </c>
      <c r="M280" s="147" t="s">
        <v>343</v>
      </c>
      <c r="N280" s="147" t="s">
        <v>343</v>
      </c>
      <c r="O280" s="148">
        <v>90</v>
      </c>
      <c r="P280" s="147" t="s">
        <v>343</v>
      </c>
      <c r="Q280" s="148">
        <v>6488</v>
      </c>
      <c r="R280" s="148">
        <v>90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7" t="s">
        <v>343</v>
      </c>
      <c r="AE280" s="147" t="s">
        <v>343</v>
      </c>
      <c r="AF280" s="147" t="s">
        <v>509</v>
      </c>
    </row>
    <row r="281" spans="1:32">
      <c r="A281" s="147" t="s">
        <v>937</v>
      </c>
      <c r="B281" s="147" t="s">
        <v>567</v>
      </c>
      <c r="C281" s="147" t="s">
        <v>662</v>
      </c>
      <c r="D281" s="147" t="s">
        <v>343</v>
      </c>
      <c r="E281" s="147" t="s">
        <v>343</v>
      </c>
      <c r="F281" s="147" t="s">
        <v>343</v>
      </c>
      <c r="G281" s="147" t="s">
        <v>126</v>
      </c>
      <c r="H281" s="147">
        <v>12</v>
      </c>
      <c r="I281" s="147" t="s">
        <v>204</v>
      </c>
      <c r="J281" s="148">
        <v>1076.6666666666667</v>
      </c>
      <c r="K281" s="147" t="s">
        <v>343</v>
      </c>
      <c r="L281" s="147" t="s">
        <v>640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8">
        <v>6030</v>
      </c>
      <c r="R281" s="147" t="s">
        <v>343</v>
      </c>
      <c r="S281" s="147" t="s">
        <v>343</v>
      </c>
      <c r="T281" s="147" t="s">
        <v>343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7" t="s">
        <v>343</v>
      </c>
      <c r="AE281" s="147" t="s">
        <v>343</v>
      </c>
      <c r="AF281" s="147" t="s">
        <v>509</v>
      </c>
    </row>
    <row r="282" spans="1:32">
      <c r="A282" s="147" t="s">
        <v>938</v>
      </c>
      <c r="B282" s="147" t="s">
        <v>567</v>
      </c>
      <c r="C282" s="147" t="s">
        <v>877</v>
      </c>
      <c r="D282" s="147" t="s">
        <v>343</v>
      </c>
      <c r="E282" s="147" t="s">
        <v>343</v>
      </c>
      <c r="F282" s="147" t="s">
        <v>343</v>
      </c>
      <c r="G282" s="147" t="s">
        <v>639</v>
      </c>
      <c r="H282" s="147">
        <v>51</v>
      </c>
      <c r="I282" s="147" t="s">
        <v>207</v>
      </c>
      <c r="J282" s="148">
        <v>710</v>
      </c>
      <c r="K282" s="147" t="s">
        <v>343</v>
      </c>
      <c r="L282" s="147" t="s">
        <v>640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8">
        <v>5210</v>
      </c>
      <c r="R282" s="147" t="s">
        <v>343</v>
      </c>
      <c r="S282" s="147" t="s">
        <v>343</v>
      </c>
      <c r="T282" s="147" t="s">
        <v>343</v>
      </c>
      <c r="U282" s="147" t="s">
        <v>343</v>
      </c>
      <c r="V282" s="147" t="s">
        <v>343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7" t="s">
        <v>343</v>
      </c>
      <c r="AE282" s="147" t="s">
        <v>343</v>
      </c>
      <c r="AF282" s="147" t="s">
        <v>509</v>
      </c>
    </row>
    <row r="283" spans="1:32">
      <c r="A283" s="147" t="s">
        <v>939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343</v>
      </c>
      <c r="G283" s="147" t="s">
        <v>130</v>
      </c>
      <c r="H283" s="147">
        <v>10</v>
      </c>
      <c r="I283" s="147" t="s">
        <v>206</v>
      </c>
      <c r="J283" s="148">
        <v>842.66666666666663</v>
      </c>
      <c r="K283" s="147" t="s">
        <v>343</v>
      </c>
      <c r="L283" s="147" t="s">
        <v>640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8">
        <v>5082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7" t="s">
        <v>343</v>
      </c>
      <c r="W283" s="147" t="s">
        <v>343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7" t="s">
        <v>343</v>
      </c>
      <c r="AE283" s="147" t="s">
        <v>343</v>
      </c>
      <c r="AF283" s="147" t="s">
        <v>509</v>
      </c>
    </row>
    <row r="284" spans="1:32">
      <c r="A284" s="147" t="s">
        <v>940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343</v>
      </c>
      <c r="G284" s="147" t="s">
        <v>122</v>
      </c>
      <c r="H284" s="147">
        <v>18</v>
      </c>
      <c r="I284" s="147" t="s">
        <v>206</v>
      </c>
      <c r="J284" s="148">
        <v>336.66666666666669</v>
      </c>
      <c r="K284" s="147" t="s">
        <v>343</v>
      </c>
      <c r="L284" s="147" t="s">
        <v>640</v>
      </c>
      <c r="M284" s="147" t="s">
        <v>343</v>
      </c>
      <c r="N284" s="147" t="s">
        <v>343</v>
      </c>
      <c r="O284" s="147" t="s">
        <v>343</v>
      </c>
      <c r="P284" s="147" t="s">
        <v>343</v>
      </c>
      <c r="Q284" s="148">
        <v>2390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7" t="s">
        <v>343</v>
      </c>
      <c r="X284" s="147" t="s">
        <v>343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7" t="s">
        <v>343</v>
      </c>
      <c r="AE284" s="147" t="s">
        <v>343</v>
      </c>
      <c r="AF284" s="147" t="s">
        <v>510</v>
      </c>
    </row>
    <row r="285" spans="1:32">
      <c r="A285" s="147" t="s">
        <v>941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343</v>
      </c>
      <c r="G285" s="147" t="s">
        <v>133</v>
      </c>
      <c r="H285" s="147">
        <v>7</v>
      </c>
      <c r="I285" s="147" t="s">
        <v>206</v>
      </c>
      <c r="J285" s="148">
        <v>360</v>
      </c>
      <c r="K285" s="147" t="s">
        <v>343</v>
      </c>
      <c r="L285" s="147" t="s">
        <v>640</v>
      </c>
      <c r="M285" s="147" t="s">
        <v>343</v>
      </c>
      <c r="N285" s="147" t="s">
        <v>343</v>
      </c>
      <c r="O285" s="147" t="s">
        <v>343</v>
      </c>
      <c r="P285" s="147" t="s">
        <v>343</v>
      </c>
      <c r="Q285" s="148">
        <v>2160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7" t="s">
        <v>343</v>
      </c>
      <c r="AE285" s="147" t="s">
        <v>343</v>
      </c>
      <c r="AF285" s="147" t="s">
        <v>509</v>
      </c>
    </row>
    <row r="286" spans="1:32">
      <c r="A286" s="147" t="s">
        <v>942</v>
      </c>
      <c r="B286" s="147" t="s">
        <v>567</v>
      </c>
      <c r="C286" s="147" t="s">
        <v>662</v>
      </c>
      <c r="D286" s="147" t="s">
        <v>343</v>
      </c>
      <c r="E286" s="147" t="s">
        <v>343</v>
      </c>
      <c r="F286" s="147" t="s">
        <v>343</v>
      </c>
      <c r="G286" s="147" t="s">
        <v>203</v>
      </c>
      <c r="H286" s="147">
        <v>3</v>
      </c>
      <c r="I286" s="147" t="s">
        <v>206</v>
      </c>
      <c r="J286" s="148">
        <v>427.5</v>
      </c>
      <c r="K286" s="147" t="s">
        <v>343</v>
      </c>
      <c r="L286" s="147" t="s">
        <v>640</v>
      </c>
      <c r="M286" s="147" t="s">
        <v>343</v>
      </c>
      <c r="N286" s="147" t="s">
        <v>343</v>
      </c>
      <c r="O286" s="147" t="s">
        <v>343</v>
      </c>
      <c r="P286" s="147" t="s">
        <v>343</v>
      </c>
      <c r="Q286" s="148">
        <v>2061.25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7" t="s">
        <v>343</v>
      </c>
      <c r="AE286" s="147" t="s">
        <v>343</v>
      </c>
      <c r="AF286" s="147" t="s">
        <v>509</v>
      </c>
    </row>
    <row r="287" spans="1:32">
      <c r="A287" s="147" t="s">
        <v>943</v>
      </c>
      <c r="B287" s="147" t="s">
        <v>567</v>
      </c>
      <c r="C287" s="147" t="s">
        <v>877</v>
      </c>
      <c r="D287" s="147" t="s">
        <v>343</v>
      </c>
      <c r="E287" s="147" t="s">
        <v>343</v>
      </c>
      <c r="F287" s="147" t="s">
        <v>343</v>
      </c>
      <c r="G287" s="147" t="s">
        <v>944</v>
      </c>
      <c r="H287" s="147">
        <v>51</v>
      </c>
      <c r="I287" s="147" t="s">
        <v>206</v>
      </c>
      <c r="J287" s="148">
        <v>303.33333333333331</v>
      </c>
      <c r="K287" s="147" t="s">
        <v>343</v>
      </c>
      <c r="L287" s="147" t="s">
        <v>640</v>
      </c>
      <c r="M287" s="147" t="s">
        <v>343</v>
      </c>
      <c r="N287" s="147" t="s">
        <v>343</v>
      </c>
      <c r="O287" s="147" t="s">
        <v>343</v>
      </c>
      <c r="P287" s="147" t="s">
        <v>343</v>
      </c>
      <c r="Q287" s="148">
        <v>2035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7" t="s">
        <v>343</v>
      </c>
      <c r="AE287" s="147" t="s">
        <v>343</v>
      </c>
      <c r="AF287" s="147" t="s">
        <v>509</v>
      </c>
    </row>
    <row r="288" spans="1:32">
      <c r="A288" s="147" t="s">
        <v>945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343</v>
      </c>
      <c r="G288" s="147" t="s">
        <v>201</v>
      </c>
      <c r="H288" s="147">
        <v>5</v>
      </c>
      <c r="I288" s="147" t="s">
        <v>206</v>
      </c>
      <c r="J288" s="148">
        <v>366.66666666666669</v>
      </c>
      <c r="K288" s="147" t="s">
        <v>343</v>
      </c>
      <c r="L288" s="147" t="s">
        <v>640</v>
      </c>
      <c r="M288" s="147" t="s">
        <v>343</v>
      </c>
      <c r="N288" s="147" t="s">
        <v>343</v>
      </c>
      <c r="O288" s="147" t="s">
        <v>343</v>
      </c>
      <c r="P288" s="147" t="s">
        <v>343</v>
      </c>
      <c r="Q288" s="148">
        <v>1870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7" t="s">
        <v>343</v>
      </c>
      <c r="AE288" s="147" t="s">
        <v>343</v>
      </c>
      <c r="AF288" s="147" t="s">
        <v>509</v>
      </c>
    </row>
    <row r="289" spans="1:32">
      <c r="A289" s="147" t="s">
        <v>946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343</v>
      </c>
      <c r="G289" s="147" t="s">
        <v>123</v>
      </c>
      <c r="H289" s="147">
        <v>15</v>
      </c>
      <c r="I289" s="147" t="s">
        <v>204</v>
      </c>
      <c r="J289" s="148">
        <v>453.33333333333331</v>
      </c>
      <c r="K289" s="147" t="s">
        <v>343</v>
      </c>
      <c r="L289" s="147" t="s">
        <v>640</v>
      </c>
      <c r="M289" s="147" t="s">
        <v>343</v>
      </c>
      <c r="N289" s="147" t="s">
        <v>343</v>
      </c>
      <c r="O289" s="147" t="s">
        <v>343</v>
      </c>
      <c r="P289" s="147" t="s">
        <v>343</v>
      </c>
      <c r="Q289" s="148">
        <v>1735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7" t="s">
        <v>343</v>
      </c>
      <c r="AE289" s="147" t="s">
        <v>343</v>
      </c>
      <c r="AF289" s="147" t="s">
        <v>509</v>
      </c>
    </row>
    <row r="290" spans="1:32">
      <c r="A290" s="147" t="s">
        <v>947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343</v>
      </c>
      <c r="G290" s="147" t="s">
        <v>625</v>
      </c>
      <c r="H290" s="147">
        <v>35</v>
      </c>
      <c r="I290" s="147" t="s">
        <v>205</v>
      </c>
      <c r="J290" s="148">
        <v>335</v>
      </c>
      <c r="K290" s="147" t="s">
        <v>343</v>
      </c>
      <c r="L290" s="147" t="s">
        <v>640</v>
      </c>
      <c r="M290" s="147" t="s">
        <v>343</v>
      </c>
      <c r="N290" s="147" t="s">
        <v>343</v>
      </c>
      <c r="O290" s="147" t="s">
        <v>343</v>
      </c>
      <c r="P290" s="147" t="s">
        <v>343</v>
      </c>
      <c r="Q290" s="148">
        <v>1665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7" t="s">
        <v>343</v>
      </c>
      <c r="AE290" s="147" t="s">
        <v>343</v>
      </c>
      <c r="AF290" s="147" t="s">
        <v>510</v>
      </c>
    </row>
    <row r="291" spans="1:32">
      <c r="A291" s="147" t="s">
        <v>948</v>
      </c>
      <c r="B291" s="147" t="s">
        <v>567</v>
      </c>
      <c r="C291" s="147" t="s">
        <v>662</v>
      </c>
      <c r="D291" s="147" t="s">
        <v>343</v>
      </c>
      <c r="E291" s="147" t="s">
        <v>343</v>
      </c>
      <c r="F291" s="147" t="s">
        <v>343</v>
      </c>
      <c r="G291" s="147" t="s">
        <v>125</v>
      </c>
      <c r="H291" s="147">
        <v>13</v>
      </c>
      <c r="I291" s="147" t="s">
        <v>204</v>
      </c>
      <c r="J291" s="148">
        <v>408.33333333333331</v>
      </c>
      <c r="K291" s="147" t="s">
        <v>343</v>
      </c>
      <c r="L291" s="147" t="s">
        <v>640</v>
      </c>
      <c r="M291" s="147" t="s">
        <v>343</v>
      </c>
      <c r="N291" s="147" t="s">
        <v>343</v>
      </c>
      <c r="O291" s="147" t="s">
        <v>343</v>
      </c>
      <c r="P291" s="147" t="s">
        <v>343</v>
      </c>
      <c r="Q291" s="148">
        <v>1655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7" t="s">
        <v>343</v>
      </c>
      <c r="AE291" s="147" t="s">
        <v>343</v>
      </c>
      <c r="AF291" s="147" t="s">
        <v>509</v>
      </c>
    </row>
    <row r="292" spans="1:32">
      <c r="A292" s="147" t="s">
        <v>949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343</v>
      </c>
      <c r="G292" s="147" t="s">
        <v>131</v>
      </c>
      <c r="H292" s="147">
        <v>6</v>
      </c>
      <c r="I292" s="147" t="s">
        <v>203</v>
      </c>
      <c r="J292" s="148">
        <v>395</v>
      </c>
      <c r="K292" s="147" t="s">
        <v>343</v>
      </c>
      <c r="L292" s="147" t="s">
        <v>640</v>
      </c>
      <c r="M292" s="147" t="s">
        <v>343</v>
      </c>
      <c r="N292" s="147" t="s">
        <v>343</v>
      </c>
      <c r="O292" s="147" t="s">
        <v>343</v>
      </c>
      <c r="P292" s="147" t="s">
        <v>343</v>
      </c>
      <c r="Q292" s="148">
        <v>1580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7" t="s">
        <v>343</v>
      </c>
      <c r="AE292" s="147" t="s">
        <v>343</v>
      </c>
      <c r="AF292" s="147" t="s">
        <v>510</v>
      </c>
    </row>
    <row r="293" spans="1:32">
      <c r="A293" s="147" t="s">
        <v>950</v>
      </c>
      <c r="B293" s="147" t="s">
        <v>567</v>
      </c>
      <c r="C293" s="147" t="s">
        <v>877</v>
      </c>
      <c r="D293" s="147" t="s">
        <v>343</v>
      </c>
      <c r="E293" s="147" t="s">
        <v>343</v>
      </c>
      <c r="F293" s="147" t="s">
        <v>343</v>
      </c>
      <c r="G293" s="147" t="s">
        <v>639</v>
      </c>
      <c r="H293" s="147">
        <v>49</v>
      </c>
      <c r="I293" s="147" t="s">
        <v>205</v>
      </c>
      <c r="J293" s="148">
        <v>300</v>
      </c>
      <c r="K293" s="147" t="s">
        <v>343</v>
      </c>
      <c r="L293" s="147" t="s">
        <v>640</v>
      </c>
      <c r="M293" s="147" t="s">
        <v>343</v>
      </c>
      <c r="N293" s="147" t="s">
        <v>343</v>
      </c>
      <c r="O293" s="147" t="s">
        <v>343</v>
      </c>
      <c r="P293" s="147" t="s">
        <v>343</v>
      </c>
      <c r="Q293" s="148">
        <v>1545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7" t="s">
        <v>343</v>
      </c>
      <c r="AE293" s="147" t="s">
        <v>343</v>
      </c>
      <c r="AF293" s="147" t="s">
        <v>509</v>
      </c>
    </row>
    <row r="294" spans="1:32">
      <c r="A294" s="147" t="s">
        <v>951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343</v>
      </c>
      <c r="G294" s="147" t="s">
        <v>125</v>
      </c>
      <c r="H294" s="147">
        <v>12</v>
      </c>
      <c r="I294" s="147" t="s">
        <v>203</v>
      </c>
      <c r="J294" s="148">
        <v>395</v>
      </c>
      <c r="K294" s="147" t="s">
        <v>343</v>
      </c>
      <c r="L294" s="147" t="s">
        <v>640</v>
      </c>
      <c r="M294" s="147" t="s">
        <v>343</v>
      </c>
      <c r="N294" s="147" t="s">
        <v>343</v>
      </c>
      <c r="O294" s="147" t="s">
        <v>343</v>
      </c>
      <c r="P294" s="147" t="s">
        <v>343</v>
      </c>
      <c r="Q294" s="148">
        <v>1185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7" t="s">
        <v>343</v>
      </c>
      <c r="AE294" s="147" t="s">
        <v>343</v>
      </c>
      <c r="AF294" s="147" t="s">
        <v>509</v>
      </c>
    </row>
    <row r="295" spans="1:32">
      <c r="A295" s="147" t="s">
        <v>952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343</v>
      </c>
      <c r="G295" s="147" t="s">
        <v>133</v>
      </c>
      <c r="H295" s="147">
        <v>4</v>
      </c>
      <c r="I295" s="147" t="s">
        <v>203</v>
      </c>
      <c r="J295" s="148">
        <v>375.25</v>
      </c>
      <c r="K295" s="147" t="s">
        <v>343</v>
      </c>
      <c r="L295" s="147" t="s">
        <v>640</v>
      </c>
      <c r="M295" s="147" t="s">
        <v>343</v>
      </c>
      <c r="N295" s="147" t="s">
        <v>343</v>
      </c>
      <c r="O295" s="147" t="s">
        <v>343</v>
      </c>
      <c r="P295" s="147" t="s">
        <v>343</v>
      </c>
      <c r="Q295" s="148">
        <v>1125.75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7" t="s">
        <v>343</v>
      </c>
      <c r="AE295" s="147" t="s">
        <v>343</v>
      </c>
      <c r="AF295" s="147" t="s">
        <v>510</v>
      </c>
    </row>
    <row r="296" spans="1:32">
      <c r="A296" s="147" t="s">
        <v>953</v>
      </c>
      <c r="B296" s="147" t="s">
        <v>567</v>
      </c>
      <c r="C296" s="147" t="s">
        <v>877</v>
      </c>
      <c r="D296" s="147" t="s">
        <v>343</v>
      </c>
      <c r="E296" s="147" t="s">
        <v>343</v>
      </c>
      <c r="F296" s="147" t="s">
        <v>343</v>
      </c>
      <c r="G296" s="147" t="s">
        <v>577</v>
      </c>
      <c r="H296" s="147">
        <v>24</v>
      </c>
      <c r="I296" s="147" t="s">
        <v>201</v>
      </c>
      <c r="J296" s="148">
        <v>875</v>
      </c>
      <c r="K296" s="147" t="s">
        <v>343</v>
      </c>
      <c r="L296" s="147" t="s">
        <v>640</v>
      </c>
      <c r="M296" s="147" t="s">
        <v>343</v>
      </c>
      <c r="N296" s="147" t="s">
        <v>343</v>
      </c>
      <c r="O296" s="147" t="s">
        <v>343</v>
      </c>
      <c r="P296" s="147" t="s">
        <v>343</v>
      </c>
      <c r="Q296" s="148">
        <v>875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7" t="s">
        <v>343</v>
      </c>
      <c r="AE296" s="147" t="s">
        <v>343</v>
      </c>
      <c r="AF296" s="147" t="s">
        <v>509</v>
      </c>
    </row>
    <row r="297" spans="1:32">
      <c r="A297" s="147" t="s">
        <v>954</v>
      </c>
      <c r="B297" s="147" t="s">
        <v>567</v>
      </c>
      <c r="C297" s="147" t="s">
        <v>662</v>
      </c>
      <c r="D297" s="147" t="s">
        <v>343</v>
      </c>
      <c r="E297" s="147" t="s">
        <v>343</v>
      </c>
      <c r="F297" s="147" t="s">
        <v>343</v>
      </c>
      <c r="G297" s="147" t="s">
        <v>125</v>
      </c>
      <c r="H297" s="147">
        <v>11</v>
      </c>
      <c r="I297" s="147" t="s">
        <v>202</v>
      </c>
      <c r="J297" s="148">
        <v>430</v>
      </c>
      <c r="K297" s="147" t="s">
        <v>343</v>
      </c>
      <c r="L297" s="147" t="s">
        <v>640</v>
      </c>
      <c r="M297" s="147" t="s">
        <v>343</v>
      </c>
      <c r="N297" s="147" t="s">
        <v>343</v>
      </c>
      <c r="O297" s="147" t="s">
        <v>343</v>
      </c>
      <c r="P297" s="147" t="s">
        <v>343</v>
      </c>
      <c r="Q297" s="148">
        <v>860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7" t="s">
        <v>343</v>
      </c>
      <c r="AE297" s="147" t="s">
        <v>343</v>
      </c>
      <c r="AF297" s="147" t="s">
        <v>509</v>
      </c>
    </row>
    <row r="298" spans="1:32">
      <c r="A298" s="147" t="s">
        <v>955</v>
      </c>
      <c r="B298" s="147" t="s">
        <v>567</v>
      </c>
      <c r="C298" s="147" t="s">
        <v>877</v>
      </c>
      <c r="D298" s="147" t="s">
        <v>343</v>
      </c>
      <c r="E298" s="147" t="s">
        <v>343</v>
      </c>
      <c r="F298" s="147" t="s">
        <v>343</v>
      </c>
      <c r="G298" s="147" t="s">
        <v>133</v>
      </c>
      <c r="H298" s="147">
        <v>3</v>
      </c>
      <c r="I298" s="147" t="s">
        <v>202</v>
      </c>
      <c r="J298" s="148">
        <v>400</v>
      </c>
      <c r="K298" s="147" t="s">
        <v>343</v>
      </c>
      <c r="L298" s="147" t="s">
        <v>640</v>
      </c>
      <c r="M298" s="147" t="s">
        <v>343</v>
      </c>
      <c r="N298" s="147" t="s">
        <v>343</v>
      </c>
      <c r="O298" s="147" t="s">
        <v>343</v>
      </c>
      <c r="P298" s="147" t="s">
        <v>343</v>
      </c>
      <c r="Q298" s="148">
        <v>800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7" t="s">
        <v>343</v>
      </c>
      <c r="AE298" s="147" t="s">
        <v>343</v>
      </c>
      <c r="AF298" s="147" t="s">
        <v>510</v>
      </c>
    </row>
    <row r="299" spans="1:32">
      <c r="A299" s="147" t="s">
        <v>956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343</v>
      </c>
      <c r="G299" s="147" t="s">
        <v>131</v>
      </c>
      <c r="H299" s="147">
        <v>5</v>
      </c>
      <c r="I299" s="147" t="s">
        <v>202</v>
      </c>
      <c r="J299" s="148">
        <v>395</v>
      </c>
      <c r="K299" s="147" t="s">
        <v>343</v>
      </c>
      <c r="L299" s="147" t="s">
        <v>640</v>
      </c>
      <c r="M299" s="147" t="s">
        <v>343</v>
      </c>
      <c r="N299" s="147" t="s">
        <v>343</v>
      </c>
      <c r="O299" s="147" t="s">
        <v>343</v>
      </c>
      <c r="P299" s="147" t="s">
        <v>343</v>
      </c>
      <c r="Q299" s="148">
        <v>790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7" t="s">
        <v>343</v>
      </c>
      <c r="AE299" s="147" t="s">
        <v>343</v>
      </c>
      <c r="AF299" s="147" t="s">
        <v>509</v>
      </c>
    </row>
    <row r="300" spans="1:32">
      <c r="A300" s="147" t="s">
        <v>957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343</v>
      </c>
      <c r="G300" s="147" t="s">
        <v>132</v>
      </c>
      <c r="H300" s="147">
        <v>3</v>
      </c>
      <c r="I300" s="147" t="s">
        <v>201</v>
      </c>
      <c r="J300" s="148">
        <v>380</v>
      </c>
      <c r="K300" s="147" t="s">
        <v>343</v>
      </c>
      <c r="L300" s="147" t="s">
        <v>640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8">
        <v>760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7" t="s">
        <v>343</v>
      </c>
      <c r="AE300" s="147" t="s">
        <v>343</v>
      </c>
      <c r="AF300" s="147" t="s">
        <v>510</v>
      </c>
    </row>
    <row r="301" spans="1:32">
      <c r="A301" s="147" t="s">
        <v>958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343</v>
      </c>
      <c r="G301" s="147" t="s">
        <v>122</v>
      </c>
      <c r="H301" s="147">
        <v>17</v>
      </c>
      <c r="I301" s="147" t="s">
        <v>205</v>
      </c>
      <c r="J301" s="148">
        <v>135</v>
      </c>
      <c r="K301" s="147" t="s">
        <v>343</v>
      </c>
      <c r="L301" s="147" t="s">
        <v>640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8">
        <v>660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7" t="s">
        <v>343</v>
      </c>
      <c r="AE301" s="147" t="s">
        <v>343</v>
      </c>
      <c r="AF301" s="147" t="s">
        <v>510</v>
      </c>
    </row>
    <row r="302" spans="1:32">
      <c r="A302" s="147" t="s">
        <v>959</v>
      </c>
      <c r="B302" s="147" t="s">
        <v>567</v>
      </c>
      <c r="C302" s="147" t="s">
        <v>662</v>
      </c>
      <c r="D302" s="147" t="s">
        <v>343</v>
      </c>
      <c r="E302" s="147" t="s">
        <v>343</v>
      </c>
      <c r="F302" s="147" t="s">
        <v>343</v>
      </c>
      <c r="G302" s="147" t="s">
        <v>132</v>
      </c>
      <c r="H302" s="147">
        <v>3</v>
      </c>
      <c r="I302" s="147" t="s">
        <v>201</v>
      </c>
      <c r="J302" s="148">
        <v>280.625</v>
      </c>
      <c r="K302" s="147" t="s">
        <v>343</v>
      </c>
      <c r="L302" s="147" t="s">
        <v>640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8">
        <v>561.25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7" t="s">
        <v>343</v>
      </c>
      <c r="AE302" s="147" t="s">
        <v>343</v>
      </c>
      <c r="AF302" s="147" t="s">
        <v>510</v>
      </c>
    </row>
    <row r="303" spans="1:32">
      <c r="A303" s="147" t="s">
        <v>960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343</v>
      </c>
      <c r="G303" s="147" t="s">
        <v>123</v>
      </c>
      <c r="H303" s="147">
        <v>12</v>
      </c>
      <c r="I303" s="147" t="s">
        <v>201</v>
      </c>
      <c r="J303" s="148">
        <v>510</v>
      </c>
      <c r="K303" s="147" t="s">
        <v>343</v>
      </c>
      <c r="L303" s="147" t="s">
        <v>640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8">
        <v>510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7" t="s">
        <v>343</v>
      </c>
      <c r="AE303" s="147" t="s">
        <v>343</v>
      </c>
      <c r="AF303" s="147" t="s">
        <v>510</v>
      </c>
    </row>
    <row r="304" spans="1:32">
      <c r="A304" s="147" t="s">
        <v>961</v>
      </c>
      <c r="B304" s="147" t="s">
        <v>567</v>
      </c>
      <c r="C304" s="147" t="s">
        <v>662</v>
      </c>
      <c r="D304" s="147" t="s">
        <v>343</v>
      </c>
      <c r="E304" s="147" t="s">
        <v>343</v>
      </c>
      <c r="F304" s="147" t="s">
        <v>343</v>
      </c>
      <c r="G304" s="147" t="s">
        <v>124</v>
      </c>
      <c r="H304" s="147">
        <v>11</v>
      </c>
      <c r="I304" s="147" t="s">
        <v>201</v>
      </c>
      <c r="J304" s="148">
        <v>375</v>
      </c>
      <c r="K304" s="147" t="s">
        <v>343</v>
      </c>
      <c r="L304" s="147" t="s">
        <v>640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8">
        <v>375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7" t="s">
        <v>343</v>
      </c>
      <c r="AE304" s="147" t="s">
        <v>343</v>
      </c>
      <c r="AF304" s="147" t="s">
        <v>510</v>
      </c>
    </row>
    <row r="305" spans="1:32">
      <c r="A305" s="147" t="s">
        <v>962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343</v>
      </c>
      <c r="G305" s="147" t="s">
        <v>133</v>
      </c>
      <c r="H305" s="147">
        <v>2</v>
      </c>
      <c r="I305" s="147" t="s">
        <v>201</v>
      </c>
      <c r="J305" s="148">
        <v>360</v>
      </c>
      <c r="K305" s="147" t="s">
        <v>343</v>
      </c>
      <c r="L305" s="147" t="s">
        <v>640</v>
      </c>
      <c r="M305" s="147" t="s">
        <v>343</v>
      </c>
      <c r="N305" s="147" t="s">
        <v>343</v>
      </c>
      <c r="O305" s="147" t="s">
        <v>343</v>
      </c>
      <c r="P305" s="147" t="s">
        <v>343</v>
      </c>
      <c r="Q305" s="148">
        <v>360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7" t="s">
        <v>343</v>
      </c>
      <c r="AE305" s="147" t="s">
        <v>343</v>
      </c>
      <c r="AF305" s="147" t="s">
        <v>510</v>
      </c>
    </row>
    <row r="306" spans="1:32">
      <c r="A306" s="147" t="s">
        <v>963</v>
      </c>
      <c r="B306" s="147" t="s">
        <v>567</v>
      </c>
      <c r="C306" s="147" t="s">
        <v>877</v>
      </c>
      <c r="D306" s="147" t="s">
        <v>343</v>
      </c>
      <c r="E306" s="147" t="s">
        <v>343</v>
      </c>
      <c r="F306" s="147" t="s">
        <v>343</v>
      </c>
      <c r="G306" s="147" t="s">
        <v>132</v>
      </c>
      <c r="H306" s="147">
        <v>3</v>
      </c>
      <c r="I306" s="147" t="s">
        <v>201</v>
      </c>
      <c r="J306" s="148">
        <v>350</v>
      </c>
      <c r="K306" s="147" t="s">
        <v>343</v>
      </c>
      <c r="L306" s="147" t="s">
        <v>640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8">
        <v>350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7" t="s">
        <v>343</v>
      </c>
      <c r="AE306" s="147" t="s">
        <v>343</v>
      </c>
      <c r="AF306" s="147" t="s">
        <v>510</v>
      </c>
    </row>
    <row r="307" spans="1:32">
      <c r="A307" s="147" t="s">
        <v>964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343</v>
      </c>
      <c r="G307" s="147" t="s">
        <v>125</v>
      </c>
      <c r="H307" s="147">
        <v>8</v>
      </c>
      <c r="I307" s="147" t="s">
        <v>133</v>
      </c>
      <c r="J307" s="148">
        <v>76.5</v>
      </c>
      <c r="K307" s="147" t="s">
        <v>343</v>
      </c>
      <c r="L307" s="147" t="s">
        <v>640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8">
        <v>229.5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7" t="s">
        <v>343</v>
      </c>
      <c r="AE307" s="147" t="s">
        <v>343</v>
      </c>
      <c r="AF307" s="147" t="s">
        <v>509</v>
      </c>
    </row>
    <row r="308" spans="1:32">
      <c r="A308" s="147" t="s">
        <v>965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343</v>
      </c>
      <c r="G308" s="147" t="s">
        <v>593</v>
      </c>
      <c r="H308" s="147">
        <v>13</v>
      </c>
      <c r="I308" s="147" t="s">
        <v>200</v>
      </c>
      <c r="J308" s="148">
        <v>210</v>
      </c>
      <c r="K308" s="147" t="s">
        <v>343</v>
      </c>
      <c r="L308" s="147" t="s">
        <v>640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8">
        <v>210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7" t="s">
        <v>343</v>
      </c>
      <c r="AE308" s="147" t="s">
        <v>343</v>
      </c>
      <c r="AF308" s="147" t="s">
        <v>509</v>
      </c>
    </row>
    <row r="309" spans="1:32">
      <c r="A309" s="147" t="s">
        <v>966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343</v>
      </c>
      <c r="G309" s="147" t="s">
        <v>201</v>
      </c>
      <c r="H309" s="147">
        <v>1</v>
      </c>
      <c r="I309" s="147" t="s">
        <v>202</v>
      </c>
      <c r="J309" s="148">
        <v>85</v>
      </c>
      <c r="K309" s="147" t="s">
        <v>343</v>
      </c>
      <c r="L309" s="147" t="s">
        <v>640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8">
        <v>85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7" t="s">
        <v>343</v>
      </c>
      <c r="AE309" s="147" t="s">
        <v>343</v>
      </c>
      <c r="AF309" s="147" t="s">
        <v>510</v>
      </c>
    </row>
    <row r="310" spans="1:32">
      <c r="A310" s="147" t="s">
        <v>967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343</v>
      </c>
      <c r="G310" s="147" t="s">
        <v>813</v>
      </c>
      <c r="H310" s="147">
        <v>39</v>
      </c>
      <c r="I310" s="147" t="s">
        <v>200</v>
      </c>
      <c r="J310" s="148">
        <v>15</v>
      </c>
      <c r="K310" s="147" t="s">
        <v>343</v>
      </c>
      <c r="L310" s="147" t="s">
        <v>640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8">
        <v>15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7" t="s">
        <v>343</v>
      </c>
      <c r="AE310" s="147" t="s">
        <v>343</v>
      </c>
      <c r="AF310" s="147" t="s">
        <v>509</v>
      </c>
    </row>
    <row r="312" spans="1:32">
      <c r="A312" s="147" t="s">
        <v>454</v>
      </c>
      <c r="B312" s="147" t="s">
        <v>968</v>
      </c>
      <c r="C312" s="147" t="s">
        <v>343</v>
      </c>
      <c r="D312" s="147" t="s">
        <v>343</v>
      </c>
      <c r="E312" s="147" t="s">
        <v>343</v>
      </c>
      <c r="F312" s="147" t="s">
        <v>343</v>
      </c>
      <c r="G312" s="147" t="s">
        <v>343</v>
      </c>
      <c r="H312" s="147" t="s">
        <v>343</v>
      </c>
      <c r="I312" s="147" t="s">
        <v>343</v>
      </c>
      <c r="J312" s="148">
        <v>325078.2983333334</v>
      </c>
      <c r="K312" s="147">
        <v>4211</v>
      </c>
      <c r="L312" s="147" t="s">
        <v>343</v>
      </c>
      <c r="M312" s="147" t="s">
        <v>343</v>
      </c>
      <c r="N312" s="147" t="s">
        <v>343</v>
      </c>
      <c r="O312" s="148">
        <v>2561315.7599999998</v>
      </c>
      <c r="P312" s="148">
        <v>251179.65</v>
      </c>
      <c r="Q312" s="148">
        <v>1874906.59</v>
      </c>
      <c r="R312" s="148">
        <v>1667598.3199999998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7" t="s">
        <v>343</v>
      </c>
      <c r="AE312" s="147" t="s">
        <v>343</v>
      </c>
      <c r="AF312" s="147" t="s">
        <v>343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="160" zoomScaleNormal="160" workbookViewId="0">
      <selection activeCell="C7" sqref="C7:C11"/>
    </sheetView>
  </sheetViews>
  <sheetFormatPr defaultRowHeight="12"/>
  <cols>
    <col min="1" max="1" width="1.7109375" style="173" customWidth="1"/>
    <col min="2" max="3" width="24" style="173" customWidth="1"/>
    <col min="4" max="16384" width="9.140625" style="173"/>
  </cols>
  <sheetData>
    <row r="2" spans="2:7" ht="16.5">
      <c r="B2" s="37" t="str">
        <f>+'Tech Stack'!B2</f>
        <v>Keystone Bookkeepers</v>
      </c>
    </row>
    <row r="3" spans="2:7">
      <c r="B3" s="38" t="s">
        <v>1303</v>
      </c>
      <c r="C3" s="174"/>
      <c r="D3" s="174"/>
      <c r="E3" s="174"/>
      <c r="F3" s="174"/>
      <c r="G3" s="174"/>
    </row>
    <row r="5" spans="2:7">
      <c r="B5" s="74" t="s">
        <v>116</v>
      </c>
      <c r="C5" s="74"/>
    </row>
    <row r="6" spans="2:7">
      <c r="B6" s="179" t="s">
        <v>1304</v>
      </c>
      <c r="C6" s="179" t="s">
        <v>1305</v>
      </c>
    </row>
    <row r="7" spans="2:7">
      <c r="B7" s="173" t="s">
        <v>503</v>
      </c>
      <c r="C7" s="173" t="s">
        <v>1306</v>
      </c>
    </row>
    <row r="8" spans="2:7">
      <c r="B8" s="173" t="s">
        <v>637</v>
      </c>
      <c r="C8" s="173" t="s">
        <v>1307</v>
      </c>
    </row>
    <row r="9" spans="2:7">
      <c r="B9" s="173" t="s">
        <v>662</v>
      </c>
      <c r="C9" s="173" t="s">
        <v>1308</v>
      </c>
    </row>
    <row r="10" spans="2:7">
      <c r="B10" s="173" t="s">
        <v>683</v>
      </c>
      <c r="C10" s="173" t="s">
        <v>1183</v>
      </c>
    </row>
    <row r="11" spans="2:7">
      <c r="B11" s="173" t="s">
        <v>733</v>
      </c>
      <c r="C11" s="173" t="s">
        <v>1309</v>
      </c>
    </row>
    <row r="12" spans="2:7">
      <c r="B12" s="173" t="s">
        <v>877</v>
      </c>
      <c r="C12" s="173" t="s">
        <v>1307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7" customWidth="1"/>
    <col min="2" max="2" width="120.28515625" style="147" customWidth="1"/>
    <col min="3" max="16384" width="9" style="147"/>
  </cols>
  <sheetData>
    <row r="1" spans="1:2">
      <c r="A1" s="147" t="s">
        <v>1009</v>
      </c>
    </row>
    <row r="2" spans="1:2">
      <c r="A2" s="147" t="s">
        <v>1010</v>
      </c>
    </row>
    <row r="4" spans="1:2">
      <c r="A4" s="147" t="s">
        <v>1011</v>
      </c>
    </row>
    <row r="5" spans="1:2">
      <c r="A5" s="147" t="s">
        <v>1012</v>
      </c>
      <c r="B5" s="147" t="s">
        <v>1013</v>
      </c>
    </row>
    <row r="6" spans="1:2">
      <c r="A6" s="147" t="s">
        <v>1014</v>
      </c>
      <c r="B6" s="147" t="s">
        <v>1015</v>
      </c>
    </row>
    <row r="7" spans="1:2">
      <c r="A7" s="147" t="s">
        <v>1016</v>
      </c>
      <c r="B7" s="147" t="s">
        <v>1017</v>
      </c>
    </row>
    <row r="9" spans="1:2">
      <c r="A9" s="147" t="s">
        <v>1018</v>
      </c>
    </row>
    <row r="10" spans="1:2">
      <c r="A10" s="147" t="s">
        <v>1019</v>
      </c>
    </row>
    <row r="11" spans="1:2">
      <c r="A11" s="147" t="s">
        <v>1020</v>
      </c>
    </row>
    <row r="12" spans="1:2">
      <c r="A12" s="147" t="s">
        <v>1021</v>
      </c>
    </row>
    <row r="13" spans="1:2">
      <c r="A13" s="147" t="s">
        <v>343</v>
      </c>
    </row>
    <row r="14" spans="1:2">
      <c r="A14" s="147" t="s">
        <v>1022</v>
      </c>
    </row>
    <row r="15" spans="1:2">
      <c r="A15" s="147" t="s">
        <v>1023</v>
      </c>
    </row>
    <row r="17" spans="1:2">
      <c r="A17" s="147" t="s">
        <v>1024</v>
      </c>
    </row>
    <row r="18" spans="1:2">
      <c r="A18" s="147" t="s">
        <v>1025</v>
      </c>
    </row>
    <row r="19" spans="1:2">
      <c r="A19" s="147" t="s">
        <v>1026</v>
      </c>
    </row>
    <row r="20" spans="1:2">
      <c r="A20" s="147" t="s">
        <v>1027</v>
      </c>
    </row>
    <row r="21" spans="1:2">
      <c r="A21" s="147" t="s">
        <v>1028</v>
      </c>
    </row>
    <row r="22" spans="1:2">
      <c r="A22" s="147" t="s">
        <v>1029</v>
      </c>
    </row>
    <row r="23" spans="1:2">
      <c r="A23" s="147" t="s">
        <v>1030</v>
      </c>
    </row>
    <row r="25" spans="1:2">
      <c r="A25" s="147" t="s">
        <v>1031</v>
      </c>
    </row>
    <row r="26" spans="1:2">
      <c r="A26" s="147" t="s">
        <v>1032</v>
      </c>
      <c r="B26" s="149">
        <v>1874906.59</v>
      </c>
    </row>
    <row r="27" spans="1:2">
      <c r="A27" s="147" t="s">
        <v>1033</v>
      </c>
      <c r="B27" s="149">
        <v>1667598.3199999998</v>
      </c>
    </row>
    <row r="28" spans="1:2">
      <c r="A28" s="147" t="s">
        <v>1034</v>
      </c>
      <c r="B28" s="149">
        <v>3542504.9099999992</v>
      </c>
    </row>
    <row r="29" spans="1:2">
      <c r="A29" s="147" t="s">
        <v>1035</v>
      </c>
      <c r="B29" s="149">
        <v>2561315.7599999998</v>
      </c>
    </row>
    <row r="30" spans="1:2">
      <c r="A30" s="147" t="s">
        <v>1036</v>
      </c>
      <c r="B30" s="149">
        <v>251179.65</v>
      </c>
    </row>
    <row r="31" spans="1:2">
      <c r="A31" s="147" t="s">
        <v>1037</v>
      </c>
      <c r="B31" s="149">
        <v>3014155.8</v>
      </c>
    </row>
    <row r="32" spans="1:2">
      <c r="A32" s="147" t="s">
        <v>1038</v>
      </c>
      <c r="B32" s="149">
        <v>0.69956865095787091</v>
      </c>
    </row>
    <row r="33" spans="1:2">
      <c r="A33" s="147" t="s">
        <v>1039</v>
      </c>
      <c r="B33" s="149">
        <v>195</v>
      </c>
    </row>
    <row r="34" spans="1:2">
      <c r="A34" s="147" t="s">
        <v>1040</v>
      </c>
      <c r="B34" s="149">
        <v>307</v>
      </c>
    </row>
    <row r="36" spans="1:2">
      <c r="A36" s="147" t="s">
        <v>1041</v>
      </c>
    </row>
    <row r="37" spans="1:2">
      <c r="A37" s="147" t="s">
        <v>1042</v>
      </c>
    </row>
    <row r="38" spans="1:2">
      <c r="A38" s="147" t="s">
        <v>1043</v>
      </c>
    </row>
    <row r="39" spans="1:2">
      <c r="A39" s="147" t="s">
        <v>1044</v>
      </c>
    </row>
    <row r="40" spans="1:2">
      <c r="A40" s="147" t="s">
        <v>1045</v>
      </c>
    </row>
    <row r="41" spans="1:2">
      <c r="A41" s="147" t="s">
        <v>1046</v>
      </c>
    </row>
    <row r="43" spans="1:2">
      <c r="A43" s="147" t="s">
        <v>1047</v>
      </c>
    </row>
    <row r="44" spans="1:2">
      <c r="A44" s="147" t="s">
        <v>1048</v>
      </c>
    </row>
    <row r="45" spans="1:2">
      <c r="A45" s="147" t="s">
        <v>1049</v>
      </c>
    </row>
    <row r="46" spans="1:2">
      <c r="A46" s="147" t="s">
        <v>1050</v>
      </c>
    </row>
    <row r="47" spans="1:2">
      <c r="A47" s="147" t="s">
        <v>1051</v>
      </c>
    </row>
    <row r="48" spans="1:2">
      <c r="A48" s="147" t="s">
        <v>1052</v>
      </c>
    </row>
    <row r="49" spans="1:1">
      <c r="A49" s="147" t="s">
        <v>1053</v>
      </c>
    </row>
    <row r="50" spans="1:1">
      <c r="A50" s="147" t="s">
        <v>1054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37" workbookViewId="0">
      <selection activeCell="C57" sqref="C57"/>
    </sheetView>
  </sheetViews>
  <sheetFormatPr defaultColWidth="9" defaultRowHeight="15.75"/>
  <cols>
    <col min="1" max="1" width="43.5703125" style="147" customWidth="1"/>
    <col min="2" max="3" width="15.85546875" style="147" customWidth="1"/>
    <col min="4" max="4" width="13.7109375" style="147" customWidth="1"/>
    <col min="5" max="5" width="15.85546875" style="147" customWidth="1"/>
    <col min="6" max="6" width="14.7109375" style="147" customWidth="1"/>
    <col min="7" max="7" width="18" style="147" customWidth="1"/>
    <col min="8" max="8" width="20" style="147" customWidth="1"/>
    <col min="9" max="10" width="14.7109375" style="147" customWidth="1"/>
    <col min="11" max="11" width="13.7109375" style="147" customWidth="1"/>
    <col min="12" max="16384" width="9" style="147"/>
  </cols>
  <sheetData>
    <row r="1" spans="1:2">
      <c r="A1" s="147" t="s">
        <v>1055</v>
      </c>
    </row>
    <row r="2" spans="1:2">
      <c r="A2" s="147" t="s">
        <v>1056</v>
      </c>
    </row>
    <row r="4" spans="1:2">
      <c r="A4" s="147" t="s">
        <v>1057</v>
      </c>
      <c r="B4" s="147" t="s">
        <v>1058</v>
      </c>
    </row>
    <row r="5" spans="1:2">
      <c r="A5" s="147" t="s">
        <v>4</v>
      </c>
      <c r="B5" s="148">
        <v>1874906.59</v>
      </c>
    </row>
    <row r="6" spans="1:2">
      <c r="A6" s="147" t="s">
        <v>1059</v>
      </c>
      <c r="B6" s="148">
        <v>1667598.3199999998</v>
      </c>
    </row>
    <row r="7" spans="1:2">
      <c r="A7" s="147" t="s">
        <v>1060</v>
      </c>
      <c r="B7" s="148">
        <v>2561315.7599999998</v>
      </c>
    </row>
    <row r="8" spans="1:2">
      <c r="A8" s="147" t="s">
        <v>1061</v>
      </c>
      <c r="B8" s="148">
        <v>251179.65</v>
      </c>
    </row>
    <row r="9" spans="1:2">
      <c r="A9" s="147" t="s">
        <v>1062</v>
      </c>
      <c r="B9" s="148">
        <v>3014155.8</v>
      </c>
    </row>
    <row r="11" spans="1:2">
      <c r="A11" s="147" t="s">
        <v>1063</v>
      </c>
      <c r="B11" s="147" t="s">
        <v>1064</v>
      </c>
    </row>
    <row r="12" spans="1:2">
      <c r="A12" s="147" t="s">
        <v>1065</v>
      </c>
      <c r="B12" s="172">
        <v>0.62418442297757926</v>
      </c>
    </row>
    <row r="13" spans="1:2">
      <c r="A13" s="147" t="s">
        <v>1066</v>
      </c>
      <c r="B13" s="172">
        <v>0.69956865095787091</v>
      </c>
    </row>
    <row r="14" spans="1:2">
      <c r="A14" s="147" t="s">
        <v>1067</v>
      </c>
      <c r="B14" s="172">
        <v>0.91686562499880764</v>
      </c>
    </row>
    <row r="16" spans="1:2">
      <c r="A16" s="147" t="s">
        <v>1068</v>
      </c>
      <c r="B16" s="147" t="s">
        <v>1069</v>
      </c>
    </row>
    <row r="17" spans="1:5">
      <c r="A17" s="147" t="s">
        <v>1070</v>
      </c>
      <c r="B17" s="148">
        <v>195</v>
      </c>
    </row>
    <row r="18" spans="1:5">
      <c r="A18" s="147" t="s">
        <v>1071</v>
      </c>
      <c r="B18" s="148">
        <v>171</v>
      </c>
    </row>
    <row r="19" spans="1:5">
      <c r="A19" s="147" t="s">
        <v>1072</v>
      </c>
      <c r="B19" s="148">
        <v>156</v>
      </c>
    </row>
    <row r="20" spans="1:5">
      <c r="A20" s="147" t="s">
        <v>1073</v>
      </c>
      <c r="B20" s="148">
        <v>307</v>
      </c>
    </row>
    <row r="21" spans="1:5">
      <c r="A21" s="147" t="s">
        <v>1074</v>
      </c>
      <c r="B21" s="148">
        <v>1288.1007692307692</v>
      </c>
    </row>
    <row r="22" spans="1:5">
      <c r="A22" s="147" t="s">
        <v>1075</v>
      </c>
      <c r="B22" s="148">
        <v>5552.5</v>
      </c>
    </row>
    <row r="24" spans="1:5">
      <c r="A24" s="147" t="s">
        <v>1076</v>
      </c>
      <c r="B24" s="147" t="s">
        <v>1077</v>
      </c>
    </row>
    <row r="25" spans="1:5">
      <c r="A25" s="147" t="s">
        <v>1078</v>
      </c>
      <c r="B25" s="172">
        <v>3.814703033725135E-2</v>
      </c>
    </row>
    <row r="26" spans="1:5">
      <c r="A26" s="147" t="s">
        <v>1079</v>
      </c>
      <c r="B26" s="172">
        <v>0.12870712590313346</v>
      </c>
    </row>
    <row r="27" spans="1:5">
      <c r="A27" s="147" t="s">
        <v>1080</v>
      </c>
      <c r="B27" s="172">
        <v>0.20009113206721532</v>
      </c>
    </row>
    <row r="28" spans="1:5">
      <c r="A28" s="147" t="s">
        <v>1081</v>
      </c>
      <c r="B28" s="172">
        <v>0.3054273519169694</v>
      </c>
    </row>
    <row r="29" spans="1:5">
      <c r="A29" s="147" t="s">
        <v>1082</v>
      </c>
      <c r="B29" s="172">
        <v>0.53592261111921624</v>
      </c>
    </row>
    <row r="31" spans="1:5">
      <c r="A31" s="147" t="s">
        <v>1083</v>
      </c>
    </row>
    <row r="32" spans="1:5">
      <c r="A32" s="147" t="s">
        <v>1084</v>
      </c>
      <c r="B32" s="147" t="s">
        <v>1085</v>
      </c>
      <c r="C32" s="147" t="s">
        <v>1086</v>
      </c>
      <c r="D32" s="147" t="s">
        <v>1087</v>
      </c>
      <c r="E32" s="147" t="s">
        <v>480</v>
      </c>
    </row>
    <row r="33" spans="1:5">
      <c r="A33" s="147" t="s">
        <v>1088</v>
      </c>
      <c r="B33" s="148">
        <v>166</v>
      </c>
      <c r="C33" s="148">
        <v>2139558.5699999998</v>
      </c>
      <c r="D33" s="172">
        <v>0.8353357299452997</v>
      </c>
      <c r="E33" s="148">
        <v>4089</v>
      </c>
    </row>
    <row r="34" spans="1:5">
      <c r="A34" s="147" t="s">
        <v>1089</v>
      </c>
      <c r="B34" s="148">
        <v>40</v>
      </c>
      <c r="C34" s="148">
        <v>163299.41</v>
      </c>
      <c r="D34" s="172">
        <v>6.3756063407035768E-2</v>
      </c>
      <c r="E34" s="148">
        <v>78</v>
      </c>
    </row>
    <row r="35" spans="1:5">
      <c r="A35" s="147" t="s">
        <v>1090</v>
      </c>
      <c r="B35" s="148">
        <v>48</v>
      </c>
      <c r="C35" s="148">
        <v>132296.28</v>
      </c>
      <c r="D35" s="172">
        <v>5.1651687021985922E-2</v>
      </c>
      <c r="E35" s="148">
        <v>44</v>
      </c>
    </row>
    <row r="36" spans="1:5">
      <c r="A36" s="147" t="s">
        <v>1091</v>
      </c>
      <c r="B36" s="148">
        <v>23</v>
      </c>
      <c r="C36" s="148">
        <v>126161.5</v>
      </c>
      <c r="D36" s="172">
        <v>4.9256519625678646E-2</v>
      </c>
      <c r="E36" s="172">
        <v>0</v>
      </c>
    </row>
    <row r="38" spans="1:5">
      <c r="A38" s="147" t="s">
        <v>1092</v>
      </c>
    </row>
    <row r="39" spans="1:5">
      <c r="A39" s="147" t="s">
        <v>1093</v>
      </c>
      <c r="B39" s="147" t="s">
        <v>1085</v>
      </c>
      <c r="C39" s="147" t="s">
        <v>1086</v>
      </c>
      <c r="D39" s="147" t="s">
        <v>1087</v>
      </c>
      <c r="E39" s="147" t="s">
        <v>480</v>
      </c>
    </row>
    <row r="40" spans="1:5">
      <c r="A40" s="147" t="s">
        <v>505</v>
      </c>
      <c r="B40" s="148">
        <v>120</v>
      </c>
      <c r="C40" s="148">
        <v>1824632.02</v>
      </c>
      <c r="D40" s="172">
        <v>0.71238074137333229</v>
      </c>
      <c r="E40" s="148">
        <v>2798</v>
      </c>
    </row>
    <row r="41" spans="1:5">
      <c r="A41" s="147" t="s">
        <v>1090</v>
      </c>
      <c r="B41" s="148">
        <v>124</v>
      </c>
      <c r="C41" s="148">
        <v>495962.69</v>
      </c>
      <c r="D41" s="172">
        <v>0.19363590297824118</v>
      </c>
      <c r="E41" s="148">
        <v>587</v>
      </c>
    </row>
    <row r="42" spans="1:5">
      <c r="A42" s="147" t="s">
        <v>621</v>
      </c>
      <c r="B42" s="148">
        <v>17</v>
      </c>
      <c r="C42" s="148">
        <v>126501.9</v>
      </c>
      <c r="D42" s="172">
        <v>4.938942006900391E-2</v>
      </c>
      <c r="E42" s="148">
        <v>447</v>
      </c>
    </row>
    <row r="43" spans="1:5">
      <c r="A43" s="147" t="s">
        <v>612</v>
      </c>
      <c r="B43" s="148">
        <v>16</v>
      </c>
      <c r="C43" s="148">
        <v>114219.15</v>
      </c>
      <c r="D43" s="172">
        <v>4.4593935579422664E-2</v>
      </c>
      <c r="E43" s="148">
        <v>379</v>
      </c>
    </row>
    <row r="45" spans="1:5">
      <c r="A45" s="147" t="s">
        <v>1094</v>
      </c>
    </row>
    <row r="46" spans="1:5">
      <c r="A46" s="147" t="s">
        <v>492</v>
      </c>
      <c r="B46" s="147" t="s">
        <v>1085</v>
      </c>
      <c r="C46" s="147" t="s">
        <v>1086</v>
      </c>
      <c r="D46" s="147" t="s">
        <v>1087</v>
      </c>
      <c r="E46" s="147" t="s">
        <v>480</v>
      </c>
    </row>
    <row r="47" spans="1:5">
      <c r="A47" s="147" t="s">
        <v>519</v>
      </c>
      <c r="B47" s="148">
        <v>57</v>
      </c>
      <c r="C47" s="148">
        <v>735105.75</v>
      </c>
      <c r="D47" s="172">
        <v>0.28700317293171229</v>
      </c>
      <c r="E47" s="148">
        <v>1408</v>
      </c>
    </row>
    <row r="48" spans="1:5">
      <c r="A48" s="147" t="s">
        <v>1090</v>
      </c>
      <c r="B48" s="148">
        <v>106</v>
      </c>
      <c r="C48" s="148">
        <v>561495.37</v>
      </c>
      <c r="D48" s="172">
        <v>0.21922145592857323</v>
      </c>
      <c r="E48" s="148">
        <v>636</v>
      </c>
    </row>
    <row r="49" spans="1:5">
      <c r="A49" s="147" t="s">
        <v>535</v>
      </c>
      <c r="B49" s="148">
        <v>50</v>
      </c>
      <c r="C49" s="148">
        <v>490344.97000000003</v>
      </c>
      <c r="D49" s="172">
        <v>0.19144260838812005</v>
      </c>
      <c r="E49" s="148">
        <v>829</v>
      </c>
    </row>
    <row r="50" spans="1:5">
      <c r="A50" s="147" t="s">
        <v>545</v>
      </c>
      <c r="B50" s="148">
        <v>22</v>
      </c>
      <c r="C50" s="148">
        <v>308632.11</v>
      </c>
      <c r="D50" s="172">
        <v>0.12049748602647883</v>
      </c>
      <c r="E50" s="148">
        <v>573</v>
      </c>
    </row>
    <row r="51" spans="1:5">
      <c r="A51" s="147" t="s">
        <v>530</v>
      </c>
      <c r="B51" s="148">
        <v>29</v>
      </c>
      <c r="C51" s="148">
        <v>308417.90999999997</v>
      </c>
      <c r="D51" s="172">
        <v>0.12041385713411611</v>
      </c>
      <c r="E51" s="148">
        <v>486</v>
      </c>
    </row>
    <row r="52" spans="1:5">
      <c r="A52" s="147" t="s">
        <v>615</v>
      </c>
      <c r="B52" s="148">
        <v>8</v>
      </c>
      <c r="C52" s="148">
        <v>79463.75</v>
      </c>
      <c r="D52" s="172">
        <v>3.1024581678285541E-2</v>
      </c>
      <c r="E52" s="148">
        <v>152</v>
      </c>
    </row>
    <row r="53" spans="1:5">
      <c r="A53" s="147" t="s">
        <v>578</v>
      </c>
      <c r="B53" s="148">
        <v>1</v>
      </c>
      <c r="C53" s="148">
        <v>25309</v>
      </c>
      <c r="D53" s="172">
        <v>9.8812494715606655E-3</v>
      </c>
      <c r="E53" s="148">
        <v>26</v>
      </c>
    </row>
    <row r="54" spans="1:5">
      <c r="A54" s="147" t="s">
        <v>603</v>
      </c>
      <c r="B54" s="148">
        <v>1</v>
      </c>
      <c r="C54" s="148">
        <v>22143</v>
      </c>
      <c r="D54" s="172">
        <v>8.6451660298221111E-3</v>
      </c>
      <c r="E54" s="148">
        <v>22</v>
      </c>
    </row>
    <row r="55" spans="1:5">
      <c r="A55" s="147" t="s">
        <v>622</v>
      </c>
      <c r="B55" s="148">
        <v>1</v>
      </c>
      <c r="C55" s="148">
        <v>17818.900000000001</v>
      </c>
      <c r="D55" s="172">
        <v>6.9569321667704116E-3</v>
      </c>
      <c r="E55" s="148">
        <v>48</v>
      </c>
    </row>
    <row r="56" spans="1:5">
      <c r="A56" s="147" t="s">
        <v>723</v>
      </c>
      <c r="B56" s="148">
        <v>1</v>
      </c>
      <c r="C56" s="148">
        <v>7917</v>
      </c>
      <c r="D56" s="172">
        <v>3.0909894530145713E-3</v>
      </c>
      <c r="E56" s="148">
        <v>29</v>
      </c>
    </row>
    <row r="57" spans="1:5">
      <c r="A57" s="147" t="s">
        <v>810</v>
      </c>
      <c r="B57" s="148">
        <v>1</v>
      </c>
      <c r="C57" s="148">
        <v>4668</v>
      </c>
      <c r="D57" s="172">
        <v>1.8225007915462952E-3</v>
      </c>
      <c r="E57" s="148">
        <v>2</v>
      </c>
    </row>
    <row r="59" spans="1:5">
      <c r="A59" s="147" t="s">
        <v>1095</v>
      </c>
    </row>
    <row r="60" spans="1:5">
      <c r="A60" s="147" t="s">
        <v>1096</v>
      </c>
      <c r="B60" s="147" t="s">
        <v>1085</v>
      </c>
      <c r="C60" s="147" t="s">
        <v>1086</v>
      </c>
      <c r="D60" s="147" t="s">
        <v>1087</v>
      </c>
      <c r="E60" s="147" t="s">
        <v>480</v>
      </c>
    </row>
    <row r="61" spans="1:5">
      <c r="A61" s="147" t="s">
        <v>1090</v>
      </c>
      <c r="B61" s="148">
        <v>211</v>
      </c>
      <c r="C61" s="148">
        <v>1386201.09</v>
      </c>
      <c r="D61" s="172">
        <v>0.54120663748229159</v>
      </c>
      <c r="E61" s="148">
        <v>2019</v>
      </c>
    </row>
    <row r="62" spans="1:5">
      <c r="A62" s="147" t="s">
        <v>347</v>
      </c>
      <c r="B62" s="148">
        <v>52</v>
      </c>
      <c r="C62" s="148">
        <v>970538.91999999993</v>
      </c>
      <c r="D62" s="172">
        <v>0.37892201155237493</v>
      </c>
      <c r="E62" s="148">
        <v>1961</v>
      </c>
    </row>
    <row r="63" spans="1:5">
      <c r="A63" s="147" t="s">
        <v>359</v>
      </c>
      <c r="B63" s="148">
        <v>13</v>
      </c>
      <c r="C63" s="148">
        <v>199000.75</v>
      </c>
      <c r="D63" s="172">
        <v>7.769473530276487E-2</v>
      </c>
      <c r="E63" s="148">
        <v>231</v>
      </c>
    </row>
    <row r="64" spans="1:5">
      <c r="A64" s="147" t="s">
        <v>769</v>
      </c>
      <c r="B64" s="148">
        <v>1</v>
      </c>
      <c r="C64" s="148">
        <v>5575</v>
      </c>
      <c r="D64" s="172">
        <v>2.1766156625686794E-3</v>
      </c>
      <c r="E64" s="172">
        <v>0</v>
      </c>
    </row>
    <row r="66" spans="1:11">
      <c r="A66" s="147" t="s">
        <v>1097</v>
      </c>
    </row>
    <row r="67" spans="1:11">
      <c r="A67" s="147" t="s">
        <v>1098</v>
      </c>
      <c r="B67" s="147" t="s">
        <v>471</v>
      </c>
      <c r="C67" s="147" t="s">
        <v>1086</v>
      </c>
      <c r="D67" s="147" t="s">
        <v>1087</v>
      </c>
      <c r="E67" s="147" t="s">
        <v>4</v>
      </c>
      <c r="F67" s="147" t="s">
        <v>486</v>
      </c>
      <c r="G67" s="147" t="s">
        <v>1099</v>
      </c>
      <c r="H67" s="147" t="s">
        <v>1084</v>
      </c>
      <c r="I67" s="147" t="s">
        <v>1093</v>
      </c>
      <c r="J67" s="147" t="s">
        <v>1100</v>
      </c>
      <c r="K67" s="147" t="s">
        <v>1101</v>
      </c>
    </row>
    <row r="68" spans="1:11">
      <c r="A68" s="147">
        <v>1</v>
      </c>
      <c r="B68" s="147" t="s">
        <v>501</v>
      </c>
      <c r="C68" s="148">
        <v>97706.59</v>
      </c>
      <c r="D68" s="172">
        <v>3.814703033725135E-2</v>
      </c>
      <c r="E68" s="148">
        <v>61957.5</v>
      </c>
      <c r="F68" s="148">
        <v>66239.09</v>
      </c>
      <c r="G68" s="148">
        <v>206</v>
      </c>
      <c r="H68" s="147" t="s">
        <v>503</v>
      </c>
      <c r="I68" s="147" t="s">
        <v>505</v>
      </c>
      <c r="J68" s="147" t="s">
        <v>1102</v>
      </c>
      <c r="K68" s="147" t="s">
        <v>509</v>
      </c>
    </row>
    <row r="69" spans="1:11">
      <c r="A69" s="147">
        <v>2</v>
      </c>
      <c r="B69" s="147" t="s">
        <v>517</v>
      </c>
      <c r="C69" s="148">
        <v>84889</v>
      </c>
      <c r="D69" s="172">
        <v>3.3142731296823789E-2</v>
      </c>
      <c r="E69" s="148">
        <v>24345</v>
      </c>
      <c r="F69" s="148">
        <v>60544</v>
      </c>
      <c r="G69" s="148">
        <v>163</v>
      </c>
      <c r="H69" s="147" t="s">
        <v>503</v>
      </c>
      <c r="I69" s="147" t="s">
        <v>505</v>
      </c>
      <c r="J69" s="147" t="s">
        <v>209</v>
      </c>
      <c r="K69" s="147" t="s">
        <v>509</v>
      </c>
    </row>
    <row r="70" spans="1:11">
      <c r="A70" s="147">
        <v>3</v>
      </c>
      <c r="B70" s="147" t="s">
        <v>524</v>
      </c>
      <c r="C70" s="148">
        <v>50392</v>
      </c>
      <c r="D70" s="172">
        <v>1.9674263043616302E-2</v>
      </c>
      <c r="E70" s="148">
        <v>54535</v>
      </c>
      <c r="F70" s="148">
        <v>27242</v>
      </c>
      <c r="G70" s="148">
        <v>85</v>
      </c>
      <c r="H70" s="147" t="s">
        <v>503</v>
      </c>
      <c r="I70" s="147" t="s">
        <v>505</v>
      </c>
      <c r="J70" s="147" t="s">
        <v>1102</v>
      </c>
      <c r="K70" s="147" t="s">
        <v>509</v>
      </c>
    </row>
    <row r="71" spans="1:11">
      <c r="A71" s="147">
        <v>4</v>
      </c>
      <c r="B71" s="147" t="s">
        <v>529</v>
      </c>
      <c r="C71" s="148">
        <v>49344</v>
      </c>
      <c r="D71" s="172">
        <v>1.9265098341486802E-2</v>
      </c>
      <c r="E71" s="148">
        <v>44944</v>
      </c>
      <c r="F71" s="148">
        <v>28852</v>
      </c>
      <c r="G71" s="148">
        <v>99</v>
      </c>
      <c r="H71" s="147" t="s">
        <v>503</v>
      </c>
      <c r="I71" s="147" t="s">
        <v>505</v>
      </c>
      <c r="J71" s="147" t="s">
        <v>202</v>
      </c>
      <c r="K71" s="147" t="s">
        <v>509</v>
      </c>
    </row>
    <row r="72" spans="1:11">
      <c r="A72" s="147">
        <v>5</v>
      </c>
      <c r="B72" s="147" t="s">
        <v>533</v>
      </c>
      <c r="C72" s="148">
        <v>47328</v>
      </c>
      <c r="D72" s="172">
        <v>1.8478002883955239E-2</v>
      </c>
      <c r="E72" s="148">
        <v>42300</v>
      </c>
      <c r="F72" s="148">
        <v>28308</v>
      </c>
      <c r="G72" s="148">
        <v>73</v>
      </c>
      <c r="H72" s="147" t="s">
        <v>503</v>
      </c>
      <c r="I72" s="147" t="s">
        <v>505</v>
      </c>
      <c r="J72" s="147" t="s">
        <v>1102</v>
      </c>
      <c r="K72" s="147" t="s">
        <v>509</v>
      </c>
    </row>
    <row r="73" spans="1:11">
      <c r="A73" s="147">
        <v>6</v>
      </c>
      <c r="B73" s="147" t="s">
        <v>539</v>
      </c>
      <c r="C73" s="148">
        <v>45758</v>
      </c>
      <c r="D73" s="172">
        <v>1.786503667942917E-2</v>
      </c>
      <c r="E73" s="148">
        <v>42302</v>
      </c>
      <c r="F73" s="148">
        <v>27357</v>
      </c>
      <c r="G73" s="148">
        <v>54</v>
      </c>
      <c r="H73" s="147" t="s">
        <v>503</v>
      </c>
      <c r="I73" s="147" t="s">
        <v>505</v>
      </c>
      <c r="J73" s="147" t="s">
        <v>1102</v>
      </c>
      <c r="K73" s="147" t="s">
        <v>509</v>
      </c>
    </row>
    <row r="74" spans="1:11">
      <c r="A74" s="147">
        <v>7</v>
      </c>
      <c r="B74" s="147" t="s">
        <v>542</v>
      </c>
      <c r="C74" s="148">
        <v>38990</v>
      </c>
      <c r="D74" s="172">
        <v>1.5222644786287499E-2</v>
      </c>
      <c r="E74" s="148">
        <v>22145</v>
      </c>
      <c r="F74" s="148">
        <v>28490</v>
      </c>
      <c r="G74" s="148">
        <v>81</v>
      </c>
      <c r="H74" s="147" t="s">
        <v>503</v>
      </c>
      <c r="I74" s="147" t="s">
        <v>505</v>
      </c>
      <c r="J74" s="147" t="s">
        <v>202</v>
      </c>
      <c r="K74" s="147" t="s">
        <v>509</v>
      </c>
    </row>
    <row r="75" spans="1:11">
      <c r="A75" s="147">
        <v>8</v>
      </c>
      <c r="B75" s="147" t="s">
        <v>544</v>
      </c>
      <c r="C75" s="148">
        <v>33223</v>
      </c>
      <c r="D75" s="172">
        <v>1.2971067651572956E-2</v>
      </c>
      <c r="E75" s="148">
        <v>29267</v>
      </c>
      <c r="F75" s="148">
        <v>20296</v>
      </c>
      <c r="G75" s="148">
        <v>33</v>
      </c>
      <c r="H75" s="147" t="s">
        <v>503</v>
      </c>
      <c r="I75" s="147" t="s">
        <v>505</v>
      </c>
      <c r="J75" s="147" t="s">
        <v>1102</v>
      </c>
      <c r="K75" s="147" t="s">
        <v>509</v>
      </c>
    </row>
    <row r="76" spans="1:11">
      <c r="A76" s="147">
        <v>9</v>
      </c>
      <c r="B76" s="147" t="s">
        <v>547</v>
      </c>
      <c r="C76" s="148">
        <v>32640.98</v>
      </c>
      <c r="D76" s="172">
        <v>1.2743832880644127E-2</v>
      </c>
      <c r="E76" s="148">
        <v>31130</v>
      </c>
      <c r="F76" s="148">
        <v>18781.98</v>
      </c>
      <c r="G76" s="148">
        <v>36</v>
      </c>
      <c r="H76" s="147" t="s">
        <v>503</v>
      </c>
      <c r="I76" s="147" t="s">
        <v>505</v>
      </c>
      <c r="J76" s="147" t="s">
        <v>1102</v>
      </c>
      <c r="K76" s="147" t="s">
        <v>509</v>
      </c>
    </row>
    <row r="77" spans="1:11">
      <c r="A77" s="147">
        <v>10</v>
      </c>
      <c r="B77" s="147" t="s">
        <v>549</v>
      </c>
      <c r="C77" s="148">
        <v>32225</v>
      </c>
      <c r="D77" s="172">
        <v>1.2581424166148106E-2</v>
      </c>
      <c r="E77" s="148">
        <v>17918.75</v>
      </c>
      <c r="F77" s="148">
        <v>25020</v>
      </c>
      <c r="G77" s="148">
        <v>38</v>
      </c>
      <c r="H77" s="147" t="s">
        <v>503</v>
      </c>
      <c r="I77" s="147" t="s">
        <v>505</v>
      </c>
      <c r="J77" s="147" t="s">
        <v>1102</v>
      </c>
      <c r="K77" s="147" t="s">
        <v>509</v>
      </c>
    </row>
    <row r="78" spans="1:11">
      <c r="A78" s="147">
        <v>11</v>
      </c>
      <c r="B78" s="147" t="s">
        <v>552</v>
      </c>
      <c r="C78" s="148">
        <v>29627</v>
      </c>
      <c r="D78" s="172">
        <v>1.1567101746174396E-2</v>
      </c>
      <c r="E78" s="148">
        <v>23070</v>
      </c>
      <c r="F78" s="148">
        <v>19035</v>
      </c>
      <c r="G78" s="148">
        <v>61</v>
      </c>
      <c r="H78" s="147" t="s">
        <v>503</v>
      </c>
      <c r="I78" s="147" t="s">
        <v>505</v>
      </c>
      <c r="J78" s="147" t="s">
        <v>1102</v>
      </c>
      <c r="K78" s="147" t="s">
        <v>509</v>
      </c>
    </row>
    <row r="79" spans="1:11">
      <c r="A79" s="147">
        <v>12</v>
      </c>
      <c r="B79" s="147" t="s">
        <v>556</v>
      </c>
      <c r="C79" s="148">
        <v>28951.62</v>
      </c>
      <c r="D79" s="172">
        <v>1.1303416959414642E-2</v>
      </c>
      <c r="E79" s="148">
        <v>28526</v>
      </c>
      <c r="F79" s="148">
        <v>17372.62</v>
      </c>
      <c r="G79" s="148">
        <v>27</v>
      </c>
      <c r="H79" s="147" t="s">
        <v>503</v>
      </c>
      <c r="I79" s="147" t="s">
        <v>505</v>
      </c>
      <c r="J79" s="147" t="s">
        <v>1102</v>
      </c>
      <c r="K79" s="147" t="s">
        <v>509</v>
      </c>
    </row>
    <row r="80" spans="1:11">
      <c r="A80" s="147">
        <v>13</v>
      </c>
      <c r="B80" s="147" t="s">
        <v>557</v>
      </c>
      <c r="C80" s="148">
        <v>28873</v>
      </c>
      <c r="D80" s="172">
        <v>1.1272721798268248E-2</v>
      </c>
      <c r="E80" s="148">
        <v>32127.5</v>
      </c>
      <c r="F80" s="148">
        <v>17117</v>
      </c>
      <c r="G80" s="148">
        <v>21</v>
      </c>
      <c r="H80" s="147" t="s">
        <v>503</v>
      </c>
      <c r="I80" s="147" t="s">
        <v>505</v>
      </c>
      <c r="J80" s="147" t="s">
        <v>1102</v>
      </c>
      <c r="K80" s="147" t="s">
        <v>509</v>
      </c>
    </row>
    <row r="81" spans="1:11">
      <c r="A81" s="147">
        <v>14</v>
      </c>
      <c r="B81" s="147" t="s">
        <v>559</v>
      </c>
      <c r="C81" s="148">
        <v>27920</v>
      </c>
      <c r="D81" s="172">
        <v>1.0900647407877584E-2</v>
      </c>
      <c r="E81" s="148">
        <v>27160</v>
      </c>
      <c r="F81" s="148">
        <v>16295</v>
      </c>
      <c r="G81" s="148">
        <v>25</v>
      </c>
      <c r="H81" s="147" t="s">
        <v>503</v>
      </c>
      <c r="I81" s="147" t="s">
        <v>505</v>
      </c>
      <c r="J81" s="147" t="s">
        <v>1102</v>
      </c>
      <c r="K81" s="147" t="s">
        <v>509</v>
      </c>
    </row>
    <row r="82" spans="1:11">
      <c r="A82" s="147">
        <v>15</v>
      </c>
      <c r="B82" s="147" t="s">
        <v>564</v>
      </c>
      <c r="C82" s="148">
        <v>27140</v>
      </c>
      <c r="D82" s="172">
        <v>1.0596116427285016E-2</v>
      </c>
      <c r="E82" s="148">
        <v>16414</v>
      </c>
      <c r="F82" s="148">
        <v>17190</v>
      </c>
      <c r="G82" s="148">
        <v>60</v>
      </c>
      <c r="H82" s="147" t="s">
        <v>503</v>
      </c>
      <c r="I82" s="147" t="s">
        <v>505</v>
      </c>
      <c r="J82" s="147" t="s">
        <v>204</v>
      </c>
      <c r="K82" s="147" t="s">
        <v>509</v>
      </c>
    </row>
    <row r="83" spans="1:11">
      <c r="A83" s="147">
        <v>16</v>
      </c>
      <c r="B83" s="147" t="s">
        <v>566</v>
      </c>
      <c r="C83" s="148">
        <v>26019.5</v>
      </c>
      <c r="D83" s="172">
        <v>1.0158645960933767E-2</v>
      </c>
      <c r="E83" s="148">
        <v>14379.5</v>
      </c>
      <c r="F83" s="148">
        <v>11640</v>
      </c>
      <c r="G83" s="148">
        <v>73</v>
      </c>
      <c r="H83" s="147" t="s">
        <v>503</v>
      </c>
      <c r="I83" s="147" t="s">
        <v>505</v>
      </c>
      <c r="J83" s="147" t="s">
        <v>207</v>
      </c>
      <c r="K83" s="147" t="s">
        <v>510</v>
      </c>
    </row>
    <row r="84" spans="1:11">
      <c r="A84" s="147">
        <v>17</v>
      </c>
      <c r="B84" s="147" t="s">
        <v>572</v>
      </c>
      <c r="C84" s="148">
        <v>25552</v>
      </c>
      <c r="D84" s="172">
        <v>9.9761225847452718E-3</v>
      </c>
      <c r="E84" s="148">
        <v>13910</v>
      </c>
      <c r="F84" s="148">
        <v>15482</v>
      </c>
      <c r="G84" s="148">
        <v>42</v>
      </c>
      <c r="H84" s="147" t="s">
        <v>503</v>
      </c>
      <c r="I84" s="147" t="s">
        <v>505</v>
      </c>
      <c r="J84" s="147" t="s">
        <v>206</v>
      </c>
      <c r="K84" s="147" t="s">
        <v>509</v>
      </c>
    </row>
    <row r="85" spans="1:11">
      <c r="A85" s="147">
        <v>18</v>
      </c>
      <c r="B85" s="147" t="s">
        <v>574</v>
      </c>
      <c r="C85" s="148">
        <v>25527</v>
      </c>
      <c r="D85" s="172">
        <v>9.9663619763929474E-3</v>
      </c>
      <c r="E85" s="148">
        <v>14986</v>
      </c>
      <c r="F85" s="148">
        <v>17639</v>
      </c>
      <c r="G85" s="148">
        <v>47</v>
      </c>
      <c r="H85" s="147" t="s">
        <v>503</v>
      </c>
      <c r="I85" s="147" t="s">
        <v>505</v>
      </c>
      <c r="J85" s="147" t="s">
        <v>1102</v>
      </c>
      <c r="K85" s="147" t="s">
        <v>509</v>
      </c>
    </row>
    <row r="86" spans="1:11">
      <c r="A86" s="147">
        <v>19</v>
      </c>
      <c r="B86" s="147" t="s">
        <v>576</v>
      </c>
      <c r="C86" s="148">
        <v>25309</v>
      </c>
      <c r="D86" s="172">
        <v>9.8812494715606655E-3</v>
      </c>
      <c r="E86" s="148">
        <v>19847</v>
      </c>
      <c r="F86" s="148">
        <v>15569</v>
      </c>
      <c r="G86" s="148">
        <v>26</v>
      </c>
      <c r="H86" s="147" t="s">
        <v>503</v>
      </c>
      <c r="I86" s="147" t="s">
        <v>505</v>
      </c>
      <c r="J86" s="147" t="s">
        <v>1102</v>
      </c>
      <c r="K86" s="147" t="s">
        <v>509</v>
      </c>
    </row>
    <row r="87" spans="1:11">
      <c r="A87" s="147">
        <v>20</v>
      </c>
      <c r="B87" s="147" t="s">
        <v>580</v>
      </c>
      <c r="C87" s="148">
        <v>24880.2</v>
      </c>
      <c r="D87" s="172">
        <v>9.7138355171015704E-3</v>
      </c>
      <c r="E87" s="148">
        <v>21350</v>
      </c>
      <c r="F87" s="148">
        <v>14941.2</v>
      </c>
      <c r="G87" s="148">
        <v>26</v>
      </c>
      <c r="H87" s="147" t="s">
        <v>503</v>
      </c>
      <c r="I87" s="147" t="s">
        <v>505</v>
      </c>
      <c r="J87" s="147" t="s">
        <v>200</v>
      </c>
      <c r="K87" s="147" t="s">
        <v>509</v>
      </c>
    </row>
    <row r="88" spans="1:11">
      <c r="A88" s="147">
        <v>21</v>
      </c>
      <c r="B88" s="147" t="s">
        <v>582</v>
      </c>
      <c r="C88" s="148">
        <v>24265</v>
      </c>
      <c r="D88" s="172">
        <v>9.4736464667675348E-3</v>
      </c>
      <c r="E88" s="148">
        <v>19650</v>
      </c>
      <c r="F88" s="148">
        <v>15760</v>
      </c>
      <c r="G88" s="148">
        <v>34</v>
      </c>
      <c r="H88" s="147" t="s">
        <v>503</v>
      </c>
      <c r="I88" s="147" t="s">
        <v>505</v>
      </c>
      <c r="J88" s="147" t="s">
        <v>1102</v>
      </c>
      <c r="K88" s="147" t="s">
        <v>509</v>
      </c>
    </row>
    <row r="89" spans="1:11">
      <c r="A89" s="147">
        <v>22</v>
      </c>
      <c r="B89" s="147" t="s">
        <v>583</v>
      </c>
      <c r="C89" s="148">
        <v>24064</v>
      </c>
      <c r="D89" s="172">
        <v>9.3951711756148342E-3</v>
      </c>
      <c r="E89" s="148">
        <v>28169</v>
      </c>
      <c r="F89" s="148">
        <v>14427</v>
      </c>
      <c r="G89" s="148">
        <v>28</v>
      </c>
      <c r="H89" s="147" t="s">
        <v>503</v>
      </c>
      <c r="I89" s="147" t="s">
        <v>505</v>
      </c>
      <c r="J89" s="147" t="s">
        <v>1102</v>
      </c>
      <c r="K89" s="147" t="s">
        <v>509</v>
      </c>
    </row>
    <row r="90" spans="1:11">
      <c r="A90" s="147">
        <v>23</v>
      </c>
      <c r="B90" s="147" t="s">
        <v>587</v>
      </c>
      <c r="C90" s="148">
        <v>23603</v>
      </c>
      <c r="D90" s="172">
        <v>9.2151855575979442E-3</v>
      </c>
      <c r="E90" s="148">
        <v>19729</v>
      </c>
      <c r="F90" s="148">
        <v>14773</v>
      </c>
      <c r="G90" s="148">
        <v>24</v>
      </c>
      <c r="H90" s="147" t="s">
        <v>503</v>
      </c>
      <c r="I90" s="147" t="s">
        <v>505</v>
      </c>
      <c r="J90" s="147" t="s">
        <v>1102</v>
      </c>
      <c r="K90" s="147" t="s">
        <v>509</v>
      </c>
    </row>
    <row r="91" spans="1:11">
      <c r="A91" s="147">
        <v>24</v>
      </c>
      <c r="B91" s="147" t="s">
        <v>590</v>
      </c>
      <c r="C91" s="148">
        <v>23175</v>
      </c>
      <c r="D91" s="172">
        <v>9.0480839426061253E-3</v>
      </c>
      <c r="E91" s="148">
        <v>13703</v>
      </c>
      <c r="F91" s="148">
        <v>15292</v>
      </c>
      <c r="G91" s="148">
        <v>30</v>
      </c>
      <c r="H91" s="147" t="s">
        <v>503</v>
      </c>
      <c r="I91" s="147" t="s">
        <v>505</v>
      </c>
      <c r="J91" s="147" t="s">
        <v>204</v>
      </c>
      <c r="K91" s="147" t="s">
        <v>509</v>
      </c>
    </row>
    <row r="92" spans="1:11">
      <c r="A92" s="147">
        <v>25</v>
      </c>
      <c r="B92" s="147" t="s">
        <v>591</v>
      </c>
      <c r="C92" s="148">
        <v>22977</v>
      </c>
      <c r="D92" s="172">
        <v>8.9707799244557029E-3</v>
      </c>
      <c r="E92" s="148">
        <v>19155</v>
      </c>
      <c r="F92" s="148">
        <v>12479</v>
      </c>
      <c r="G92" s="148">
        <v>18</v>
      </c>
      <c r="H92" s="147" t="s">
        <v>503</v>
      </c>
      <c r="I92" s="147" t="s">
        <v>505</v>
      </c>
      <c r="J92" s="147" t="s">
        <v>1102</v>
      </c>
      <c r="K92" s="147" t="s">
        <v>509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="130" zoomScaleNormal="130" workbookViewId="0">
      <selection activeCell="J21" sqref="J21"/>
    </sheetView>
  </sheetViews>
  <sheetFormatPr defaultColWidth="9" defaultRowHeight="15.75"/>
  <cols>
    <col min="1" max="1" width="13.7109375" style="147" customWidth="1"/>
    <col min="2" max="3" width="15.85546875" style="147" customWidth="1"/>
    <col min="4" max="4" width="11.5703125" style="147" customWidth="1"/>
    <col min="5" max="5" width="18" style="147" customWidth="1"/>
    <col min="6" max="6" width="16.85546875" style="147" customWidth="1"/>
    <col min="7" max="7" width="15.85546875" style="147" customWidth="1"/>
    <col min="8" max="8" width="22.140625" style="147" customWidth="1"/>
    <col min="9" max="9" width="16.85546875" style="147" customWidth="1"/>
    <col min="10" max="10" width="26.42578125" style="147" customWidth="1"/>
    <col min="11" max="11" width="15.85546875" style="147" customWidth="1"/>
    <col min="12" max="12" width="11.5703125" style="147" customWidth="1"/>
    <col min="13" max="16384" width="9" style="147"/>
  </cols>
  <sheetData>
    <row r="1" spans="1:12">
      <c r="A1" s="147" t="s">
        <v>1113</v>
      </c>
    </row>
    <row r="2" spans="1:12">
      <c r="A2" s="147" t="s">
        <v>1114</v>
      </c>
    </row>
    <row r="3" spans="1:12">
      <c r="A3" s="147" t="s">
        <v>1115</v>
      </c>
    </row>
    <row r="5" spans="1:12">
      <c r="A5" s="147" t="s">
        <v>1116</v>
      </c>
      <c r="B5" s="147" t="s">
        <v>258</v>
      </c>
      <c r="C5" s="147" t="s">
        <v>1117</v>
      </c>
      <c r="D5" s="147" t="s">
        <v>1118</v>
      </c>
      <c r="E5" s="147" t="s">
        <v>1112</v>
      </c>
      <c r="F5" s="147" t="s">
        <v>1119</v>
      </c>
      <c r="G5" s="147" t="s">
        <v>1120</v>
      </c>
      <c r="H5" s="147" t="s">
        <v>1121</v>
      </c>
      <c r="I5" s="147" t="s">
        <v>1122</v>
      </c>
      <c r="J5" s="147" t="s">
        <v>1123</v>
      </c>
      <c r="K5" s="147" t="s">
        <v>1124</v>
      </c>
      <c r="L5" s="147" t="s">
        <v>1125</v>
      </c>
    </row>
    <row r="6" spans="1:12">
      <c r="A6" s="147" t="s">
        <v>200</v>
      </c>
      <c r="B6" s="148">
        <v>131036.65</v>
      </c>
      <c r="C6" s="147" t="s">
        <v>343</v>
      </c>
      <c r="D6" s="147" t="s">
        <v>343</v>
      </c>
      <c r="E6" s="147">
        <v>156</v>
      </c>
      <c r="F6" s="148">
        <v>839.97852564102561</v>
      </c>
      <c r="G6" s="147">
        <v>8</v>
      </c>
      <c r="H6" s="148">
        <v>9125.15</v>
      </c>
      <c r="I6" s="147">
        <v>7</v>
      </c>
      <c r="J6" s="148">
        <v>2695</v>
      </c>
      <c r="K6" s="147" t="s">
        <v>343</v>
      </c>
      <c r="L6" s="147" t="s">
        <v>343</v>
      </c>
    </row>
    <row r="7" spans="1:12">
      <c r="A7" s="147" t="s">
        <v>201</v>
      </c>
      <c r="B7" s="148">
        <v>126265.25</v>
      </c>
      <c r="C7" s="148">
        <v>-4771.3999999999942</v>
      </c>
      <c r="D7" s="172">
        <v>-3.6412713542356201E-2</v>
      </c>
      <c r="E7" s="147">
        <v>154</v>
      </c>
      <c r="F7" s="148">
        <v>819.90422077922074</v>
      </c>
      <c r="G7" s="147">
        <v>5</v>
      </c>
      <c r="H7" s="148">
        <v>2845</v>
      </c>
      <c r="I7" s="147">
        <v>6</v>
      </c>
      <c r="J7" s="148">
        <v>1505</v>
      </c>
      <c r="K7" s="147" t="s">
        <v>343</v>
      </c>
      <c r="L7" s="147" t="s">
        <v>343</v>
      </c>
    </row>
    <row r="8" spans="1:12">
      <c r="A8" s="147" t="s">
        <v>202</v>
      </c>
      <c r="B8" s="148">
        <v>128808.1</v>
      </c>
      <c r="C8" s="148">
        <v>2542.8500000000058</v>
      </c>
      <c r="D8" s="172">
        <v>2.0138953512546021E-2</v>
      </c>
      <c r="E8" s="147">
        <v>155</v>
      </c>
      <c r="F8" s="148">
        <v>831.02</v>
      </c>
      <c r="G8" s="147">
        <v>8</v>
      </c>
      <c r="H8" s="148">
        <v>13208.25</v>
      </c>
      <c r="I8" s="147">
        <v>3</v>
      </c>
      <c r="J8" s="148">
        <v>875</v>
      </c>
      <c r="K8" s="147" t="s">
        <v>343</v>
      </c>
      <c r="L8" s="147" t="s">
        <v>343</v>
      </c>
    </row>
    <row r="9" spans="1:12">
      <c r="A9" s="147" t="s">
        <v>203</v>
      </c>
      <c r="B9" s="148">
        <v>135046</v>
      </c>
      <c r="C9" s="148">
        <v>6237.8999999999942</v>
      </c>
      <c r="D9" s="172">
        <v>4.8427855080542148E-2</v>
      </c>
      <c r="E9" s="147">
        <v>160</v>
      </c>
      <c r="F9" s="148">
        <v>844.03750000000002</v>
      </c>
      <c r="G9" s="147">
        <v>9</v>
      </c>
      <c r="H9" s="148">
        <v>5960</v>
      </c>
      <c r="I9" s="147">
        <v>3</v>
      </c>
      <c r="J9" s="148">
        <v>1120</v>
      </c>
      <c r="K9" s="147" t="s">
        <v>343</v>
      </c>
      <c r="L9" s="147" t="s">
        <v>343</v>
      </c>
    </row>
    <row r="10" spans="1:12">
      <c r="A10" s="147" t="s">
        <v>204</v>
      </c>
      <c r="B10" s="148">
        <v>153428.69</v>
      </c>
      <c r="C10" s="148">
        <v>18382.690000000002</v>
      </c>
      <c r="D10" s="172">
        <v>0.1361216918679562</v>
      </c>
      <c r="E10" s="147">
        <v>165</v>
      </c>
      <c r="F10" s="148">
        <v>929.87084848484847</v>
      </c>
      <c r="G10" s="147">
        <v>9</v>
      </c>
      <c r="H10" s="148">
        <v>14565</v>
      </c>
      <c r="I10" s="147">
        <v>3</v>
      </c>
      <c r="J10" s="148">
        <v>780</v>
      </c>
      <c r="K10" s="147" t="s">
        <v>343</v>
      </c>
      <c r="L10" s="147" t="s">
        <v>343</v>
      </c>
    </row>
    <row r="11" spans="1:12">
      <c r="A11" s="147" t="s">
        <v>205</v>
      </c>
      <c r="B11" s="148">
        <v>151954.75</v>
      </c>
      <c r="C11" s="148">
        <v>-1473.9400000000023</v>
      </c>
      <c r="D11" s="172">
        <v>-9.6066778644854356E-3</v>
      </c>
      <c r="E11" s="147">
        <v>171</v>
      </c>
      <c r="F11" s="148">
        <v>888.62426900584796</v>
      </c>
      <c r="G11" s="147">
        <v>7</v>
      </c>
      <c r="H11" s="148">
        <v>7534</v>
      </c>
      <c r="I11" s="147">
        <v>6</v>
      </c>
      <c r="J11" s="148">
        <v>2534</v>
      </c>
      <c r="K11" s="147" t="s">
        <v>343</v>
      </c>
      <c r="L11" s="147" t="s">
        <v>343</v>
      </c>
    </row>
    <row r="12" spans="1:12">
      <c r="A12" s="147" t="s">
        <v>206</v>
      </c>
      <c r="B12" s="148">
        <v>154649.71000000002</v>
      </c>
      <c r="C12" s="148">
        <v>2694.960000000021</v>
      </c>
      <c r="D12" s="172">
        <v>1.7735279746108779E-2</v>
      </c>
      <c r="E12" s="147">
        <v>171</v>
      </c>
      <c r="F12" s="148">
        <v>904.38426900584807</v>
      </c>
      <c r="G12" s="147">
        <v>6</v>
      </c>
      <c r="H12" s="148">
        <v>6806.25</v>
      </c>
      <c r="I12" s="147">
        <v>2</v>
      </c>
      <c r="J12" s="148">
        <v>1185</v>
      </c>
      <c r="K12" s="147" t="s">
        <v>343</v>
      </c>
      <c r="L12" s="147" t="s">
        <v>343</v>
      </c>
    </row>
    <row r="13" spans="1:12">
      <c r="A13" s="147" t="s">
        <v>207</v>
      </c>
      <c r="B13" s="148">
        <v>157673.44</v>
      </c>
      <c r="C13" s="148">
        <v>3023.7299999999814</v>
      </c>
      <c r="D13" s="172">
        <v>1.9552122018204665E-2</v>
      </c>
      <c r="E13" s="147">
        <v>175</v>
      </c>
      <c r="F13" s="148">
        <v>900.99108571428576</v>
      </c>
      <c r="G13" s="147">
        <v>8</v>
      </c>
      <c r="H13" s="148">
        <v>7455</v>
      </c>
      <c r="I13" s="147">
        <v>1</v>
      </c>
      <c r="J13" s="148">
        <v>395</v>
      </c>
      <c r="K13" s="147" t="s">
        <v>343</v>
      </c>
      <c r="L13" s="147" t="s">
        <v>343</v>
      </c>
    </row>
    <row r="14" spans="1:12">
      <c r="A14" s="147" t="s">
        <v>208</v>
      </c>
      <c r="B14" s="148">
        <v>172517</v>
      </c>
      <c r="C14" s="148">
        <v>14843.559999999998</v>
      </c>
      <c r="D14" s="172">
        <v>9.4141156557502548E-2</v>
      </c>
      <c r="E14" s="147">
        <v>181</v>
      </c>
      <c r="F14" s="148">
        <v>953.13259668508283</v>
      </c>
      <c r="G14" s="147">
        <v>6</v>
      </c>
      <c r="H14" s="148">
        <v>8337.5</v>
      </c>
      <c r="I14" s="147">
        <v>6</v>
      </c>
      <c r="J14" s="148">
        <v>3875</v>
      </c>
      <c r="K14" s="147" t="s">
        <v>343</v>
      </c>
      <c r="L14" s="147" t="s">
        <v>343</v>
      </c>
    </row>
    <row r="15" spans="1:12">
      <c r="A15" s="147" t="s">
        <v>209</v>
      </c>
      <c r="B15" s="148">
        <v>185106.25</v>
      </c>
      <c r="C15" s="148">
        <v>12589.25</v>
      </c>
      <c r="D15" s="172">
        <v>7.2973967782885119E-2</v>
      </c>
      <c r="E15" s="147">
        <v>189</v>
      </c>
      <c r="F15" s="148">
        <v>979.39814814814815</v>
      </c>
      <c r="G15" s="147">
        <v>15</v>
      </c>
      <c r="H15" s="148">
        <v>18009.25</v>
      </c>
      <c r="I15" s="147">
        <v>4</v>
      </c>
      <c r="J15" s="148">
        <v>1460.25</v>
      </c>
      <c r="K15" s="147" t="s">
        <v>343</v>
      </c>
      <c r="L15" s="147" t="s">
        <v>343</v>
      </c>
    </row>
    <row r="16" spans="1:12">
      <c r="A16" s="147" t="s">
        <v>210</v>
      </c>
      <c r="B16" s="148">
        <v>184245</v>
      </c>
      <c r="C16" s="148">
        <v>-861.25</v>
      </c>
      <c r="D16" s="172">
        <v>-4.6527332275382305E-3</v>
      </c>
      <c r="E16" s="147">
        <v>184</v>
      </c>
      <c r="F16" s="148">
        <v>1001.3315217391304</v>
      </c>
      <c r="G16" s="147">
        <v>7</v>
      </c>
      <c r="H16" s="148">
        <v>10711.25</v>
      </c>
      <c r="I16" s="147">
        <v>5</v>
      </c>
      <c r="J16" s="148">
        <v>5920</v>
      </c>
      <c r="K16" s="147" t="s">
        <v>343</v>
      </c>
      <c r="L16" s="147" t="s">
        <v>343</v>
      </c>
    </row>
    <row r="17" spans="1:12">
      <c r="A17" s="147" t="s">
        <v>211</v>
      </c>
      <c r="B17" s="148">
        <v>194175.75</v>
      </c>
      <c r="C17" s="148">
        <v>9930.75</v>
      </c>
      <c r="D17" s="172">
        <v>5.3899698770658588E-2</v>
      </c>
      <c r="E17" s="147">
        <v>190</v>
      </c>
      <c r="F17" s="148">
        <v>1021.9776315789474</v>
      </c>
      <c r="G17" s="147">
        <v>12</v>
      </c>
      <c r="H17" s="148">
        <v>14863</v>
      </c>
      <c r="I17" s="147">
        <v>8</v>
      </c>
      <c r="J17" s="148">
        <v>2997</v>
      </c>
      <c r="K17" s="147" t="s">
        <v>343</v>
      </c>
      <c r="L17" s="147" t="s">
        <v>343</v>
      </c>
    </row>
    <row r="18" spans="1:12">
      <c r="A18" s="147" t="s">
        <v>242</v>
      </c>
      <c r="B18" s="148">
        <v>211380.15999999997</v>
      </c>
      <c r="C18" s="148">
        <v>17204.409999999974</v>
      </c>
      <c r="D18" s="172">
        <v>8.8602258520953159E-2</v>
      </c>
      <c r="E18" s="147">
        <v>196</v>
      </c>
      <c r="F18" s="148">
        <v>1078.4702040816326</v>
      </c>
      <c r="G18" s="147">
        <v>13</v>
      </c>
      <c r="H18" s="148">
        <v>18467.75</v>
      </c>
      <c r="I18" s="147">
        <v>7</v>
      </c>
      <c r="J18" s="148">
        <v>3967.34</v>
      </c>
      <c r="K18" s="148">
        <v>131036.65</v>
      </c>
      <c r="L18" s="172">
        <v>0.61313769849885502</v>
      </c>
    </row>
    <row r="19" spans="1:12">
      <c r="A19" s="147" t="s">
        <v>243</v>
      </c>
      <c r="B19" s="148">
        <v>244739.87</v>
      </c>
      <c r="C19" s="148">
        <v>33359.710000000021</v>
      </c>
      <c r="D19" s="172">
        <v>0.15781854834436704</v>
      </c>
      <c r="E19" s="147">
        <v>203</v>
      </c>
      <c r="F19" s="148">
        <v>1205.6151231527094</v>
      </c>
      <c r="G19" s="147">
        <v>11</v>
      </c>
      <c r="H19" s="148">
        <v>14600</v>
      </c>
      <c r="I19" s="147">
        <v>10</v>
      </c>
      <c r="J19" s="148">
        <v>3845</v>
      </c>
      <c r="K19" s="148">
        <v>126265.25</v>
      </c>
      <c r="L19" s="172">
        <v>0.9382994925365451</v>
      </c>
    </row>
    <row r="20" spans="1:12">
      <c r="A20" s="147" t="s">
        <v>244</v>
      </c>
      <c r="B20" s="148">
        <v>224988.75</v>
      </c>
      <c r="C20" s="148">
        <v>-19751.119999999995</v>
      </c>
      <c r="D20" s="172">
        <v>-8.0702502620435324E-2</v>
      </c>
      <c r="E20" s="147">
        <v>207</v>
      </c>
      <c r="F20" s="148">
        <v>1086.9021739130435</v>
      </c>
      <c r="G20" s="147">
        <v>7</v>
      </c>
      <c r="H20" s="148">
        <v>12350</v>
      </c>
      <c r="I20" s="147">
        <v>15</v>
      </c>
      <c r="J20" s="148">
        <v>8200</v>
      </c>
      <c r="K20" s="148">
        <v>128808.1</v>
      </c>
      <c r="L20" s="172">
        <v>0.74669721857553983</v>
      </c>
    </row>
    <row r="21" spans="1:12">
      <c r="A21" s="147" t="s">
        <v>245</v>
      </c>
      <c r="B21" s="148">
        <v>235093.11000000002</v>
      </c>
      <c r="C21" s="148">
        <v>10104.360000000015</v>
      </c>
      <c r="D21" s="172">
        <v>4.4910512192276375E-2</v>
      </c>
      <c r="E21" s="147">
        <v>204</v>
      </c>
      <c r="F21" s="148">
        <v>1152.4172058823531</v>
      </c>
      <c r="G21" s="147">
        <v>11</v>
      </c>
      <c r="H21" s="148">
        <v>20897</v>
      </c>
      <c r="I21" s="147">
        <v>6</v>
      </c>
      <c r="J21" s="148">
        <v>9944.5</v>
      </c>
      <c r="K21" s="148">
        <v>135046</v>
      </c>
      <c r="L21" s="172">
        <v>0.7408372702634658</v>
      </c>
    </row>
    <row r="22" spans="1:12">
      <c r="A22" s="147" t="s">
        <v>246</v>
      </c>
      <c r="B22" s="148">
        <v>250520.61</v>
      </c>
      <c r="C22" s="148">
        <v>15427.499999999971</v>
      </c>
      <c r="D22" s="172">
        <v>6.5622935525417869E-2</v>
      </c>
      <c r="E22" s="147">
        <v>205</v>
      </c>
      <c r="F22" s="148">
        <v>1222.0517560975609</v>
      </c>
      <c r="G22" s="147">
        <v>6</v>
      </c>
      <c r="H22" s="148">
        <v>18658</v>
      </c>
      <c r="I22" s="147">
        <v>14</v>
      </c>
      <c r="J22" s="148">
        <v>7999</v>
      </c>
      <c r="K22" s="148">
        <v>153428.69</v>
      </c>
      <c r="L22" s="172">
        <v>0.63281463199614096</v>
      </c>
    </row>
    <row r="23" spans="1:12">
      <c r="A23" s="147" t="s">
        <v>247</v>
      </c>
      <c r="B23" s="148">
        <v>249696.16999999998</v>
      </c>
      <c r="C23" s="148">
        <v>-824.44000000000233</v>
      </c>
      <c r="D23" s="172">
        <v>-3.2909068838687938E-3</v>
      </c>
      <c r="E23" s="147">
        <v>196</v>
      </c>
      <c r="F23" s="148">
        <v>1273.9600510204082</v>
      </c>
      <c r="G23" s="147">
        <v>5</v>
      </c>
      <c r="H23" s="148">
        <v>7757.5</v>
      </c>
      <c r="I23" s="147">
        <v>6</v>
      </c>
      <c r="J23" s="148">
        <v>2114</v>
      </c>
      <c r="K23" s="148">
        <v>151954.75</v>
      </c>
      <c r="L23" s="172">
        <v>0.64322714492307731</v>
      </c>
    </row>
    <row r="24" spans="1:12">
      <c r="A24" s="147" t="s">
        <v>248</v>
      </c>
      <c r="B24" s="148">
        <v>251179.65</v>
      </c>
      <c r="C24" s="148">
        <v>1483.4800000000105</v>
      </c>
      <c r="D24" s="172">
        <v>5.9411403867348778E-3</v>
      </c>
      <c r="E24" s="147">
        <v>195</v>
      </c>
      <c r="F24" s="148">
        <v>1288.1007692307692</v>
      </c>
      <c r="G24" s="147">
        <v>5</v>
      </c>
      <c r="H24" s="148">
        <v>12429</v>
      </c>
      <c r="I24" s="147">
        <v>0</v>
      </c>
      <c r="J24" s="148">
        <v>0</v>
      </c>
      <c r="K24" s="148">
        <v>154649.71000000002</v>
      </c>
      <c r="L24" s="172">
        <v>0.62418442297757926</v>
      </c>
    </row>
    <row r="26" spans="1:12">
      <c r="A26" s="147" t="s">
        <v>1126</v>
      </c>
      <c r="B26" s="148">
        <v>1874906.59</v>
      </c>
    </row>
    <row r="27" spans="1:12">
      <c r="A27" s="147" t="s">
        <v>1059</v>
      </c>
      <c r="B27" s="148">
        <v>1667598.3199999998</v>
      </c>
    </row>
    <row r="28" spans="1:12">
      <c r="A28" s="147" t="s">
        <v>1127</v>
      </c>
      <c r="B28" s="148">
        <v>981189.14999999991</v>
      </c>
    </row>
    <row r="29" spans="1:12">
      <c r="A29" s="147" t="s">
        <v>1128</v>
      </c>
      <c r="B29" s="148">
        <v>3542504.9099999992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7" customWidth="1"/>
    <col min="2" max="2" width="13.7109375" style="147" customWidth="1"/>
    <col min="3" max="4" width="18" style="147" customWidth="1"/>
    <col min="5" max="5" width="14.7109375" style="147" customWidth="1"/>
    <col min="6" max="6" width="24.28515625" style="147" customWidth="1"/>
    <col min="7" max="7" width="15.85546875" style="147" customWidth="1"/>
    <col min="8" max="9" width="18" style="147" customWidth="1"/>
    <col min="10" max="16384" width="9" style="147"/>
  </cols>
  <sheetData>
    <row r="1" spans="1:8">
      <c r="A1" s="147" t="s">
        <v>1129</v>
      </c>
    </row>
    <row r="2" spans="1:8">
      <c r="A2" s="147" t="s">
        <v>1130</v>
      </c>
    </row>
    <row r="3" spans="1:8">
      <c r="A3" s="147" t="s">
        <v>1131</v>
      </c>
    </row>
    <row r="4" spans="1:8">
      <c r="A4" s="147" t="s">
        <v>1132</v>
      </c>
    </row>
    <row r="5" spans="1:8">
      <c r="A5" s="147" t="s">
        <v>1133</v>
      </c>
    </row>
    <row r="7" spans="1:8">
      <c r="A7" s="147" t="s">
        <v>1116</v>
      </c>
      <c r="B7" s="147" t="s">
        <v>1120</v>
      </c>
      <c r="C7" s="147" t="s">
        <v>1134</v>
      </c>
      <c r="D7" s="147" t="s">
        <v>1135</v>
      </c>
      <c r="E7" s="147" t="s">
        <v>1122</v>
      </c>
      <c r="F7" s="147" t="s">
        <v>1136</v>
      </c>
      <c r="G7" s="147" t="s">
        <v>1137</v>
      </c>
      <c r="H7" s="147" t="s">
        <v>1138</v>
      </c>
    </row>
    <row r="8" spans="1:8">
      <c r="A8" s="147" t="s">
        <v>200</v>
      </c>
      <c r="B8" s="147">
        <v>8</v>
      </c>
      <c r="C8" s="148">
        <v>9125.15</v>
      </c>
      <c r="D8" s="148">
        <v>7167.8</v>
      </c>
      <c r="E8" s="147">
        <v>7</v>
      </c>
      <c r="F8" s="148">
        <v>2695</v>
      </c>
      <c r="G8" s="148">
        <v>4472.8</v>
      </c>
      <c r="H8" s="148">
        <v>4472.8</v>
      </c>
    </row>
    <row r="9" spans="1:8">
      <c r="A9" s="147" t="s">
        <v>201</v>
      </c>
      <c r="B9" s="147">
        <v>5</v>
      </c>
      <c r="C9" s="148">
        <v>2845</v>
      </c>
      <c r="D9" s="148">
        <v>3200</v>
      </c>
      <c r="E9" s="147">
        <v>6</v>
      </c>
      <c r="F9" s="148">
        <v>2496.25</v>
      </c>
      <c r="G9" s="148">
        <v>703.75</v>
      </c>
      <c r="H9" s="148">
        <v>5176.55</v>
      </c>
    </row>
    <row r="10" spans="1:8">
      <c r="A10" s="147" t="s">
        <v>202</v>
      </c>
      <c r="B10" s="147">
        <v>8</v>
      </c>
      <c r="C10" s="148">
        <v>13208.25</v>
      </c>
      <c r="D10" s="148">
        <v>11966.75</v>
      </c>
      <c r="E10" s="147">
        <v>3</v>
      </c>
      <c r="F10" s="148">
        <v>875</v>
      </c>
      <c r="G10" s="148">
        <v>11091.75</v>
      </c>
      <c r="H10" s="148">
        <v>16268.3</v>
      </c>
    </row>
    <row r="11" spans="1:8">
      <c r="A11" s="147" t="s">
        <v>203</v>
      </c>
      <c r="B11" s="147">
        <v>9</v>
      </c>
      <c r="C11" s="148">
        <v>5960</v>
      </c>
      <c r="D11" s="148">
        <v>3335</v>
      </c>
      <c r="E11" s="147">
        <v>3</v>
      </c>
      <c r="F11" s="148">
        <v>1450</v>
      </c>
      <c r="G11" s="148">
        <v>1885</v>
      </c>
      <c r="H11" s="148">
        <v>18153.3</v>
      </c>
    </row>
    <row r="12" spans="1:8">
      <c r="A12" s="147" t="s">
        <v>204</v>
      </c>
      <c r="B12" s="147">
        <v>9</v>
      </c>
      <c r="C12" s="148">
        <v>14565</v>
      </c>
      <c r="D12" s="148">
        <v>7327.75</v>
      </c>
      <c r="E12" s="147">
        <v>3</v>
      </c>
      <c r="F12" s="148">
        <v>780</v>
      </c>
      <c r="G12" s="148">
        <v>6547.75</v>
      </c>
      <c r="H12" s="148">
        <v>24701.05</v>
      </c>
    </row>
    <row r="13" spans="1:8">
      <c r="A13" s="147" t="s">
        <v>205</v>
      </c>
      <c r="B13" s="147">
        <v>7</v>
      </c>
      <c r="C13" s="148">
        <v>7534</v>
      </c>
      <c r="D13" s="148">
        <v>5198.75</v>
      </c>
      <c r="E13" s="147">
        <v>6</v>
      </c>
      <c r="F13" s="148">
        <v>3729</v>
      </c>
      <c r="G13" s="148">
        <v>1469.75</v>
      </c>
      <c r="H13" s="148">
        <v>26170.799999999999</v>
      </c>
    </row>
    <row r="14" spans="1:8">
      <c r="A14" s="147" t="s">
        <v>206</v>
      </c>
      <c r="B14" s="147">
        <v>6</v>
      </c>
      <c r="C14" s="148">
        <v>6806.25</v>
      </c>
      <c r="D14" s="148">
        <v>3811.5</v>
      </c>
      <c r="E14" s="147">
        <v>2</v>
      </c>
      <c r="F14" s="148">
        <v>1185</v>
      </c>
      <c r="G14" s="148">
        <v>2626.5</v>
      </c>
      <c r="H14" s="148">
        <v>28797.3</v>
      </c>
    </row>
    <row r="15" spans="1:8">
      <c r="A15" s="147" t="s">
        <v>207</v>
      </c>
      <c r="B15" s="147">
        <v>8</v>
      </c>
      <c r="C15" s="148">
        <v>7455</v>
      </c>
      <c r="D15" s="148">
        <v>6794.5</v>
      </c>
      <c r="E15" s="147">
        <v>1</v>
      </c>
      <c r="F15" s="148">
        <v>395</v>
      </c>
      <c r="G15" s="148">
        <v>6399.5</v>
      </c>
      <c r="H15" s="148">
        <v>35196.800000000003</v>
      </c>
    </row>
    <row r="16" spans="1:8">
      <c r="A16" s="147" t="s">
        <v>208</v>
      </c>
      <c r="B16" s="147">
        <v>6</v>
      </c>
      <c r="C16" s="148">
        <v>8337.5</v>
      </c>
      <c r="D16" s="148">
        <v>10752.5</v>
      </c>
      <c r="E16" s="147">
        <v>6</v>
      </c>
      <c r="F16" s="148">
        <v>4315</v>
      </c>
      <c r="G16" s="148">
        <v>6437.5</v>
      </c>
      <c r="H16" s="148">
        <v>41634.300000000003</v>
      </c>
    </row>
    <row r="17" spans="1:9">
      <c r="A17" s="147" t="s">
        <v>209</v>
      </c>
      <c r="B17" s="147">
        <v>15</v>
      </c>
      <c r="C17" s="148">
        <v>18009.25</v>
      </c>
      <c r="D17" s="148">
        <v>18085.25</v>
      </c>
      <c r="E17" s="147">
        <v>4</v>
      </c>
      <c r="F17" s="148">
        <v>1965.25</v>
      </c>
      <c r="G17" s="148">
        <v>16120</v>
      </c>
      <c r="H17" s="148">
        <v>57754.3</v>
      </c>
    </row>
    <row r="18" spans="1:9">
      <c r="A18" s="147" t="s">
        <v>210</v>
      </c>
      <c r="B18" s="147">
        <v>7</v>
      </c>
      <c r="C18" s="148">
        <v>10711.25</v>
      </c>
      <c r="D18" s="148">
        <v>6533.75</v>
      </c>
      <c r="E18" s="147">
        <v>5</v>
      </c>
      <c r="F18" s="148">
        <v>6728</v>
      </c>
      <c r="G18" s="148">
        <v>-194.25</v>
      </c>
      <c r="H18" s="148">
        <v>57560.05</v>
      </c>
    </row>
    <row r="19" spans="1:9">
      <c r="A19" s="147" t="s">
        <v>211</v>
      </c>
      <c r="B19" s="147">
        <v>12</v>
      </c>
      <c r="C19" s="148">
        <v>14863</v>
      </c>
      <c r="D19" s="148">
        <v>11012.15</v>
      </c>
      <c r="E19" s="147">
        <v>8</v>
      </c>
      <c r="F19" s="148">
        <v>2997</v>
      </c>
      <c r="G19" s="148">
        <v>8015.15</v>
      </c>
      <c r="H19" s="148">
        <v>65575.199999999997</v>
      </c>
    </row>
    <row r="20" spans="1:9">
      <c r="A20" s="147" t="s">
        <v>242</v>
      </c>
      <c r="B20" s="147">
        <v>13</v>
      </c>
      <c r="C20" s="148">
        <v>18467.75</v>
      </c>
      <c r="D20" s="148">
        <v>9211.75</v>
      </c>
      <c r="E20" s="147">
        <v>7</v>
      </c>
      <c r="F20" s="148">
        <v>9021.5</v>
      </c>
      <c r="G20" s="148">
        <v>190.25</v>
      </c>
      <c r="H20" s="148">
        <v>65765.45</v>
      </c>
    </row>
    <row r="21" spans="1:9">
      <c r="A21" s="147" t="s">
        <v>243</v>
      </c>
      <c r="B21" s="147">
        <v>11</v>
      </c>
      <c r="C21" s="148">
        <v>14600</v>
      </c>
      <c r="D21" s="148">
        <v>10830</v>
      </c>
      <c r="E21" s="147">
        <v>10</v>
      </c>
      <c r="F21" s="148">
        <v>5950</v>
      </c>
      <c r="G21" s="148">
        <v>4880</v>
      </c>
      <c r="H21" s="148">
        <v>70645.45</v>
      </c>
    </row>
    <row r="22" spans="1:9">
      <c r="A22" s="147" t="s">
        <v>244</v>
      </c>
      <c r="B22" s="147">
        <v>7</v>
      </c>
      <c r="C22" s="148">
        <v>12350</v>
      </c>
      <c r="D22" s="148">
        <v>7460.4</v>
      </c>
      <c r="E22" s="147">
        <v>15</v>
      </c>
      <c r="F22" s="148">
        <v>10901.5</v>
      </c>
      <c r="G22" s="148">
        <v>-3441.1000000000004</v>
      </c>
      <c r="H22" s="148">
        <v>67204.349999999991</v>
      </c>
    </row>
    <row r="23" spans="1:9">
      <c r="A23" s="147" t="s">
        <v>245</v>
      </c>
      <c r="B23" s="147">
        <v>11</v>
      </c>
      <c r="C23" s="148">
        <v>20897</v>
      </c>
      <c r="D23" s="148">
        <v>12886</v>
      </c>
      <c r="E23" s="147">
        <v>6</v>
      </c>
      <c r="F23" s="148">
        <v>10637.5</v>
      </c>
      <c r="G23" s="148">
        <v>2248.5</v>
      </c>
      <c r="H23" s="148">
        <v>69452.849999999991</v>
      </c>
    </row>
    <row r="24" spans="1:9">
      <c r="A24" s="147" t="s">
        <v>246</v>
      </c>
      <c r="B24" s="147">
        <v>6</v>
      </c>
      <c r="C24" s="148">
        <v>18658</v>
      </c>
      <c r="D24" s="148">
        <v>10928</v>
      </c>
      <c r="E24" s="147">
        <v>14</v>
      </c>
      <c r="F24" s="148">
        <v>9306</v>
      </c>
      <c r="G24" s="148">
        <v>1622</v>
      </c>
      <c r="H24" s="148">
        <v>71074.849999999991</v>
      </c>
    </row>
    <row r="25" spans="1:9">
      <c r="A25" s="147" t="s">
        <v>247</v>
      </c>
      <c r="B25" s="147">
        <v>5</v>
      </c>
      <c r="C25" s="148">
        <v>7757.5</v>
      </c>
      <c r="D25" s="148">
        <v>4169</v>
      </c>
      <c r="E25" s="147">
        <v>6</v>
      </c>
      <c r="F25" s="148">
        <v>2576</v>
      </c>
      <c r="G25" s="148">
        <v>1593</v>
      </c>
      <c r="H25" s="148">
        <v>72667.849999999991</v>
      </c>
    </row>
    <row r="26" spans="1:9">
      <c r="A26" s="147" t="s">
        <v>248</v>
      </c>
      <c r="B26" s="147">
        <v>5</v>
      </c>
      <c r="C26" s="148">
        <v>12429</v>
      </c>
      <c r="D26" s="148">
        <v>12429</v>
      </c>
      <c r="E26" s="147">
        <v>0</v>
      </c>
      <c r="F26" s="148">
        <v>0</v>
      </c>
      <c r="G26" s="148">
        <v>12429</v>
      </c>
      <c r="H26" s="148">
        <v>85096.849999999991</v>
      </c>
    </row>
    <row r="28" spans="1:9">
      <c r="A28" s="147" t="s">
        <v>1139</v>
      </c>
      <c r="B28" s="147">
        <v>58</v>
      </c>
      <c r="C28" s="147" t="s">
        <v>343</v>
      </c>
      <c r="D28" s="148">
        <v>67914.149999999994</v>
      </c>
      <c r="E28" s="147">
        <v>58</v>
      </c>
      <c r="F28" s="148">
        <v>48392.5</v>
      </c>
      <c r="G28" s="148">
        <v>19521.649999999994</v>
      </c>
      <c r="H28" s="147" t="s">
        <v>343</v>
      </c>
    </row>
    <row r="30" spans="1:9">
      <c r="A30" s="147" t="s">
        <v>1140</v>
      </c>
    </row>
    <row r="31" spans="1:9">
      <c r="A31" s="147" t="s">
        <v>1100</v>
      </c>
      <c r="B31" s="147" t="s">
        <v>471</v>
      </c>
      <c r="C31" s="147" t="s">
        <v>116</v>
      </c>
      <c r="D31" s="147" t="s">
        <v>472</v>
      </c>
      <c r="E31" s="147" t="s">
        <v>474</v>
      </c>
      <c r="F31" s="147" t="s">
        <v>1141</v>
      </c>
      <c r="G31" s="147" t="s">
        <v>1142</v>
      </c>
      <c r="H31" s="147" t="s">
        <v>1143</v>
      </c>
      <c r="I31" s="147" t="s">
        <v>1099</v>
      </c>
    </row>
    <row r="32" spans="1:9">
      <c r="A32" s="147" t="s">
        <v>242</v>
      </c>
      <c r="B32" s="147" t="s">
        <v>616</v>
      </c>
      <c r="C32" s="147" t="s">
        <v>1144</v>
      </c>
      <c r="D32" s="147" t="s">
        <v>503</v>
      </c>
      <c r="E32" s="147" t="s">
        <v>505</v>
      </c>
      <c r="F32" s="148">
        <v>4257</v>
      </c>
      <c r="G32" s="148">
        <v>2378</v>
      </c>
      <c r="H32" s="148">
        <v>18603</v>
      </c>
      <c r="I32" s="148">
        <v>45</v>
      </c>
    </row>
    <row r="33" spans="1:9">
      <c r="A33" s="147" t="s">
        <v>242</v>
      </c>
      <c r="B33" s="147" t="s">
        <v>635</v>
      </c>
      <c r="C33" s="147" t="s">
        <v>1144</v>
      </c>
      <c r="D33" s="147" t="s">
        <v>503</v>
      </c>
      <c r="E33" s="147" t="s">
        <v>505</v>
      </c>
      <c r="F33" s="148">
        <v>3268</v>
      </c>
      <c r="G33" s="148">
        <v>1759</v>
      </c>
      <c r="H33" s="148">
        <v>16118</v>
      </c>
      <c r="I33" s="148">
        <v>22</v>
      </c>
    </row>
    <row r="34" spans="1:9">
      <c r="A34" s="147" t="s">
        <v>242</v>
      </c>
      <c r="B34" s="147" t="s">
        <v>649</v>
      </c>
      <c r="C34" s="147" t="s">
        <v>1144</v>
      </c>
      <c r="D34" s="147" t="s">
        <v>503</v>
      </c>
      <c r="E34" s="147" t="s">
        <v>505</v>
      </c>
      <c r="F34" s="148">
        <v>3220</v>
      </c>
      <c r="G34" s="148">
        <v>1660</v>
      </c>
      <c r="H34" s="148">
        <v>14335</v>
      </c>
      <c r="I34" s="148">
        <v>32</v>
      </c>
    </row>
    <row r="35" spans="1:9">
      <c r="A35" s="147" t="s">
        <v>242</v>
      </c>
      <c r="B35" s="147" t="s">
        <v>739</v>
      </c>
      <c r="C35" s="147" t="s">
        <v>1144</v>
      </c>
      <c r="D35" s="147" t="s">
        <v>503</v>
      </c>
      <c r="E35" s="147" t="s">
        <v>505</v>
      </c>
      <c r="F35" s="148">
        <v>1783.75</v>
      </c>
      <c r="G35" s="148">
        <v>163.75</v>
      </c>
      <c r="H35" s="148">
        <v>6696.25</v>
      </c>
      <c r="I35" s="148">
        <v>8</v>
      </c>
    </row>
    <row r="36" spans="1:9">
      <c r="A36" s="147" t="s">
        <v>242</v>
      </c>
      <c r="B36" s="147" t="s">
        <v>826</v>
      </c>
      <c r="C36" s="147" t="s">
        <v>1144</v>
      </c>
      <c r="D36" s="147" t="s">
        <v>503</v>
      </c>
      <c r="E36" s="147" t="s">
        <v>505</v>
      </c>
      <c r="F36" s="148">
        <v>701</v>
      </c>
      <c r="G36" s="148">
        <v>393</v>
      </c>
      <c r="H36" s="148">
        <v>4276</v>
      </c>
      <c r="I36" s="148">
        <v>8</v>
      </c>
    </row>
    <row r="37" spans="1:9">
      <c r="A37" s="147" t="s">
        <v>242</v>
      </c>
      <c r="B37" s="147" t="s">
        <v>853</v>
      </c>
      <c r="C37" s="147" t="s">
        <v>1144</v>
      </c>
      <c r="D37" s="147" t="s">
        <v>503</v>
      </c>
      <c r="E37" s="147" t="s">
        <v>612</v>
      </c>
      <c r="F37" s="148">
        <v>630</v>
      </c>
      <c r="G37" s="148">
        <v>455</v>
      </c>
      <c r="H37" s="148">
        <v>3220</v>
      </c>
      <c r="I37" s="148">
        <v>12</v>
      </c>
    </row>
    <row r="38" spans="1:9">
      <c r="A38" s="147" t="s">
        <v>242</v>
      </c>
      <c r="B38" s="147" t="s">
        <v>855</v>
      </c>
      <c r="C38" s="147" t="s">
        <v>1145</v>
      </c>
      <c r="D38" s="147" t="s">
        <v>503</v>
      </c>
      <c r="E38" s="147" t="s">
        <v>621</v>
      </c>
      <c r="F38" s="148">
        <v>1345</v>
      </c>
      <c r="G38" s="148">
        <v>295</v>
      </c>
      <c r="H38" s="148">
        <v>3035</v>
      </c>
      <c r="I38" s="148">
        <v>8</v>
      </c>
    </row>
    <row r="39" spans="1:9">
      <c r="A39" s="147" t="s">
        <v>242</v>
      </c>
      <c r="B39" s="147" t="s">
        <v>859</v>
      </c>
      <c r="C39" s="147" t="s">
        <v>1145</v>
      </c>
      <c r="D39" s="147" t="s">
        <v>503</v>
      </c>
      <c r="E39" s="147" t="s">
        <v>505</v>
      </c>
      <c r="F39" s="148">
        <v>1118</v>
      </c>
      <c r="G39" s="148">
        <v>398</v>
      </c>
      <c r="H39" s="148">
        <v>2926</v>
      </c>
      <c r="I39" s="148">
        <v>5</v>
      </c>
    </row>
    <row r="40" spans="1:9">
      <c r="A40" s="147" t="s">
        <v>242</v>
      </c>
      <c r="B40" s="147" t="s">
        <v>875</v>
      </c>
      <c r="C40" s="147" t="s">
        <v>1144</v>
      </c>
      <c r="D40" s="147" t="s">
        <v>683</v>
      </c>
      <c r="E40" s="147" t="s">
        <v>343</v>
      </c>
      <c r="F40" s="148">
        <v>640</v>
      </c>
      <c r="G40" s="148">
        <v>85</v>
      </c>
      <c r="H40" s="148">
        <v>2165</v>
      </c>
      <c r="I40" s="148">
        <v>5</v>
      </c>
    </row>
    <row r="41" spans="1:9">
      <c r="A41" s="147" t="s">
        <v>242</v>
      </c>
      <c r="B41" s="147" t="s">
        <v>890</v>
      </c>
      <c r="C41" s="147" t="s">
        <v>1144</v>
      </c>
      <c r="D41" s="147" t="s">
        <v>503</v>
      </c>
      <c r="E41" s="147" t="s">
        <v>612</v>
      </c>
      <c r="F41" s="148">
        <v>60</v>
      </c>
      <c r="G41" s="148">
        <v>180</v>
      </c>
      <c r="H41" s="148">
        <v>1600</v>
      </c>
      <c r="I41" s="148">
        <v>9</v>
      </c>
    </row>
    <row r="42" spans="1:9">
      <c r="A42" s="147" t="s">
        <v>242</v>
      </c>
      <c r="B42" s="147" t="s">
        <v>910</v>
      </c>
      <c r="C42" s="147" t="s">
        <v>1146</v>
      </c>
      <c r="D42" s="147" t="s">
        <v>733</v>
      </c>
      <c r="E42" s="147" t="s">
        <v>343</v>
      </c>
      <c r="F42" s="148">
        <v>1125</v>
      </c>
      <c r="G42" s="148">
        <v>1125</v>
      </c>
      <c r="H42" s="148">
        <v>1125</v>
      </c>
      <c r="I42" s="147" t="s">
        <v>343</v>
      </c>
    </row>
    <row r="43" spans="1:9">
      <c r="A43" s="147" t="s">
        <v>242</v>
      </c>
      <c r="B43" s="147" t="s">
        <v>922</v>
      </c>
      <c r="C43" s="147" t="s">
        <v>1145</v>
      </c>
      <c r="D43" s="147" t="s">
        <v>683</v>
      </c>
      <c r="E43" s="147" t="s">
        <v>343</v>
      </c>
      <c r="F43" s="148">
        <v>160</v>
      </c>
      <c r="G43" s="148">
        <v>160</v>
      </c>
      <c r="H43" s="148">
        <v>800</v>
      </c>
      <c r="I43" s="148">
        <v>0</v>
      </c>
    </row>
    <row r="44" spans="1:9">
      <c r="A44" s="147" t="s">
        <v>242</v>
      </c>
      <c r="B44" s="147" t="s">
        <v>923</v>
      </c>
      <c r="C44" s="147" t="s">
        <v>1145</v>
      </c>
      <c r="D44" s="147" t="s">
        <v>683</v>
      </c>
      <c r="E44" s="147" t="s">
        <v>343</v>
      </c>
      <c r="F44" s="148">
        <v>160</v>
      </c>
      <c r="G44" s="148">
        <v>160</v>
      </c>
      <c r="H44" s="148">
        <v>800</v>
      </c>
      <c r="I44" s="148">
        <v>0</v>
      </c>
    </row>
    <row r="45" spans="1:9">
      <c r="A45" s="147" t="s">
        <v>243</v>
      </c>
      <c r="B45" s="147" t="s">
        <v>610</v>
      </c>
      <c r="C45" s="147" t="s">
        <v>1144</v>
      </c>
      <c r="D45" s="147" t="s">
        <v>503</v>
      </c>
      <c r="E45" s="147" t="s">
        <v>505</v>
      </c>
      <c r="F45" s="148">
        <v>5420</v>
      </c>
      <c r="G45" s="148">
        <v>2865</v>
      </c>
      <c r="H45" s="148">
        <v>19885</v>
      </c>
      <c r="I45" s="148">
        <v>84</v>
      </c>
    </row>
    <row r="46" spans="1:9">
      <c r="A46" s="147" t="s">
        <v>243</v>
      </c>
      <c r="B46" s="147" t="s">
        <v>675</v>
      </c>
      <c r="C46" s="147" t="s">
        <v>1144</v>
      </c>
      <c r="D46" s="147" t="s">
        <v>503</v>
      </c>
      <c r="E46" s="147" t="s">
        <v>621</v>
      </c>
      <c r="F46" s="148">
        <v>975</v>
      </c>
      <c r="G46" s="148">
        <v>1471</v>
      </c>
      <c r="H46" s="148">
        <v>11515</v>
      </c>
      <c r="I46" s="148">
        <v>37</v>
      </c>
    </row>
    <row r="47" spans="1:9">
      <c r="A47" s="147" t="s">
        <v>243</v>
      </c>
      <c r="B47" s="147" t="s">
        <v>679</v>
      </c>
      <c r="C47" s="147" t="s">
        <v>1144</v>
      </c>
      <c r="D47" s="147" t="s">
        <v>503</v>
      </c>
      <c r="E47" s="147" t="s">
        <v>505</v>
      </c>
      <c r="F47" s="148">
        <v>2242</v>
      </c>
      <c r="G47" s="148">
        <v>1783</v>
      </c>
      <c r="H47" s="148">
        <v>10779</v>
      </c>
      <c r="I47" s="148">
        <v>14</v>
      </c>
    </row>
    <row r="48" spans="1:9">
      <c r="A48" s="147" t="s">
        <v>243</v>
      </c>
      <c r="B48" s="147" t="s">
        <v>837</v>
      </c>
      <c r="C48" s="147" t="s">
        <v>1145</v>
      </c>
      <c r="D48" s="147" t="s">
        <v>503</v>
      </c>
      <c r="E48" s="147" t="s">
        <v>621</v>
      </c>
      <c r="F48" s="148">
        <v>1053</v>
      </c>
      <c r="G48" s="148">
        <v>623</v>
      </c>
      <c r="H48" s="148">
        <v>3748</v>
      </c>
      <c r="I48" s="148">
        <v>14</v>
      </c>
    </row>
    <row r="49" spans="1:9">
      <c r="A49" s="147" t="s">
        <v>243</v>
      </c>
      <c r="B49" s="147" t="s">
        <v>848</v>
      </c>
      <c r="C49" s="147" t="s">
        <v>1144</v>
      </c>
      <c r="D49" s="147" t="s">
        <v>503</v>
      </c>
      <c r="E49" s="147" t="s">
        <v>621</v>
      </c>
      <c r="F49" s="148">
        <v>668</v>
      </c>
      <c r="G49" s="148">
        <v>464</v>
      </c>
      <c r="H49" s="148">
        <v>3278</v>
      </c>
      <c r="I49" s="148">
        <v>10</v>
      </c>
    </row>
    <row r="50" spans="1:9">
      <c r="A50" s="147" t="s">
        <v>243</v>
      </c>
      <c r="B50" s="147" t="s">
        <v>861</v>
      </c>
      <c r="C50" s="147" t="s">
        <v>1144</v>
      </c>
      <c r="D50" s="147" t="s">
        <v>503</v>
      </c>
      <c r="E50" s="147" t="s">
        <v>621</v>
      </c>
      <c r="F50" s="148">
        <v>718</v>
      </c>
      <c r="G50" s="148">
        <v>408</v>
      </c>
      <c r="H50" s="148">
        <v>2794</v>
      </c>
      <c r="I50" s="148">
        <v>6</v>
      </c>
    </row>
    <row r="51" spans="1:9">
      <c r="A51" s="147" t="s">
        <v>243</v>
      </c>
      <c r="B51" s="147" t="s">
        <v>863</v>
      </c>
      <c r="C51" s="147" t="s">
        <v>1144</v>
      </c>
      <c r="D51" s="147" t="s">
        <v>683</v>
      </c>
      <c r="E51" s="147" t="s">
        <v>343</v>
      </c>
      <c r="F51" s="148">
        <v>661</v>
      </c>
      <c r="G51" s="148">
        <v>353</v>
      </c>
      <c r="H51" s="148">
        <v>2621</v>
      </c>
      <c r="I51" s="148">
        <v>5</v>
      </c>
    </row>
    <row r="52" spans="1:9">
      <c r="A52" s="147" t="s">
        <v>243</v>
      </c>
      <c r="B52" s="147" t="s">
        <v>904</v>
      </c>
      <c r="C52" s="147" t="s">
        <v>1145</v>
      </c>
      <c r="D52" s="147" t="s">
        <v>683</v>
      </c>
      <c r="E52" s="147" t="s">
        <v>343</v>
      </c>
      <c r="F52" s="148">
        <v>263</v>
      </c>
      <c r="G52" s="148">
        <v>263</v>
      </c>
      <c r="H52" s="148">
        <v>1336.5</v>
      </c>
      <c r="I52" s="148">
        <v>4</v>
      </c>
    </row>
    <row r="53" spans="1:9">
      <c r="A53" s="147" t="s">
        <v>243</v>
      </c>
      <c r="B53" s="147" t="s">
        <v>916</v>
      </c>
      <c r="C53" s="147" t="s">
        <v>1147</v>
      </c>
      <c r="D53" s="147" t="s">
        <v>683</v>
      </c>
      <c r="E53" s="147" t="s">
        <v>343</v>
      </c>
      <c r="F53" s="148">
        <v>975</v>
      </c>
      <c r="G53" s="148">
        <v>975</v>
      </c>
      <c r="H53" s="148">
        <v>975</v>
      </c>
      <c r="I53" s="147" t="s">
        <v>343</v>
      </c>
    </row>
    <row r="54" spans="1:9">
      <c r="A54" s="147" t="s">
        <v>243</v>
      </c>
      <c r="B54" s="147" t="s">
        <v>917</v>
      </c>
      <c r="C54" s="147" t="s">
        <v>1146</v>
      </c>
      <c r="D54" s="147" t="s">
        <v>733</v>
      </c>
      <c r="E54" s="147" t="s">
        <v>343</v>
      </c>
      <c r="F54" s="148">
        <v>975</v>
      </c>
      <c r="G54" s="148">
        <v>975</v>
      </c>
      <c r="H54" s="148">
        <v>975</v>
      </c>
      <c r="I54" s="147" t="s">
        <v>343</v>
      </c>
    </row>
    <row r="55" spans="1:9">
      <c r="A55" s="147" t="s">
        <v>243</v>
      </c>
      <c r="B55" s="147" t="s">
        <v>928</v>
      </c>
      <c r="C55" s="147" t="s">
        <v>1146</v>
      </c>
      <c r="D55" s="147" t="s">
        <v>733</v>
      </c>
      <c r="E55" s="147" t="s">
        <v>343</v>
      </c>
      <c r="F55" s="148">
        <v>650</v>
      </c>
      <c r="G55" s="148">
        <v>650</v>
      </c>
      <c r="H55" s="148">
        <v>650</v>
      </c>
      <c r="I55" s="147" t="s">
        <v>343</v>
      </c>
    </row>
    <row r="56" spans="1:9">
      <c r="A56" s="147" t="s">
        <v>244</v>
      </c>
      <c r="B56" s="147" t="s">
        <v>655</v>
      </c>
      <c r="C56" s="147" t="s">
        <v>1147</v>
      </c>
      <c r="D56" s="147" t="s">
        <v>503</v>
      </c>
      <c r="E56" s="147" t="s">
        <v>621</v>
      </c>
      <c r="F56" s="148">
        <v>4229</v>
      </c>
      <c r="G56" s="148">
        <v>2349</v>
      </c>
      <c r="H56" s="148">
        <v>13057</v>
      </c>
      <c r="I56" s="148">
        <v>51</v>
      </c>
    </row>
    <row r="57" spans="1:9">
      <c r="A57" s="147" t="s">
        <v>244</v>
      </c>
      <c r="B57" s="147" t="s">
        <v>668</v>
      </c>
      <c r="C57" s="147" t="s">
        <v>1144</v>
      </c>
      <c r="D57" s="147" t="s">
        <v>503</v>
      </c>
      <c r="E57" s="147" t="s">
        <v>505</v>
      </c>
      <c r="F57" s="148">
        <v>3937</v>
      </c>
      <c r="G57" s="148">
        <v>1803</v>
      </c>
      <c r="H57" s="148">
        <v>11776</v>
      </c>
      <c r="I57" s="148">
        <v>32</v>
      </c>
    </row>
    <row r="58" spans="1:9">
      <c r="A58" s="147" t="s">
        <v>244</v>
      </c>
      <c r="B58" s="147" t="s">
        <v>776</v>
      </c>
      <c r="C58" s="147" t="s">
        <v>1144</v>
      </c>
      <c r="D58" s="147" t="s">
        <v>503</v>
      </c>
      <c r="E58" s="147" t="s">
        <v>505</v>
      </c>
      <c r="F58" s="148">
        <v>1425</v>
      </c>
      <c r="G58" s="148">
        <v>947.4</v>
      </c>
      <c r="H58" s="148">
        <v>5488.4</v>
      </c>
      <c r="I58" s="148">
        <v>17</v>
      </c>
    </row>
    <row r="59" spans="1:9">
      <c r="A59" s="147" t="s">
        <v>244</v>
      </c>
      <c r="B59" s="147" t="s">
        <v>830</v>
      </c>
      <c r="C59" s="147" t="s">
        <v>1144</v>
      </c>
      <c r="D59" s="147" t="s">
        <v>503</v>
      </c>
      <c r="E59" s="147" t="s">
        <v>621</v>
      </c>
      <c r="F59" s="148">
        <v>854</v>
      </c>
      <c r="G59" s="148">
        <v>886</v>
      </c>
      <c r="H59" s="148">
        <v>4204</v>
      </c>
      <c r="I59" s="148">
        <v>8</v>
      </c>
    </row>
    <row r="60" spans="1:9">
      <c r="A60" s="147" t="s">
        <v>244</v>
      </c>
      <c r="B60" s="147" t="s">
        <v>868</v>
      </c>
      <c r="C60" s="147" t="s">
        <v>1145</v>
      </c>
      <c r="D60" s="147" t="s">
        <v>503</v>
      </c>
      <c r="E60" s="147" t="s">
        <v>505</v>
      </c>
      <c r="F60" s="148">
        <v>1020</v>
      </c>
      <c r="G60" s="148">
        <v>670</v>
      </c>
      <c r="H60" s="148">
        <v>2360</v>
      </c>
      <c r="I60" s="148">
        <v>8</v>
      </c>
    </row>
    <row r="61" spans="1:9">
      <c r="A61" s="147" t="s">
        <v>244</v>
      </c>
      <c r="B61" s="147" t="s">
        <v>899</v>
      </c>
      <c r="C61" s="147" t="s">
        <v>1144</v>
      </c>
      <c r="D61" s="147" t="s">
        <v>683</v>
      </c>
      <c r="E61" s="147" t="s">
        <v>343</v>
      </c>
      <c r="F61" s="148">
        <v>160</v>
      </c>
      <c r="G61" s="148">
        <v>685</v>
      </c>
      <c r="H61" s="148">
        <v>1525</v>
      </c>
      <c r="I61" s="148">
        <v>0</v>
      </c>
    </row>
    <row r="62" spans="1:9">
      <c r="A62" s="147" t="s">
        <v>244</v>
      </c>
      <c r="B62" s="147" t="s">
        <v>901</v>
      </c>
      <c r="C62" s="147" t="s">
        <v>1144</v>
      </c>
      <c r="D62" s="147" t="s">
        <v>503</v>
      </c>
      <c r="E62" s="147" t="s">
        <v>505</v>
      </c>
      <c r="F62" s="148">
        <v>725</v>
      </c>
      <c r="G62" s="148">
        <v>120</v>
      </c>
      <c r="H62" s="148">
        <v>1502.5</v>
      </c>
      <c r="I62" s="148">
        <v>2</v>
      </c>
    </row>
    <row r="63" spans="1:9">
      <c r="A63" s="147" t="s">
        <v>245</v>
      </c>
      <c r="B63" s="147" t="s">
        <v>652</v>
      </c>
      <c r="C63" s="147" t="s">
        <v>1144</v>
      </c>
      <c r="D63" s="147" t="s">
        <v>503</v>
      </c>
      <c r="E63" s="147" t="s">
        <v>505</v>
      </c>
      <c r="F63" s="148">
        <v>5354</v>
      </c>
      <c r="G63" s="148">
        <v>2675</v>
      </c>
      <c r="H63" s="148">
        <v>13265</v>
      </c>
      <c r="I63" s="148">
        <v>44</v>
      </c>
    </row>
    <row r="64" spans="1:9">
      <c r="A64" s="147" t="s">
        <v>245</v>
      </c>
      <c r="B64" s="147" t="s">
        <v>706</v>
      </c>
      <c r="C64" s="147" t="s">
        <v>1144</v>
      </c>
      <c r="D64" s="147" t="s">
        <v>503</v>
      </c>
      <c r="E64" s="147" t="s">
        <v>505</v>
      </c>
      <c r="F64" s="148">
        <v>3326</v>
      </c>
      <c r="G64" s="148">
        <v>1785</v>
      </c>
      <c r="H64" s="148">
        <v>8815</v>
      </c>
      <c r="I64" s="148">
        <v>27</v>
      </c>
    </row>
    <row r="65" spans="1:9">
      <c r="A65" s="147" t="s">
        <v>245</v>
      </c>
      <c r="B65" s="147" t="s">
        <v>719</v>
      </c>
      <c r="C65" s="147" t="s">
        <v>1147</v>
      </c>
      <c r="D65" s="147" t="s">
        <v>503</v>
      </c>
      <c r="E65" s="147" t="s">
        <v>612</v>
      </c>
      <c r="F65" s="148">
        <v>3160</v>
      </c>
      <c r="G65" s="148">
        <v>1580</v>
      </c>
      <c r="H65" s="148">
        <v>7960</v>
      </c>
      <c r="I65" s="148">
        <v>79</v>
      </c>
    </row>
    <row r="66" spans="1:9">
      <c r="A66" s="147" t="s">
        <v>245</v>
      </c>
      <c r="B66" s="147" t="s">
        <v>750</v>
      </c>
      <c r="C66" s="147" t="s">
        <v>1147</v>
      </c>
      <c r="D66" s="147" t="s">
        <v>503</v>
      </c>
      <c r="E66" s="147" t="s">
        <v>621</v>
      </c>
      <c r="F66" s="148">
        <v>2273</v>
      </c>
      <c r="G66" s="148">
        <v>1295</v>
      </c>
      <c r="H66" s="148">
        <v>6254</v>
      </c>
      <c r="I66" s="148">
        <v>23</v>
      </c>
    </row>
    <row r="67" spans="1:9">
      <c r="A67" s="147" t="s">
        <v>245</v>
      </c>
      <c r="B67" s="147" t="s">
        <v>755</v>
      </c>
      <c r="C67" s="147" t="s">
        <v>1146</v>
      </c>
      <c r="D67" s="147" t="s">
        <v>662</v>
      </c>
      <c r="E67" s="147" t="s">
        <v>343</v>
      </c>
      <c r="F67" s="148">
        <v>1500</v>
      </c>
      <c r="G67" s="148">
        <v>1500</v>
      </c>
      <c r="H67" s="148">
        <v>6000</v>
      </c>
      <c r="I67" s="147" t="s">
        <v>343</v>
      </c>
    </row>
    <row r="68" spans="1:9">
      <c r="A68" s="147" t="s">
        <v>245</v>
      </c>
      <c r="B68" s="147" t="s">
        <v>785</v>
      </c>
      <c r="C68" s="147" t="s">
        <v>1144</v>
      </c>
      <c r="D68" s="147" t="s">
        <v>503</v>
      </c>
      <c r="E68" s="147" t="s">
        <v>505</v>
      </c>
      <c r="F68" s="148">
        <v>1360</v>
      </c>
      <c r="G68" s="148">
        <v>1430</v>
      </c>
      <c r="H68" s="148">
        <v>5155</v>
      </c>
      <c r="I68" s="148">
        <v>13</v>
      </c>
    </row>
    <row r="69" spans="1:9">
      <c r="A69" s="147" t="s">
        <v>245</v>
      </c>
      <c r="B69" s="147" t="s">
        <v>839</v>
      </c>
      <c r="C69" s="147" t="s">
        <v>1144</v>
      </c>
      <c r="D69" s="147" t="s">
        <v>503</v>
      </c>
      <c r="E69" s="147" t="s">
        <v>612</v>
      </c>
      <c r="F69" s="148">
        <v>1380</v>
      </c>
      <c r="G69" s="148">
        <v>750</v>
      </c>
      <c r="H69" s="148">
        <v>3660</v>
      </c>
      <c r="I69" s="148">
        <v>25</v>
      </c>
    </row>
    <row r="70" spans="1:9">
      <c r="A70" s="147" t="s">
        <v>245</v>
      </c>
      <c r="B70" s="147" t="s">
        <v>865</v>
      </c>
      <c r="C70" s="147" t="s">
        <v>1144</v>
      </c>
      <c r="D70" s="147" t="s">
        <v>503</v>
      </c>
      <c r="E70" s="147" t="s">
        <v>505</v>
      </c>
      <c r="F70" s="148">
        <v>938</v>
      </c>
      <c r="G70" s="148">
        <v>543</v>
      </c>
      <c r="H70" s="148">
        <v>2581</v>
      </c>
      <c r="I70" s="148">
        <v>8</v>
      </c>
    </row>
    <row r="71" spans="1:9">
      <c r="A71" s="147" t="s">
        <v>245</v>
      </c>
      <c r="B71" s="147" t="s">
        <v>888</v>
      </c>
      <c r="C71" s="147" t="s">
        <v>1145</v>
      </c>
      <c r="D71" s="147" t="s">
        <v>503</v>
      </c>
      <c r="E71" s="147" t="s">
        <v>505</v>
      </c>
      <c r="F71" s="148">
        <v>1036</v>
      </c>
      <c r="G71" s="148">
        <v>758</v>
      </c>
      <c r="H71" s="148">
        <v>1794</v>
      </c>
      <c r="I71" s="148">
        <v>9</v>
      </c>
    </row>
    <row r="72" spans="1:9">
      <c r="A72" s="147" t="s">
        <v>245</v>
      </c>
      <c r="B72" s="147" t="s">
        <v>905</v>
      </c>
      <c r="C72" s="147" t="s">
        <v>1144</v>
      </c>
      <c r="D72" s="147" t="s">
        <v>683</v>
      </c>
      <c r="E72" s="147" t="s">
        <v>343</v>
      </c>
      <c r="F72" s="148">
        <v>310</v>
      </c>
      <c r="G72" s="148">
        <v>310</v>
      </c>
      <c r="H72" s="148">
        <v>1240</v>
      </c>
      <c r="I72" s="147" t="s">
        <v>343</v>
      </c>
    </row>
    <row r="73" spans="1:9">
      <c r="A73" s="147" t="s">
        <v>245</v>
      </c>
      <c r="B73" s="147" t="s">
        <v>913</v>
      </c>
      <c r="C73" s="147" t="s">
        <v>1144</v>
      </c>
      <c r="D73" s="147" t="s">
        <v>683</v>
      </c>
      <c r="E73" s="147" t="s">
        <v>343</v>
      </c>
      <c r="F73" s="148">
        <v>260</v>
      </c>
      <c r="G73" s="148">
        <v>260</v>
      </c>
      <c r="H73" s="148">
        <v>1040</v>
      </c>
      <c r="I73" s="147" t="s">
        <v>343</v>
      </c>
    </row>
    <row r="74" spans="1:9">
      <c r="A74" s="147" t="s">
        <v>246</v>
      </c>
      <c r="B74" s="147" t="s">
        <v>633</v>
      </c>
      <c r="C74" s="147" t="s">
        <v>1144</v>
      </c>
      <c r="D74" s="147" t="s">
        <v>503</v>
      </c>
      <c r="E74" s="147" t="s">
        <v>343</v>
      </c>
      <c r="F74" s="148">
        <v>7806</v>
      </c>
      <c r="G74" s="148">
        <v>4217</v>
      </c>
      <c r="H74" s="148">
        <v>17186</v>
      </c>
      <c r="I74" s="148">
        <v>120</v>
      </c>
    </row>
    <row r="75" spans="1:9">
      <c r="A75" s="147" t="s">
        <v>246</v>
      </c>
      <c r="B75" s="147" t="s">
        <v>722</v>
      </c>
      <c r="C75" s="147" t="s">
        <v>1144</v>
      </c>
      <c r="D75" s="147" t="s">
        <v>503</v>
      </c>
      <c r="E75" s="147" t="s">
        <v>343</v>
      </c>
      <c r="F75" s="148">
        <v>3903</v>
      </c>
      <c r="G75" s="148">
        <v>2007</v>
      </c>
      <c r="H75" s="148">
        <v>7917</v>
      </c>
      <c r="I75" s="148">
        <v>29</v>
      </c>
    </row>
    <row r="76" spans="1:9">
      <c r="A76" s="147" t="s">
        <v>246</v>
      </c>
      <c r="B76" s="147" t="s">
        <v>752</v>
      </c>
      <c r="C76" s="147" t="s">
        <v>1144</v>
      </c>
      <c r="D76" s="147" t="s">
        <v>503</v>
      </c>
      <c r="E76" s="147" t="s">
        <v>612</v>
      </c>
      <c r="F76" s="148">
        <v>1180</v>
      </c>
      <c r="G76" s="148">
        <v>2333</v>
      </c>
      <c r="H76" s="148">
        <v>6189</v>
      </c>
      <c r="I76" s="148">
        <v>47</v>
      </c>
    </row>
    <row r="77" spans="1:9">
      <c r="A77" s="147" t="s">
        <v>246</v>
      </c>
      <c r="B77" s="147" t="s">
        <v>805</v>
      </c>
      <c r="C77" s="147" t="s">
        <v>1144</v>
      </c>
      <c r="D77" s="147" t="s">
        <v>503</v>
      </c>
      <c r="E77" s="147" t="s">
        <v>621</v>
      </c>
      <c r="F77" s="148">
        <v>2696</v>
      </c>
      <c r="G77" s="148">
        <v>1108</v>
      </c>
      <c r="H77" s="148">
        <v>4778</v>
      </c>
      <c r="I77" s="148">
        <v>15</v>
      </c>
    </row>
    <row r="78" spans="1:9">
      <c r="A78" s="147" t="s">
        <v>246</v>
      </c>
      <c r="B78" s="147" t="s">
        <v>835</v>
      </c>
      <c r="C78" s="147" t="s">
        <v>1144</v>
      </c>
      <c r="D78" s="147" t="s">
        <v>503</v>
      </c>
      <c r="E78" s="147" t="s">
        <v>621</v>
      </c>
      <c r="F78" s="148">
        <v>2087</v>
      </c>
      <c r="G78" s="148">
        <v>885</v>
      </c>
      <c r="H78" s="148">
        <v>3769</v>
      </c>
      <c r="I78" s="148">
        <v>22</v>
      </c>
    </row>
    <row r="79" spans="1:9">
      <c r="A79" s="147" t="s">
        <v>246</v>
      </c>
      <c r="B79" s="147" t="s">
        <v>884</v>
      </c>
      <c r="C79" s="147" t="s">
        <v>1144</v>
      </c>
      <c r="D79" s="147" t="s">
        <v>503</v>
      </c>
      <c r="E79" s="147" t="s">
        <v>505</v>
      </c>
      <c r="F79" s="148">
        <v>986</v>
      </c>
      <c r="G79" s="148">
        <v>378</v>
      </c>
      <c r="H79" s="148">
        <v>2042</v>
      </c>
      <c r="I79" s="148">
        <v>3</v>
      </c>
    </row>
    <row r="80" spans="1:9">
      <c r="A80" s="147" t="s">
        <v>247</v>
      </c>
      <c r="B80" s="147" t="s">
        <v>831</v>
      </c>
      <c r="C80" s="147" t="s">
        <v>1147</v>
      </c>
      <c r="D80" s="147" t="s">
        <v>503</v>
      </c>
      <c r="E80" s="147" t="s">
        <v>343</v>
      </c>
      <c r="F80" s="148">
        <v>2656</v>
      </c>
      <c r="G80" s="148">
        <v>1316</v>
      </c>
      <c r="H80" s="148">
        <v>3972</v>
      </c>
      <c r="I80" s="148">
        <v>21</v>
      </c>
    </row>
    <row r="81" spans="1:9">
      <c r="A81" s="147" t="s">
        <v>247</v>
      </c>
      <c r="B81" s="147" t="s">
        <v>846</v>
      </c>
      <c r="C81" s="147" t="s">
        <v>1147</v>
      </c>
      <c r="D81" s="147" t="s">
        <v>503</v>
      </c>
      <c r="E81" s="147" t="s">
        <v>343</v>
      </c>
      <c r="F81" s="148">
        <v>2360</v>
      </c>
      <c r="G81" s="148">
        <v>965</v>
      </c>
      <c r="H81" s="148">
        <v>3325</v>
      </c>
      <c r="I81" s="148">
        <v>15</v>
      </c>
    </row>
    <row r="82" spans="1:9">
      <c r="A82" s="147" t="s">
        <v>247</v>
      </c>
      <c r="B82" s="147" t="s">
        <v>873</v>
      </c>
      <c r="C82" s="147" t="s">
        <v>1145</v>
      </c>
      <c r="D82" s="147" t="s">
        <v>503</v>
      </c>
      <c r="E82" s="147" t="s">
        <v>343</v>
      </c>
      <c r="F82" s="148">
        <v>1097</v>
      </c>
      <c r="G82" s="148">
        <v>1097</v>
      </c>
      <c r="H82" s="148">
        <v>2194</v>
      </c>
      <c r="I82" s="148">
        <v>20</v>
      </c>
    </row>
    <row r="83" spans="1:9">
      <c r="A83" s="147" t="s">
        <v>247</v>
      </c>
      <c r="B83" s="147" t="s">
        <v>906</v>
      </c>
      <c r="C83" s="147" t="s">
        <v>1144</v>
      </c>
      <c r="D83" s="147" t="s">
        <v>503</v>
      </c>
      <c r="E83" s="147" t="s">
        <v>343</v>
      </c>
      <c r="F83" s="148">
        <v>811</v>
      </c>
      <c r="G83" s="148">
        <v>418</v>
      </c>
      <c r="H83" s="148">
        <v>1229</v>
      </c>
      <c r="I83" s="148">
        <v>4</v>
      </c>
    </row>
    <row r="84" spans="1:9">
      <c r="A84" s="147" t="s">
        <v>247</v>
      </c>
      <c r="B84" s="147" t="s">
        <v>909</v>
      </c>
      <c r="C84" s="147" t="s">
        <v>1144</v>
      </c>
      <c r="D84" s="147" t="s">
        <v>503</v>
      </c>
      <c r="E84" s="147" t="s">
        <v>343</v>
      </c>
      <c r="F84" s="148">
        <v>833.5</v>
      </c>
      <c r="G84" s="148">
        <v>373</v>
      </c>
      <c r="H84" s="148">
        <v>1206.5</v>
      </c>
      <c r="I84" s="148">
        <v>3</v>
      </c>
    </row>
    <row r="85" spans="1:9">
      <c r="A85" s="147" t="s">
        <v>248</v>
      </c>
      <c r="B85" s="147" t="s">
        <v>751</v>
      </c>
      <c r="C85" s="147" t="s">
        <v>1147</v>
      </c>
      <c r="D85" s="147" t="s">
        <v>503</v>
      </c>
      <c r="E85" s="147" t="s">
        <v>343</v>
      </c>
      <c r="F85" s="148">
        <v>6252</v>
      </c>
      <c r="G85" s="148">
        <v>6252</v>
      </c>
      <c r="H85" s="148">
        <v>6252</v>
      </c>
      <c r="I85" s="148">
        <v>83</v>
      </c>
    </row>
    <row r="86" spans="1:9">
      <c r="A86" s="147" t="s">
        <v>248</v>
      </c>
      <c r="B86" s="147" t="s">
        <v>866</v>
      </c>
      <c r="C86" s="147" t="s">
        <v>1147</v>
      </c>
      <c r="D86" s="147" t="s">
        <v>503</v>
      </c>
      <c r="E86" s="147" t="s">
        <v>343</v>
      </c>
      <c r="F86" s="148">
        <v>2460</v>
      </c>
      <c r="G86" s="148">
        <v>2460</v>
      </c>
      <c r="H86" s="148">
        <v>2460</v>
      </c>
      <c r="I86" s="148">
        <v>41</v>
      </c>
    </row>
    <row r="87" spans="1:9">
      <c r="A87" s="147" t="s">
        <v>248</v>
      </c>
      <c r="B87" s="147" t="s">
        <v>872</v>
      </c>
      <c r="C87" s="147" t="s">
        <v>1147</v>
      </c>
      <c r="D87" s="147" t="s">
        <v>503</v>
      </c>
      <c r="E87" s="147" t="s">
        <v>343</v>
      </c>
      <c r="F87" s="148">
        <v>2198</v>
      </c>
      <c r="G87" s="148">
        <v>2198</v>
      </c>
      <c r="H87" s="148">
        <v>2198</v>
      </c>
      <c r="I87" s="148">
        <v>29</v>
      </c>
    </row>
    <row r="88" spans="1:9">
      <c r="A88" s="147" t="s">
        <v>248</v>
      </c>
      <c r="B88" s="147" t="s">
        <v>911</v>
      </c>
      <c r="C88" s="147" t="s">
        <v>1147</v>
      </c>
      <c r="D88" s="147" t="s">
        <v>503</v>
      </c>
      <c r="E88" s="147" t="s">
        <v>343</v>
      </c>
      <c r="F88" s="148">
        <v>1101</v>
      </c>
      <c r="G88" s="148">
        <v>1101</v>
      </c>
      <c r="H88" s="148">
        <v>1101</v>
      </c>
      <c r="I88" s="148">
        <v>6</v>
      </c>
    </row>
    <row r="89" spans="1:9">
      <c r="A89" s="147" t="s">
        <v>248</v>
      </c>
      <c r="B89" s="147" t="s">
        <v>931</v>
      </c>
      <c r="C89" s="147" t="s">
        <v>1147</v>
      </c>
      <c r="D89" s="147" t="s">
        <v>683</v>
      </c>
      <c r="E89" s="147" t="s">
        <v>343</v>
      </c>
      <c r="F89" s="148">
        <v>418</v>
      </c>
      <c r="G89" s="148">
        <v>418</v>
      </c>
      <c r="H89" s="148">
        <v>418</v>
      </c>
      <c r="I89" s="147" t="s">
        <v>343</v>
      </c>
    </row>
    <row r="91" spans="1:9">
      <c r="A91" s="147" t="s">
        <v>1148</v>
      </c>
    </row>
    <row r="92" spans="1:9">
      <c r="A92" s="147" t="s">
        <v>1110</v>
      </c>
      <c r="B92" s="147" t="s">
        <v>471</v>
      </c>
      <c r="C92" s="147" t="s">
        <v>116</v>
      </c>
      <c r="D92" s="147" t="s">
        <v>472</v>
      </c>
      <c r="E92" s="147" t="s">
        <v>474</v>
      </c>
      <c r="F92" s="147" t="s">
        <v>1149</v>
      </c>
      <c r="G92" s="147" t="s">
        <v>1136</v>
      </c>
      <c r="H92" s="147" t="s">
        <v>1150</v>
      </c>
      <c r="I92" s="147" t="s">
        <v>1111</v>
      </c>
    </row>
    <row r="93" spans="1:9">
      <c r="A93" s="147" t="s">
        <v>242</v>
      </c>
      <c r="B93" s="147" t="s">
        <v>661</v>
      </c>
      <c r="C93" s="147" t="s">
        <v>1146</v>
      </c>
      <c r="D93" s="147" t="s">
        <v>662</v>
      </c>
      <c r="E93" s="147" t="s">
        <v>343</v>
      </c>
      <c r="F93" s="148">
        <v>249.84</v>
      </c>
      <c r="G93" s="148">
        <v>2404</v>
      </c>
      <c r="H93" s="148">
        <v>31383.78</v>
      </c>
      <c r="I93" s="148">
        <v>13</v>
      </c>
    </row>
    <row r="94" spans="1:9">
      <c r="A94" s="147" t="s">
        <v>242</v>
      </c>
      <c r="B94" s="147" t="s">
        <v>712</v>
      </c>
      <c r="C94" s="147" t="s">
        <v>1145</v>
      </c>
      <c r="D94" s="147" t="s">
        <v>503</v>
      </c>
      <c r="E94" s="147" t="s">
        <v>621</v>
      </c>
      <c r="F94" s="148">
        <v>1947.5</v>
      </c>
      <c r="G94" s="148">
        <v>3947.5</v>
      </c>
      <c r="H94" s="148">
        <v>8560</v>
      </c>
      <c r="I94" s="148">
        <v>3</v>
      </c>
    </row>
    <row r="95" spans="1:9">
      <c r="A95" s="147" t="s">
        <v>242</v>
      </c>
      <c r="B95" s="147" t="s">
        <v>879</v>
      </c>
      <c r="C95" s="147" t="s">
        <v>1146</v>
      </c>
      <c r="D95" s="147" t="s">
        <v>877</v>
      </c>
      <c r="E95" s="147" t="s">
        <v>343</v>
      </c>
      <c r="F95" s="148">
        <v>350</v>
      </c>
      <c r="G95" s="148">
        <v>350</v>
      </c>
      <c r="H95" s="148">
        <v>4505</v>
      </c>
      <c r="I95" s="148">
        <v>13</v>
      </c>
    </row>
    <row r="96" spans="1:9">
      <c r="A96" s="147" t="s">
        <v>242</v>
      </c>
      <c r="B96" s="147" t="s">
        <v>871</v>
      </c>
      <c r="C96" s="147" t="s">
        <v>1146</v>
      </c>
      <c r="D96" s="147" t="s">
        <v>662</v>
      </c>
      <c r="E96" s="147" t="s">
        <v>343</v>
      </c>
      <c r="F96" s="148">
        <v>375</v>
      </c>
      <c r="G96" s="148">
        <v>375</v>
      </c>
      <c r="H96" s="148">
        <v>3635</v>
      </c>
      <c r="I96" s="148">
        <v>10</v>
      </c>
    </row>
    <row r="97" spans="1:9">
      <c r="A97" s="147" t="s">
        <v>242</v>
      </c>
      <c r="B97" s="147" t="s">
        <v>880</v>
      </c>
      <c r="C97" s="147" t="s">
        <v>1145</v>
      </c>
      <c r="D97" s="147" t="s">
        <v>503</v>
      </c>
      <c r="E97" s="147" t="s">
        <v>505</v>
      </c>
      <c r="F97" s="148">
        <v>-200</v>
      </c>
      <c r="G97" s="148">
        <v>700</v>
      </c>
      <c r="H97" s="148">
        <v>3420</v>
      </c>
      <c r="I97" s="148">
        <v>9</v>
      </c>
    </row>
    <row r="98" spans="1:9">
      <c r="A98" s="147" t="s">
        <v>242</v>
      </c>
      <c r="B98" s="147" t="s">
        <v>903</v>
      </c>
      <c r="C98" s="147" t="s">
        <v>1146</v>
      </c>
      <c r="D98" s="147" t="s">
        <v>662</v>
      </c>
      <c r="E98" s="147" t="s">
        <v>343</v>
      </c>
      <c r="F98" s="148">
        <v>120</v>
      </c>
      <c r="G98" s="148">
        <v>120</v>
      </c>
      <c r="H98" s="148">
        <v>1760</v>
      </c>
      <c r="I98" s="148">
        <v>7</v>
      </c>
    </row>
    <row r="99" spans="1:9">
      <c r="A99" s="147" t="s">
        <v>242</v>
      </c>
      <c r="B99" s="147" t="s">
        <v>910</v>
      </c>
      <c r="C99" s="147" t="s">
        <v>1146</v>
      </c>
      <c r="D99" s="147" t="s">
        <v>733</v>
      </c>
      <c r="E99" s="147" t="s">
        <v>343</v>
      </c>
      <c r="F99" s="148">
        <v>1125</v>
      </c>
      <c r="G99" s="148">
        <v>1125</v>
      </c>
      <c r="H99" s="148">
        <v>1125</v>
      </c>
      <c r="I99" s="148">
        <v>1</v>
      </c>
    </row>
    <row r="100" spans="1:9">
      <c r="A100" s="147" t="s">
        <v>243</v>
      </c>
      <c r="B100" s="147" t="s">
        <v>825</v>
      </c>
      <c r="C100" s="147" t="s">
        <v>1146</v>
      </c>
      <c r="D100" s="147" t="s">
        <v>662</v>
      </c>
      <c r="E100" s="147" t="s">
        <v>343</v>
      </c>
      <c r="F100" s="148">
        <v>90</v>
      </c>
      <c r="G100" s="148">
        <v>2025</v>
      </c>
      <c r="H100" s="148">
        <v>7200</v>
      </c>
      <c r="I100" s="148">
        <v>14</v>
      </c>
    </row>
    <row r="101" spans="1:9">
      <c r="A101" s="147" t="s">
        <v>243</v>
      </c>
      <c r="B101" s="147" t="s">
        <v>936</v>
      </c>
      <c r="C101" s="147" t="s">
        <v>1146</v>
      </c>
      <c r="D101" s="147" t="s">
        <v>662</v>
      </c>
      <c r="E101" s="147" t="s">
        <v>343</v>
      </c>
      <c r="F101" s="148">
        <v>15</v>
      </c>
      <c r="G101" s="148">
        <v>75</v>
      </c>
      <c r="H101" s="148">
        <v>6578</v>
      </c>
      <c r="I101" s="148">
        <v>8</v>
      </c>
    </row>
    <row r="102" spans="1:9">
      <c r="A102" s="147" t="s">
        <v>243</v>
      </c>
      <c r="B102" s="147" t="s">
        <v>860</v>
      </c>
      <c r="C102" s="147" t="s">
        <v>1145</v>
      </c>
      <c r="D102" s="147" t="s">
        <v>503</v>
      </c>
      <c r="E102" s="147" t="s">
        <v>343</v>
      </c>
      <c r="F102" s="148">
        <v>475</v>
      </c>
      <c r="G102" s="148">
        <v>475</v>
      </c>
      <c r="H102" s="148">
        <v>6046</v>
      </c>
      <c r="I102" s="148">
        <v>14</v>
      </c>
    </row>
    <row r="103" spans="1:9">
      <c r="A103" s="147" t="s">
        <v>243</v>
      </c>
      <c r="B103" s="147" t="s">
        <v>891</v>
      </c>
      <c r="C103" s="147" t="s">
        <v>1146</v>
      </c>
      <c r="D103" s="147" t="s">
        <v>662</v>
      </c>
      <c r="E103" s="147" t="s">
        <v>343</v>
      </c>
      <c r="F103" s="148">
        <v>225</v>
      </c>
      <c r="G103" s="148">
        <v>225</v>
      </c>
      <c r="H103" s="148">
        <v>5419</v>
      </c>
      <c r="I103" s="148">
        <v>12</v>
      </c>
    </row>
    <row r="104" spans="1:9">
      <c r="A104" s="147" t="s">
        <v>243</v>
      </c>
      <c r="B104" s="147" t="s">
        <v>876</v>
      </c>
      <c r="C104" s="147" t="s">
        <v>1146</v>
      </c>
      <c r="D104" s="147" t="s">
        <v>877</v>
      </c>
      <c r="E104" s="147" t="s">
        <v>343</v>
      </c>
      <c r="F104" s="148">
        <v>305</v>
      </c>
      <c r="G104" s="148">
        <v>305</v>
      </c>
      <c r="H104" s="148">
        <v>4205</v>
      </c>
      <c r="I104" s="148">
        <v>14</v>
      </c>
    </row>
    <row r="105" spans="1:9">
      <c r="A105" s="147" t="s">
        <v>243</v>
      </c>
      <c r="B105" s="147" t="s">
        <v>874</v>
      </c>
      <c r="C105" s="147" t="s">
        <v>1146</v>
      </c>
      <c r="D105" s="147" t="s">
        <v>662</v>
      </c>
      <c r="E105" s="147" t="s">
        <v>343</v>
      </c>
      <c r="F105" s="148">
        <v>60</v>
      </c>
      <c r="G105" s="148">
        <v>60</v>
      </c>
      <c r="H105" s="148">
        <v>3568.75</v>
      </c>
      <c r="I105" s="148">
        <v>8</v>
      </c>
    </row>
    <row r="106" spans="1:9">
      <c r="A106" s="147" t="s">
        <v>243</v>
      </c>
      <c r="B106" s="147" t="s">
        <v>914</v>
      </c>
      <c r="C106" s="147" t="s">
        <v>1145</v>
      </c>
      <c r="D106" s="147" t="s">
        <v>637</v>
      </c>
      <c r="E106" s="147" t="s">
        <v>343</v>
      </c>
      <c r="F106" s="148">
        <v>75</v>
      </c>
      <c r="G106" s="148">
        <v>185</v>
      </c>
      <c r="H106" s="148">
        <v>2400</v>
      </c>
      <c r="I106" s="148">
        <v>13</v>
      </c>
    </row>
    <row r="107" spans="1:9">
      <c r="A107" s="147" t="s">
        <v>243</v>
      </c>
      <c r="B107" s="147" t="s">
        <v>916</v>
      </c>
      <c r="C107" s="147" t="s">
        <v>1147</v>
      </c>
      <c r="D107" s="147" t="s">
        <v>683</v>
      </c>
      <c r="E107" s="147" t="s">
        <v>343</v>
      </c>
      <c r="F107" s="148">
        <v>975</v>
      </c>
      <c r="G107" s="148">
        <v>975</v>
      </c>
      <c r="H107" s="148">
        <v>975</v>
      </c>
      <c r="I107" s="148">
        <v>1</v>
      </c>
    </row>
    <row r="108" spans="1:9">
      <c r="A108" s="147" t="s">
        <v>243</v>
      </c>
      <c r="B108" s="147" t="s">
        <v>917</v>
      </c>
      <c r="C108" s="147" t="s">
        <v>1146</v>
      </c>
      <c r="D108" s="147" t="s">
        <v>733</v>
      </c>
      <c r="E108" s="147" t="s">
        <v>343</v>
      </c>
      <c r="F108" s="148">
        <v>975</v>
      </c>
      <c r="G108" s="148">
        <v>975</v>
      </c>
      <c r="H108" s="148">
        <v>975</v>
      </c>
      <c r="I108" s="148">
        <v>1</v>
      </c>
    </row>
    <row r="109" spans="1:9">
      <c r="A109" s="147" t="s">
        <v>243</v>
      </c>
      <c r="B109" s="147" t="s">
        <v>928</v>
      </c>
      <c r="C109" s="147" t="s">
        <v>1146</v>
      </c>
      <c r="D109" s="147" t="s">
        <v>733</v>
      </c>
      <c r="E109" s="147" t="s">
        <v>343</v>
      </c>
      <c r="F109" s="148">
        <v>650</v>
      </c>
      <c r="G109" s="148">
        <v>650</v>
      </c>
      <c r="H109" s="148">
        <v>650</v>
      </c>
      <c r="I109" s="148">
        <v>1</v>
      </c>
    </row>
    <row r="110" spans="1:9">
      <c r="A110" s="147" t="s">
        <v>244</v>
      </c>
      <c r="B110" s="147" t="s">
        <v>691</v>
      </c>
      <c r="C110" s="147" t="s">
        <v>1146</v>
      </c>
      <c r="D110" s="147" t="s">
        <v>662</v>
      </c>
      <c r="E110" s="147" t="s">
        <v>343</v>
      </c>
      <c r="F110" s="148">
        <v>175</v>
      </c>
      <c r="G110" s="148">
        <v>1250</v>
      </c>
      <c r="H110" s="148">
        <v>19058.55</v>
      </c>
      <c r="I110" s="148">
        <v>15</v>
      </c>
    </row>
    <row r="111" spans="1:9">
      <c r="A111" s="147" t="s">
        <v>244</v>
      </c>
      <c r="B111" s="147" t="s">
        <v>688</v>
      </c>
      <c r="C111" s="147" t="s">
        <v>1145</v>
      </c>
      <c r="D111" s="147" t="s">
        <v>503</v>
      </c>
      <c r="E111" s="147" t="s">
        <v>505</v>
      </c>
      <c r="F111" s="148">
        <v>1330</v>
      </c>
      <c r="G111" s="148">
        <v>1735</v>
      </c>
      <c r="H111" s="148">
        <v>18985</v>
      </c>
      <c r="I111" s="148">
        <v>15</v>
      </c>
    </row>
    <row r="112" spans="1:9">
      <c r="A112" s="147" t="s">
        <v>244</v>
      </c>
      <c r="B112" s="147" t="s">
        <v>789</v>
      </c>
      <c r="C112" s="147" t="s">
        <v>1145</v>
      </c>
      <c r="D112" s="147" t="s">
        <v>503</v>
      </c>
      <c r="E112" s="147" t="s">
        <v>343</v>
      </c>
      <c r="F112" s="148">
        <v>285</v>
      </c>
      <c r="G112" s="148">
        <v>1045</v>
      </c>
      <c r="H112" s="148">
        <v>8770</v>
      </c>
      <c r="I112" s="148">
        <v>15</v>
      </c>
    </row>
    <row r="113" spans="1:9">
      <c r="A113" s="147" t="s">
        <v>244</v>
      </c>
      <c r="B113" s="147" t="s">
        <v>804</v>
      </c>
      <c r="C113" s="147" t="s">
        <v>1145</v>
      </c>
      <c r="D113" s="147" t="s">
        <v>683</v>
      </c>
      <c r="E113" s="147" t="s">
        <v>343</v>
      </c>
      <c r="F113" s="148">
        <v>575</v>
      </c>
      <c r="G113" s="148">
        <v>795</v>
      </c>
      <c r="H113" s="148">
        <v>7281.25</v>
      </c>
      <c r="I113" s="148">
        <v>12</v>
      </c>
    </row>
    <row r="114" spans="1:9">
      <c r="A114" s="147" t="s">
        <v>244</v>
      </c>
      <c r="B114" s="147" t="s">
        <v>843</v>
      </c>
      <c r="C114" s="147" t="s">
        <v>1145</v>
      </c>
      <c r="D114" s="147" t="s">
        <v>503</v>
      </c>
      <c r="E114" s="147" t="s">
        <v>505</v>
      </c>
      <c r="F114" s="148">
        <v>400</v>
      </c>
      <c r="G114" s="148">
        <v>400</v>
      </c>
      <c r="H114" s="148">
        <v>6225</v>
      </c>
      <c r="I114" s="148">
        <v>15</v>
      </c>
    </row>
    <row r="115" spans="1:9">
      <c r="A115" s="147" t="s">
        <v>244</v>
      </c>
      <c r="B115" s="147" t="s">
        <v>858</v>
      </c>
      <c r="C115" s="147" t="s">
        <v>1146</v>
      </c>
      <c r="D115" s="147" t="s">
        <v>662</v>
      </c>
      <c r="E115" s="147" t="s">
        <v>343</v>
      </c>
      <c r="F115" s="148">
        <v>90</v>
      </c>
      <c r="G115" s="148">
        <v>90</v>
      </c>
      <c r="H115" s="148">
        <v>4827.5</v>
      </c>
      <c r="I115" s="148">
        <v>9</v>
      </c>
    </row>
    <row r="116" spans="1:9">
      <c r="A116" s="147" t="s">
        <v>244</v>
      </c>
      <c r="B116" s="147" t="s">
        <v>833</v>
      </c>
      <c r="C116" s="147" t="s">
        <v>1145</v>
      </c>
      <c r="D116" s="147" t="s">
        <v>503</v>
      </c>
      <c r="E116" s="147" t="s">
        <v>505</v>
      </c>
      <c r="F116" s="148">
        <v>400</v>
      </c>
      <c r="G116" s="148">
        <v>610</v>
      </c>
      <c r="H116" s="148">
        <v>4510</v>
      </c>
      <c r="I116" s="148">
        <v>10</v>
      </c>
    </row>
    <row r="117" spans="1:9">
      <c r="A117" s="147" t="s">
        <v>244</v>
      </c>
      <c r="B117" s="147" t="s">
        <v>870</v>
      </c>
      <c r="C117" s="147" t="s">
        <v>1145</v>
      </c>
      <c r="D117" s="147" t="s">
        <v>637</v>
      </c>
      <c r="E117" s="147" t="s">
        <v>343</v>
      </c>
      <c r="F117" s="148">
        <v>295</v>
      </c>
      <c r="G117" s="148">
        <v>310</v>
      </c>
      <c r="H117" s="148">
        <v>4110</v>
      </c>
      <c r="I117" s="148">
        <v>15</v>
      </c>
    </row>
    <row r="118" spans="1:9">
      <c r="A118" s="147" t="s">
        <v>244</v>
      </c>
      <c r="B118" s="147" t="s">
        <v>918</v>
      </c>
      <c r="C118" s="147" t="s">
        <v>1145</v>
      </c>
      <c r="D118" s="147" t="s">
        <v>637</v>
      </c>
      <c r="E118" s="147" t="s">
        <v>343</v>
      </c>
      <c r="F118" s="148">
        <v>60</v>
      </c>
      <c r="G118" s="148">
        <v>76.5</v>
      </c>
      <c r="H118" s="148">
        <v>2091.5</v>
      </c>
      <c r="I118" s="148">
        <v>15</v>
      </c>
    </row>
    <row r="119" spans="1:9">
      <c r="A119" s="147" t="s">
        <v>244</v>
      </c>
      <c r="B119" s="147" t="s">
        <v>892</v>
      </c>
      <c r="C119" s="147" t="s">
        <v>1146</v>
      </c>
      <c r="D119" s="147" t="s">
        <v>733</v>
      </c>
      <c r="E119" s="147" t="s">
        <v>343</v>
      </c>
      <c r="F119" s="148">
        <v>765</v>
      </c>
      <c r="G119" s="148">
        <v>765</v>
      </c>
      <c r="H119" s="148">
        <v>1530</v>
      </c>
      <c r="I119" s="148">
        <v>2</v>
      </c>
    </row>
    <row r="120" spans="1:9">
      <c r="A120" s="147" t="s">
        <v>244</v>
      </c>
      <c r="B120" s="147" t="s">
        <v>893</v>
      </c>
      <c r="C120" s="147" t="s">
        <v>1146</v>
      </c>
      <c r="D120" s="147" t="s">
        <v>733</v>
      </c>
      <c r="E120" s="147" t="s">
        <v>343</v>
      </c>
      <c r="F120" s="148">
        <v>765</v>
      </c>
      <c r="G120" s="148">
        <v>765</v>
      </c>
      <c r="H120" s="148">
        <v>1530</v>
      </c>
      <c r="I120" s="148">
        <v>2</v>
      </c>
    </row>
    <row r="121" spans="1:9">
      <c r="A121" s="147" t="s">
        <v>244</v>
      </c>
      <c r="B121" s="147" t="s">
        <v>894</v>
      </c>
      <c r="C121" s="147" t="s">
        <v>1146</v>
      </c>
      <c r="D121" s="147" t="s">
        <v>733</v>
      </c>
      <c r="E121" s="147" t="s">
        <v>343</v>
      </c>
      <c r="F121" s="148">
        <v>765</v>
      </c>
      <c r="G121" s="148">
        <v>765</v>
      </c>
      <c r="H121" s="148">
        <v>1530</v>
      </c>
      <c r="I121" s="148">
        <v>2</v>
      </c>
    </row>
    <row r="122" spans="1:9">
      <c r="A122" s="147" t="s">
        <v>244</v>
      </c>
      <c r="B122" s="147" t="s">
        <v>895</v>
      </c>
      <c r="C122" s="147" t="s">
        <v>1146</v>
      </c>
      <c r="D122" s="147" t="s">
        <v>733</v>
      </c>
      <c r="E122" s="147" t="s">
        <v>343</v>
      </c>
      <c r="F122" s="148">
        <v>765</v>
      </c>
      <c r="G122" s="148">
        <v>765</v>
      </c>
      <c r="H122" s="148">
        <v>1530</v>
      </c>
      <c r="I122" s="148">
        <v>2</v>
      </c>
    </row>
    <row r="123" spans="1:9">
      <c r="A123" s="147" t="s">
        <v>244</v>
      </c>
      <c r="B123" s="147" t="s">
        <v>896</v>
      </c>
      <c r="C123" s="147" t="s">
        <v>1146</v>
      </c>
      <c r="D123" s="147" t="s">
        <v>733</v>
      </c>
      <c r="E123" s="147" t="s">
        <v>343</v>
      </c>
      <c r="F123" s="148">
        <v>765</v>
      </c>
      <c r="G123" s="148">
        <v>765</v>
      </c>
      <c r="H123" s="148">
        <v>1530</v>
      </c>
      <c r="I123" s="148">
        <v>2</v>
      </c>
    </row>
    <row r="124" spans="1:9">
      <c r="A124" s="147" t="s">
        <v>244</v>
      </c>
      <c r="B124" s="147" t="s">
        <v>897</v>
      </c>
      <c r="C124" s="147" t="s">
        <v>1146</v>
      </c>
      <c r="D124" s="147" t="s">
        <v>683</v>
      </c>
      <c r="E124" s="147" t="s">
        <v>343</v>
      </c>
      <c r="F124" s="148">
        <v>765</v>
      </c>
      <c r="G124" s="148">
        <v>765</v>
      </c>
      <c r="H124" s="148">
        <v>1530</v>
      </c>
      <c r="I124" s="148">
        <v>2</v>
      </c>
    </row>
    <row r="125" spans="1:9">
      <c r="A125" s="147" t="s">
        <v>245</v>
      </c>
      <c r="B125" s="147" t="s">
        <v>606</v>
      </c>
      <c r="C125" s="147" t="s">
        <v>1145</v>
      </c>
      <c r="D125" s="147" t="s">
        <v>503</v>
      </c>
      <c r="E125" s="147" t="s">
        <v>505</v>
      </c>
      <c r="F125" s="148">
        <v>2692</v>
      </c>
      <c r="G125" s="148">
        <v>3070</v>
      </c>
      <c r="H125" s="148">
        <v>34954</v>
      </c>
      <c r="I125" s="148">
        <v>16</v>
      </c>
    </row>
    <row r="126" spans="1:9">
      <c r="A126" s="147" t="s">
        <v>245</v>
      </c>
      <c r="B126" s="147" t="s">
        <v>566</v>
      </c>
      <c r="C126" s="147" t="s">
        <v>1145</v>
      </c>
      <c r="D126" s="147" t="s">
        <v>503</v>
      </c>
      <c r="E126" s="147" t="s">
        <v>505</v>
      </c>
      <c r="F126" s="148">
        <v>3020</v>
      </c>
      <c r="G126" s="148">
        <v>3180</v>
      </c>
      <c r="H126" s="148">
        <v>26019.5</v>
      </c>
      <c r="I126" s="148">
        <v>9</v>
      </c>
    </row>
    <row r="127" spans="1:9">
      <c r="A127" s="147" t="s">
        <v>245</v>
      </c>
      <c r="B127" s="147" t="s">
        <v>732</v>
      </c>
      <c r="C127" s="147" t="s">
        <v>1146</v>
      </c>
      <c r="D127" s="147" t="s">
        <v>733</v>
      </c>
      <c r="E127" s="147" t="s">
        <v>343</v>
      </c>
      <c r="F127" s="148">
        <v>2662.5</v>
      </c>
      <c r="G127" s="148">
        <v>2662.5</v>
      </c>
      <c r="H127" s="148">
        <v>7075</v>
      </c>
      <c r="I127" s="148">
        <v>3</v>
      </c>
    </row>
    <row r="128" spans="1:9">
      <c r="A128" s="147" t="s">
        <v>245</v>
      </c>
      <c r="B128" s="147" t="s">
        <v>814</v>
      </c>
      <c r="C128" s="147" t="s">
        <v>1145</v>
      </c>
      <c r="D128" s="147" t="s">
        <v>503</v>
      </c>
      <c r="E128" s="147" t="s">
        <v>505</v>
      </c>
      <c r="F128" s="148">
        <v>520</v>
      </c>
      <c r="G128" s="148">
        <v>580</v>
      </c>
      <c r="H128" s="148">
        <v>6500</v>
      </c>
      <c r="I128" s="148">
        <v>12</v>
      </c>
    </row>
    <row r="129" spans="1:9">
      <c r="A129" s="147" t="s">
        <v>245</v>
      </c>
      <c r="B129" s="147" t="s">
        <v>832</v>
      </c>
      <c r="C129" s="147" t="s">
        <v>1145</v>
      </c>
      <c r="D129" s="147" t="s">
        <v>683</v>
      </c>
      <c r="E129" s="147" t="s">
        <v>343</v>
      </c>
      <c r="F129" s="148">
        <v>400</v>
      </c>
      <c r="G129" s="148">
        <v>400</v>
      </c>
      <c r="H129" s="148">
        <v>3940</v>
      </c>
      <c r="I129" s="148">
        <v>9</v>
      </c>
    </row>
    <row r="130" spans="1:9">
      <c r="A130" s="147" t="s">
        <v>245</v>
      </c>
      <c r="B130" s="147" t="s">
        <v>855</v>
      </c>
      <c r="C130" s="147" t="s">
        <v>1145</v>
      </c>
      <c r="D130" s="147" t="s">
        <v>503</v>
      </c>
      <c r="E130" s="147" t="s">
        <v>621</v>
      </c>
      <c r="F130" s="148">
        <v>650</v>
      </c>
      <c r="G130" s="148">
        <v>745</v>
      </c>
      <c r="H130" s="148">
        <v>3035</v>
      </c>
      <c r="I130" s="148">
        <v>4</v>
      </c>
    </row>
    <row r="131" spans="1:9">
      <c r="A131" s="147" t="s">
        <v>246</v>
      </c>
      <c r="B131" s="147" t="s">
        <v>608</v>
      </c>
      <c r="C131" s="147" t="s">
        <v>1146</v>
      </c>
      <c r="D131" s="147" t="s">
        <v>503</v>
      </c>
      <c r="E131" s="147" t="s">
        <v>343</v>
      </c>
      <c r="F131" s="148">
        <v>2145</v>
      </c>
      <c r="G131" s="148">
        <v>2406</v>
      </c>
      <c r="H131" s="148">
        <v>30980</v>
      </c>
      <c r="I131" s="148">
        <v>17</v>
      </c>
    </row>
    <row r="132" spans="1:9">
      <c r="A132" s="147" t="s">
        <v>246</v>
      </c>
      <c r="B132" s="147" t="s">
        <v>728</v>
      </c>
      <c r="C132" s="147" t="s">
        <v>1145</v>
      </c>
      <c r="D132" s="147" t="s">
        <v>503</v>
      </c>
      <c r="E132" s="147" t="s">
        <v>505</v>
      </c>
      <c r="F132" s="148">
        <v>775</v>
      </c>
      <c r="G132" s="148">
        <v>775</v>
      </c>
      <c r="H132" s="148">
        <v>9910</v>
      </c>
      <c r="I132" s="148">
        <v>17</v>
      </c>
    </row>
    <row r="133" spans="1:9">
      <c r="A133" s="147" t="s">
        <v>246</v>
      </c>
      <c r="B133" s="147" t="s">
        <v>768</v>
      </c>
      <c r="C133" s="147" t="s">
        <v>1145</v>
      </c>
      <c r="D133" s="147" t="s">
        <v>503</v>
      </c>
      <c r="E133" s="147" t="s">
        <v>505</v>
      </c>
      <c r="F133" s="148">
        <v>466</v>
      </c>
      <c r="G133" s="148">
        <v>649</v>
      </c>
      <c r="H133" s="148">
        <v>9671</v>
      </c>
      <c r="I133" s="148">
        <v>17</v>
      </c>
    </row>
    <row r="134" spans="1:9">
      <c r="A134" s="147" t="s">
        <v>246</v>
      </c>
      <c r="B134" s="147" t="s">
        <v>775</v>
      </c>
      <c r="C134" s="147" t="s">
        <v>1145</v>
      </c>
      <c r="D134" s="147" t="s">
        <v>683</v>
      </c>
      <c r="E134" s="147" t="s">
        <v>343</v>
      </c>
      <c r="F134" s="148">
        <v>500</v>
      </c>
      <c r="G134" s="148">
        <v>500</v>
      </c>
      <c r="H134" s="148">
        <v>8745</v>
      </c>
      <c r="I134" s="148">
        <v>17</v>
      </c>
    </row>
    <row r="135" spans="1:9">
      <c r="A135" s="147" t="s">
        <v>246</v>
      </c>
      <c r="B135" s="147" t="s">
        <v>824</v>
      </c>
      <c r="C135" s="147" t="s">
        <v>1144</v>
      </c>
      <c r="D135" s="147" t="s">
        <v>637</v>
      </c>
      <c r="E135" s="147" t="s">
        <v>343</v>
      </c>
      <c r="F135" s="148">
        <v>340</v>
      </c>
      <c r="G135" s="148">
        <v>340</v>
      </c>
      <c r="H135" s="148">
        <v>5025</v>
      </c>
      <c r="I135" s="148">
        <v>12</v>
      </c>
    </row>
    <row r="136" spans="1:9">
      <c r="A136" s="147" t="s">
        <v>246</v>
      </c>
      <c r="B136" s="147" t="s">
        <v>885</v>
      </c>
      <c r="C136" s="147" t="s">
        <v>1145</v>
      </c>
      <c r="D136" s="147" t="s">
        <v>683</v>
      </c>
      <c r="E136" s="147" t="s">
        <v>343</v>
      </c>
      <c r="F136" s="148">
        <v>200</v>
      </c>
      <c r="G136" s="148">
        <v>200</v>
      </c>
      <c r="H136" s="148">
        <v>3432.5</v>
      </c>
      <c r="I136" s="148">
        <v>17</v>
      </c>
    </row>
    <row r="137" spans="1:9">
      <c r="A137" s="147" t="s">
        <v>246</v>
      </c>
      <c r="B137" s="147" t="s">
        <v>886</v>
      </c>
      <c r="C137" s="147" t="s">
        <v>1146</v>
      </c>
      <c r="D137" s="147" t="s">
        <v>662</v>
      </c>
      <c r="E137" s="147" t="s">
        <v>343</v>
      </c>
      <c r="F137" s="148">
        <v>200</v>
      </c>
      <c r="G137" s="148">
        <v>200</v>
      </c>
      <c r="H137" s="148">
        <v>3387.5</v>
      </c>
      <c r="I137" s="148">
        <v>17</v>
      </c>
    </row>
    <row r="138" spans="1:9">
      <c r="A138" s="147" t="s">
        <v>246</v>
      </c>
      <c r="B138" s="147" t="s">
        <v>845</v>
      </c>
      <c r="C138" s="147" t="s">
        <v>1145</v>
      </c>
      <c r="D138" s="147" t="s">
        <v>683</v>
      </c>
      <c r="E138" s="147" t="s">
        <v>343</v>
      </c>
      <c r="F138" s="148">
        <v>560</v>
      </c>
      <c r="G138" s="148">
        <v>700</v>
      </c>
      <c r="H138" s="148">
        <v>3340</v>
      </c>
      <c r="I138" s="148">
        <v>6</v>
      </c>
    </row>
    <row r="139" spans="1:9">
      <c r="A139" s="147" t="s">
        <v>246</v>
      </c>
      <c r="B139" s="147" t="s">
        <v>854</v>
      </c>
      <c r="C139" s="147" t="s">
        <v>1145</v>
      </c>
      <c r="D139" s="147" t="s">
        <v>503</v>
      </c>
      <c r="E139" s="147" t="s">
        <v>621</v>
      </c>
      <c r="F139" s="148">
        <v>595</v>
      </c>
      <c r="G139" s="148">
        <v>690</v>
      </c>
      <c r="H139" s="148">
        <v>3123</v>
      </c>
      <c r="I139" s="148">
        <v>6</v>
      </c>
    </row>
    <row r="140" spans="1:9">
      <c r="A140" s="147" t="s">
        <v>246</v>
      </c>
      <c r="B140" s="147" t="s">
        <v>859</v>
      </c>
      <c r="C140" s="147" t="s">
        <v>1145</v>
      </c>
      <c r="D140" s="147" t="s">
        <v>503</v>
      </c>
      <c r="E140" s="147" t="s">
        <v>505</v>
      </c>
      <c r="F140" s="148">
        <v>470</v>
      </c>
      <c r="G140" s="148">
        <v>470</v>
      </c>
      <c r="H140" s="148">
        <v>2926</v>
      </c>
      <c r="I140" s="148">
        <v>5</v>
      </c>
    </row>
    <row r="141" spans="1:9">
      <c r="A141" s="147" t="s">
        <v>246</v>
      </c>
      <c r="B141" s="147" t="s">
        <v>868</v>
      </c>
      <c r="C141" s="147" t="s">
        <v>1145</v>
      </c>
      <c r="D141" s="147" t="s">
        <v>503</v>
      </c>
      <c r="E141" s="147" t="s">
        <v>505</v>
      </c>
      <c r="F141" s="148">
        <v>670</v>
      </c>
      <c r="G141" s="148">
        <v>1020</v>
      </c>
      <c r="H141" s="148">
        <v>2360</v>
      </c>
      <c r="I141" s="148">
        <v>3</v>
      </c>
    </row>
    <row r="142" spans="1:9">
      <c r="A142" s="147" t="s">
        <v>246</v>
      </c>
      <c r="B142" s="147" t="s">
        <v>888</v>
      </c>
      <c r="C142" s="147" t="s">
        <v>1145</v>
      </c>
      <c r="D142" s="147" t="s">
        <v>503</v>
      </c>
      <c r="E142" s="147" t="s">
        <v>505</v>
      </c>
      <c r="F142" s="148">
        <v>758</v>
      </c>
      <c r="G142" s="148">
        <v>1036</v>
      </c>
      <c r="H142" s="148">
        <v>1794</v>
      </c>
      <c r="I142" s="148">
        <v>2</v>
      </c>
    </row>
    <row r="143" spans="1:9">
      <c r="A143" s="147" t="s">
        <v>246</v>
      </c>
      <c r="B143" s="147" t="s">
        <v>922</v>
      </c>
      <c r="C143" s="147" t="s">
        <v>1145</v>
      </c>
      <c r="D143" s="147" t="s">
        <v>683</v>
      </c>
      <c r="E143" s="147" t="s">
        <v>343</v>
      </c>
      <c r="F143" s="148">
        <v>160</v>
      </c>
      <c r="G143" s="148">
        <v>160</v>
      </c>
      <c r="H143" s="148">
        <v>800</v>
      </c>
      <c r="I143" s="148">
        <v>5</v>
      </c>
    </row>
    <row r="144" spans="1:9">
      <c r="A144" s="147" t="s">
        <v>246</v>
      </c>
      <c r="B144" s="147" t="s">
        <v>923</v>
      </c>
      <c r="C144" s="147" t="s">
        <v>1145</v>
      </c>
      <c r="D144" s="147" t="s">
        <v>683</v>
      </c>
      <c r="E144" s="147" t="s">
        <v>343</v>
      </c>
      <c r="F144" s="148">
        <v>160</v>
      </c>
      <c r="G144" s="148">
        <v>160</v>
      </c>
      <c r="H144" s="148">
        <v>800</v>
      </c>
      <c r="I144" s="148">
        <v>5</v>
      </c>
    </row>
    <row r="145" spans="1:9">
      <c r="A145" s="147" t="s">
        <v>247</v>
      </c>
      <c r="B145" s="147" t="s">
        <v>815</v>
      </c>
      <c r="C145" s="147" t="s">
        <v>1145</v>
      </c>
      <c r="D145" s="147" t="s">
        <v>503</v>
      </c>
      <c r="E145" s="147" t="s">
        <v>505</v>
      </c>
      <c r="F145" s="148">
        <v>358</v>
      </c>
      <c r="G145" s="148">
        <v>358</v>
      </c>
      <c r="H145" s="148">
        <v>8435</v>
      </c>
      <c r="I145" s="148">
        <v>18</v>
      </c>
    </row>
    <row r="146" spans="1:9">
      <c r="A146" s="147" t="s">
        <v>247</v>
      </c>
      <c r="B146" s="147" t="s">
        <v>822</v>
      </c>
      <c r="C146" s="147" t="s">
        <v>1145</v>
      </c>
      <c r="D146" s="147" t="s">
        <v>683</v>
      </c>
      <c r="E146" s="147" t="s">
        <v>343</v>
      </c>
      <c r="F146" s="148">
        <v>400</v>
      </c>
      <c r="G146" s="148">
        <v>400</v>
      </c>
      <c r="H146" s="148">
        <v>7155</v>
      </c>
      <c r="I146" s="148">
        <v>18</v>
      </c>
    </row>
    <row r="147" spans="1:9">
      <c r="A147" s="147" t="s">
        <v>247</v>
      </c>
      <c r="B147" s="147" t="s">
        <v>821</v>
      </c>
      <c r="C147" s="147" t="s">
        <v>1144</v>
      </c>
      <c r="D147" s="147" t="s">
        <v>683</v>
      </c>
      <c r="E147" s="147" t="s">
        <v>343</v>
      </c>
      <c r="F147" s="148">
        <v>40</v>
      </c>
      <c r="G147" s="148">
        <v>440</v>
      </c>
      <c r="H147" s="148">
        <v>5679.25</v>
      </c>
      <c r="I147" s="148">
        <v>13</v>
      </c>
    </row>
    <row r="148" spans="1:9">
      <c r="A148" s="147" t="s">
        <v>247</v>
      </c>
      <c r="B148" s="147" t="s">
        <v>823</v>
      </c>
      <c r="C148" s="147" t="s">
        <v>1145</v>
      </c>
      <c r="D148" s="147" t="s">
        <v>503</v>
      </c>
      <c r="E148" s="147" t="s">
        <v>505</v>
      </c>
      <c r="F148" s="148">
        <v>400</v>
      </c>
      <c r="G148" s="148">
        <v>400</v>
      </c>
      <c r="H148" s="148">
        <v>4370</v>
      </c>
      <c r="I148" s="148">
        <v>11</v>
      </c>
    </row>
    <row r="149" spans="1:9">
      <c r="A149" s="147" t="s">
        <v>247</v>
      </c>
      <c r="B149" s="147" t="s">
        <v>837</v>
      </c>
      <c r="C149" s="147" t="s">
        <v>1145</v>
      </c>
      <c r="D149" s="147" t="s">
        <v>503</v>
      </c>
      <c r="E149" s="147" t="s">
        <v>621</v>
      </c>
      <c r="F149" s="148">
        <v>606</v>
      </c>
      <c r="G149" s="148">
        <v>668</v>
      </c>
      <c r="H149" s="148">
        <v>3748</v>
      </c>
      <c r="I149" s="148">
        <v>5</v>
      </c>
    </row>
    <row r="150" spans="1:9">
      <c r="A150" s="147" t="s">
        <v>247</v>
      </c>
      <c r="B150" s="147" t="s">
        <v>904</v>
      </c>
      <c r="C150" s="147" t="s">
        <v>1145</v>
      </c>
      <c r="D150" s="147" t="s">
        <v>683</v>
      </c>
      <c r="E150" s="147" t="s">
        <v>343</v>
      </c>
      <c r="F150" s="148">
        <v>310</v>
      </c>
      <c r="G150" s="148">
        <v>310</v>
      </c>
      <c r="H150" s="148">
        <v>1336.5</v>
      </c>
      <c r="I150" s="148">
        <v>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7" customWidth="1"/>
    <col min="2" max="3" width="20" style="147" customWidth="1"/>
    <col min="4" max="4" width="18" style="147" customWidth="1"/>
    <col min="5" max="5" width="15.85546875" style="147" customWidth="1"/>
    <col min="6" max="6" width="20" style="147" customWidth="1"/>
    <col min="7" max="16384" width="9" style="147"/>
  </cols>
  <sheetData>
    <row r="1" spans="1:6">
      <c r="A1" s="147" t="s">
        <v>1151</v>
      </c>
    </row>
    <row r="2" spans="1:6">
      <c r="A2" s="147" t="s">
        <v>1152</v>
      </c>
    </row>
    <row r="3" spans="1:6">
      <c r="A3" s="147" t="s">
        <v>1153</v>
      </c>
    </row>
    <row r="4" spans="1:6">
      <c r="A4" s="147" t="s">
        <v>1154</v>
      </c>
    </row>
    <row r="5" spans="1:6">
      <c r="A5" s="147" t="s">
        <v>1155</v>
      </c>
    </row>
    <row r="6" spans="1:6">
      <c r="A6" s="147" t="s">
        <v>1156</v>
      </c>
    </row>
    <row r="8" spans="1:6">
      <c r="A8" s="147" t="s">
        <v>1116</v>
      </c>
      <c r="B8" s="147" t="s">
        <v>1157</v>
      </c>
      <c r="C8" s="147" t="s">
        <v>1158</v>
      </c>
      <c r="D8" s="147" t="s">
        <v>1159</v>
      </c>
      <c r="E8" s="147" t="s">
        <v>1160</v>
      </c>
      <c r="F8" s="147" t="s">
        <v>1112</v>
      </c>
    </row>
    <row r="9" spans="1:6">
      <c r="A9" s="147" t="s">
        <v>246</v>
      </c>
      <c r="B9" s="148">
        <v>250520.61</v>
      </c>
      <c r="C9" s="148">
        <v>207059.6</v>
      </c>
      <c r="D9" s="148">
        <v>43461.00999999998</v>
      </c>
      <c r="E9" s="172">
        <v>0.82651722746483824</v>
      </c>
      <c r="F9" s="147">
        <v>205</v>
      </c>
    </row>
    <row r="10" spans="1:6">
      <c r="A10" s="147" t="s">
        <v>247</v>
      </c>
      <c r="B10" s="148">
        <v>249696.16999999998</v>
      </c>
      <c r="C10" s="148">
        <v>214154.5</v>
      </c>
      <c r="D10" s="148">
        <v>35541.669999999984</v>
      </c>
      <c r="E10" s="172">
        <v>0.85766033175438783</v>
      </c>
      <c r="F10" s="147">
        <v>196</v>
      </c>
    </row>
    <row r="11" spans="1:6">
      <c r="A11" s="147" t="s">
        <v>248</v>
      </c>
      <c r="B11" s="148">
        <v>251179.65</v>
      </c>
      <c r="C11" s="148">
        <v>162623.5</v>
      </c>
      <c r="D11" s="148">
        <v>88556.15</v>
      </c>
      <c r="E11" s="172">
        <v>0.64743899436120722</v>
      </c>
      <c r="F11" s="147">
        <v>195</v>
      </c>
    </row>
    <row r="13" spans="1:6">
      <c r="A13" s="147" t="s">
        <v>1161</v>
      </c>
    </row>
    <row r="14" spans="1:6">
      <c r="A14" s="147" t="s">
        <v>1162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7" customWidth="1"/>
    <col min="2" max="2" width="32.85546875" style="147" customWidth="1"/>
    <col min="3" max="3" width="82" style="147" customWidth="1"/>
    <col min="4" max="4" width="45.7109375" style="147" customWidth="1"/>
    <col min="5" max="5" width="28.5703125" style="147" customWidth="1"/>
    <col min="6" max="16384" width="9" style="147"/>
  </cols>
  <sheetData>
    <row r="1" spans="1:5">
      <c r="A1" s="147" t="s">
        <v>1163</v>
      </c>
    </row>
    <row r="3" spans="1:5">
      <c r="A3" s="147" t="s">
        <v>1164</v>
      </c>
    </row>
    <row r="4" spans="1:5">
      <c r="A4" s="147" t="s">
        <v>1165</v>
      </c>
      <c r="B4" s="147" t="s">
        <v>1166</v>
      </c>
      <c r="C4" s="147" t="s">
        <v>1167</v>
      </c>
      <c r="D4" s="147" t="s">
        <v>1168</v>
      </c>
      <c r="E4" s="147" t="s">
        <v>1169</v>
      </c>
    </row>
    <row r="5" spans="1:5">
      <c r="A5" s="147" t="s">
        <v>1170</v>
      </c>
      <c r="B5" s="147" t="s">
        <v>1171</v>
      </c>
      <c r="C5" s="147" t="s">
        <v>1172</v>
      </c>
      <c r="D5" s="147" t="s">
        <v>1173</v>
      </c>
      <c r="E5" s="147" t="s">
        <v>1174</v>
      </c>
    </row>
    <row r="6" spans="1:5">
      <c r="A6" s="147" t="s">
        <v>1175</v>
      </c>
      <c r="B6" s="147" t="s">
        <v>1171</v>
      </c>
      <c r="C6" s="147" t="s">
        <v>1176</v>
      </c>
      <c r="D6" s="147" t="s">
        <v>1177</v>
      </c>
      <c r="E6" s="147" t="s">
        <v>1178</v>
      </c>
    </row>
    <row r="7" spans="1:5">
      <c r="A7" s="147" t="s">
        <v>599</v>
      </c>
      <c r="B7" s="147" t="s">
        <v>1179</v>
      </c>
      <c r="C7" s="147" t="s">
        <v>1180</v>
      </c>
      <c r="D7" s="147" t="s">
        <v>1181</v>
      </c>
      <c r="E7" s="147" t="s">
        <v>1182</v>
      </c>
    </row>
    <row r="8" spans="1:5">
      <c r="A8" s="147" t="s">
        <v>1183</v>
      </c>
      <c r="B8" s="147" t="s">
        <v>1171</v>
      </c>
      <c r="C8" s="147" t="s">
        <v>1184</v>
      </c>
      <c r="D8" s="147" t="s">
        <v>1185</v>
      </c>
      <c r="E8" s="147" t="s">
        <v>1182</v>
      </c>
    </row>
    <row r="10" spans="1:5">
      <c r="A10" s="147" t="s">
        <v>1186</v>
      </c>
    </row>
    <row r="11" spans="1:5">
      <c r="A11" s="147" t="s">
        <v>1187</v>
      </c>
    </row>
    <row r="12" spans="1:5">
      <c r="A12" s="147" t="s">
        <v>1188</v>
      </c>
    </row>
    <row r="14" spans="1:5">
      <c r="A14" s="147" t="s">
        <v>1189</v>
      </c>
    </row>
    <row r="15" spans="1:5">
      <c r="A15" s="147" t="s">
        <v>1190</v>
      </c>
      <c r="B15" s="147" t="s">
        <v>1191</v>
      </c>
      <c r="C15" s="147" t="s">
        <v>1192</v>
      </c>
      <c r="D15" s="147" t="s">
        <v>1193</v>
      </c>
      <c r="E15" s="147" t="s">
        <v>1194</v>
      </c>
    </row>
    <row r="16" spans="1:5">
      <c r="A16" s="147" t="s">
        <v>1088</v>
      </c>
      <c r="B16" s="147" t="s">
        <v>1195</v>
      </c>
      <c r="C16" s="147" t="s">
        <v>1196</v>
      </c>
      <c r="D16" s="148">
        <v>142</v>
      </c>
      <c r="E16" s="148">
        <v>1588.6130985915488</v>
      </c>
    </row>
    <row r="17" spans="1:5">
      <c r="A17" s="147" t="s">
        <v>1089</v>
      </c>
      <c r="B17" s="147" t="s">
        <v>1197</v>
      </c>
      <c r="C17" s="147" t="s">
        <v>1198</v>
      </c>
      <c r="D17" s="148">
        <v>30</v>
      </c>
      <c r="E17" s="148">
        <v>443.24444444444441</v>
      </c>
    </row>
    <row r="18" spans="1:5">
      <c r="A18" s="147" t="s">
        <v>1091</v>
      </c>
      <c r="B18" s="147" t="s">
        <v>1199</v>
      </c>
      <c r="C18" s="147" t="s">
        <v>1200</v>
      </c>
      <c r="D18" s="148">
        <v>2</v>
      </c>
      <c r="E18" s="148">
        <v>675</v>
      </c>
    </row>
    <row r="20" spans="1:5">
      <c r="A20" s="147" t="s">
        <v>1201</v>
      </c>
    </row>
    <row r="21" spans="1:5">
      <c r="A21" s="147" t="s">
        <v>1202</v>
      </c>
      <c r="B21" s="147" t="s">
        <v>1203</v>
      </c>
    </row>
    <row r="22" spans="1:5">
      <c r="A22" s="147" t="s">
        <v>502</v>
      </c>
      <c r="B22" s="147" t="s">
        <v>1204</v>
      </c>
    </row>
    <row r="23" spans="1:5">
      <c r="A23" s="147" t="s">
        <v>19</v>
      </c>
      <c r="B23" s="147" t="s">
        <v>1205</v>
      </c>
    </row>
    <row r="24" spans="1:5">
      <c r="A24" s="147" t="s">
        <v>567</v>
      </c>
      <c r="B24" s="147" t="s">
        <v>1206</v>
      </c>
    </row>
    <row r="25" spans="1:5">
      <c r="A25" s="147" t="s">
        <v>343</v>
      </c>
      <c r="B25" s="147" t="s">
        <v>1207</v>
      </c>
    </row>
    <row r="27" spans="1:5">
      <c r="A27" s="147" t="s">
        <v>1208</v>
      </c>
    </row>
    <row r="28" spans="1:5">
      <c r="A28" s="147" t="s">
        <v>476</v>
      </c>
      <c r="B28" s="147" t="s">
        <v>1209</v>
      </c>
    </row>
    <row r="29" spans="1:5">
      <c r="A29" s="147" t="s">
        <v>343</v>
      </c>
      <c r="B29" s="147" t="s">
        <v>1210</v>
      </c>
    </row>
    <row r="30" spans="1:5">
      <c r="A30" s="147" t="s">
        <v>343</v>
      </c>
      <c r="B30" s="147" t="s">
        <v>1211</v>
      </c>
    </row>
    <row r="31" spans="1:5">
      <c r="A31" s="147" t="s">
        <v>1212</v>
      </c>
      <c r="B31" s="147" t="s">
        <v>1213</v>
      </c>
    </row>
    <row r="32" spans="1:5">
      <c r="A32" s="147" t="s">
        <v>343</v>
      </c>
      <c r="B32" s="147" t="s">
        <v>1214</v>
      </c>
    </row>
    <row r="33" spans="1:2">
      <c r="A33" s="147" t="s">
        <v>477</v>
      </c>
      <c r="B33" s="147" t="s">
        <v>1215</v>
      </c>
    </row>
    <row r="35" spans="1:2">
      <c r="A35" s="147" t="s">
        <v>1216</v>
      </c>
    </row>
    <row r="36" spans="1:2">
      <c r="A36" s="147" t="s">
        <v>1217</v>
      </c>
    </row>
    <row r="37" spans="1:2">
      <c r="A37" s="147" t="s">
        <v>568</v>
      </c>
      <c r="B37" s="147" t="s">
        <v>1218</v>
      </c>
    </row>
    <row r="38" spans="1:2">
      <c r="A38" s="147" t="s">
        <v>343</v>
      </c>
      <c r="B38" s="147" t="s">
        <v>1219</v>
      </c>
    </row>
    <row r="39" spans="1:2">
      <c r="A39" s="147" t="s">
        <v>507</v>
      </c>
      <c r="B39" s="147" t="s">
        <v>1220</v>
      </c>
    </row>
    <row r="40" spans="1:2">
      <c r="A40" s="147" t="s">
        <v>560</v>
      </c>
      <c r="B40" s="147" t="s">
        <v>1221</v>
      </c>
    </row>
    <row r="41" spans="1:2">
      <c r="A41" s="147" t="s">
        <v>343</v>
      </c>
      <c r="B41" s="147" t="s">
        <v>1222</v>
      </c>
    </row>
    <row r="43" spans="1:2">
      <c r="A43" s="147" t="s">
        <v>1223</v>
      </c>
    </row>
    <row r="44" spans="1:2">
      <c r="A44" s="147" t="s">
        <v>1224</v>
      </c>
      <c r="B44" s="147" t="s">
        <v>1225</v>
      </c>
    </row>
    <row r="45" spans="1:2">
      <c r="A45" s="147" t="s">
        <v>1226</v>
      </c>
      <c r="B45" s="147" t="s">
        <v>1227</v>
      </c>
    </row>
    <row r="46" spans="1:2">
      <c r="A46" s="147" t="s">
        <v>567</v>
      </c>
      <c r="B46" s="147" t="s">
        <v>1228</v>
      </c>
    </row>
    <row r="47" spans="1:2">
      <c r="A47" s="147" t="s">
        <v>1229</v>
      </c>
      <c r="B47" s="147" t="s">
        <v>1230</v>
      </c>
    </row>
    <row r="48" spans="1:2">
      <c r="A48" s="147" t="s">
        <v>343</v>
      </c>
      <c r="B48" s="147" t="s">
        <v>1231</v>
      </c>
    </row>
    <row r="50" spans="1:2">
      <c r="A50" s="147" t="s">
        <v>1057</v>
      </c>
    </row>
    <row r="51" spans="1:2">
      <c r="A51" s="147" t="s">
        <v>1232</v>
      </c>
      <c r="B51" s="147" t="s">
        <v>1233</v>
      </c>
    </row>
    <row r="52" spans="1:2">
      <c r="A52" s="147" t="s">
        <v>1234</v>
      </c>
      <c r="B52" s="147" t="s">
        <v>1235</v>
      </c>
    </row>
    <row r="53" spans="1:2">
      <c r="A53" s="147" t="s">
        <v>343</v>
      </c>
      <c r="B53" s="147" t="s">
        <v>1236</v>
      </c>
    </row>
    <row r="54" spans="1:2">
      <c r="A54" s="147" t="s">
        <v>343</v>
      </c>
      <c r="B54" s="147" t="s">
        <v>1237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10" workbookViewId="0">
      <selection activeCell="C10" sqref="A10:XFD10"/>
    </sheetView>
  </sheetViews>
  <sheetFormatPr defaultColWidth="9.140625" defaultRowHeight="15"/>
  <cols>
    <col min="1" max="1" width="28.85546875" style="131" customWidth="1"/>
    <col min="2" max="2" width="16.85546875" style="131" customWidth="1"/>
    <col min="3" max="3" width="60.85546875" style="131" customWidth="1"/>
    <col min="4" max="4" width="24.140625" style="131" bestFit="1" customWidth="1"/>
    <col min="5" max="6" width="16.85546875" style="131" customWidth="1"/>
    <col min="7" max="8" width="14.85546875" style="131" customWidth="1"/>
    <col min="9" max="9" width="10.85546875" style="131" customWidth="1"/>
    <col min="10" max="16384" width="9.140625" style="131"/>
  </cols>
  <sheetData>
    <row r="1" spans="1:9" ht="18.75">
      <c r="A1" s="130" t="s">
        <v>330</v>
      </c>
    </row>
    <row r="2" spans="1:9">
      <c r="A2" s="132" t="s">
        <v>331</v>
      </c>
    </row>
    <row r="3" spans="1:9">
      <c r="A3" s="132" t="s">
        <v>332</v>
      </c>
    </row>
    <row r="5" spans="1:9" ht="30" customHeight="1">
      <c r="A5" s="133" t="s">
        <v>333</v>
      </c>
      <c r="B5" s="133" t="s">
        <v>334</v>
      </c>
      <c r="C5" s="133" t="s">
        <v>335</v>
      </c>
      <c r="D5" s="133" t="s">
        <v>997</v>
      </c>
      <c r="E5" s="133" t="s">
        <v>336</v>
      </c>
      <c r="F5" s="133" t="s">
        <v>337</v>
      </c>
      <c r="G5" s="133" t="s">
        <v>338</v>
      </c>
      <c r="H5" s="133" t="s">
        <v>339</v>
      </c>
      <c r="I5" s="133" t="s">
        <v>340</v>
      </c>
    </row>
    <row r="6" spans="1:9" ht="45">
      <c r="A6" s="134" t="s">
        <v>1004</v>
      </c>
      <c r="B6" s="135" t="s">
        <v>341</v>
      </c>
      <c r="C6" s="135" t="s">
        <v>342</v>
      </c>
      <c r="D6" s="158">
        <f t="shared" ref="D6:D37" si="0">E6+F6</f>
        <v>161144.69</v>
      </c>
      <c r="E6" s="136">
        <v>161144.69</v>
      </c>
      <c r="F6" s="136">
        <v>0</v>
      </c>
      <c r="G6" s="137">
        <v>161144.69</v>
      </c>
      <c r="H6" s="137">
        <v>13428.724166666667</v>
      </c>
      <c r="I6" s="138"/>
    </row>
    <row r="7" spans="1:9" ht="45">
      <c r="A7" s="134" t="s">
        <v>344</v>
      </c>
      <c r="B7" s="135" t="s">
        <v>345</v>
      </c>
      <c r="C7" s="135" t="s">
        <v>346</v>
      </c>
      <c r="D7" s="158">
        <f t="shared" si="0"/>
        <v>90485.56</v>
      </c>
      <c r="E7" s="136">
        <v>0</v>
      </c>
      <c r="F7" s="136">
        <v>90485.56</v>
      </c>
      <c r="G7" s="137">
        <v>90485.56</v>
      </c>
      <c r="H7" s="137">
        <v>7540.4633333333331</v>
      </c>
      <c r="I7" s="138" t="s">
        <v>343</v>
      </c>
    </row>
    <row r="8" spans="1:9">
      <c r="A8" s="134" t="s">
        <v>347</v>
      </c>
      <c r="B8" s="135" t="s">
        <v>341</v>
      </c>
      <c r="C8" s="135" t="s">
        <v>348</v>
      </c>
      <c r="D8" s="158">
        <f t="shared" si="0"/>
        <v>36009</v>
      </c>
      <c r="E8" s="136">
        <v>36009</v>
      </c>
      <c r="F8" s="136">
        <v>0</v>
      </c>
      <c r="G8" s="137">
        <v>36009</v>
      </c>
      <c r="H8" s="137">
        <v>3000.75</v>
      </c>
      <c r="I8" s="138" t="s">
        <v>343</v>
      </c>
    </row>
    <row r="9" spans="1:9">
      <c r="A9" s="134" t="s">
        <v>349</v>
      </c>
      <c r="B9" s="135" t="s">
        <v>345</v>
      </c>
      <c r="C9" s="135" t="s">
        <v>350</v>
      </c>
      <c r="D9" s="158">
        <f t="shared" si="0"/>
        <v>18025.68</v>
      </c>
      <c r="E9" s="136">
        <v>15547.68</v>
      </c>
      <c r="F9" s="136">
        <v>2478</v>
      </c>
      <c r="G9" s="137">
        <v>18025.68</v>
      </c>
      <c r="H9" s="137">
        <v>1502.14</v>
      </c>
      <c r="I9" s="138" t="s">
        <v>343</v>
      </c>
    </row>
    <row r="10" spans="1:9" ht="30">
      <c r="A10" s="134" t="s">
        <v>351</v>
      </c>
      <c r="B10" s="135" t="s">
        <v>341</v>
      </c>
      <c r="C10" s="135" t="s">
        <v>352</v>
      </c>
      <c r="D10" s="158">
        <f t="shared" si="0"/>
        <v>17235</v>
      </c>
      <c r="E10" s="136">
        <v>17235</v>
      </c>
      <c r="F10" s="136">
        <v>0</v>
      </c>
      <c r="G10" s="137">
        <v>17235</v>
      </c>
      <c r="H10" s="137">
        <v>1436.25</v>
      </c>
      <c r="I10" s="138" t="s">
        <v>343</v>
      </c>
    </row>
    <row r="11" spans="1:9">
      <c r="A11" s="134" t="s">
        <v>1002</v>
      </c>
      <c r="B11" s="135" t="s">
        <v>341</v>
      </c>
      <c r="C11" s="135" t="s">
        <v>353</v>
      </c>
      <c r="D11" s="158">
        <f t="shared" si="0"/>
        <v>16908.71</v>
      </c>
      <c r="E11" s="136">
        <v>16908.71</v>
      </c>
      <c r="F11" s="136">
        <v>0</v>
      </c>
      <c r="G11" s="137">
        <v>16908.71</v>
      </c>
      <c r="H11" s="137">
        <v>1409.0591666666667</v>
      </c>
      <c r="I11" s="138" t="s">
        <v>343</v>
      </c>
    </row>
    <row r="12" spans="1:9" ht="30">
      <c r="A12" s="134" t="s">
        <v>354</v>
      </c>
      <c r="B12" s="135" t="s">
        <v>341</v>
      </c>
      <c r="C12" s="135" t="s">
        <v>355</v>
      </c>
      <c r="D12" s="158">
        <f t="shared" si="0"/>
        <v>14487.71</v>
      </c>
      <c r="E12" s="136">
        <v>14487.71</v>
      </c>
      <c r="F12" s="136">
        <v>0</v>
      </c>
      <c r="G12" s="137">
        <v>14487.71</v>
      </c>
      <c r="H12" s="137">
        <v>1207.3091666666667</v>
      </c>
      <c r="I12" s="138" t="s">
        <v>343</v>
      </c>
    </row>
    <row r="13" spans="1:9">
      <c r="A13" s="134" t="s">
        <v>356</v>
      </c>
      <c r="B13" s="135" t="s">
        <v>357</v>
      </c>
      <c r="C13" s="135" t="s">
        <v>358</v>
      </c>
      <c r="D13" s="158">
        <f t="shared" si="0"/>
        <v>12043.65</v>
      </c>
      <c r="E13" s="136">
        <v>12043.65</v>
      </c>
      <c r="F13" s="136">
        <v>0</v>
      </c>
      <c r="G13" s="137">
        <v>12043.65</v>
      </c>
      <c r="H13" s="137">
        <v>1003.6374999999999</v>
      </c>
      <c r="I13" s="138" t="s">
        <v>343</v>
      </c>
    </row>
    <row r="14" spans="1:9">
      <c r="A14" s="134" t="s">
        <v>359</v>
      </c>
      <c r="B14" s="135" t="s">
        <v>341</v>
      </c>
      <c r="C14" s="135" t="s">
        <v>360</v>
      </c>
      <c r="D14" s="158">
        <f t="shared" si="0"/>
        <v>9052.7199999999993</v>
      </c>
      <c r="E14" s="136">
        <v>9052.7199999999993</v>
      </c>
      <c r="F14" s="136">
        <v>0</v>
      </c>
      <c r="G14" s="137">
        <v>9052.7199999999993</v>
      </c>
      <c r="H14" s="137">
        <v>754.39333333333332</v>
      </c>
      <c r="I14" s="138" t="s">
        <v>343</v>
      </c>
    </row>
    <row r="15" spans="1:9">
      <c r="A15" s="134" t="s">
        <v>361</v>
      </c>
      <c r="B15" s="135" t="s">
        <v>357</v>
      </c>
      <c r="C15" s="135" t="s">
        <v>362</v>
      </c>
      <c r="D15" s="158">
        <f t="shared" si="0"/>
        <v>8968.67</v>
      </c>
      <c r="E15" s="136">
        <v>879.84</v>
      </c>
      <c r="F15" s="136">
        <v>8088.83</v>
      </c>
      <c r="G15" s="137">
        <v>8968.67</v>
      </c>
      <c r="H15" s="137">
        <v>747.38916666666671</v>
      </c>
      <c r="I15" s="138" t="s">
        <v>343</v>
      </c>
    </row>
    <row r="16" spans="1:9">
      <c r="A16" s="134" t="s">
        <v>363</v>
      </c>
      <c r="B16" s="135" t="s">
        <v>357</v>
      </c>
      <c r="C16" s="135" t="s">
        <v>364</v>
      </c>
      <c r="D16" s="158">
        <f t="shared" si="0"/>
        <v>8680.01</v>
      </c>
      <c r="E16" s="136">
        <v>8680.01</v>
      </c>
      <c r="F16" s="136">
        <v>0</v>
      </c>
      <c r="G16" s="137">
        <v>8680.01</v>
      </c>
      <c r="H16" s="137">
        <v>723.33416666666665</v>
      </c>
      <c r="I16" s="138" t="s">
        <v>343</v>
      </c>
    </row>
    <row r="17" spans="1:9">
      <c r="A17" s="134" t="s">
        <v>365</v>
      </c>
      <c r="B17" s="135" t="s">
        <v>357</v>
      </c>
      <c r="C17" s="135" t="s">
        <v>366</v>
      </c>
      <c r="D17" s="158">
        <f t="shared" si="0"/>
        <v>8669.77</v>
      </c>
      <c r="E17" s="136">
        <v>800.97</v>
      </c>
      <c r="F17" s="136">
        <v>7868.8000000000011</v>
      </c>
      <c r="G17" s="137">
        <v>8669.77</v>
      </c>
      <c r="H17" s="137">
        <v>722.48083333333341</v>
      </c>
      <c r="I17" s="138" t="s">
        <v>343</v>
      </c>
    </row>
    <row r="18" spans="1:9">
      <c r="A18" s="134" t="s">
        <v>367</v>
      </c>
      <c r="B18" s="135" t="s">
        <v>368</v>
      </c>
      <c r="C18" s="135" t="s">
        <v>369</v>
      </c>
      <c r="D18" s="158">
        <f t="shared" si="0"/>
        <v>7670.55</v>
      </c>
      <c r="E18" s="136">
        <v>7670.55</v>
      </c>
      <c r="F18" s="136">
        <v>0</v>
      </c>
      <c r="G18" s="137">
        <v>7670.55</v>
      </c>
      <c r="H18" s="137">
        <v>639.21249999999998</v>
      </c>
      <c r="I18" s="138" t="s">
        <v>343</v>
      </c>
    </row>
    <row r="19" spans="1:9">
      <c r="A19" s="134" t="s">
        <v>370</v>
      </c>
      <c r="B19" s="135" t="s">
        <v>357</v>
      </c>
      <c r="C19" s="135" t="s">
        <v>371</v>
      </c>
      <c r="D19" s="158">
        <f t="shared" si="0"/>
        <v>6909.15</v>
      </c>
      <c r="E19" s="136">
        <v>1829.54</v>
      </c>
      <c r="F19" s="136">
        <v>5079.6099999999997</v>
      </c>
      <c r="G19" s="137">
        <v>6909.15</v>
      </c>
      <c r="H19" s="137">
        <v>575.76249999999993</v>
      </c>
      <c r="I19" s="138" t="s">
        <v>343</v>
      </c>
    </row>
    <row r="20" spans="1:9" ht="30">
      <c r="A20" s="134" t="s">
        <v>372</v>
      </c>
      <c r="B20" s="135" t="s">
        <v>341</v>
      </c>
      <c r="C20" s="135" t="s">
        <v>373</v>
      </c>
      <c r="D20" s="158">
        <f t="shared" si="0"/>
        <v>4800</v>
      </c>
      <c r="E20" s="136">
        <v>4800</v>
      </c>
      <c r="F20" s="136">
        <v>0</v>
      </c>
      <c r="G20" s="137">
        <v>4800</v>
      </c>
      <c r="H20" s="137">
        <v>400</v>
      </c>
      <c r="I20" s="138" t="s">
        <v>343</v>
      </c>
    </row>
    <row r="21" spans="1:9">
      <c r="A21" s="134" t="s">
        <v>374</v>
      </c>
      <c r="B21" s="135" t="s">
        <v>375</v>
      </c>
      <c r="C21" s="135" t="s">
        <v>376</v>
      </c>
      <c r="D21" s="158">
        <f t="shared" si="0"/>
        <v>4756.63</v>
      </c>
      <c r="E21" s="136">
        <v>4756.63</v>
      </c>
      <c r="F21" s="136">
        <v>0</v>
      </c>
      <c r="G21" s="137">
        <v>4756.63</v>
      </c>
      <c r="H21" s="137">
        <v>396.38583333333332</v>
      </c>
      <c r="I21" s="138" t="s">
        <v>343</v>
      </c>
    </row>
    <row r="22" spans="1:9">
      <c r="A22" s="134" t="s">
        <v>377</v>
      </c>
      <c r="B22" s="135" t="s">
        <v>357</v>
      </c>
      <c r="C22" s="135" t="s">
        <v>378</v>
      </c>
      <c r="D22" s="158">
        <f t="shared" si="0"/>
        <v>4631.05</v>
      </c>
      <c r="E22" s="136">
        <v>299.01</v>
      </c>
      <c r="F22" s="136">
        <v>4332.04</v>
      </c>
      <c r="G22" s="137">
        <v>4631.05</v>
      </c>
      <c r="H22" s="137">
        <v>385.92083333333335</v>
      </c>
      <c r="I22" s="138" t="s">
        <v>343</v>
      </c>
    </row>
    <row r="23" spans="1:9">
      <c r="A23" s="134" t="s">
        <v>379</v>
      </c>
      <c r="B23" s="135" t="s">
        <v>341</v>
      </c>
      <c r="C23" s="135" t="s">
        <v>380</v>
      </c>
      <c r="D23" s="158">
        <f t="shared" si="0"/>
        <v>3735.3</v>
      </c>
      <c r="E23" s="136">
        <v>3735.3</v>
      </c>
      <c r="F23" s="136">
        <v>0</v>
      </c>
      <c r="G23" s="137">
        <v>3735.3</v>
      </c>
      <c r="H23" s="137">
        <v>311.27500000000003</v>
      </c>
      <c r="I23" s="138" t="s">
        <v>343</v>
      </c>
    </row>
    <row r="24" spans="1:9">
      <c r="A24" s="134" t="s">
        <v>381</v>
      </c>
      <c r="B24" s="135" t="s">
        <v>341</v>
      </c>
      <c r="C24" s="135" t="s">
        <v>382</v>
      </c>
      <c r="D24" s="158">
        <f t="shared" si="0"/>
        <v>3318.0600000000004</v>
      </c>
      <c r="E24" s="136">
        <v>823.26</v>
      </c>
      <c r="F24" s="136">
        <v>2494.8000000000002</v>
      </c>
      <c r="G24" s="137">
        <v>3318.0600000000004</v>
      </c>
      <c r="H24" s="137">
        <v>276.50500000000005</v>
      </c>
      <c r="I24" s="138" t="s">
        <v>343</v>
      </c>
    </row>
    <row r="25" spans="1:9">
      <c r="A25" s="134" t="s">
        <v>383</v>
      </c>
      <c r="B25" s="135" t="s">
        <v>384</v>
      </c>
      <c r="C25" s="135" t="s">
        <v>385</v>
      </c>
      <c r="D25" s="158">
        <f t="shared" si="0"/>
        <v>3045</v>
      </c>
      <c r="E25" s="136">
        <v>3045</v>
      </c>
      <c r="F25" s="136">
        <v>0</v>
      </c>
      <c r="G25" s="137">
        <v>3045</v>
      </c>
      <c r="H25" s="137">
        <v>253.75</v>
      </c>
      <c r="I25" s="138" t="s">
        <v>343</v>
      </c>
    </row>
    <row r="26" spans="1:9">
      <c r="A26" s="134" t="s">
        <v>386</v>
      </c>
      <c r="B26" s="135" t="s">
        <v>345</v>
      </c>
      <c r="C26" s="135" t="s">
        <v>387</v>
      </c>
      <c r="D26" s="158">
        <f t="shared" si="0"/>
        <v>2160</v>
      </c>
      <c r="E26" s="136">
        <v>2160</v>
      </c>
      <c r="F26" s="136">
        <v>0</v>
      </c>
      <c r="G26" s="137">
        <v>2160</v>
      </c>
      <c r="H26" s="137">
        <v>180</v>
      </c>
      <c r="I26" s="138"/>
    </row>
    <row r="27" spans="1:9">
      <c r="A27" s="134" t="s">
        <v>388</v>
      </c>
      <c r="B27" s="135" t="s">
        <v>368</v>
      </c>
      <c r="C27" s="135" t="s">
        <v>389</v>
      </c>
      <c r="D27" s="158">
        <f t="shared" si="0"/>
        <v>2072.1</v>
      </c>
      <c r="E27" s="136">
        <v>2072.1</v>
      </c>
      <c r="F27" s="136">
        <v>0</v>
      </c>
      <c r="G27" s="137">
        <v>2072.1</v>
      </c>
      <c r="H27" s="137">
        <v>172.67499999999998</v>
      </c>
      <c r="I27" s="138" t="s">
        <v>343</v>
      </c>
    </row>
    <row r="28" spans="1:9">
      <c r="A28" s="134" t="s">
        <v>390</v>
      </c>
      <c r="B28" s="135" t="s">
        <v>345</v>
      </c>
      <c r="C28" s="135" t="s">
        <v>391</v>
      </c>
      <c r="D28" s="158">
        <f t="shared" si="0"/>
        <v>1912.86</v>
      </c>
      <c r="E28" s="136">
        <v>1912.86</v>
      </c>
      <c r="F28" s="136">
        <v>0</v>
      </c>
      <c r="G28" s="137">
        <v>1912.86</v>
      </c>
      <c r="H28" s="137">
        <v>159.405</v>
      </c>
      <c r="I28" s="138" t="s">
        <v>343</v>
      </c>
    </row>
    <row r="29" spans="1:9">
      <c r="A29" s="134" t="s">
        <v>392</v>
      </c>
      <c r="B29" s="135" t="s">
        <v>368</v>
      </c>
      <c r="C29" s="135" t="s">
        <v>393</v>
      </c>
      <c r="D29" s="158">
        <f t="shared" si="0"/>
        <v>1639.56</v>
      </c>
      <c r="E29" s="136">
        <v>1639.56</v>
      </c>
      <c r="F29" s="136">
        <v>0</v>
      </c>
      <c r="G29" s="137">
        <v>1639.56</v>
      </c>
      <c r="H29" s="137">
        <v>136.63</v>
      </c>
      <c r="I29" s="138" t="s">
        <v>343</v>
      </c>
    </row>
    <row r="30" spans="1:9">
      <c r="A30" s="134" t="s">
        <v>394</v>
      </c>
      <c r="B30" s="135" t="s">
        <v>375</v>
      </c>
      <c r="C30" s="135" t="s">
        <v>395</v>
      </c>
      <c r="D30" s="158">
        <f t="shared" si="0"/>
        <v>1639.24</v>
      </c>
      <c r="E30" s="136">
        <v>1639.24</v>
      </c>
      <c r="F30" s="136">
        <v>0</v>
      </c>
      <c r="G30" s="137">
        <v>1639.24</v>
      </c>
      <c r="H30" s="137">
        <v>136.60333333333332</v>
      </c>
      <c r="I30" s="138" t="s">
        <v>343</v>
      </c>
    </row>
    <row r="31" spans="1:9" ht="30">
      <c r="A31" s="134" t="s">
        <v>396</v>
      </c>
      <c r="B31" s="135" t="s">
        <v>368</v>
      </c>
      <c r="C31" s="135" t="s">
        <v>397</v>
      </c>
      <c r="D31" s="158">
        <f t="shared" si="0"/>
        <v>1486.36</v>
      </c>
      <c r="E31" s="136">
        <v>0</v>
      </c>
      <c r="F31" s="136">
        <v>1486.36</v>
      </c>
      <c r="G31" s="137">
        <v>1486.36</v>
      </c>
      <c r="H31" s="137">
        <v>123.86333333333333</v>
      </c>
      <c r="I31" s="138"/>
    </row>
    <row r="32" spans="1:9">
      <c r="A32" s="134" t="s">
        <v>398</v>
      </c>
      <c r="B32" s="135" t="s">
        <v>345</v>
      </c>
      <c r="C32" s="135" t="s">
        <v>399</v>
      </c>
      <c r="D32" s="158">
        <f t="shared" si="0"/>
        <v>1435.7</v>
      </c>
      <c r="E32" s="136">
        <v>1435.7</v>
      </c>
      <c r="F32" s="136">
        <v>0</v>
      </c>
      <c r="G32" s="137">
        <v>1435.7</v>
      </c>
      <c r="H32" s="137">
        <v>119.64166666666667</v>
      </c>
      <c r="I32" s="138"/>
    </row>
    <row r="33" spans="1:9">
      <c r="A33" s="134" t="s">
        <v>400</v>
      </c>
      <c r="B33" s="135" t="s">
        <v>368</v>
      </c>
      <c r="C33" s="135" t="s">
        <v>401</v>
      </c>
      <c r="D33" s="158">
        <f t="shared" si="0"/>
        <v>1322.42</v>
      </c>
      <c r="E33" s="136">
        <v>1322.42</v>
      </c>
      <c r="F33" s="136">
        <v>0</v>
      </c>
      <c r="G33" s="137">
        <v>1322.42</v>
      </c>
      <c r="H33" s="137">
        <v>110.20166666666667</v>
      </c>
      <c r="I33" s="138"/>
    </row>
    <row r="34" spans="1:9">
      <c r="A34" s="134" t="s">
        <v>402</v>
      </c>
      <c r="B34" s="135" t="s">
        <v>357</v>
      </c>
      <c r="C34" s="135" t="s">
        <v>403</v>
      </c>
      <c r="D34" s="158">
        <f t="shared" si="0"/>
        <v>635.04</v>
      </c>
      <c r="E34" s="136">
        <v>635.04</v>
      </c>
      <c r="F34" s="136">
        <v>0</v>
      </c>
      <c r="G34" s="137">
        <v>635.04</v>
      </c>
      <c r="H34" s="137">
        <v>52.919999999999995</v>
      </c>
      <c r="I34" s="138"/>
    </row>
    <row r="35" spans="1:9">
      <c r="A35" s="134" t="s">
        <v>404</v>
      </c>
      <c r="B35" s="135" t="s">
        <v>375</v>
      </c>
      <c r="C35" s="135" t="s">
        <v>405</v>
      </c>
      <c r="D35" s="158">
        <f t="shared" si="0"/>
        <v>589.42999999999995</v>
      </c>
      <c r="E35" s="136">
        <v>589.42999999999995</v>
      </c>
      <c r="F35" s="136">
        <v>0</v>
      </c>
      <c r="G35" s="137">
        <v>589.42999999999995</v>
      </c>
      <c r="H35" s="137">
        <v>49.119166666666665</v>
      </c>
      <c r="I35" s="138"/>
    </row>
    <row r="36" spans="1:9">
      <c r="A36" s="134" t="s">
        <v>406</v>
      </c>
      <c r="B36" s="135" t="s">
        <v>357</v>
      </c>
      <c r="C36" s="135" t="s">
        <v>407</v>
      </c>
      <c r="D36" s="158">
        <f t="shared" si="0"/>
        <v>543.52</v>
      </c>
      <c r="E36" s="136">
        <v>543.52</v>
      </c>
      <c r="F36" s="136">
        <v>0</v>
      </c>
      <c r="G36" s="137">
        <v>543.52</v>
      </c>
      <c r="H36" s="137">
        <v>45.293333333333329</v>
      </c>
      <c r="I36" s="138"/>
    </row>
    <row r="37" spans="1:9">
      <c r="A37" s="134" t="s">
        <v>408</v>
      </c>
      <c r="B37" s="135" t="s">
        <v>375</v>
      </c>
      <c r="C37" s="135" t="s">
        <v>409</v>
      </c>
      <c r="D37" s="158">
        <f t="shared" si="0"/>
        <v>541.42999999999995</v>
      </c>
      <c r="E37" s="136">
        <v>541.42999999999995</v>
      </c>
      <c r="F37" s="136">
        <v>0</v>
      </c>
      <c r="G37" s="137">
        <v>541.42999999999995</v>
      </c>
      <c r="H37" s="137">
        <v>45.119166666666665</v>
      </c>
      <c r="I37" s="138" t="s">
        <v>343</v>
      </c>
    </row>
    <row r="38" spans="1:9">
      <c r="A38" s="134" t="s">
        <v>410</v>
      </c>
      <c r="B38" s="135" t="s">
        <v>345</v>
      </c>
      <c r="C38" s="135" t="s">
        <v>411</v>
      </c>
      <c r="D38" s="158">
        <f t="shared" ref="D38:D60" si="1">E38+F38</f>
        <v>490</v>
      </c>
      <c r="E38" s="136">
        <v>490</v>
      </c>
      <c r="F38" s="136">
        <v>0</v>
      </c>
      <c r="G38" s="137">
        <v>490</v>
      </c>
      <c r="H38" s="137">
        <v>40.833333333333336</v>
      </c>
      <c r="I38" s="138" t="s">
        <v>343</v>
      </c>
    </row>
    <row r="39" spans="1:9">
      <c r="A39" s="134" t="s">
        <v>412</v>
      </c>
      <c r="B39" s="135" t="s">
        <v>341</v>
      </c>
      <c r="C39" s="135" t="s">
        <v>413</v>
      </c>
      <c r="D39" s="158">
        <f t="shared" si="1"/>
        <v>450</v>
      </c>
      <c r="E39" s="136">
        <v>450</v>
      </c>
      <c r="F39" s="136">
        <v>0</v>
      </c>
      <c r="G39" s="137">
        <v>450</v>
      </c>
      <c r="H39" s="137">
        <v>37.5</v>
      </c>
      <c r="I39" s="138" t="s">
        <v>343</v>
      </c>
    </row>
    <row r="40" spans="1:9">
      <c r="A40" s="134" t="s">
        <v>414</v>
      </c>
      <c r="B40" s="135" t="s">
        <v>368</v>
      </c>
      <c r="C40" s="135" t="s">
        <v>415</v>
      </c>
      <c r="D40" s="158">
        <f t="shared" si="1"/>
        <v>436</v>
      </c>
      <c r="E40" s="136">
        <v>436</v>
      </c>
      <c r="F40" s="136">
        <v>0</v>
      </c>
      <c r="G40" s="137">
        <v>436</v>
      </c>
      <c r="H40" s="137">
        <v>36.333333333333336</v>
      </c>
      <c r="I40" s="138" t="s">
        <v>343</v>
      </c>
    </row>
    <row r="41" spans="1:9">
      <c r="A41" s="134" t="s">
        <v>416</v>
      </c>
      <c r="B41" s="135" t="s">
        <v>345</v>
      </c>
      <c r="C41" s="135" t="s">
        <v>387</v>
      </c>
      <c r="D41" s="158">
        <f t="shared" si="1"/>
        <v>412.4</v>
      </c>
      <c r="E41" s="136">
        <v>412.4</v>
      </c>
      <c r="F41" s="136">
        <v>0</v>
      </c>
      <c r="G41" s="137">
        <v>412.4</v>
      </c>
      <c r="H41" s="137">
        <v>34.366666666666667</v>
      </c>
      <c r="I41" s="138"/>
    </row>
    <row r="42" spans="1:9">
      <c r="A42" s="134" t="s">
        <v>417</v>
      </c>
      <c r="B42" s="135" t="s">
        <v>345</v>
      </c>
      <c r="C42" s="135" t="s">
        <v>418</v>
      </c>
      <c r="D42" s="158">
        <f t="shared" si="1"/>
        <v>408</v>
      </c>
      <c r="E42" s="136">
        <v>408</v>
      </c>
      <c r="F42" s="136">
        <v>0</v>
      </c>
      <c r="G42" s="137">
        <v>408</v>
      </c>
      <c r="H42" s="137">
        <v>34</v>
      </c>
      <c r="I42" s="138" t="s">
        <v>343</v>
      </c>
    </row>
    <row r="43" spans="1:9">
      <c r="A43" s="134" t="s">
        <v>419</v>
      </c>
      <c r="B43" s="135" t="s">
        <v>384</v>
      </c>
      <c r="C43" s="135" t="s">
        <v>420</v>
      </c>
      <c r="D43" s="158">
        <f t="shared" si="1"/>
        <v>348</v>
      </c>
      <c r="E43" s="136">
        <v>348</v>
      </c>
      <c r="F43" s="136">
        <v>0</v>
      </c>
      <c r="G43" s="137">
        <v>348</v>
      </c>
      <c r="H43" s="137">
        <v>29</v>
      </c>
      <c r="I43" s="138" t="s">
        <v>343</v>
      </c>
    </row>
    <row r="44" spans="1:9">
      <c r="A44" s="134" t="s">
        <v>421</v>
      </c>
      <c r="B44" s="135" t="s">
        <v>375</v>
      </c>
      <c r="C44" s="135" t="s">
        <v>409</v>
      </c>
      <c r="D44" s="158">
        <f t="shared" si="1"/>
        <v>348</v>
      </c>
      <c r="E44" s="136">
        <v>348</v>
      </c>
      <c r="F44" s="136">
        <v>0</v>
      </c>
      <c r="G44" s="137">
        <v>348</v>
      </c>
      <c r="H44" s="137">
        <v>29</v>
      </c>
      <c r="I44" s="138" t="s">
        <v>343</v>
      </c>
    </row>
    <row r="45" spans="1:9">
      <c r="A45" s="134" t="s">
        <v>422</v>
      </c>
      <c r="B45" s="135" t="s">
        <v>357</v>
      </c>
      <c r="C45" s="135" t="s">
        <v>423</v>
      </c>
      <c r="D45" s="158">
        <f t="shared" si="1"/>
        <v>344.68</v>
      </c>
      <c r="E45" s="136">
        <v>344.68</v>
      </c>
      <c r="F45" s="136">
        <v>0</v>
      </c>
      <c r="G45" s="137">
        <v>344.68</v>
      </c>
      <c r="H45" s="137">
        <v>28.723333333333333</v>
      </c>
      <c r="I45" s="138" t="s">
        <v>343</v>
      </c>
    </row>
    <row r="46" spans="1:9">
      <c r="A46" s="134" t="s">
        <v>424</v>
      </c>
      <c r="B46" s="135" t="s">
        <v>341</v>
      </c>
      <c r="C46" s="135" t="s">
        <v>425</v>
      </c>
      <c r="D46" s="158">
        <f t="shared" si="1"/>
        <v>265</v>
      </c>
      <c r="E46" s="136">
        <v>265</v>
      </c>
      <c r="F46" s="136">
        <v>0</v>
      </c>
      <c r="G46" s="137">
        <v>265</v>
      </c>
      <c r="H46" s="137">
        <v>22.083333333333332</v>
      </c>
      <c r="I46" s="138" t="s">
        <v>343</v>
      </c>
    </row>
    <row r="47" spans="1:9">
      <c r="A47" s="134" t="s">
        <v>426</v>
      </c>
      <c r="B47" s="135" t="s">
        <v>375</v>
      </c>
      <c r="C47" s="135" t="s">
        <v>427</v>
      </c>
      <c r="D47" s="158">
        <f t="shared" si="1"/>
        <v>240</v>
      </c>
      <c r="E47" s="136">
        <v>240</v>
      </c>
      <c r="F47" s="136">
        <v>0</v>
      </c>
      <c r="G47" s="137">
        <v>240</v>
      </c>
      <c r="H47" s="137">
        <v>20</v>
      </c>
      <c r="I47" s="138" t="s">
        <v>343</v>
      </c>
    </row>
    <row r="48" spans="1:9">
      <c r="A48" s="134" t="s">
        <v>428</v>
      </c>
      <c r="B48" s="135" t="s">
        <v>357</v>
      </c>
      <c r="C48" s="135" t="s">
        <v>429</v>
      </c>
      <c r="D48" s="158">
        <f t="shared" si="1"/>
        <v>233.9</v>
      </c>
      <c r="E48" s="136">
        <v>233.9</v>
      </c>
      <c r="F48" s="136">
        <v>0</v>
      </c>
      <c r="G48" s="137">
        <v>233.9</v>
      </c>
      <c r="H48" s="137">
        <v>19.491666666666667</v>
      </c>
      <c r="I48" s="138" t="s">
        <v>343</v>
      </c>
    </row>
    <row r="49" spans="1:9">
      <c r="A49" s="134" t="s">
        <v>430</v>
      </c>
      <c r="B49" s="135" t="s">
        <v>345</v>
      </c>
      <c r="C49" s="135" t="s">
        <v>431</v>
      </c>
      <c r="D49" s="158">
        <f t="shared" si="1"/>
        <v>228</v>
      </c>
      <c r="E49" s="136">
        <v>228</v>
      </c>
      <c r="F49" s="136">
        <v>0</v>
      </c>
      <c r="G49" s="137">
        <v>228</v>
      </c>
      <c r="H49" s="137">
        <v>19</v>
      </c>
      <c r="I49" s="138"/>
    </row>
    <row r="50" spans="1:9">
      <c r="A50" s="134" t="s">
        <v>432</v>
      </c>
      <c r="B50" s="135" t="s">
        <v>345</v>
      </c>
      <c r="C50" s="135" t="s">
        <v>433</v>
      </c>
      <c r="D50" s="158">
        <f t="shared" si="1"/>
        <v>228</v>
      </c>
      <c r="E50" s="136">
        <v>228</v>
      </c>
      <c r="F50" s="136">
        <v>0</v>
      </c>
      <c r="G50" s="137">
        <v>228</v>
      </c>
      <c r="H50" s="137">
        <v>19</v>
      </c>
      <c r="I50" s="138" t="s">
        <v>343</v>
      </c>
    </row>
    <row r="51" spans="1:9">
      <c r="A51" s="134" t="s">
        <v>434</v>
      </c>
      <c r="B51" s="135" t="s">
        <v>368</v>
      </c>
      <c r="C51" s="135" t="s">
        <v>435</v>
      </c>
      <c r="D51" s="158">
        <f t="shared" si="1"/>
        <v>226.96</v>
      </c>
      <c r="E51" s="136">
        <v>226.96</v>
      </c>
      <c r="F51" s="136">
        <v>0</v>
      </c>
      <c r="G51" s="137">
        <v>226.96</v>
      </c>
      <c r="H51" s="137">
        <v>18.913333333333334</v>
      </c>
      <c r="I51" s="138" t="s">
        <v>343</v>
      </c>
    </row>
    <row r="52" spans="1:9">
      <c r="A52" s="134" t="s">
        <v>436</v>
      </c>
      <c r="B52" s="135" t="s">
        <v>357</v>
      </c>
      <c r="C52" s="135" t="s">
        <v>437</v>
      </c>
      <c r="D52" s="158">
        <f t="shared" si="1"/>
        <v>220.94</v>
      </c>
      <c r="E52" s="136">
        <v>220.94</v>
      </c>
      <c r="F52" s="136">
        <v>0</v>
      </c>
      <c r="G52" s="137">
        <v>220.94</v>
      </c>
      <c r="H52" s="137">
        <v>18.411666666666665</v>
      </c>
      <c r="I52" s="138" t="s">
        <v>343</v>
      </c>
    </row>
    <row r="53" spans="1:9">
      <c r="A53" s="134" t="s">
        <v>438</v>
      </c>
      <c r="B53" s="135" t="s">
        <v>384</v>
      </c>
      <c r="C53" s="135" t="s">
        <v>439</v>
      </c>
      <c r="D53" s="158">
        <f t="shared" si="1"/>
        <v>120</v>
      </c>
      <c r="E53" s="136">
        <v>120</v>
      </c>
      <c r="F53" s="136">
        <v>0</v>
      </c>
      <c r="G53" s="137">
        <v>120</v>
      </c>
      <c r="H53" s="137">
        <v>10</v>
      </c>
      <c r="I53" s="138" t="s">
        <v>343</v>
      </c>
    </row>
    <row r="54" spans="1:9">
      <c r="A54" s="134" t="s">
        <v>440</v>
      </c>
      <c r="B54" s="135" t="s">
        <v>341</v>
      </c>
      <c r="C54" s="135" t="s">
        <v>441</v>
      </c>
      <c r="D54" s="158">
        <f t="shared" si="1"/>
        <v>119.99</v>
      </c>
      <c r="E54" s="136">
        <v>119.99</v>
      </c>
      <c r="F54" s="136">
        <v>0</v>
      </c>
      <c r="G54" s="137">
        <v>119.99</v>
      </c>
      <c r="H54" s="137">
        <v>9.9991666666666656</v>
      </c>
      <c r="I54" s="138" t="s">
        <v>343</v>
      </c>
    </row>
    <row r="55" spans="1:9">
      <c r="A55" s="134" t="s">
        <v>442</v>
      </c>
      <c r="B55" s="135" t="s">
        <v>384</v>
      </c>
      <c r="C55" s="135" t="s">
        <v>443</v>
      </c>
      <c r="D55" s="158">
        <f t="shared" si="1"/>
        <v>115.57</v>
      </c>
      <c r="E55" s="136">
        <v>115.57</v>
      </c>
      <c r="F55" s="136">
        <v>0</v>
      </c>
      <c r="G55" s="137">
        <v>115.57</v>
      </c>
      <c r="H55" s="137">
        <v>9.6308333333333334</v>
      </c>
      <c r="I55" s="138" t="s">
        <v>343</v>
      </c>
    </row>
    <row r="56" spans="1:9">
      <c r="A56" s="134" t="s">
        <v>444</v>
      </c>
      <c r="B56" s="135" t="s">
        <v>384</v>
      </c>
      <c r="C56" s="135" t="s">
        <v>445</v>
      </c>
      <c r="D56" s="158">
        <f t="shared" si="1"/>
        <v>114.99</v>
      </c>
      <c r="E56" s="136">
        <v>114.99</v>
      </c>
      <c r="F56" s="136">
        <v>0</v>
      </c>
      <c r="G56" s="137">
        <v>114.99</v>
      </c>
      <c r="H56" s="137">
        <v>9.5824999999999996</v>
      </c>
      <c r="I56" s="138" t="s">
        <v>343</v>
      </c>
    </row>
    <row r="57" spans="1:9">
      <c r="A57" s="134" t="s">
        <v>446</v>
      </c>
      <c r="B57" s="135" t="s">
        <v>375</v>
      </c>
      <c r="C57" s="135" t="s">
        <v>447</v>
      </c>
      <c r="D57" s="158">
        <f t="shared" si="1"/>
        <v>100</v>
      </c>
      <c r="E57" s="136">
        <v>100</v>
      </c>
      <c r="F57" s="136">
        <v>0</v>
      </c>
      <c r="G57" s="137">
        <v>100</v>
      </c>
      <c r="H57" s="137">
        <v>8.3333333333333339</v>
      </c>
      <c r="I57" s="138" t="s">
        <v>343</v>
      </c>
    </row>
    <row r="58" spans="1:9">
      <c r="A58" s="134" t="s">
        <v>448</v>
      </c>
      <c r="B58" s="135" t="s">
        <v>357</v>
      </c>
      <c r="C58" s="135" t="s">
        <v>449</v>
      </c>
      <c r="D58" s="158">
        <f t="shared" si="1"/>
        <v>90.2</v>
      </c>
      <c r="E58" s="136">
        <v>90.2</v>
      </c>
      <c r="F58" s="136">
        <v>0</v>
      </c>
      <c r="G58" s="137">
        <v>90.2</v>
      </c>
      <c r="H58" s="137">
        <v>7.5166666666666666</v>
      </c>
      <c r="I58" s="138" t="s">
        <v>343</v>
      </c>
    </row>
    <row r="59" spans="1:9">
      <c r="A59" s="134" t="s">
        <v>450</v>
      </c>
      <c r="B59" s="135" t="s">
        <v>357</v>
      </c>
      <c r="C59" s="135" t="s">
        <v>451</v>
      </c>
      <c r="D59" s="158">
        <f t="shared" si="1"/>
        <v>85</v>
      </c>
      <c r="E59" s="136">
        <v>85</v>
      </c>
      <c r="F59" s="136">
        <v>0</v>
      </c>
      <c r="G59" s="137">
        <v>85</v>
      </c>
      <c r="H59" s="137">
        <v>7.083333333333333</v>
      </c>
      <c r="I59" s="138" t="s">
        <v>343</v>
      </c>
    </row>
    <row r="60" spans="1:9">
      <c r="A60" s="134" t="s">
        <v>452</v>
      </c>
      <c r="B60" s="135" t="s">
        <v>375</v>
      </c>
      <c r="C60" s="135" t="s">
        <v>453</v>
      </c>
      <c r="D60" s="158">
        <f t="shared" si="1"/>
        <v>41.92</v>
      </c>
      <c r="E60" s="136">
        <v>41.92</v>
      </c>
      <c r="F60" s="136">
        <v>0</v>
      </c>
      <c r="G60" s="137">
        <v>41.92</v>
      </c>
      <c r="H60" s="137">
        <v>3.4933333333333336</v>
      </c>
      <c r="I60" s="138" t="s">
        <v>343</v>
      </c>
    </row>
    <row r="61" spans="1:9">
      <c r="A61" s="139" t="s">
        <v>454</v>
      </c>
      <c r="B61" s="139" t="s">
        <v>343</v>
      </c>
      <c r="C61" s="139" t="s">
        <v>343</v>
      </c>
      <c r="D61" s="162">
        <f>SUM(D6:D60)</f>
        <v>462222.12</v>
      </c>
      <c r="E61" s="140">
        <v>344393.0199999999</v>
      </c>
      <c r="F61" s="140">
        <v>122314</v>
      </c>
      <c r="G61" s="140">
        <v>466707.01999999996</v>
      </c>
      <c r="H61" s="140">
        <v>38892.251666666663</v>
      </c>
      <c r="I61" s="139" t="s">
        <v>343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382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5" customWidth="1"/>
    <col min="2" max="2" width="26.7109375" style="175" customWidth="1"/>
    <col min="3" max="6" width="9.7109375" style="175" customWidth="1"/>
    <col min="7" max="7" width="0.85546875" style="175" customWidth="1"/>
    <col min="8" max="8" width="9.140625" style="175" customWidth="1"/>
    <col min="9" max="9" width="0.85546875" style="279" customWidth="1"/>
    <col min="10" max="10" width="8.85546875" style="175" customWidth="1" outlineLevel="1"/>
    <col min="11" max="11" width="9.28515625" style="175" customWidth="1" outlineLevel="1"/>
    <col min="12" max="12" width="8.85546875" style="175" customWidth="1" outlineLevel="1"/>
    <col min="13" max="13" width="9.28515625" style="175" customWidth="1" outlineLevel="1"/>
    <col min="14" max="14" width="8.85546875" style="175" customWidth="1" outlineLevel="1"/>
    <col min="15" max="15" width="9.28515625" style="175" customWidth="1" outlineLevel="1"/>
    <col min="16" max="17" width="8.85546875" style="175" customWidth="1" outlineLevel="1"/>
    <col min="18" max="18" width="9.28515625" style="175" customWidth="1" outlineLevel="1"/>
    <col min="19" max="21" width="9.85546875" style="175" bestFit="1" customWidth="1"/>
    <col min="22" max="22" width="8.85546875" style="175" bestFit="1" customWidth="1"/>
    <col min="23" max="23" width="9.28515625" style="175" bestFit="1" customWidth="1"/>
    <col min="24" max="24" width="8.85546875" style="175" bestFit="1" customWidth="1"/>
    <col min="25" max="25" width="9.28515625" style="175" bestFit="1" customWidth="1"/>
    <col min="26" max="26" width="8.85546875" style="175" bestFit="1" customWidth="1"/>
    <col min="27" max="27" width="9.28515625" style="175" bestFit="1" customWidth="1"/>
    <col min="28" max="29" width="8.85546875" style="175" bestFit="1" customWidth="1"/>
    <col min="30" max="30" width="9.28515625" style="175" bestFit="1" customWidth="1"/>
    <col min="31" max="31" width="4.7109375" style="175" customWidth="1"/>
    <col min="32" max="32" width="14.85546875" style="175" bestFit="1" customWidth="1"/>
    <col min="33" max="33" width="9.28515625" style="175" bestFit="1" customWidth="1"/>
    <col min="34" max="16384" width="9.140625" style="175"/>
  </cols>
  <sheetData>
    <row r="1" spans="2:34">
      <c r="J1" s="198">
        <f>EOMONTH(J5,0)</f>
      </c>
      <c r="K1" s="198">
        <f>EOMONTH(K5,0)</f>
      </c>
      <c r="L1" s="198">
        <f>EOMONTH(L5,0)</f>
      </c>
      <c r="M1" s="198">
        <f>EOMONTH(M5,0)</f>
      </c>
      <c r="N1" s="198">
        <f>EOMONTH(N5,0)</f>
      </c>
      <c r="O1" s="198">
        <f>EOMONTH(O5,0)</f>
      </c>
      <c r="P1" s="198">
        <f>EOMONTH(P5,0)</f>
      </c>
      <c r="Q1" s="198">
        <f>EOMONTH(Q5,0)</f>
      </c>
      <c r="R1" s="198">
        <f>EOMONTH(R5,0)</f>
      </c>
      <c r="S1" s="198">
        <f>EOMONTH(S5,0)</f>
      </c>
      <c r="T1" s="198">
        <f>EOMONTH(T5,0)</f>
      </c>
      <c r="U1" s="198">
        <f>EOMONTH(U5,0)</f>
      </c>
      <c r="V1" s="198">
        <f>EOMONTH(V5,0)</f>
      </c>
      <c r="W1" s="198">
        <f>EOMONTH(W5,0)</f>
      </c>
      <c r="X1" s="198">
        <f>EOMONTH(X5,0)</f>
      </c>
      <c r="Y1" s="198">
        <f>EOMONTH(Y5,0)</f>
      </c>
      <c r="Z1" s="198">
        <f>EOMONTH(Z5,0)</f>
      </c>
      <c r="AA1" s="198">
        <f>EOMONTH(AA5,0)</f>
      </c>
      <c r="AB1" s="198">
        <f>EOMONTH(AB5,0)</f>
      </c>
      <c r="AC1" s="198">
        <f>EOMONTH(AC5,0)</f>
      </c>
      <c r="AD1" s="198">
        <f>EOMONTH(AD5,0)</f>
      </c>
    </row>
    <row r="2" spans="2:34" ht="16.5">
      <c r="B2" s="37" t="str">
        <f>+Cover!B24</f>
      </c>
    </row>
    <row r="3" spans="2:34">
      <c r="B3" s="176" t="s">
        <v>1315</v>
      </c>
      <c r="C3" s="177"/>
      <c r="D3" s="177"/>
      <c r="E3" s="177"/>
      <c r="F3" s="177"/>
      <c r="G3" s="177"/>
      <c r="H3" s="177"/>
      <c r="I3" s="280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F3" s="175" t="s">
        <v>276</v>
      </c>
      <c r="AG3" s="248">
        <v>0</v>
      </c>
    </row>
    <row r="5" spans="2:34" ht="24">
      <c r="B5" s="161" t="s">
        <v>1316</v>
      </c>
      <c r="C5" s="178" t="s">
        <v>1324</v>
      </c>
      <c r="D5" s="178" t="s">
        <v>3</v>
      </c>
      <c r="E5" s="178" t="s">
        <v>4</v>
      </c>
      <c r="F5" s="178" t="s">
        <v>1326</v>
      </c>
      <c r="G5" s="195"/>
      <c r="H5" s="178" t="s">
        <v>1550</v>
      </c>
      <c r="J5" s="194">
        <v>45658</v>
      </c>
      <c r="K5" s="194">
        <f>EOMONTH(J5,0)+1</f>
      </c>
      <c r="L5" s="194">
        <f>EOMONTH(K5,0)+1</f>
      </c>
      <c r="M5" s="194">
        <f>EOMONTH(L5,0)+1</f>
      </c>
      <c r="N5" s="194">
        <f>EOMONTH(M5,0)+1</f>
      </c>
      <c r="O5" s="194">
        <f>EOMONTH(N5,0)+1</f>
      </c>
      <c r="P5" s="194">
        <f>EOMONTH(O5,0)+1</f>
      </c>
      <c r="Q5" s="194">
        <v>45870</v>
      </c>
      <c r="R5" s="194">
        <f>EOMONTH(Q5,0)+1</f>
      </c>
      <c r="S5" s="194">
        <f>EOMONTH(R5,0)+1</f>
      </c>
      <c r="T5" s="194">
        <f>EOMONTH(S5,0)+1</f>
      </c>
      <c r="U5" s="194">
        <f>EOMONTH(T5,0)+1</f>
      </c>
      <c r="V5" s="194">
        <f>EOMONTH(U5,0)+1</f>
      </c>
      <c r="W5" s="194">
        <f>EOMONTH(V5,0)+1</f>
      </c>
      <c r="X5" s="194">
        <f>EOMONTH(W5,0)+1</f>
      </c>
      <c r="Y5" s="194">
        <f>EOMONTH(X5,0)+1</f>
      </c>
      <c r="Z5" s="194">
        <f>EOMONTH(Y5,0)+1</f>
      </c>
      <c r="AA5" s="194">
        <f>EOMONTH(Z5,0)+1</f>
      </c>
      <c r="AB5" s="194">
        <f>EOMONTH(AA5,0)+1</f>
      </c>
      <c r="AC5" s="194">
        <f>EOMONTH(AB5,0)+1</f>
      </c>
      <c r="AD5" s="194">
        <f>EOMONTH(AC5,0)+1</f>
      </c>
      <c r="AE5" s="189"/>
      <c r="AF5" s="189"/>
      <c r="AG5" s="189"/>
      <c r="AH5" s="189"/>
    </row>
    <row r="6" spans="2:34">
      <c r="B6" s="188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5" t="s">
        <v>1569</v>
      </c>
      <c r="C7" s="184">
        <f>+C13-C8-C12</f>
      </c>
      <c r="D7" s="184">
        <f>+D13-D8-D12</f>
      </c>
      <c r="E7" s="184">
        <f>+E13-E8-E12</f>
      </c>
      <c r="F7" s="184">
        <f>+F13-F8-F12</f>
      </c>
      <c r="H7" s="184">
        <f>+H13-H8-H12</f>
      </c>
      <c r="J7" s="184">
        <f>+J13-J8-J12</f>
      </c>
      <c r="K7" s="184">
        <f>+K13-K8-K12</f>
      </c>
      <c r="L7" s="184">
        <f>+L13-L8-L12</f>
      </c>
      <c r="M7" s="184">
        <f>+M13-M8-M12</f>
      </c>
      <c r="N7" s="184">
        <f>+N13-N8-N12</f>
      </c>
      <c r="O7" s="184">
        <f>+O13-O8-O12</f>
      </c>
      <c r="P7" s="184">
        <f>+P13-P8-P12</f>
      </c>
      <c r="Q7" s="184">
        <f>+Q13-Q8-Q12</f>
      </c>
      <c r="R7" s="184">
        <f>+R13-R8-R12</f>
      </c>
      <c r="S7" s="184">
        <f>+S13-S8-S12</f>
      </c>
      <c r="T7" s="184">
        <f>+T13-T8-T12</f>
      </c>
      <c r="U7" s="184">
        <f>+U13-U8-U12</f>
      </c>
      <c r="V7" s="184">
        <f>+V13-V8-V12</f>
      </c>
      <c r="W7" s="184">
        <f>+W13-W8-W12</f>
      </c>
      <c r="X7" s="184">
        <f>+X13-X8-X12</f>
      </c>
      <c r="Y7" s="184">
        <f>+Y13-Y8-Y12</f>
      </c>
      <c r="Z7" s="184">
        <f>+Z13-Z8-Z12</f>
      </c>
      <c r="AA7" s="184">
        <f>+AA13-AA8-AA12</f>
      </c>
      <c r="AB7" s="184">
        <f>+AB13-AB8-AB12</f>
      </c>
      <c r="AC7" s="184">
        <f>+AC13-AC8-AC12</f>
      </c>
      <c r="AD7" s="184">
        <f>+AD13-AD8-AD12</f>
      </c>
    </row>
    <row r="8" spans="2:34">
      <c r="B8" s="193" t="s">
        <v>1322</v>
      </c>
      <c r="C8" s="175">
        <f>SUMIFS('Full Customer List'!$G:$G,'Full Customer List'!$I:$I,"&gt;"&amp;'Client Retention $'!C$134,'Full Customer List'!$I:$I,"&lt;"&amp;'Client Retention $'!C$135)/1000</f>
      </c>
      <c r="D8" s="175">
        <f>SUMIFS('Full Customer List'!$G:$G,'Full Customer List'!$I:$I,"&gt;"&amp;'Client Retention $'!D$134,'Full Customer List'!$I:$I,"&lt;"&amp;'Client Retention $'!D$135)/1000</f>
      </c>
      <c r="E8" s="199">
        <f>SUM(J8:U8)</f>
      </c>
      <c r="F8" s="199">
        <f>SUM(V8:AD8)</f>
      </c>
      <c r="H8" s="199">
        <f>SUM(S8:AD8)</f>
      </c>
      <c r="J8" s="197">
        <f>SUMIFS('Full Customer List'!$G:$G,'Full Customer List'!$I:$I,'Client Retention $'!J$5)/1000</f>
      </c>
      <c r="K8" s="197">
        <f>SUMIFS('Full Customer List'!$G:$G,'Full Customer List'!$I:$I,'Client Retention $'!K$5)/1000</f>
      </c>
      <c r="L8" s="197">
        <f>SUMIFS('Full Customer List'!$G:$G,'Full Customer List'!$I:$I,'Client Retention $'!L$5)/1000</f>
      </c>
      <c r="M8" s="197">
        <f>SUMIFS('Full Customer List'!$G:$G,'Full Customer List'!$I:$I,'Client Retention $'!M$5)/1000</f>
      </c>
      <c r="N8" s="197">
        <f>SUMIFS('Full Customer List'!$G:$G,'Full Customer List'!$I:$I,'Client Retention $'!N$5)/1000</f>
      </c>
      <c r="O8" s="197">
        <f>SUMIFS('Full Customer List'!$G:$G,'Full Customer List'!$I:$I,'Client Retention $'!O$5)/1000</f>
      </c>
      <c r="P8" s="197">
        <f>SUMIFS('Full Customer List'!$G:$G,'Full Customer List'!$I:$I,'Client Retention $'!P$5)/1000</f>
      </c>
      <c r="Q8" s="197">
        <f>SUMIFS('Full Customer List'!$G:$G,'Full Customer List'!$I:$I,'Client Retention $'!Q$5)/1000</f>
      </c>
      <c r="R8" s="197">
        <f>SUMIFS('Full Customer List'!$G:$G,'Full Customer List'!$I:$I,'Client Retention $'!R$5)/1000</f>
      </c>
      <c r="S8" s="197">
        <f>SUMIFS('Full Customer List'!$G:$G,'Full Customer List'!$I:$I,'Client Retention $'!S$5)/1000</f>
      </c>
      <c r="T8" s="197">
        <f>SUMIFS('Full Customer List'!$G:$G,'Full Customer List'!$I:$I,'Client Retention $'!T$5)/1000</f>
      </c>
      <c r="U8" s="197">
        <f>SUMIFS('Full Customer List'!$G:$G,'Full Customer List'!$I:$I,'Client Retention $'!U$5)/1000</f>
      </c>
      <c r="V8" s="197">
        <f>SUMIFS('Full Customer List'!$G:$G,'Full Customer List'!$I:$I,'Client Retention $'!V$5)/1000</f>
      </c>
      <c r="W8" s="197">
        <f>SUMIFS('Full Customer List'!$G:$G,'Full Customer List'!$I:$I,'Client Retention $'!W$5)/1000</f>
      </c>
      <c r="X8" s="197">
        <f>SUMIFS('Full Customer List'!$G:$G,'Full Customer List'!$I:$I,'Client Retention $'!X$5)/1000</f>
      </c>
      <c r="Y8" s="197">
        <f>SUMIFS('Full Customer List'!$G:$G,'Full Customer List'!$I:$I,'Client Retention $'!Y$5)/1000</f>
      </c>
      <c r="Z8" s="197">
        <f>SUMIFS('Full Customer List'!$G:$G,'Full Customer List'!$I:$I,'Client Retention $'!Z$5)/1000</f>
      </c>
      <c r="AA8" s="197">
        <f>SUMIFS('Full Customer List'!$G:$G,'Full Customer List'!$I:$I,'Client Retention $'!AA$5)/1000</f>
      </c>
      <c r="AB8" s="197">
        <f>SUMIFS('Full Customer List'!$G:$G,'Full Customer List'!$I:$I,'Client Retention $'!AB$5)/1000</f>
      </c>
      <c r="AC8" s="197">
        <f>SUMIFS('Full Customer List'!$G:$G,'Full Customer List'!$I:$I,'Client Retention $'!AC$5)/1000</f>
      </c>
      <c r="AD8" s="197">
        <f>SUMIFS('Full Customer List'!$G:$G,'Full Customer List'!$I:$I,'Client Retention $'!AD$5)/1000</f>
      </c>
    </row>
    <row r="9" spans="2:34">
      <c r="B9" s="269" t="s">
        <v>1551</v>
      </c>
      <c r="E9" s="199">
        <f>SUM(J9:U9)</f>
      </c>
      <c r="F9" s="199">
        <f>SUM(V9:AD9)</f>
      </c>
      <c r="H9" s="199">
        <f>SUM(S9:AD9)</f>
      </c>
      <c r="J9" s="197">
        <f>-SUMIFS('Full Customer List'!$G:$G,'Full Customer List'!$J:$J,J$1,'Full Customer List'!$H:$H,'Client Retention $'!$AF9)/1000</f>
      </c>
      <c r="K9" s="197">
        <f>-SUMIFS('Full Customer List'!$G:$G,'Full Customer List'!$J:$J,K$1,'Full Customer List'!$H:$H,'Client Retention $'!$AF9)/1000</f>
      </c>
      <c r="L9" s="197">
        <f>-SUMIFS('Full Customer List'!$G:$G,'Full Customer List'!$J:$J,L$1,'Full Customer List'!$H:$H,'Client Retention $'!$AF9)/1000</f>
      </c>
      <c r="M9" s="197">
        <f>-SUMIFS('Full Customer List'!$G:$G,'Full Customer List'!$J:$J,M$1,'Full Customer List'!$H:$H,'Client Retention $'!$AF9)/1000</f>
      </c>
      <c r="N9" s="197">
        <f>-SUMIFS('Full Customer List'!$G:$G,'Full Customer List'!$J:$J,N$1,'Full Customer List'!$H:$H,'Client Retention $'!$AF9)/1000</f>
      </c>
      <c r="O9" s="197">
        <f>-SUMIFS('Full Customer List'!$G:$G,'Full Customer List'!$J:$J,O$1,'Full Customer List'!$H:$H,'Client Retention $'!$AF9)/1000</f>
      </c>
      <c r="P9" s="197">
        <f>-SUMIFS('Full Customer List'!$G:$G,'Full Customer List'!$J:$J,P$1,'Full Customer List'!$H:$H,'Client Retention $'!$AF9)/1000</f>
      </c>
      <c r="Q9" s="197">
        <f>-SUMIFS('Full Customer List'!$G:$G,'Full Customer List'!$J:$J,Q$1,'Full Customer List'!$H:$H,'Client Retention $'!$AF9)/1000</f>
      </c>
      <c r="R9" s="197">
        <f>-SUMIFS('Full Customer List'!$G:$G,'Full Customer List'!$J:$J,R$1,'Full Customer List'!$H:$H,'Client Retention $'!$AF9)/1000</f>
      </c>
      <c r="S9" s="197">
        <f>-SUMIFS('Full Customer List'!$G:$G,'Full Customer List'!$J:$J,S$1,'Full Customer List'!$H:$H,'Client Retention $'!$AF9)/1000</f>
      </c>
      <c r="T9" s="197">
        <f>-SUMIFS('Full Customer List'!$G:$G,'Full Customer List'!$J:$J,T$1,'Full Customer List'!$H:$H,'Client Retention $'!$AF9)/1000</f>
      </c>
      <c r="U9" s="197">
        <f>-SUMIFS('Full Customer List'!$G:$G,'Full Customer List'!$J:$J,U$1,'Full Customer List'!$H:$H,'Client Retention $'!$AF9)/1000</f>
      </c>
      <c r="V9" s="197">
        <f>-SUMIFS('Full Customer List'!$G:$G,'Full Customer List'!$J:$J,V$1,'Full Customer List'!$H:$H,'Client Retention $'!$AF9)/1000</f>
      </c>
      <c r="W9" s="197">
        <f>-SUMIFS('Full Customer List'!$G:$G,'Full Customer List'!$J:$J,W$1,'Full Customer List'!$H:$H,'Client Retention $'!$AF9)/1000</f>
      </c>
      <c r="X9" s="197">
        <f>-SUMIFS('Full Customer List'!$G:$G,'Full Customer List'!$J:$J,X$1,'Full Customer List'!$H:$H,'Client Retention $'!$AF9)/1000</f>
      </c>
      <c r="Y9" s="197">
        <f>-SUMIFS('Full Customer List'!$G:$G,'Full Customer List'!$J:$J,Y$1,'Full Customer List'!$H:$H,'Client Retention $'!$AF9)/1000</f>
      </c>
      <c r="Z9" s="197">
        <f>-SUMIFS('Full Customer List'!$G:$G,'Full Customer List'!$J:$J,Z$1,'Full Customer List'!$H:$H,'Client Retention $'!$AF9)/1000</f>
      </c>
      <c r="AA9" s="197">
        <f>-SUMIFS('Full Customer List'!$G:$G,'Full Customer List'!$J:$J,AA$1,'Full Customer List'!$H:$H,'Client Retention $'!$AF9)/1000</f>
      </c>
      <c r="AB9" s="197">
        <f>-SUMIFS('Full Customer List'!$G:$G,'Full Customer List'!$J:$J,AB$1,'Full Customer List'!$H:$H,'Client Retention $'!$AF9)/1000</f>
      </c>
      <c r="AC9" s="197">
        <f>-SUMIFS('Full Customer List'!$G:$G,'Full Customer List'!$J:$J,AC$1,'Full Customer List'!$H:$H,'Client Retention $'!$AF9)/1000</f>
      </c>
      <c r="AD9" s="197">
        <f>-SUMIFS('Full Customer List'!$G:$G,'Full Customer List'!$J:$J,AD$1,'Full Customer List'!$H:$H,'Client Retention $'!$AF9)/1000</f>
      </c>
      <c r="AF9" s="175" t="s">
        <v>509</v>
      </c>
    </row>
    <row r="10" spans="2:34">
      <c r="B10" s="269" t="s">
        <v>1552</v>
      </c>
      <c r="E10" s="199">
        <f>SUM(J10:U10)</f>
      </c>
      <c r="F10" s="199">
        <f>SUM(V10:AD10)</f>
      </c>
      <c r="H10" s="199">
        <f>SUM(S10:AD10)</f>
      </c>
      <c r="J10" s="197">
        <f>-SUMIFS('Full Customer List'!$G:$G,'Full Customer List'!$J:$J,J$1,'Full Customer List'!$H:$H,'Client Retention $'!$AF10)/1000</f>
      </c>
      <c r="K10" s="197">
        <f>-SUMIFS('Full Customer List'!$G:$G,'Full Customer List'!$J:$J,K$1,'Full Customer List'!$H:$H,'Client Retention $'!$AF10)/1000</f>
      </c>
      <c r="L10" s="197">
        <f>-SUMIFS('Full Customer List'!$G:$G,'Full Customer List'!$J:$J,L$1,'Full Customer List'!$H:$H,'Client Retention $'!$AF10)/1000</f>
      </c>
      <c r="M10" s="197">
        <f>-SUMIFS('Full Customer List'!$G:$G,'Full Customer List'!$J:$J,M$1,'Full Customer List'!$H:$H,'Client Retention $'!$AF10)/1000</f>
      </c>
      <c r="N10" s="197">
        <f>-SUMIFS('Full Customer List'!$G:$G,'Full Customer List'!$J:$J,N$1,'Full Customer List'!$H:$H,'Client Retention $'!$AF10)/1000</f>
      </c>
      <c r="O10" s="197">
        <f>-SUMIFS('Full Customer List'!$G:$G,'Full Customer List'!$J:$J,O$1,'Full Customer List'!$H:$H,'Client Retention $'!$AF10)/1000</f>
      </c>
      <c r="P10" s="197">
        <f>-SUMIFS('Full Customer List'!$G:$G,'Full Customer List'!$J:$J,P$1,'Full Customer List'!$H:$H,'Client Retention $'!$AF10)/1000</f>
      </c>
      <c r="Q10" s="197">
        <f>-SUMIFS('Full Customer List'!$G:$G,'Full Customer List'!$J:$J,Q$1,'Full Customer List'!$H:$H,'Client Retention $'!$AF10)/1000</f>
      </c>
      <c r="R10" s="197">
        <f>-SUMIFS('Full Customer List'!$G:$G,'Full Customer List'!$J:$J,R$1,'Full Customer List'!$H:$H,'Client Retention $'!$AF10)/1000</f>
      </c>
      <c r="S10" s="197">
        <f>-SUMIFS('Full Customer List'!$G:$G,'Full Customer List'!$J:$J,S$1,'Full Customer List'!$H:$H,'Client Retention $'!$AF10)/1000</f>
      </c>
      <c r="T10" s="197">
        <f>-SUMIFS('Full Customer List'!$G:$G,'Full Customer List'!$J:$J,T$1,'Full Customer List'!$H:$H,'Client Retention $'!$AF10)/1000</f>
      </c>
      <c r="U10" s="197">
        <f>-SUMIFS('Full Customer List'!$G:$G,'Full Customer List'!$J:$J,U$1,'Full Customer List'!$H:$H,'Client Retention $'!$AF10)/1000</f>
      </c>
      <c r="V10" s="197">
        <f>-SUMIFS('Full Customer List'!$G:$G,'Full Customer List'!$J:$J,V$1,'Full Customer List'!$H:$H,'Client Retention $'!$AF10)/1000</f>
      </c>
      <c r="W10" s="197">
        <f>-SUMIFS('Full Customer List'!$G:$G,'Full Customer List'!$J:$J,W$1,'Full Customer List'!$H:$H,'Client Retention $'!$AF10)/1000</f>
      </c>
      <c r="X10" s="197">
        <f>-SUMIFS('Full Customer List'!$G:$G,'Full Customer List'!$J:$J,X$1,'Full Customer List'!$H:$H,'Client Retention $'!$AF10)/1000</f>
      </c>
      <c r="Y10" s="197">
        <f>-SUMIFS('Full Customer List'!$G:$G,'Full Customer List'!$J:$J,Y$1,'Full Customer List'!$H:$H,'Client Retention $'!$AF10)/1000</f>
      </c>
      <c r="Z10" s="197">
        <f>-SUMIFS('Full Customer List'!$G:$G,'Full Customer List'!$J:$J,Z$1,'Full Customer List'!$H:$H,'Client Retention $'!$AF10)/1000</f>
      </c>
      <c r="AA10" s="197">
        <f>-SUMIFS('Full Customer List'!$G:$G,'Full Customer List'!$J:$J,AA$1,'Full Customer List'!$H:$H,'Client Retention $'!$AF10)/1000</f>
      </c>
      <c r="AB10" s="197">
        <f>-SUMIFS('Full Customer List'!$G:$G,'Full Customer List'!$J:$J,AB$1,'Full Customer List'!$H:$H,'Client Retention $'!$AF10)/1000</f>
      </c>
      <c r="AC10" s="197">
        <f>-SUMIFS('Full Customer List'!$G:$G,'Full Customer List'!$J:$J,AC$1,'Full Customer List'!$H:$H,'Client Retention $'!$AF10)/1000</f>
      </c>
      <c r="AD10" s="197">
        <f>-SUMIFS('Full Customer List'!$G:$G,'Full Customer List'!$J:$J,AD$1,'Full Customer List'!$H:$H,'Client Retention $'!$AF10)/1000</f>
      </c>
      <c r="AF10" s="175" t="s">
        <v>510</v>
      </c>
    </row>
    <row r="11" spans="2:34">
      <c r="B11" s="269" t="s">
        <v>1553</v>
      </c>
      <c r="E11" s="199">
        <f>SUM(J11:U11)</f>
      </c>
      <c r="F11" s="199">
        <f>SUM(V11:AD11)</f>
      </c>
      <c r="H11" s="199">
        <f>SUM(S11:AD11)</f>
      </c>
      <c r="J11" s="197">
        <f>-SUMIFS('Full Customer List'!$G:$G,'Full Customer List'!$J:$J,J$1,'Full Customer List'!$H:$H,'Client Retention $'!$AF11)/1000</f>
      </c>
      <c r="K11" s="197">
        <f>-SUMIFS('Full Customer List'!$G:$G,'Full Customer List'!$J:$J,K$1,'Full Customer List'!$H:$H,'Client Retention $'!$AF11)/1000</f>
      </c>
      <c r="L11" s="197">
        <f>-SUMIFS('Full Customer List'!$G:$G,'Full Customer List'!$J:$J,L$1,'Full Customer List'!$H:$H,'Client Retention $'!$AF11)/1000</f>
      </c>
      <c r="M11" s="197">
        <f>-SUMIFS('Full Customer List'!$G:$G,'Full Customer List'!$J:$J,M$1,'Full Customer List'!$H:$H,'Client Retention $'!$AF11)/1000</f>
      </c>
      <c r="N11" s="197">
        <f>-SUMIFS('Full Customer List'!$G:$G,'Full Customer List'!$J:$J,N$1,'Full Customer List'!$H:$H,'Client Retention $'!$AF11)/1000</f>
      </c>
      <c r="O11" s="197">
        <f>-SUMIFS('Full Customer List'!$G:$G,'Full Customer List'!$J:$J,O$1,'Full Customer List'!$H:$H,'Client Retention $'!$AF11)/1000</f>
      </c>
      <c r="P11" s="197">
        <f>-SUMIFS('Full Customer List'!$G:$G,'Full Customer List'!$J:$J,P$1,'Full Customer List'!$H:$H,'Client Retention $'!$AF11)/1000</f>
      </c>
      <c r="Q11" s="197">
        <f>-SUMIFS('Full Customer List'!$G:$G,'Full Customer List'!$J:$J,Q$1,'Full Customer List'!$H:$H,'Client Retention $'!$AF11)/1000</f>
      </c>
      <c r="R11" s="197">
        <f>-SUMIFS('Full Customer List'!$G:$G,'Full Customer List'!$J:$J,R$1,'Full Customer List'!$H:$H,'Client Retention $'!$AF11)/1000</f>
      </c>
      <c r="S11" s="197">
        <f>-SUMIFS('Full Customer List'!$G:$G,'Full Customer List'!$J:$J,S$1,'Full Customer List'!$H:$H,'Client Retention $'!$AF11)/1000</f>
      </c>
      <c r="T11" s="197">
        <f>-SUMIFS('Full Customer List'!$G:$G,'Full Customer List'!$J:$J,T$1,'Full Customer List'!$H:$H,'Client Retention $'!$AF11)/1000</f>
      </c>
      <c r="U11" s="197">
        <f>-SUMIFS('Full Customer List'!$G:$G,'Full Customer List'!$J:$J,U$1,'Full Customer List'!$H:$H,'Client Retention $'!$AF11)/1000</f>
      </c>
      <c r="V11" s="197">
        <f>-SUMIFS('Full Customer List'!$G:$G,'Full Customer List'!$J:$J,V$1,'Full Customer List'!$H:$H,'Client Retention $'!$AF11)/1000</f>
      </c>
      <c r="W11" s="197">
        <f>-SUMIFS('Full Customer List'!$G:$G,'Full Customer List'!$J:$J,W$1,'Full Customer List'!$H:$H,'Client Retention $'!$AF11)/1000</f>
      </c>
      <c r="X11" s="197">
        <f>-SUMIFS('Full Customer List'!$G:$G,'Full Customer List'!$J:$J,X$1,'Full Customer List'!$H:$H,'Client Retention $'!$AF11)/1000</f>
      </c>
      <c r="Y11" s="197">
        <f>-SUMIFS('Full Customer List'!$G:$G,'Full Customer List'!$J:$J,Y$1,'Full Customer List'!$H:$H,'Client Retention $'!$AF11)/1000</f>
      </c>
      <c r="Z11" s="197">
        <f>-SUMIFS('Full Customer List'!$G:$G,'Full Customer List'!$J:$J,Z$1,'Full Customer List'!$H:$H,'Client Retention $'!$AF11)/1000</f>
      </c>
      <c r="AA11" s="197">
        <f>-SUMIFS('Full Customer List'!$G:$G,'Full Customer List'!$J:$J,AA$1,'Full Customer List'!$H:$H,'Client Retention $'!$AF11)/1000</f>
      </c>
      <c r="AB11" s="197">
        <f>-SUMIFS('Full Customer List'!$G:$G,'Full Customer List'!$J:$J,AB$1,'Full Customer List'!$H:$H,'Client Retention $'!$AF11)/1000</f>
      </c>
      <c r="AC11" s="197">
        <f>-SUMIFS('Full Customer List'!$G:$G,'Full Customer List'!$J:$J,AC$1,'Full Customer List'!$H:$H,'Client Retention $'!$AF11)/1000</f>
      </c>
      <c r="AD11" s="197">
        <f>-SUMIFS('Full Customer List'!$G:$G,'Full Customer List'!$J:$J,AD$1,'Full Customer List'!$H:$H,'Client Retention $'!$AF11)/1000</f>
      </c>
      <c r="AF11" s="175" t="s">
        <v>1554</v>
      </c>
    </row>
    <row r="12" spans="2:34" ht="12" customHeight="1">
      <c r="B12" s="259" t="s">
        <v>1555</v>
      </c>
      <c r="C12" s="262">
        <f>-'Client Departures'!C13/1000</f>
      </c>
      <c r="D12" s="262">
        <f>-'Client Departures'!C14/1000</f>
      </c>
      <c r="E12" s="260">
        <f>SUM(J12:U12)</f>
      </c>
      <c r="F12" s="260">
        <f>SUM(V12:AD12)</f>
      </c>
      <c r="G12" s="261"/>
      <c r="H12" s="260">
        <f>SUM(S12:AD12)</f>
      </c>
      <c r="I12" s="281"/>
      <c r="J12" s="262">
        <f>-SUMIFS('Full Customer List'!$G:$G,'Full Customer List'!$J:$J,J$1)/1000</f>
      </c>
      <c r="K12" s="262">
        <f>-SUMIFS('Full Customer List'!$G:$G,'Full Customer List'!$J:$J,K$1)/1000</f>
      </c>
      <c r="L12" s="262">
        <f>-SUMIFS('Full Customer List'!$G:$G,'Full Customer List'!$J:$J,L$1)/1000</f>
      </c>
      <c r="M12" s="262">
        <f>-SUMIFS('Full Customer List'!$G:$G,'Full Customer List'!$J:$J,M$1)/1000</f>
      </c>
      <c r="N12" s="262">
        <f>-SUMIFS('Full Customer List'!$G:$G,'Full Customer List'!$J:$J,N$1)/1000</f>
      </c>
      <c r="O12" s="262">
        <f>-SUMIFS('Full Customer List'!$G:$G,'Full Customer List'!$J:$J,O$1)/1000</f>
      </c>
      <c r="P12" s="262">
        <f>-SUMIFS('Full Customer List'!$G:$G,'Full Customer List'!$J:$J,P$1)/1000</f>
      </c>
      <c r="Q12" s="262">
        <f>-SUMIFS('Full Customer List'!$G:$G,'Full Customer List'!$J:$J,Q$1)/1000</f>
      </c>
      <c r="R12" s="262">
        <f>-SUMIFS('Full Customer List'!$G:$G,'Full Customer List'!$J:$J,R$1)/1000</f>
      </c>
      <c r="S12" s="262">
        <f>-SUMIFS('Full Customer List'!$G:$G,'Full Customer List'!$J:$J,S$1)/1000</f>
      </c>
      <c r="T12" s="262">
        <f>-SUMIFS('Full Customer List'!$G:$G,'Full Customer List'!$J:$J,T$1)/1000</f>
      </c>
      <c r="U12" s="262">
        <f>-SUMIFS('Full Customer List'!$G:$G,'Full Customer List'!$J:$J,U$1)/1000</f>
      </c>
      <c r="V12" s="262">
        <f>-SUMIFS('Full Customer List'!$G:$G,'Full Customer List'!$J:$J,V$1)/1000</f>
      </c>
      <c r="W12" s="262">
        <f>-SUMIFS('Full Customer List'!$G:$G,'Full Customer List'!$J:$J,W$1)/1000</f>
      </c>
      <c r="X12" s="262">
        <f>-SUMIFS('Full Customer List'!$G:$G,'Full Customer List'!$J:$J,X$1)/1000</f>
      </c>
      <c r="Y12" s="262">
        <f>-SUMIFS('Full Customer List'!$G:$G,'Full Customer List'!$J:$J,Y$1)/1000</f>
      </c>
      <c r="Z12" s="262">
        <f>-SUMIFS('Full Customer List'!$G:$G,'Full Customer List'!$J:$J,Z$1)/1000</f>
      </c>
      <c r="AA12" s="262">
        <f>-SUMIFS('Full Customer List'!$G:$G,'Full Customer List'!$J:$J,AA$1)/1000</f>
      </c>
      <c r="AB12" s="262">
        <f>-SUMIFS('Full Customer List'!$G:$G,'Full Customer List'!$J:$J,AB$1)/1000</f>
      </c>
      <c r="AC12" s="262">
        <f>-SUMIFS('Full Customer List'!$G:$G,'Full Customer List'!$J:$J,AC$1)/1000</f>
      </c>
      <c r="AD12" s="262">
        <f>-SUMIFS('Full Customer List'!$G:$G,'Full Customer List'!$J:$J,AD$1)/1000</f>
      </c>
    </row>
    <row r="13" spans="2:34" ht="12" customHeight="1">
      <c r="B13" s="263" t="s">
        <v>1570</v>
      </c>
      <c r="C13" s="264">
        <f>+D7</f>
      </c>
      <c r="D13" s="264">
        <f>+E7</f>
      </c>
      <c r="E13" s="264">
        <f>+F7</f>
      </c>
      <c r="F13" s="265">
        <f>+$AD13</f>
      </c>
      <c r="H13" s="268">
        <f>+$AD13</f>
      </c>
      <c r="J13" s="266">
        <f>+K7</f>
      </c>
      <c r="K13" s="264">
        <f>+L7</f>
      </c>
      <c r="L13" s="264">
        <f>+M7</f>
      </c>
      <c r="M13" s="264">
        <f>+N7</f>
      </c>
      <c r="N13" s="264">
        <f>+O7</f>
      </c>
      <c r="O13" s="264">
        <f>+P7</f>
      </c>
      <c r="P13" s="264">
        <f>+Q7</f>
      </c>
      <c r="Q13" s="264">
        <f>+R7</f>
      </c>
      <c r="R13" s="264">
        <f>+S7</f>
      </c>
      <c r="S13" s="266">
        <f>+T7</f>
      </c>
      <c r="T13" s="264">
        <f>+U7</f>
      </c>
      <c r="U13" s="264">
        <f>+V7</f>
      </c>
      <c r="V13" s="264">
        <f>+W7</f>
      </c>
      <c r="W13" s="264">
        <f>+X7</f>
      </c>
      <c r="X13" s="264">
        <f>+Y7</f>
      </c>
      <c r="Y13" s="264">
        <f>+Z7</f>
      </c>
      <c r="Z13" s="264">
        <f>+AA7</f>
      </c>
      <c r="AA13" s="264">
        <f>+AB7</f>
      </c>
      <c r="AB13" s="264">
        <f>+AC7</f>
      </c>
      <c r="AC13" s="264">
        <f>+AD7</f>
      </c>
      <c r="AD13" s="267">
        <f>SUMIFS('Full Customer List'!$G:$G,'Full Customer List'!$C:$C,"Active")/1000</f>
      </c>
    </row>
    <row r="14" spans="2:34" ht="3.95" customHeight="1">
      <c r="B14" s="182"/>
      <c r="C14" s="236"/>
      <c r="D14" s="236"/>
      <c r="E14" s="236"/>
      <c r="F14" s="236"/>
      <c r="H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7"/>
      <c r="AC14" s="237"/>
      <c r="AD14" s="237"/>
    </row>
    <row r="15" spans="2:34" ht="12" customHeight="1">
      <c r="B15" s="238" t="s">
        <v>1571</v>
      </c>
      <c r="C15" s="240">
        <f>(C8+C7)/C7-1</f>
      </c>
      <c r="D15" s="240">
        <f>(D8+D7)/D7-1</f>
      </c>
      <c r="E15" s="240">
        <f>(E8+E7)/E7-1</f>
      </c>
      <c r="F15" s="251">
        <f>(F8+F7)/F7-1</f>
      </c>
      <c r="G15" s="252"/>
      <c r="H15" s="253">
        <f>(H8+H7)/H7-1</f>
      </c>
      <c r="J15" s="250">
        <f>(J8+J7)/J7-1</f>
      </c>
      <c r="K15" s="240">
        <f>(K8+K7)/K7-1</f>
      </c>
      <c r="L15" s="240">
        <f>(L8+L7)/L7-1</f>
      </c>
      <c r="M15" s="240">
        <f>(M8+M7)/M7-1</f>
      </c>
      <c r="N15" s="240">
        <f>(N8+N7)/N7-1</f>
      </c>
      <c r="O15" s="240">
        <f>(O8+O7)/O7-1</f>
      </c>
      <c r="P15" s="240">
        <f>(P8+P7)/P7-1</f>
      </c>
      <c r="Q15" s="240">
        <f>(Q8+Q7)/Q7-1</f>
      </c>
      <c r="R15" s="240">
        <f>(R8+R7)/R7-1</f>
      </c>
      <c r="S15" s="250">
        <f>(S8+S7)/S7-1</f>
      </c>
      <c r="T15" s="240">
        <f>(T8+T7)/T7-1</f>
      </c>
      <c r="U15" s="240">
        <f>(U8+U7)/U7-1</f>
      </c>
      <c r="V15" s="240">
        <f>(V8+V7)/V7-1</f>
      </c>
      <c r="W15" s="240">
        <f>(W8+W7)/W7-1</f>
      </c>
      <c r="X15" s="240">
        <f>(X8+X7)/X7-1</f>
      </c>
      <c r="Y15" s="240">
        <f>(Y8+Y7)/Y7-1</f>
      </c>
      <c r="Z15" s="240">
        <f>(Z8+Z7)/Z7-1</f>
      </c>
      <c r="AA15" s="240">
        <f>(AA8+AA7)/AA7-1</f>
      </c>
      <c r="AB15" s="240">
        <f>(AB8+AB7)/AB7-1</f>
      </c>
      <c r="AC15" s="240">
        <f>(AC8+AC7)/AC7-1</f>
      </c>
      <c r="AD15" s="251">
        <f>(AD8+AD7)/AD7-1</f>
      </c>
    </row>
    <row r="16" spans="2:34">
      <c r="B16" s="241" t="s">
        <v>1572</v>
      </c>
      <c r="C16" s="243">
        <f>(C12+C7)/C7-1</f>
      </c>
      <c r="D16" s="243">
        <f>(D12+D7)/D7-1</f>
      </c>
      <c r="E16" s="243">
        <f>(E12+E7)/E7-1</f>
      </c>
      <c r="F16" s="244">
        <f>(F12+F7)/F7-1</f>
      </c>
      <c r="G16" s="252"/>
      <c r="H16" s="246">
        <f>(H12+H7)/H7-1</f>
      </c>
      <c r="J16" s="245">
        <f>(J12+J7)/J7-1</f>
      </c>
      <c r="K16" s="243">
        <f>(K12+K7)/K7-1</f>
      </c>
      <c r="L16" s="243">
        <f>(L12+L7)/L7-1</f>
      </c>
      <c r="M16" s="243">
        <f>(M12+M7)/M7-1</f>
      </c>
      <c r="N16" s="243">
        <f>(N12+N7)/N7-1</f>
      </c>
      <c r="O16" s="243">
        <f>(O12+O7)/O7-1</f>
      </c>
      <c r="P16" s="243">
        <f>(P12+P7)/P7-1</f>
      </c>
      <c r="Q16" s="243">
        <f>(Q12+Q7)/Q7-1</f>
      </c>
      <c r="R16" s="243">
        <f>(R12+R7)/R7-1</f>
      </c>
      <c r="S16" s="245">
        <f>(S12+S7)/S7-1</f>
      </c>
      <c r="T16" s="243">
        <f>(T12+T7)/T7-1</f>
      </c>
      <c r="U16" s="243">
        <f>(U12+U7)/U7-1</f>
      </c>
      <c r="V16" s="243">
        <f>(V12+V7)/V7-1</f>
      </c>
      <c r="W16" s="243">
        <f>(W12+W7)/W7-1</f>
      </c>
      <c r="X16" s="243">
        <f>(X12+X7)/X7-1</f>
      </c>
      <c r="Y16" s="243">
        <f>(Y12+Y7)/Y7-1</f>
      </c>
      <c r="Z16" s="243">
        <f>(Z12+Z7)/Z7-1</f>
      </c>
      <c r="AA16" s="243">
        <f>(AA12+AA7)/AA7-1</f>
      </c>
      <c r="AB16" s="243">
        <f>(AB12+AB7)/AB7-1</f>
      </c>
      <c r="AC16" s="243">
        <f>(AC12+AC7)/AC7-1</f>
      </c>
      <c r="AD16" s="244">
        <f>(AD12+AD7)/AD7-1</f>
      </c>
    </row>
    <row r="17" spans="2:34" ht="3.95" customHeight="1">
      <c r="B17" s="182"/>
      <c r="C17" s="186"/>
      <c r="D17" s="186"/>
    </row>
    <row r="18" spans="2:34" ht="24">
      <c r="B18" s="161" t="s">
        <v>1316</v>
      </c>
      <c r="C18" s="178" t="s">
        <v>1324</v>
      </c>
      <c r="D18" s="178" t="s">
        <v>3</v>
      </c>
      <c r="E18" s="178" t="s">
        <v>4</v>
      </c>
      <c r="F18" s="178" t="s">
        <v>1326</v>
      </c>
      <c r="G18" s="195"/>
      <c r="H18" s="178" t="s">
        <v>1550</v>
      </c>
      <c r="J18" s="194">
        <v>45658</v>
      </c>
      <c r="K18" s="194">
        <f>EOMONTH(J18,0)+1</f>
      </c>
      <c r="L18" s="194">
        <f>EOMONTH(K18,0)+1</f>
      </c>
      <c r="M18" s="194">
        <f>EOMONTH(L18,0)+1</f>
      </c>
      <c r="N18" s="194">
        <f>EOMONTH(M18,0)+1</f>
      </c>
      <c r="O18" s="194">
        <f>EOMONTH(N18,0)+1</f>
      </c>
      <c r="P18" s="194">
        <f>EOMONTH(O18,0)+1</f>
      </c>
      <c r="Q18" s="194">
        <v>45870</v>
      </c>
      <c r="R18" s="194">
        <f>EOMONTH(Q18,0)+1</f>
      </c>
      <c r="S18" s="194">
        <f>EOMONTH(R18,0)+1</f>
      </c>
      <c r="T18" s="194">
        <f>EOMONTH(S18,0)+1</f>
      </c>
      <c r="U18" s="194">
        <f>EOMONTH(T18,0)+1</f>
      </c>
      <c r="V18" s="194">
        <f>EOMONTH(U18,0)+1</f>
      </c>
      <c r="W18" s="194">
        <f>EOMONTH(V18,0)+1</f>
      </c>
      <c r="X18" s="194">
        <f>EOMONTH(W18,0)+1</f>
      </c>
      <c r="Y18" s="194">
        <f>EOMONTH(X18,0)+1</f>
      </c>
      <c r="Z18" s="194">
        <f>EOMONTH(Y18,0)+1</f>
      </c>
      <c r="AA18" s="194">
        <f>EOMONTH(Z18,0)+1</f>
      </c>
      <c r="AB18" s="194">
        <f>EOMONTH(AA18,0)+1</f>
      </c>
      <c r="AC18" s="194">
        <f>EOMONTH(AB18,0)+1</f>
      </c>
      <c r="AD18" s="194">
        <f>EOMONTH(AC18,0)+1</f>
      </c>
      <c r="AE18" s="189"/>
      <c r="AF18" s="189"/>
      <c r="AG18" s="189"/>
      <c r="AH18" s="189"/>
    </row>
    <row r="19" spans="2:34">
      <c r="B19" s="188" t="s">
        <v>1564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5" t="s">
        <v>1569</v>
      </c>
      <c r="C20" s="184"/>
      <c r="D20" s="184"/>
      <c r="E20" s="184">
        <f>+E26-E21-E25</f>
      </c>
      <c r="F20" s="184">
        <f>+F26-F21-F25</f>
      </c>
      <c r="H20" s="184">
        <f>+H26-H21-H25</f>
      </c>
      <c r="J20" s="184">
        <f>+J26-J21-J25</f>
      </c>
      <c r="K20" s="184">
        <f>+K26-K21-K25</f>
      </c>
      <c r="L20" s="184">
        <f>+L26-L21-L25</f>
      </c>
      <c r="M20" s="184">
        <f>+M26-M21-M25</f>
      </c>
      <c r="N20" s="184">
        <f>+N26-N21-N25</f>
      </c>
      <c r="O20" s="184">
        <f>+O26-O21-O25</f>
      </c>
      <c r="P20" s="184">
        <f>+P26-P21-P25</f>
      </c>
      <c r="Q20" s="184">
        <f>+Q26-Q21-Q25</f>
      </c>
      <c r="R20" s="184">
        <f>+R26-R21-R25</f>
      </c>
      <c r="S20" s="184">
        <f>+S26-S21-S25</f>
      </c>
      <c r="T20" s="184">
        <f>+T26-T21-T25</f>
      </c>
      <c r="U20" s="184">
        <f>+U26-U21-U25</f>
      </c>
      <c r="V20" s="184">
        <f>+V26-V21-V25</f>
      </c>
      <c r="W20" s="184">
        <f>+W26-W21-W25</f>
      </c>
      <c r="X20" s="184">
        <f>+X26-X21-X25</f>
      </c>
      <c r="Y20" s="184">
        <f>+Y26-Y21-Y25</f>
      </c>
      <c r="Z20" s="184">
        <f>+Z26-Z21-Z25</f>
      </c>
      <c r="AA20" s="184">
        <f>+AA26-AA21-AA25</f>
      </c>
      <c r="AB20" s="184">
        <f>+AB26-AB21-AB25</f>
      </c>
      <c r="AC20" s="184">
        <f>+AC26-AC21-AC25</f>
      </c>
      <c r="AD20" s="184">
        <f>+AD26-AD21-AD25</f>
      </c>
    </row>
    <row r="21" spans="2:34">
      <c r="B21" s="193" t="s">
        <v>1322</v>
      </c>
      <c r="E21" s="199">
        <f>SUM(J21:U21)</f>
      </c>
      <c r="F21" s="199">
        <f>SUM(V21:AD21)</f>
      </c>
      <c r="H21" s="199">
        <f>SUM(S21:AD21)</f>
      </c>
      <c r="J21" s="197">
        <f>+J34+J47+J73</f>
      </c>
      <c r="K21" s="197">
        <f>+K34+K47+K73</f>
      </c>
      <c r="L21" s="197">
        <f>+L34+L47+L73</f>
      </c>
      <c r="M21" s="197">
        <f>+M34+M47+M73</f>
      </c>
      <c r="N21" s="197">
        <f>+N34+N47+N73</f>
      </c>
      <c r="O21" s="197">
        <f>+O34+O47+O73</f>
      </c>
      <c r="P21" s="197">
        <f>+P34+P47+P73</f>
      </c>
      <c r="Q21" s="197">
        <f>+Q34+Q47+Q73</f>
      </c>
      <c r="R21" s="197">
        <f>+R34+R47+R73</f>
      </c>
      <c r="S21" s="197">
        <f>+S34+S47+S73</f>
      </c>
      <c r="T21" s="197">
        <f>+T34+T47+T73</f>
      </c>
      <c r="U21" s="197">
        <f>+U34+U47+U73</f>
      </c>
      <c r="V21" s="197">
        <f>+V34+V47+V73</f>
      </c>
      <c r="W21" s="197">
        <f>+W34+W47+W73</f>
      </c>
      <c r="X21" s="197">
        <f>+X34+X47+X73</f>
      </c>
      <c r="Y21" s="197">
        <f>+Y34+Y47+Y73</f>
      </c>
      <c r="Z21" s="197">
        <f>+Z34+Z47+Z73</f>
      </c>
      <c r="AA21" s="197">
        <f>+AA34+AA47+AA73</f>
      </c>
      <c r="AB21" s="197">
        <f>+AB34+AB47+AB73</f>
      </c>
      <c r="AC21" s="197">
        <f>+AC34+AC47+AC73</f>
      </c>
      <c r="AD21" s="197">
        <f>+AD34+AD47+AD73</f>
      </c>
    </row>
    <row r="22" spans="2:34">
      <c r="B22" s="269" t="s">
        <v>1551</v>
      </c>
      <c r="E22" s="199">
        <f>SUM(J22:U22)</f>
      </c>
      <c r="F22" s="199">
        <f>SUM(V22:AD22)</f>
      </c>
      <c r="H22" s="199">
        <f>SUM(S22:AD22)</f>
      </c>
      <c r="J22" s="197">
        <f>+J35+J48+J74</f>
      </c>
      <c r="K22" s="197">
        <f>+K35+K48+K74</f>
      </c>
      <c r="L22" s="197">
        <f>+L35+L48+L74</f>
      </c>
      <c r="M22" s="197">
        <f>+M35+M48+M74</f>
      </c>
      <c r="N22" s="197">
        <f>+N35+N48+N74</f>
      </c>
      <c r="O22" s="197">
        <f>+O35+O48+O74</f>
      </c>
      <c r="P22" s="197">
        <f>+P35+P48+P74</f>
      </c>
      <c r="Q22" s="197">
        <f>+Q35+Q48+Q74</f>
      </c>
      <c r="R22" s="197">
        <f>+R35+R48+R74</f>
      </c>
      <c r="S22" s="197">
        <f>+S35+S48+S74</f>
      </c>
      <c r="T22" s="197">
        <f>+T35+T48+T74</f>
      </c>
      <c r="U22" s="197">
        <f>+U35+U48+U74</f>
      </c>
      <c r="V22" s="197">
        <f>+V35+V48+V74</f>
      </c>
      <c r="W22" s="197">
        <f>+W35+W48+W74</f>
      </c>
      <c r="X22" s="197">
        <f>+X35+X48+X74</f>
      </c>
      <c r="Y22" s="197">
        <f>+Y35+Y48+Y74</f>
      </c>
      <c r="Z22" s="197">
        <f>+Z35+Z48+Z74</f>
      </c>
      <c r="AA22" s="197">
        <f>+AA35+AA48+AA74</f>
      </c>
      <c r="AB22" s="197">
        <f>+AB35+AB48+AB74</f>
      </c>
      <c r="AC22" s="197">
        <f>+AC35+AC48+AC74</f>
      </c>
      <c r="AD22" s="197">
        <f>+AD35+AD48+AD74</f>
      </c>
    </row>
    <row r="23" spans="2:34">
      <c r="B23" s="269" t="s">
        <v>1552</v>
      </c>
      <c r="E23" s="199">
        <f>SUM(J23:U23)</f>
      </c>
      <c r="F23" s="199">
        <f>SUM(V23:AD23)</f>
      </c>
      <c r="H23" s="199">
        <f>SUM(S23:AD23)</f>
      </c>
      <c r="J23" s="197">
        <f>+J36+J49+J75</f>
      </c>
      <c r="K23" s="197">
        <f>+K36+K49+K75</f>
      </c>
      <c r="L23" s="197">
        <f>+L36+L49+L75</f>
      </c>
      <c r="M23" s="197">
        <f>+M36+M49+M75</f>
      </c>
      <c r="N23" s="197">
        <f>+N36+N49+N75</f>
      </c>
      <c r="O23" s="197">
        <f>+O36+O49+O75</f>
      </c>
      <c r="P23" s="197">
        <f>+P36+P49+P75</f>
      </c>
      <c r="Q23" s="197">
        <f>+Q36+Q49+Q75</f>
      </c>
      <c r="R23" s="197">
        <f>+R36+R49+R75</f>
      </c>
      <c r="S23" s="197">
        <f>+S36+S49+S75</f>
      </c>
      <c r="T23" s="197">
        <f>+T36+T49+T75</f>
      </c>
      <c r="U23" s="197">
        <f>+U36+U49+U75</f>
      </c>
      <c r="V23" s="197">
        <f>+V36+V49+V75</f>
      </c>
      <c r="W23" s="197">
        <f>+W36+W49+W75</f>
      </c>
      <c r="X23" s="197">
        <f>+X36+X49+X75</f>
      </c>
      <c r="Y23" s="197">
        <f>+Y36+Y49+Y75</f>
      </c>
      <c r="Z23" s="197">
        <f>+Z36+Z49+Z75</f>
      </c>
      <c r="AA23" s="197">
        <f>+AA36+AA49+AA75</f>
      </c>
      <c r="AB23" s="197">
        <f>+AB36+AB49+AB75</f>
      </c>
      <c r="AC23" s="197">
        <f>+AC36+AC49+AC75</f>
      </c>
      <c r="AD23" s="197">
        <f>+AD36+AD49+AD75</f>
      </c>
    </row>
    <row r="24" spans="2:34">
      <c r="B24" s="269" t="s">
        <v>1553</v>
      </c>
      <c r="E24" s="199">
        <f>SUM(J24:U24)</f>
      </c>
      <c r="F24" s="199">
        <f>SUM(V24:AD24)</f>
      </c>
      <c r="H24" s="199">
        <f>SUM(S24:AD24)</f>
      </c>
      <c r="J24" s="197">
        <f>+J37+J50+J76</f>
      </c>
      <c r="K24" s="197">
        <f>+K37+K50+K76</f>
      </c>
      <c r="L24" s="197">
        <f>+L37+L50+L76</f>
      </c>
      <c r="M24" s="197">
        <f>+M37+M50+M76</f>
      </c>
      <c r="N24" s="197">
        <f>+N37+N50+N76</f>
      </c>
      <c r="O24" s="197">
        <f>+O37+O50+O76</f>
      </c>
      <c r="P24" s="197">
        <f>+P37+P50+P76</f>
      </c>
      <c r="Q24" s="197">
        <f>+Q37+Q50+Q76</f>
      </c>
      <c r="R24" s="197">
        <f>+R37+R50+R76</f>
      </c>
      <c r="S24" s="197">
        <f>+S37+S50+S76</f>
      </c>
      <c r="T24" s="197">
        <f>+T37+T50+T76</f>
      </c>
      <c r="U24" s="197">
        <f>+U37+U50+U76</f>
      </c>
      <c r="V24" s="197">
        <f>+V37+V50+V76</f>
      </c>
      <c r="W24" s="197">
        <f>+W37+W50+W76</f>
      </c>
      <c r="X24" s="197">
        <f>+X37+X50+X76</f>
      </c>
      <c r="Y24" s="197">
        <f>+Y37+Y50+Y76</f>
      </c>
      <c r="Z24" s="197">
        <f>+Z37+Z50+Z76</f>
      </c>
      <c r="AA24" s="197">
        <f>+AA37+AA50+AA76</f>
      </c>
      <c r="AB24" s="197">
        <f>+AB37+AB50+AB76</f>
      </c>
      <c r="AC24" s="197">
        <f>+AC37+AC50+AC76</f>
      </c>
      <c r="AD24" s="197">
        <f>+AD37+AD50+AD76</f>
      </c>
    </row>
    <row r="25" spans="2:34" ht="12" customHeight="1">
      <c r="B25" s="259" t="s">
        <v>1555</v>
      </c>
      <c r="C25" s="262"/>
      <c r="D25" s="262"/>
      <c r="E25" s="260">
        <f>SUM(J25:U25)</f>
      </c>
      <c r="F25" s="260">
        <f>SUM(V25:AD25)</f>
      </c>
      <c r="G25" s="261"/>
      <c r="H25" s="260">
        <f>SUM(S25:AD25)</f>
      </c>
      <c r="I25" s="281"/>
      <c r="J25" s="262">
        <f>+J38+J51+J77</f>
      </c>
      <c r="K25" s="262">
        <f>+K38+K51+K77</f>
      </c>
      <c r="L25" s="262">
        <f>+L38+L51+L77</f>
      </c>
      <c r="M25" s="262">
        <f>+M38+M51+M77</f>
      </c>
      <c r="N25" s="262">
        <f>+N38+N51+N77</f>
      </c>
      <c r="O25" s="262">
        <f>+O38+O51+O77</f>
      </c>
      <c r="P25" s="262">
        <f>+P38+P51+P77</f>
      </c>
      <c r="Q25" s="262">
        <f>+Q38+Q51+Q77</f>
      </c>
      <c r="R25" s="262">
        <f>+R38+R51+R77</f>
      </c>
      <c r="S25" s="262">
        <f>+S38+S51+S77</f>
      </c>
      <c r="T25" s="262">
        <f>+T38+T51+T77</f>
      </c>
      <c r="U25" s="262">
        <f>+U38+U51+U77</f>
      </c>
      <c r="V25" s="262">
        <f>+V38+V51+V77</f>
      </c>
      <c r="W25" s="262">
        <f>+W38+W51+W77</f>
      </c>
      <c r="X25" s="262">
        <f>+X38+X51+X77</f>
      </c>
      <c r="Y25" s="262">
        <f>+Y38+Y51+Y77</f>
      </c>
      <c r="Z25" s="262">
        <f>+Z38+Z51+Z77</f>
      </c>
      <c r="AA25" s="262">
        <f>+AA38+AA51+AA77</f>
      </c>
      <c r="AB25" s="262">
        <f>+AB38+AB51+AB77</f>
      </c>
      <c r="AC25" s="262">
        <f>+AC38+AC51+AC77</f>
      </c>
      <c r="AD25" s="262">
        <f>+AD38+AD51+AD77</f>
      </c>
    </row>
    <row r="26" spans="2:34" ht="12" customHeight="1">
      <c r="B26" s="263" t="s">
        <v>1570</v>
      </c>
      <c r="C26" s="264"/>
      <c r="D26" s="264"/>
      <c r="E26" s="264">
        <f>+F20</f>
      </c>
      <c r="F26" s="265">
        <f>+$AD26</f>
      </c>
      <c r="H26" s="268">
        <f>+$AD26</f>
      </c>
      <c r="J26" s="266">
        <f>+K20</f>
      </c>
      <c r="K26" s="264">
        <f>+L20</f>
      </c>
      <c r="L26" s="264">
        <f>+M20</f>
      </c>
      <c r="M26" s="264">
        <f>+N20</f>
      </c>
      <c r="N26" s="264">
        <f>+O20</f>
      </c>
      <c r="O26" s="264">
        <f>+P20</f>
      </c>
      <c r="P26" s="264">
        <f>+Q20</f>
      </c>
      <c r="Q26" s="264">
        <f>+R20</f>
      </c>
      <c r="R26" s="264">
        <f>+S20</f>
      </c>
      <c r="S26" s="266">
        <f>+T20</f>
      </c>
      <c r="T26" s="264">
        <f>+U20</f>
      </c>
      <c r="U26" s="264">
        <f>+V20</f>
      </c>
      <c r="V26" s="264">
        <f>+W20</f>
      </c>
      <c r="W26" s="264">
        <f>+X20</f>
      </c>
      <c r="X26" s="264">
        <f>+Y20</f>
      </c>
      <c r="Y26" s="264">
        <f>+Z20</f>
      </c>
      <c r="Z26" s="264">
        <f>+AA20</f>
      </c>
      <c r="AA26" s="264">
        <f>+AB20</f>
      </c>
      <c r="AB26" s="264">
        <f>+AB39+AB52</f>
      </c>
      <c r="AC26" s="264">
        <f>+AC39+AC52</f>
      </c>
      <c r="AD26" s="267">
        <f>+AD39+AD52</f>
      </c>
    </row>
    <row r="27" spans="2:34" ht="3.95" customHeight="1">
      <c r="B27" s="182"/>
      <c r="C27" s="236"/>
      <c r="D27" s="236"/>
      <c r="E27" s="236"/>
      <c r="F27" s="236"/>
      <c r="H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7"/>
      <c r="AC27" s="237"/>
      <c r="AD27" s="237"/>
    </row>
    <row r="28" spans="2:34" ht="12" customHeight="1">
      <c r="B28" s="238" t="s">
        <v>1571</v>
      </c>
      <c r="C28" s="239"/>
      <c r="D28" s="239"/>
      <c r="E28" s="240">
        <f>(E21+E20)/E20-1</f>
      </c>
      <c r="F28" s="251">
        <f>(F21+F20)/F20-1</f>
      </c>
      <c r="G28" s="252"/>
      <c r="H28" s="253">
        <f>(H21+H20)/H20-1</f>
      </c>
      <c r="J28" s="250">
        <f>(J21+J20)/J20-1</f>
      </c>
      <c r="K28" s="240">
        <f>(K21+K20)/K20-1</f>
      </c>
      <c r="L28" s="240">
        <f>(L21+L20)/L20-1</f>
      </c>
      <c r="M28" s="240">
        <f>(M21+M20)/M20-1</f>
      </c>
      <c r="N28" s="240">
        <f>(N21+N20)/N20-1</f>
      </c>
      <c r="O28" s="240">
        <f>(O21+O20)/O20-1</f>
      </c>
      <c r="P28" s="240">
        <f>(P21+P20)/P20-1</f>
      </c>
      <c r="Q28" s="240">
        <f>(Q21+Q20)/Q20-1</f>
      </c>
      <c r="R28" s="240">
        <f>(R21+R20)/R20-1</f>
      </c>
      <c r="S28" s="250">
        <f>(S21+S20)/S20-1</f>
      </c>
      <c r="T28" s="240">
        <f>(T21+T20)/T20-1</f>
      </c>
      <c r="U28" s="240">
        <f>(U21+U20)/U20-1</f>
      </c>
      <c r="V28" s="240">
        <f>(V21+V20)/V20-1</f>
      </c>
      <c r="W28" s="240">
        <f>(W21+W20)/W20-1</f>
      </c>
      <c r="X28" s="240">
        <f>(X21+X20)/X20-1</f>
      </c>
      <c r="Y28" s="240">
        <f>(Y21+Y20)/Y20-1</f>
      </c>
      <c r="Z28" s="240">
        <f>(Z21+Z20)/Z20-1</f>
      </c>
      <c r="AA28" s="240">
        <f>(AA21+AA20)/AA20-1</f>
      </c>
      <c r="AB28" s="240">
        <f>(AB21+AB20)/AB20-1</f>
      </c>
      <c r="AC28" s="240">
        <f>(AC21+AC20)/AC20-1</f>
      </c>
      <c r="AD28" s="251">
        <f>(AD21+AD20)/AD20-1</f>
      </c>
    </row>
    <row r="29" spans="2:34">
      <c r="B29" s="241" t="s">
        <v>1572</v>
      </c>
      <c r="C29" s="242"/>
      <c r="D29" s="242"/>
      <c r="E29" s="243">
        <f>(E25+E20)/E20-1</f>
      </c>
      <c r="F29" s="244">
        <f>(F25+F20)/F20-1</f>
      </c>
      <c r="G29" s="252"/>
      <c r="H29" s="246">
        <f>(H25+H20)/H20-1</f>
      </c>
      <c r="J29" s="245">
        <f>(J25+J20)/J20-1</f>
      </c>
      <c r="K29" s="243">
        <f>(K25+K20)/K20-1</f>
      </c>
      <c r="L29" s="243">
        <f>(L25+L20)/L20-1</f>
      </c>
      <c r="M29" s="243">
        <f>(M25+M20)/M20-1</f>
      </c>
      <c r="N29" s="243">
        <f>(N25+N20)/N20-1</f>
      </c>
      <c r="O29" s="243">
        <f>(O25+O20)/O20-1</f>
      </c>
      <c r="P29" s="243">
        <f>(P25+P20)/P20-1</f>
      </c>
      <c r="Q29" s="243">
        <f>(Q25+Q20)/Q20-1</f>
      </c>
      <c r="R29" s="243">
        <f>(R25+R20)/R20-1</f>
      </c>
      <c r="S29" s="245">
        <f>(S25+S20)/S20-1</f>
      </c>
      <c r="T29" s="243">
        <f>(T25+T20)/T20-1</f>
      </c>
      <c r="U29" s="243">
        <f>(U25+U20)/U20-1</f>
      </c>
      <c r="V29" s="243">
        <f>(V25+V20)/V20-1</f>
      </c>
      <c r="W29" s="243">
        <f>(W25+W20)/W20-1</f>
      </c>
      <c r="X29" s="243">
        <f>(X25+X20)/X20-1</f>
      </c>
      <c r="Y29" s="243">
        <f>(Y25+Y20)/Y20-1</f>
      </c>
      <c r="Z29" s="243">
        <f>(Z25+Z20)/Z20-1</f>
      </c>
      <c r="AA29" s="243">
        <f>(AA25+AA20)/AA20-1</f>
      </c>
      <c r="AB29" s="243">
        <f>(AB25+AB20)/AB20-1</f>
      </c>
      <c r="AC29" s="243">
        <f>(AC25+AC20)/AC20-1</f>
      </c>
      <c r="AD29" s="244">
        <f>(AD25+AD20)/AD20-1</f>
      </c>
    </row>
    <row r="30" spans="2:34" ht="3.95" customHeight="1">
      <c r="B30" s="182"/>
      <c r="C30" s="186"/>
      <c r="D30" s="186"/>
    </row>
    <row r="31" spans="2:34" ht="24">
      <c r="B31" s="161" t="s">
        <v>1316</v>
      </c>
      <c r="C31" s="178" t="s">
        <v>1324</v>
      </c>
      <c r="D31" s="178" t="s">
        <v>3</v>
      </c>
      <c r="E31" s="178" t="s">
        <v>4</v>
      </c>
      <c r="F31" s="178" t="s">
        <v>1326</v>
      </c>
      <c r="G31" s="195"/>
      <c r="H31" s="178" t="s">
        <v>1550</v>
      </c>
      <c r="J31" s="194">
        <v>45658</v>
      </c>
      <c r="K31" s="194">
        <f>EOMONTH(J31,0)+1</f>
      </c>
      <c r="L31" s="194">
        <f>EOMONTH(K31,0)+1</f>
      </c>
      <c r="M31" s="194">
        <f>EOMONTH(L31,0)+1</f>
      </c>
      <c r="N31" s="194">
        <f>EOMONTH(M31,0)+1</f>
      </c>
      <c r="O31" s="194">
        <f>EOMONTH(N31,0)+1</f>
      </c>
      <c r="P31" s="194">
        <f>EOMONTH(O31,0)+1</f>
      </c>
      <c r="Q31" s="194">
        <v>45870</v>
      </c>
      <c r="R31" s="194">
        <f>EOMONTH(Q31,0)+1</f>
      </c>
      <c r="S31" s="194">
        <f>EOMONTH(R31,0)+1</f>
      </c>
      <c r="T31" s="194">
        <f>EOMONTH(S31,0)+1</f>
      </c>
      <c r="U31" s="194">
        <f>EOMONTH(T31,0)+1</f>
      </c>
      <c r="V31" s="194">
        <f>EOMONTH(U31,0)+1</f>
      </c>
      <c r="W31" s="194">
        <f>EOMONTH(V31,0)+1</f>
      </c>
      <c r="X31" s="194">
        <f>EOMONTH(W31,0)+1</f>
      </c>
      <c r="Y31" s="194">
        <f>EOMONTH(X31,0)+1</f>
      </c>
      <c r="Z31" s="194">
        <f>EOMONTH(Y31,0)+1</f>
      </c>
      <c r="AA31" s="194">
        <f>EOMONTH(Z31,0)+1</f>
      </c>
      <c r="AB31" s="194">
        <f>EOMONTH(AA31,0)+1</f>
      </c>
      <c r="AC31" s="194">
        <f>EOMONTH(AB31,0)+1</f>
      </c>
      <c r="AD31" s="194">
        <f>EOMONTH(AC31,0)+1</f>
      </c>
      <c r="AE31" s="189"/>
      <c r="AF31" s="222" t="s">
        <v>1306</v>
      </c>
      <c r="AG31" s="189"/>
    </row>
    <row r="32" spans="2:34">
      <c r="B32" s="188" t="str">
        <f>+AF31</f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5" t="s">
        <v>1569</v>
      </c>
      <c r="C33" s="184"/>
      <c r="D33" s="184"/>
      <c r="E33" s="184">
        <f>+E39-E34-E38</f>
      </c>
      <c r="F33" s="184">
        <f>+F39-F34-F38</f>
      </c>
      <c r="H33" s="184">
        <f>+H39-H34-H38</f>
      </c>
      <c r="J33" s="184">
        <f>+J39-J34-J38</f>
      </c>
      <c r="K33" s="184">
        <f>+K39-K34-K38</f>
      </c>
      <c r="L33" s="184">
        <f>+L39-L34-L38</f>
      </c>
      <c r="M33" s="184">
        <f>+M39-M34-M38</f>
      </c>
      <c r="N33" s="184">
        <f>+N39-N34-N38</f>
      </c>
      <c r="O33" s="184">
        <f>+O39-O34-O38</f>
      </c>
      <c r="P33" s="184">
        <f>+P39-P34-P38</f>
      </c>
      <c r="Q33" s="184">
        <f>+Q39-Q34-Q38</f>
      </c>
      <c r="R33" s="184">
        <f>+R39-R34-R38</f>
      </c>
      <c r="S33" s="184">
        <f>+S39-S34-S38</f>
      </c>
      <c r="T33" s="184">
        <f>+T39-T34-T38</f>
      </c>
      <c r="U33" s="184">
        <f>+U39-U34-U38</f>
      </c>
      <c r="V33" s="184">
        <f>+V39-V34-V38</f>
      </c>
      <c r="W33" s="184">
        <f>+W39-W34-W38</f>
      </c>
      <c r="X33" s="184">
        <f>+X39-X34-X38</f>
      </c>
      <c r="Y33" s="184">
        <f>+Y39-Y34-Y38</f>
      </c>
      <c r="Z33" s="184">
        <f>+Z39-Z34-Z38</f>
      </c>
      <c r="AA33" s="184">
        <f>+AA39-AA34-AA38</f>
      </c>
      <c r="AB33" s="184">
        <f>+AB39-AB34-AB38</f>
      </c>
      <c r="AC33" s="184">
        <f>+AC39-AC34-AC38</f>
      </c>
      <c r="AD33" s="184">
        <f>+AD39-AD34-AD38</f>
      </c>
    </row>
    <row r="34" spans="2:34">
      <c r="B34" s="193" t="s">
        <v>1322</v>
      </c>
      <c r="E34" s="199">
        <f>SUM(J34:U34)</f>
      </c>
      <c r="F34" s="199">
        <f>SUM(V34:AD34)</f>
      </c>
      <c r="H34" s="199">
        <f>SUM(S34:AD34)</f>
      </c>
      <c r="J34" s="197">
        <f>SUMIFS('Full Customer List'!$G:$G,'Full Customer List'!$I:$I,'Client Retention $'!J$5,'Full Customer List'!$E:$E,'Client Retention $'!$AF$31)/1000</f>
      </c>
      <c r="K34" s="197">
        <f>SUMIFS('Full Customer List'!$G:$G,'Full Customer List'!$I:$I,'Client Retention $'!K$5,'Full Customer List'!$E:$E,'Client Retention $'!$AF$31)/1000</f>
      </c>
      <c r="L34" s="197">
        <f>SUMIFS('Full Customer List'!$G:$G,'Full Customer List'!$I:$I,'Client Retention $'!L$5,'Full Customer List'!$E:$E,'Client Retention $'!$AF$31)/1000</f>
      </c>
      <c r="M34" s="197">
        <f>SUMIFS('Full Customer List'!$G:$G,'Full Customer List'!$I:$I,'Client Retention $'!M$5,'Full Customer List'!$E:$E,'Client Retention $'!$AF$31)/1000</f>
      </c>
      <c r="N34" s="197">
        <f>SUMIFS('Full Customer List'!$G:$G,'Full Customer List'!$I:$I,'Client Retention $'!N$5,'Full Customer List'!$E:$E,'Client Retention $'!$AF$31)/1000</f>
      </c>
      <c r="O34" s="197">
        <f>SUMIFS('Full Customer List'!$G:$G,'Full Customer List'!$I:$I,'Client Retention $'!O$5,'Full Customer List'!$E:$E,'Client Retention $'!$AF$31)/1000</f>
      </c>
      <c r="P34" s="197">
        <f>SUMIFS('Full Customer List'!$G:$G,'Full Customer List'!$I:$I,'Client Retention $'!P$5,'Full Customer List'!$E:$E,'Client Retention $'!$AF$31)/1000</f>
      </c>
      <c r="Q34" s="197">
        <f>SUMIFS('Full Customer List'!$G:$G,'Full Customer List'!$I:$I,'Client Retention $'!Q$5,'Full Customer List'!$E:$E,'Client Retention $'!$AF$31)/1000</f>
      </c>
      <c r="R34" s="197">
        <f>SUMIFS('Full Customer List'!$G:$G,'Full Customer List'!$I:$I,'Client Retention $'!R$5,'Full Customer List'!$E:$E,'Client Retention $'!$AF$31)/1000</f>
      </c>
      <c r="S34" s="197">
        <f>SUMIFS('Full Customer List'!$G:$G,'Full Customer List'!$I:$I,'Client Retention $'!S$5,'Full Customer List'!$E:$E,'Client Retention $'!$AF$31)/1000</f>
      </c>
      <c r="T34" s="197">
        <f>SUMIFS('Full Customer List'!$G:$G,'Full Customer List'!$I:$I,'Client Retention $'!T$5,'Full Customer List'!$E:$E,'Client Retention $'!$AF$31)/1000</f>
      </c>
      <c r="U34" s="197">
        <f>SUMIFS('Full Customer List'!$G:$G,'Full Customer List'!$I:$I,'Client Retention $'!U$5,'Full Customer List'!$E:$E,'Client Retention $'!$AF$31)/1000</f>
      </c>
      <c r="V34" s="197">
        <f>SUMIFS('Full Customer List'!$G:$G,'Full Customer List'!$I:$I,'Client Retention $'!V$5,'Full Customer List'!$E:$E,'Client Retention $'!$AF$31)/1000</f>
      </c>
      <c r="W34" s="197">
        <f>SUMIFS('Full Customer List'!$G:$G,'Full Customer List'!$I:$I,'Client Retention $'!W$5,'Full Customer List'!$E:$E,'Client Retention $'!$AF$31)/1000</f>
      </c>
      <c r="X34" s="197">
        <f>SUMIFS('Full Customer List'!$G:$G,'Full Customer List'!$I:$I,'Client Retention $'!X$5,'Full Customer List'!$E:$E,'Client Retention $'!$AF$31)/1000</f>
      </c>
      <c r="Y34" s="197">
        <f>SUMIFS('Full Customer List'!$G:$G,'Full Customer List'!$I:$I,'Client Retention $'!Y$5,'Full Customer List'!$E:$E,'Client Retention $'!$AF$31)/1000</f>
      </c>
      <c r="Z34" s="197">
        <f>SUMIFS('Full Customer List'!$G:$G,'Full Customer List'!$I:$I,'Client Retention $'!Z$5,'Full Customer List'!$E:$E,'Client Retention $'!$AF$31)/1000</f>
      </c>
      <c r="AA34" s="197">
        <f>SUMIFS('Full Customer List'!$G:$G,'Full Customer List'!$I:$I,'Client Retention $'!AA$5,'Full Customer List'!$E:$E,'Client Retention $'!$AF$31)/1000</f>
      </c>
      <c r="AB34" s="197">
        <f>SUMIFS('Full Customer List'!$G:$G,'Full Customer List'!$I:$I,'Client Retention $'!AB$5,'Full Customer List'!$E:$E,'Client Retention $'!$AF$31)/1000</f>
      </c>
      <c r="AC34" s="197">
        <f>SUMIFS('Full Customer List'!$G:$G,'Full Customer List'!$I:$I,'Client Retention $'!AC$5,'Full Customer List'!$E:$E,'Client Retention $'!$AF$31)/1000</f>
      </c>
      <c r="AD34" s="197">
        <f>SUMIFS('Full Customer List'!$G:$G,'Full Customer List'!$I:$I,'Client Retention $'!AD$5,'Full Customer List'!$E:$E,'Client Retention $'!$AF$31)/1000</f>
      </c>
    </row>
    <row r="35" spans="2:34">
      <c r="B35" s="269" t="s">
        <v>1551</v>
      </c>
      <c r="E35" s="199">
        <f>SUM(J35:U35)</f>
      </c>
      <c r="F35" s="199">
        <f>SUM(V35:AD35)</f>
      </c>
      <c r="H35" s="199">
        <f>SUM(S35:AD35)</f>
      </c>
      <c r="J35" s="197">
        <f>-SUMIFS('Full Customer List'!$G:$G,'Full Customer List'!$J:$J,J$1,'Full Customer List'!$E:$E,'Client Retention $'!$AF$31,'Full Customer List'!$H:$H,'Client Retention $'!$AF35)/1000</f>
      </c>
      <c r="K35" s="197">
        <f>-SUMIFS('Full Customer List'!$G:$G,'Full Customer List'!$J:$J,K$1,'Full Customer List'!$E:$E,'Client Retention $'!$AF$31,'Full Customer List'!$H:$H,'Client Retention $'!$AF35)/1000</f>
      </c>
      <c r="L35" s="197">
        <f>-SUMIFS('Full Customer List'!$G:$G,'Full Customer List'!$J:$J,L$1,'Full Customer List'!$E:$E,'Client Retention $'!$AF$31,'Full Customer List'!$H:$H,'Client Retention $'!$AF35)/1000</f>
      </c>
      <c r="M35" s="197">
        <f>-SUMIFS('Full Customer List'!$G:$G,'Full Customer List'!$J:$J,M$1,'Full Customer List'!$E:$E,'Client Retention $'!$AF$31,'Full Customer List'!$H:$H,'Client Retention $'!$AF35)/1000</f>
      </c>
      <c r="N35" s="197">
        <f>-SUMIFS('Full Customer List'!$G:$G,'Full Customer List'!$J:$J,N$1,'Full Customer List'!$E:$E,'Client Retention $'!$AF$31,'Full Customer List'!$H:$H,'Client Retention $'!$AF35)/1000</f>
      </c>
      <c r="O35" s="197">
        <f>-SUMIFS('Full Customer List'!$G:$G,'Full Customer List'!$J:$J,O$1,'Full Customer List'!$E:$E,'Client Retention $'!$AF$31,'Full Customer List'!$H:$H,'Client Retention $'!$AF35)/1000</f>
      </c>
      <c r="P35" s="197">
        <f>-SUMIFS('Full Customer List'!$G:$G,'Full Customer List'!$J:$J,P$1,'Full Customer List'!$E:$E,'Client Retention $'!$AF$31,'Full Customer List'!$H:$H,'Client Retention $'!$AF35)/1000</f>
      </c>
      <c r="Q35" s="197">
        <f>-SUMIFS('Full Customer List'!$G:$G,'Full Customer List'!$J:$J,Q$1,'Full Customer List'!$E:$E,'Client Retention $'!$AF$31,'Full Customer List'!$H:$H,'Client Retention $'!$AF35)/1000</f>
      </c>
      <c r="R35" s="197">
        <f>-SUMIFS('Full Customer List'!$G:$G,'Full Customer List'!$J:$J,R$1,'Full Customer List'!$E:$E,'Client Retention $'!$AF$31,'Full Customer List'!$H:$H,'Client Retention $'!$AF35)/1000</f>
      </c>
      <c r="S35" s="197">
        <f>-SUMIFS('Full Customer List'!$G:$G,'Full Customer List'!$J:$J,S$1,'Full Customer List'!$E:$E,'Client Retention $'!$AF$31,'Full Customer List'!$H:$H,'Client Retention $'!$AF35)/1000</f>
      </c>
      <c r="T35" s="197">
        <f>-SUMIFS('Full Customer List'!$G:$G,'Full Customer List'!$J:$J,T$1,'Full Customer List'!$E:$E,'Client Retention $'!$AF$31,'Full Customer List'!$H:$H,'Client Retention $'!$AF35)/1000</f>
      </c>
      <c r="U35" s="197">
        <f>-SUMIFS('Full Customer List'!$G:$G,'Full Customer List'!$J:$J,U$1,'Full Customer List'!$E:$E,'Client Retention $'!$AF$31,'Full Customer List'!$H:$H,'Client Retention $'!$AF35)/1000</f>
      </c>
      <c r="V35" s="197">
        <f>-SUMIFS('Full Customer List'!$G:$G,'Full Customer List'!$J:$J,V$1,'Full Customer List'!$E:$E,'Client Retention $'!$AF$31,'Full Customer List'!$H:$H,'Client Retention $'!$AF35)/1000</f>
      </c>
      <c r="W35" s="197">
        <f>-SUMIFS('Full Customer List'!$G:$G,'Full Customer List'!$J:$J,W$1,'Full Customer List'!$E:$E,'Client Retention $'!$AF$31,'Full Customer List'!$H:$H,'Client Retention $'!$AF35)/1000</f>
      </c>
      <c r="X35" s="197">
        <f>-SUMIFS('Full Customer List'!$G:$G,'Full Customer List'!$J:$J,X$1,'Full Customer List'!$E:$E,'Client Retention $'!$AF$31,'Full Customer List'!$H:$H,'Client Retention $'!$AF35)/1000</f>
      </c>
      <c r="Y35" s="197">
        <f>-SUMIFS('Full Customer List'!$G:$G,'Full Customer List'!$J:$J,Y$1,'Full Customer List'!$E:$E,'Client Retention $'!$AF$31,'Full Customer List'!$H:$H,'Client Retention $'!$AF35)/1000</f>
      </c>
      <c r="Z35" s="197">
        <f>-SUMIFS('Full Customer List'!$G:$G,'Full Customer List'!$J:$J,Z$1,'Full Customer List'!$E:$E,'Client Retention $'!$AF$31,'Full Customer List'!$H:$H,'Client Retention $'!$AF35)/1000</f>
      </c>
      <c r="AA35" s="197">
        <f>-SUMIFS('Full Customer List'!$G:$G,'Full Customer List'!$J:$J,AA$1,'Full Customer List'!$E:$E,'Client Retention $'!$AF$31,'Full Customer List'!$H:$H,'Client Retention $'!$AF35)/1000</f>
      </c>
      <c r="AB35" s="197">
        <f>-SUMIFS('Full Customer List'!$G:$G,'Full Customer List'!$J:$J,AB$1,'Full Customer List'!$E:$E,'Client Retention $'!$AF$31,'Full Customer List'!$H:$H,'Client Retention $'!$AF35)/1000</f>
      </c>
      <c r="AC35" s="197">
        <f>-SUMIFS('Full Customer List'!$G:$G,'Full Customer List'!$J:$J,AC$1,'Full Customer List'!$E:$E,'Client Retention $'!$AF$31,'Full Customer List'!$H:$H,'Client Retention $'!$AF35)/1000</f>
      </c>
      <c r="AD35" s="197">
        <f>-SUMIFS('Full Customer List'!$G:$G,'Full Customer List'!$J:$J,AD$1,'Full Customer List'!$E:$E,'Client Retention $'!$AF$31,'Full Customer List'!$H:$H,'Client Retention $'!$AF35)/1000</f>
      </c>
      <c r="AF35" s="175" t="s">
        <v>509</v>
      </c>
    </row>
    <row r="36" spans="2:34">
      <c r="B36" s="269" t="s">
        <v>1552</v>
      </c>
      <c r="E36" s="199">
        <f>SUM(J36:U36)</f>
      </c>
      <c r="F36" s="199">
        <f>SUM(V36:AD36)</f>
      </c>
      <c r="H36" s="199">
        <f>SUM(S36:AD36)</f>
      </c>
      <c r="J36" s="197">
        <f>-SUMIFS('Full Customer List'!$G:$G,'Full Customer List'!$J:$J,J$1,'Full Customer List'!$E:$E,'Client Retention $'!$AF$31,'Full Customer List'!$H:$H,'Client Retention $'!$AF36)/1000</f>
      </c>
      <c r="K36" s="197">
        <f>-SUMIFS('Full Customer List'!$G:$G,'Full Customer List'!$J:$J,K$1,'Full Customer List'!$E:$E,'Client Retention $'!$AF$31,'Full Customer List'!$H:$H,'Client Retention $'!$AF36)/1000</f>
      </c>
      <c r="L36" s="197">
        <f>-SUMIFS('Full Customer List'!$G:$G,'Full Customer List'!$J:$J,L$1,'Full Customer List'!$E:$E,'Client Retention $'!$AF$31,'Full Customer List'!$H:$H,'Client Retention $'!$AF36)/1000</f>
      </c>
      <c r="M36" s="197">
        <f>-SUMIFS('Full Customer List'!$G:$G,'Full Customer List'!$J:$J,M$1,'Full Customer List'!$E:$E,'Client Retention $'!$AF$31,'Full Customer List'!$H:$H,'Client Retention $'!$AF36)/1000</f>
      </c>
      <c r="N36" s="197">
        <f>-SUMIFS('Full Customer List'!$G:$G,'Full Customer List'!$J:$J,N$1,'Full Customer List'!$E:$E,'Client Retention $'!$AF$31,'Full Customer List'!$H:$H,'Client Retention $'!$AF36)/1000</f>
      </c>
      <c r="O36" s="197">
        <f>-SUMIFS('Full Customer List'!$G:$G,'Full Customer List'!$J:$J,O$1,'Full Customer List'!$E:$E,'Client Retention $'!$AF$31,'Full Customer List'!$H:$H,'Client Retention $'!$AF36)/1000</f>
      </c>
      <c r="P36" s="197">
        <f>-SUMIFS('Full Customer List'!$G:$G,'Full Customer List'!$J:$J,P$1,'Full Customer List'!$E:$E,'Client Retention $'!$AF$31,'Full Customer List'!$H:$H,'Client Retention $'!$AF36)/1000</f>
      </c>
      <c r="Q36" s="197">
        <f>-SUMIFS('Full Customer List'!$G:$G,'Full Customer List'!$J:$J,Q$1,'Full Customer List'!$E:$E,'Client Retention $'!$AF$31,'Full Customer List'!$H:$H,'Client Retention $'!$AF36)/1000</f>
      </c>
      <c r="R36" s="197">
        <f>-SUMIFS('Full Customer List'!$G:$G,'Full Customer List'!$J:$J,R$1,'Full Customer List'!$E:$E,'Client Retention $'!$AF$31,'Full Customer List'!$H:$H,'Client Retention $'!$AF36)/1000</f>
      </c>
      <c r="S36" s="197">
        <f>-SUMIFS('Full Customer List'!$G:$G,'Full Customer List'!$J:$J,S$1,'Full Customer List'!$E:$E,'Client Retention $'!$AF$31,'Full Customer List'!$H:$H,'Client Retention $'!$AF36)/1000</f>
      </c>
      <c r="T36" s="197">
        <f>-SUMIFS('Full Customer List'!$G:$G,'Full Customer List'!$J:$J,T$1,'Full Customer List'!$E:$E,'Client Retention $'!$AF$31,'Full Customer List'!$H:$H,'Client Retention $'!$AF36)/1000</f>
      </c>
      <c r="U36" s="197">
        <f>-SUMIFS('Full Customer List'!$G:$G,'Full Customer List'!$J:$J,U$1,'Full Customer List'!$E:$E,'Client Retention $'!$AF$31,'Full Customer List'!$H:$H,'Client Retention $'!$AF36)/1000</f>
      </c>
      <c r="V36" s="197">
        <f>-SUMIFS('Full Customer List'!$G:$G,'Full Customer List'!$J:$J,V$1,'Full Customer List'!$E:$E,'Client Retention $'!$AF$31,'Full Customer List'!$H:$H,'Client Retention $'!$AF36)/1000</f>
      </c>
      <c r="W36" s="197">
        <f>-SUMIFS('Full Customer List'!$G:$G,'Full Customer List'!$J:$J,W$1,'Full Customer List'!$E:$E,'Client Retention $'!$AF$31,'Full Customer List'!$H:$H,'Client Retention $'!$AF36)/1000</f>
      </c>
      <c r="X36" s="197">
        <f>-SUMIFS('Full Customer List'!$G:$G,'Full Customer List'!$J:$J,X$1,'Full Customer List'!$E:$E,'Client Retention $'!$AF$31,'Full Customer List'!$H:$H,'Client Retention $'!$AF36)/1000</f>
      </c>
      <c r="Y36" s="197">
        <f>-SUMIFS('Full Customer List'!$G:$G,'Full Customer List'!$J:$J,Y$1,'Full Customer List'!$E:$E,'Client Retention $'!$AF$31,'Full Customer List'!$H:$H,'Client Retention $'!$AF36)/1000</f>
      </c>
      <c r="Z36" s="197">
        <f>-SUMIFS('Full Customer List'!$G:$G,'Full Customer List'!$J:$J,Z$1,'Full Customer List'!$E:$E,'Client Retention $'!$AF$31,'Full Customer List'!$H:$H,'Client Retention $'!$AF36)/1000</f>
      </c>
      <c r="AA36" s="197">
        <f>-SUMIFS('Full Customer List'!$G:$G,'Full Customer List'!$J:$J,AA$1,'Full Customer List'!$E:$E,'Client Retention $'!$AF$31,'Full Customer List'!$H:$H,'Client Retention $'!$AF36)/1000</f>
      </c>
      <c r="AB36" s="197">
        <f>-SUMIFS('Full Customer List'!$G:$G,'Full Customer List'!$J:$J,AB$1,'Full Customer List'!$E:$E,'Client Retention $'!$AF$31,'Full Customer List'!$H:$H,'Client Retention $'!$AF36)/1000</f>
      </c>
      <c r="AC36" s="197">
        <f>-SUMIFS('Full Customer List'!$G:$G,'Full Customer List'!$J:$J,AC$1,'Full Customer List'!$E:$E,'Client Retention $'!$AF$31,'Full Customer List'!$H:$H,'Client Retention $'!$AF36)/1000</f>
      </c>
      <c r="AD36" s="197">
        <f>-SUMIFS('Full Customer List'!$G:$G,'Full Customer List'!$J:$J,AD$1,'Full Customer List'!$E:$E,'Client Retention $'!$AF$31,'Full Customer List'!$H:$H,'Client Retention $'!$AF36)/1000</f>
      </c>
      <c r="AF36" s="175" t="s">
        <v>510</v>
      </c>
    </row>
    <row r="37" spans="2:34">
      <c r="B37" s="269" t="s">
        <v>1553</v>
      </c>
      <c r="E37" s="199">
        <f>SUM(J37:U37)</f>
      </c>
      <c r="F37" s="199">
        <f>SUM(V37:AD37)</f>
      </c>
      <c r="H37" s="199">
        <f>SUM(S37:AD37)</f>
      </c>
      <c r="J37" s="197">
        <f>-SUMIFS('Full Customer List'!$G:$G,'Full Customer List'!$J:$J,J$1,'Full Customer List'!$E:$E,'Client Retention $'!$AF$31,'Full Customer List'!$H:$H,'Client Retention $'!$AF37)/1000</f>
      </c>
      <c r="K37" s="197">
        <f>-SUMIFS('Full Customer List'!$G:$G,'Full Customer List'!$J:$J,K$1,'Full Customer List'!$E:$E,'Client Retention $'!$AF$31,'Full Customer List'!$H:$H,'Client Retention $'!$AF37)/1000</f>
      </c>
      <c r="L37" s="197">
        <f>-SUMIFS('Full Customer List'!$G:$G,'Full Customer List'!$J:$J,L$1,'Full Customer List'!$E:$E,'Client Retention $'!$AF$31,'Full Customer List'!$H:$H,'Client Retention $'!$AF37)/1000</f>
      </c>
      <c r="M37" s="197">
        <f>-SUMIFS('Full Customer List'!$G:$G,'Full Customer List'!$J:$J,M$1,'Full Customer List'!$E:$E,'Client Retention $'!$AF$31,'Full Customer List'!$H:$H,'Client Retention $'!$AF37)/1000</f>
      </c>
      <c r="N37" s="197">
        <f>-SUMIFS('Full Customer List'!$G:$G,'Full Customer List'!$J:$J,N$1,'Full Customer List'!$E:$E,'Client Retention $'!$AF$31,'Full Customer List'!$H:$H,'Client Retention $'!$AF37)/1000</f>
      </c>
      <c r="O37" s="197">
        <f>-SUMIFS('Full Customer List'!$G:$G,'Full Customer List'!$J:$J,O$1,'Full Customer List'!$E:$E,'Client Retention $'!$AF$31,'Full Customer List'!$H:$H,'Client Retention $'!$AF37)/1000</f>
      </c>
      <c r="P37" s="197">
        <f>-SUMIFS('Full Customer List'!$G:$G,'Full Customer List'!$J:$J,P$1,'Full Customer List'!$E:$E,'Client Retention $'!$AF$31,'Full Customer List'!$H:$H,'Client Retention $'!$AF37)/1000</f>
      </c>
      <c r="Q37" s="197">
        <f>-SUMIFS('Full Customer List'!$G:$G,'Full Customer List'!$J:$J,Q$1,'Full Customer List'!$E:$E,'Client Retention $'!$AF$31,'Full Customer List'!$H:$H,'Client Retention $'!$AF37)/1000</f>
      </c>
      <c r="R37" s="197">
        <f>-SUMIFS('Full Customer List'!$G:$G,'Full Customer List'!$J:$J,R$1,'Full Customer List'!$E:$E,'Client Retention $'!$AF$31,'Full Customer List'!$H:$H,'Client Retention $'!$AF37)/1000</f>
      </c>
      <c r="S37" s="197">
        <f>-SUMIFS('Full Customer List'!$G:$G,'Full Customer List'!$J:$J,S$1,'Full Customer List'!$E:$E,'Client Retention $'!$AF$31,'Full Customer List'!$H:$H,'Client Retention $'!$AF37)/1000</f>
      </c>
      <c r="T37" s="197">
        <f>-SUMIFS('Full Customer List'!$G:$G,'Full Customer List'!$J:$J,T$1,'Full Customer List'!$E:$E,'Client Retention $'!$AF$31,'Full Customer List'!$H:$H,'Client Retention $'!$AF37)/1000</f>
      </c>
      <c r="U37" s="197">
        <f>-SUMIFS('Full Customer List'!$G:$G,'Full Customer List'!$J:$J,U$1,'Full Customer List'!$E:$E,'Client Retention $'!$AF$31,'Full Customer List'!$H:$H,'Client Retention $'!$AF37)/1000</f>
      </c>
      <c r="V37" s="197">
        <f>-SUMIFS('Full Customer List'!$G:$G,'Full Customer List'!$J:$J,V$1,'Full Customer List'!$E:$E,'Client Retention $'!$AF$31,'Full Customer List'!$H:$H,'Client Retention $'!$AF37)/1000</f>
      </c>
      <c r="W37" s="197">
        <f>-SUMIFS('Full Customer List'!$G:$G,'Full Customer List'!$J:$J,W$1,'Full Customer List'!$E:$E,'Client Retention $'!$AF$31,'Full Customer List'!$H:$H,'Client Retention $'!$AF37)/1000</f>
      </c>
      <c r="X37" s="197">
        <f>-SUMIFS('Full Customer List'!$G:$G,'Full Customer List'!$J:$J,X$1,'Full Customer List'!$E:$E,'Client Retention $'!$AF$31,'Full Customer List'!$H:$H,'Client Retention $'!$AF37)/1000</f>
      </c>
      <c r="Y37" s="197">
        <f>-SUMIFS('Full Customer List'!$G:$G,'Full Customer List'!$J:$J,Y$1,'Full Customer List'!$E:$E,'Client Retention $'!$AF$31,'Full Customer List'!$H:$H,'Client Retention $'!$AF37)/1000</f>
      </c>
      <c r="Z37" s="197">
        <f>-SUMIFS('Full Customer List'!$G:$G,'Full Customer List'!$J:$J,Z$1,'Full Customer List'!$E:$E,'Client Retention $'!$AF$31,'Full Customer List'!$H:$H,'Client Retention $'!$AF37)/1000</f>
      </c>
      <c r="AA37" s="197">
        <f>-SUMIFS('Full Customer List'!$G:$G,'Full Customer List'!$J:$J,AA$1,'Full Customer List'!$E:$E,'Client Retention $'!$AF$31,'Full Customer List'!$H:$H,'Client Retention $'!$AF37)/1000</f>
      </c>
      <c r="AB37" s="197">
        <f>-SUMIFS('Full Customer List'!$G:$G,'Full Customer List'!$J:$J,AB$1,'Full Customer List'!$E:$E,'Client Retention $'!$AF$31,'Full Customer List'!$H:$H,'Client Retention $'!$AF37)/1000</f>
      </c>
      <c r="AC37" s="197">
        <f>-SUMIFS('Full Customer List'!$G:$G,'Full Customer List'!$J:$J,AC$1,'Full Customer List'!$E:$E,'Client Retention $'!$AF$31,'Full Customer List'!$H:$H,'Client Retention $'!$AF37)/1000</f>
      </c>
      <c r="AD37" s="197">
        <f>-SUMIFS('Full Customer List'!$G:$G,'Full Customer List'!$J:$J,AD$1,'Full Customer List'!$E:$E,'Client Retention $'!$AF$31,'Full Customer List'!$H:$H,'Client Retention $'!$AF37)/1000</f>
      </c>
      <c r="AF37" s="175" t="s">
        <v>1554</v>
      </c>
    </row>
    <row r="38" spans="2:34" ht="12" customHeight="1">
      <c r="B38" s="259" t="s">
        <v>1555</v>
      </c>
      <c r="C38" s="262"/>
      <c r="D38" s="262"/>
      <c r="E38" s="260">
        <f>SUM(J38:U38)</f>
      </c>
      <c r="F38" s="260">
        <f>SUM(V38:AD38)</f>
      </c>
      <c r="G38" s="261"/>
      <c r="H38" s="260">
        <f>SUM(S38:AD38)</f>
      </c>
      <c r="I38" s="281"/>
      <c r="J38" s="262">
        <f>-SUMIFS('Full Customer List'!$G:$G,'Full Customer List'!$J:$J,J$1,'Full Customer List'!$E:$E,'Client Retention $'!$AF$31)/1000</f>
      </c>
      <c r="K38" s="262">
        <f>-SUMIFS('Full Customer List'!$G:$G,'Full Customer List'!$J:$J,K$1,'Full Customer List'!$E:$E,'Client Retention $'!$AF$31)/1000</f>
      </c>
      <c r="L38" s="262">
        <f>-SUMIFS('Full Customer List'!$G:$G,'Full Customer List'!$J:$J,L$1,'Full Customer List'!$E:$E,'Client Retention $'!$AF$31)/1000</f>
      </c>
      <c r="M38" s="262">
        <f>-SUMIFS('Full Customer List'!$G:$G,'Full Customer List'!$J:$J,M$1,'Full Customer List'!$E:$E,'Client Retention $'!$AF$31)/1000</f>
      </c>
      <c r="N38" s="262">
        <f>-SUMIFS('Full Customer List'!$G:$G,'Full Customer List'!$J:$J,N$1,'Full Customer List'!$E:$E,'Client Retention $'!$AF$31)/1000</f>
      </c>
      <c r="O38" s="262">
        <f>-SUMIFS('Full Customer List'!$G:$G,'Full Customer List'!$J:$J,O$1,'Full Customer List'!$E:$E,'Client Retention $'!$AF$31)/1000</f>
      </c>
      <c r="P38" s="262">
        <f>-SUMIFS('Full Customer List'!$G:$G,'Full Customer List'!$J:$J,P$1,'Full Customer List'!$E:$E,'Client Retention $'!$AF$31)/1000</f>
      </c>
      <c r="Q38" s="262">
        <f>-SUMIFS('Full Customer List'!$G:$G,'Full Customer List'!$J:$J,Q$1,'Full Customer List'!$E:$E,'Client Retention $'!$AF$31)/1000</f>
      </c>
      <c r="R38" s="262">
        <f>-SUMIFS('Full Customer List'!$G:$G,'Full Customer List'!$J:$J,R$1,'Full Customer List'!$E:$E,'Client Retention $'!$AF$31)/1000</f>
      </c>
      <c r="S38" s="262">
        <f>-SUMIFS('Full Customer List'!$G:$G,'Full Customer List'!$J:$J,S$1,'Full Customer List'!$E:$E,'Client Retention $'!$AF$31)/1000</f>
      </c>
      <c r="T38" s="262">
        <f>-SUMIFS('Full Customer List'!$G:$G,'Full Customer List'!$J:$J,T$1,'Full Customer List'!$E:$E,'Client Retention $'!$AF$31)/1000</f>
      </c>
      <c r="U38" s="262">
        <f>-SUMIFS('Full Customer List'!$G:$G,'Full Customer List'!$J:$J,U$1,'Full Customer List'!$E:$E,'Client Retention $'!$AF$31)/1000</f>
      </c>
      <c r="V38" s="262">
        <f>-SUMIFS('Full Customer List'!$G:$G,'Full Customer List'!$J:$J,V$1,'Full Customer List'!$E:$E,'Client Retention $'!$AF$31)/1000</f>
      </c>
      <c r="W38" s="262">
        <f>-SUMIFS('Full Customer List'!$G:$G,'Full Customer List'!$J:$J,W$1,'Full Customer List'!$E:$E,'Client Retention $'!$AF$31)/1000</f>
      </c>
      <c r="X38" s="262">
        <f>-SUMIFS('Full Customer List'!$G:$G,'Full Customer List'!$J:$J,X$1,'Full Customer List'!$E:$E,'Client Retention $'!$AF$31)/1000</f>
      </c>
      <c r="Y38" s="262">
        <f>-SUMIFS('Full Customer List'!$G:$G,'Full Customer List'!$J:$J,Y$1,'Full Customer List'!$E:$E,'Client Retention $'!$AF$31)/1000</f>
      </c>
      <c r="Z38" s="262">
        <f>-SUMIFS('Full Customer List'!$G:$G,'Full Customer List'!$J:$J,Z$1,'Full Customer List'!$E:$E,'Client Retention $'!$AF$31)/1000</f>
      </c>
      <c r="AA38" s="262">
        <f>-SUMIFS('Full Customer List'!$G:$G,'Full Customer List'!$J:$J,AA$1,'Full Customer List'!$E:$E,'Client Retention $'!$AF$31)/1000</f>
      </c>
      <c r="AB38" s="262">
        <f>-SUMIFS('Full Customer List'!$G:$G,'Full Customer List'!$J:$J,AB$1,'Full Customer List'!$E:$E,'Client Retention $'!$AF$31)/1000</f>
      </c>
      <c r="AC38" s="262">
        <f>-SUMIFS('Full Customer List'!$G:$G,'Full Customer List'!$J:$J,AC$1,'Full Customer List'!$E:$E,'Client Retention $'!$AF$31)/1000</f>
      </c>
      <c r="AD38" s="262">
        <f>-SUMIFS('Full Customer List'!$G:$G,'Full Customer List'!$J:$J,AD$1,'Full Customer List'!$E:$E,'Client Retention $'!$AF$31)/1000</f>
      </c>
    </row>
    <row r="39" spans="2:34" ht="12" customHeight="1">
      <c r="B39" s="263" t="s">
        <v>1570</v>
      </c>
      <c r="C39" s="264"/>
      <c r="D39" s="264"/>
      <c r="E39" s="264">
        <f>+F33</f>
      </c>
      <c r="F39" s="265">
        <f>+$AD39</f>
      </c>
      <c r="H39" s="268">
        <f>+$AD39</f>
      </c>
      <c r="J39" s="266">
        <f>+K33</f>
      </c>
      <c r="K39" s="264">
        <f>+L33</f>
      </c>
      <c r="L39" s="264">
        <f>+M33</f>
      </c>
      <c r="M39" s="264">
        <f>+N33</f>
      </c>
      <c r="N39" s="264">
        <f>+O33</f>
      </c>
      <c r="O39" s="264">
        <f>+P33</f>
      </c>
      <c r="P39" s="264">
        <f>+Q33</f>
      </c>
      <c r="Q39" s="264">
        <f>+R33</f>
      </c>
      <c r="R39" s="264">
        <f>+S33</f>
      </c>
      <c r="S39" s="266">
        <f>+T33</f>
      </c>
      <c r="T39" s="264">
        <f>+U33</f>
      </c>
      <c r="U39" s="264">
        <f>+V33</f>
      </c>
      <c r="V39" s="264">
        <f>+W33</f>
      </c>
      <c r="W39" s="264">
        <f>+X33</f>
      </c>
      <c r="X39" s="264">
        <f>+Y33</f>
      </c>
      <c r="Y39" s="264">
        <f>+Z33</f>
      </c>
      <c r="Z39" s="264">
        <f>+AA33</f>
      </c>
      <c r="AA39" s="264">
        <f>+AB33</f>
      </c>
      <c r="AB39" s="264">
        <f>+AC33</f>
      </c>
      <c r="AC39" s="264">
        <f>+AD33</f>
      </c>
      <c r="AD39" s="267">
        <f>SUMIFS('Full Customer List'!$G:$G,'Full Customer List'!$C:$C,"Active",'Full Customer List'!$E:$E,'Client Retention $'!$AF31)/1000</f>
      </c>
    </row>
    <row r="40" spans="2:34" ht="3.95" customHeight="1">
      <c r="B40" s="182"/>
      <c r="C40" s="236"/>
      <c r="D40" s="236"/>
      <c r="E40" s="236"/>
      <c r="F40" s="236"/>
      <c r="H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7"/>
      <c r="AC40" s="237"/>
      <c r="AD40" s="237"/>
    </row>
    <row r="41" spans="2:34" ht="12" customHeight="1">
      <c r="B41" s="238" t="s">
        <v>1571</v>
      </c>
      <c r="C41" s="239"/>
      <c r="D41" s="239"/>
      <c r="E41" s="240">
        <f>(E34+E33)/E33-1</f>
      </c>
      <c r="F41" s="251">
        <f>(F34+F33)/F33-1</f>
      </c>
      <c r="G41" s="252"/>
      <c r="H41" s="253">
        <f>(H34+H33)/H33-1</f>
      </c>
      <c r="J41" s="250">
        <f>(J34+J33)/J33-1</f>
      </c>
      <c r="K41" s="240">
        <f>(K34+K33)/K33-1</f>
      </c>
      <c r="L41" s="240">
        <f>(L34+L33)/L33-1</f>
      </c>
      <c r="M41" s="240">
        <f>(M34+M33)/M33-1</f>
      </c>
      <c r="N41" s="240">
        <f>(N34+N33)/N33-1</f>
      </c>
      <c r="O41" s="240">
        <f>(O34+O33)/O33-1</f>
      </c>
      <c r="P41" s="240">
        <f>(P34+P33)/P33-1</f>
      </c>
      <c r="Q41" s="240">
        <f>(Q34+Q33)/Q33-1</f>
      </c>
      <c r="R41" s="240">
        <f>(R34+R33)/R33-1</f>
      </c>
      <c r="S41" s="250">
        <f>(S34+S33)/S33-1</f>
      </c>
      <c r="T41" s="240">
        <f>(T34+T33)/T33-1</f>
      </c>
      <c r="U41" s="240">
        <f>(U34+U33)/U33-1</f>
      </c>
      <c r="V41" s="240">
        <f>(V34+V33)/V33-1</f>
      </c>
      <c r="W41" s="240">
        <f>(W34+W33)/W33-1</f>
      </c>
      <c r="X41" s="240">
        <f>(X34+X33)/X33-1</f>
      </c>
      <c r="Y41" s="240">
        <f>(Y34+Y33)/Y33-1</f>
      </c>
      <c r="Z41" s="240">
        <f>(Z34+Z33)/Z33-1</f>
      </c>
      <c r="AA41" s="240">
        <f>(AA34+AA33)/AA33-1</f>
      </c>
      <c r="AB41" s="240">
        <f>(AB34+AB33)/AB33-1</f>
      </c>
      <c r="AC41" s="240">
        <f>(AC34+AC33)/AC33-1</f>
      </c>
      <c r="AD41" s="251">
        <f>(AD34+AD33)/AD33-1</f>
      </c>
    </row>
    <row r="42" spans="2:34">
      <c r="B42" s="241" t="s">
        <v>1572</v>
      </c>
      <c r="C42" s="242"/>
      <c r="D42" s="242"/>
      <c r="E42" s="243">
        <f>(E38+E33)/E33-1</f>
      </c>
      <c r="F42" s="244">
        <f>(F38+F33)/F33-1</f>
      </c>
      <c r="G42" s="252"/>
      <c r="H42" s="246">
        <f>(H38+H33)/H33-1</f>
      </c>
      <c r="J42" s="245">
        <f>(J38+J33)/J33-1</f>
      </c>
      <c r="K42" s="243">
        <f>(K38+K33)/K33-1</f>
      </c>
      <c r="L42" s="243">
        <f>(L38+L33)/L33-1</f>
      </c>
      <c r="M42" s="243">
        <f>(M38+M33)/M33-1</f>
      </c>
      <c r="N42" s="243">
        <f>(N38+N33)/N33-1</f>
      </c>
      <c r="O42" s="243">
        <f>(O38+O33)/O33-1</f>
      </c>
      <c r="P42" s="243">
        <f>(P38+P33)/P33-1</f>
      </c>
      <c r="Q42" s="243">
        <f>(Q38+Q33)/Q33-1</f>
      </c>
      <c r="R42" s="243">
        <f>(R38+R33)/R33-1</f>
      </c>
      <c r="S42" s="245">
        <f>(S38+S33)/S33-1</f>
      </c>
      <c r="T42" s="243">
        <f>(T38+T33)/T33-1</f>
      </c>
      <c r="U42" s="243">
        <f>(U38+U33)/U33-1</f>
      </c>
      <c r="V42" s="243">
        <f>(V38+V33)/V33-1</f>
      </c>
      <c r="W42" s="243">
        <f>(W38+W33)/W33-1</f>
      </c>
      <c r="X42" s="243">
        <f>(X38+X33)/X33-1</f>
      </c>
      <c r="Y42" s="243">
        <f>(Y38+Y33)/Y33-1</f>
      </c>
      <c r="Z42" s="243">
        <f>(Z38+Z33)/Z33-1</f>
      </c>
      <c r="AA42" s="243">
        <f>(AA38+AA33)/AA33-1</f>
      </c>
      <c r="AB42" s="243">
        <f>(AB38+AB33)/AB33-1</f>
      </c>
      <c r="AC42" s="243">
        <f>(AC38+AC33)/AC33-1</f>
      </c>
      <c r="AD42" s="244">
        <f>(AD38+AD33)/AD33-1</f>
      </c>
    </row>
    <row r="43" spans="2:34" ht="3.95" customHeight="1"/>
    <row r="44" spans="2:34" ht="24">
      <c r="B44" s="161" t="s">
        <v>1316</v>
      </c>
      <c r="C44" s="178" t="s">
        <v>1324</v>
      </c>
      <c r="D44" s="178" t="s">
        <v>3</v>
      </c>
      <c r="E44" s="178" t="s">
        <v>4</v>
      </c>
      <c r="F44" s="178" t="s">
        <v>1326</v>
      </c>
      <c r="G44" s="195"/>
      <c r="H44" s="178" t="s">
        <v>1550</v>
      </c>
      <c r="J44" s="194">
        <v>45658</v>
      </c>
      <c r="K44" s="194">
        <f>EOMONTH(J44,0)+1</f>
      </c>
      <c r="L44" s="194">
        <f>EOMONTH(K44,0)+1</f>
      </c>
      <c r="M44" s="194">
        <f>EOMONTH(L44,0)+1</f>
      </c>
      <c r="N44" s="194">
        <f>EOMONTH(M44,0)+1</f>
      </c>
      <c r="O44" s="194">
        <f>EOMONTH(N44,0)+1</f>
      </c>
      <c r="P44" s="194">
        <f>EOMONTH(O44,0)+1</f>
      </c>
      <c r="Q44" s="194">
        <v>45870</v>
      </c>
      <c r="R44" s="194">
        <f>EOMONTH(Q44,0)+1</f>
      </c>
      <c r="S44" s="194">
        <f>EOMONTH(R44,0)+1</f>
      </c>
      <c r="T44" s="194">
        <f>EOMONTH(S44,0)+1</f>
      </c>
      <c r="U44" s="194">
        <f>EOMONTH(T44,0)+1</f>
      </c>
      <c r="V44" s="194">
        <f>EOMONTH(U44,0)+1</f>
      </c>
      <c r="W44" s="194">
        <f>EOMONTH(V44,0)+1</f>
      </c>
      <c r="X44" s="194">
        <f>EOMONTH(W44,0)+1</f>
      </c>
      <c r="Y44" s="194">
        <f>EOMONTH(X44,0)+1</f>
      </c>
      <c r="Z44" s="194">
        <f>EOMONTH(Y44,0)+1</f>
      </c>
      <c r="AA44" s="194">
        <f>EOMONTH(Z44,0)+1</f>
      </c>
      <c r="AB44" s="194">
        <f>EOMONTH(AA44,0)+1</f>
      </c>
      <c r="AC44" s="194">
        <f>EOMONTH(AB44,0)+1</f>
      </c>
      <c r="AD44" s="194">
        <f>EOMONTH(AC44,0)+1</f>
      </c>
      <c r="AE44" s="189"/>
      <c r="AF44" s="222" t="s">
        <v>1183</v>
      </c>
      <c r="AG44" s="189"/>
      <c r="AH44" s="189"/>
    </row>
    <row r="45" spans="2:34">
      <c r="B45" s="188" t="str">
        <f>+AF44</f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5" t="s">
        <v>1569</v>
      </c>
      <c r="C46" s="184"/>
      <c r="D46" s="184"/>
      <c r="E46" s="184">
        <f>+E52-E47-E51</f>
      </c>
      <c r="F46" s="184">
        <f>+F52-F47-F51</f>
      </c>
      <c r="H46" s="184">
        <f>+H52-H47-H51</f>
      </c>
      <c r="J46" s="184">
        <f>+J52-J47-J51</f>
      </c>
      <c r="K46" s="184">
        <f>+K52-K47-K51</f>
      </c>
      <c r="L46" s="184">
        <f>+L52-L47-L51</f>
      </c>
      <c r="M46" s="184">
        <f>+M52-M47-M51</f>
      </c>
      <c r="N46" s="184">
        <f>+N52-N47-N51</f>
      </c>
      <c r="O46" s="184">
        <f>+O52-O47-O51</f>
      </c>
      <c r="P46" s="184">
        <f>+P52-P47-P51</f>
      </c>
      <c r="Q46" s="184">
        <f>+Q52-Q47-Q51</f>
      </c>
      <c r="R46" s="184">
        <f>+R52-R47-R51</f>
      </c>
      <c r="S46" s="184">
        <f>+S52-S47-S51</f>
      </c>
      <c r="T46" s="184">
        <f>+T52-T47-T51</f>
      </c>
      <c r="U46" s="184">
        <f>+U52-U47-U51</f>
      </c>
      <c r="V46" s="184">
        <f>+V52-V47-V51</f>
      </c>
      <c r="W46" s="184">
        <f>+W52-W47-W51</f>
      </c>
      <c r="X46" s="184">
        <f>+X52-X47-X51</f>
      </c>
      <c r="Y46" s="184">
        <f>+Y52-Y47-Y51</f>
      </c>
      <c r="Z46" s="184">
        <f>+Z52-Z47-Z51</f>
      </c>
      <c r="AA46" s="184">
        <f>+AA52-AA47-AA51</f>
      </c>
      <c r="AB46" s="184">
        <f>+AB52-AB47-AB51</f>
      </c>
      <c r="AC46" s="184">
        <f>+AC52-AC47-AC51</f>
      </c>
      <c r="AD46" s="184">
        <f>+AD52-AD47-AD51</f>
      </c>
    </row>
    <row r="47" spans="2:34">
      <c r="B47" s="193" t="s">
        <v>1322</v>
      </c>
      <c r="E47" s="199">
        <f>SUM(J47:U47)</f>
      </c>
      <c r="F47" s="199">
        <f>SUM(V47:AD47)</f>
      </c>
      <c r="H47" s="199">
        <f>SUM(S47:AD47)</f>
      </c>
      <c r="J47" s="197">
        <f>SUMIFS('Full Customer List'!$G:$G,'Full Customer List'!$I:$I,'Client Retention $'!J$5,'Full Customer List'!$E:$E,$AF44)/1000</f>
      </c>
      <c r="K47" s="197">
        <f>SUMIFS('Full Customer List'!$G:$G,'Full Customer List'!$I:$I,'Client Retention $'!K$5,'Full Customer List'!$E:$E,$AF44)/1000</f>
      </c>
      <c r="L47" s="197">
        <f>SUMIFS('Full Customer List'!$G:$G,'Full Customer List'!$I:$I,'Client Retention $'!L$5,'Full Customer List'!$E:$E,$AF44)/1000</f>
      </c>
      <c r="M47" s="197">
        <f>SUMIFS('Full Customer List'!$G:$G,'Full Customer List'!$I:$I,'Client Retention $'!M$5,'Full Customer List'!$E:$E,$AF44)/1000</f>
      </c>
      <c r="N47" s="197">
        <f>SUMIFS('Full Customer List'!$G:$G,'Full Customer List'!$I:$I,'Client Retention $'!N$5,'Full Customer List'!$E:$E,$AF44)/1000</f>
      </c>
      <c r="O47" s="197">
        <f>SUMIFS('Full Customer List'!$G:$G,'Full Customer List'!$I:$I,'Client Retention $'!O$5,'Full Customer List'!$E:$E,$AF44)/1000</f>
      </c>
      <c r="P47" s="197">
        <f>SUMIFS('Full Customer List'!$G:$G,'Full Customer List'!$I:$I,'Client Retention $'!P$5,'Full Customer List'!$E:$E,$AF44)/1000</f>
      </c>
      <c r="Q47" s="197">
        <f>SUMIFS('Full Customer List'!$G:$G,'Full Customer List'!$I:$I,'Client Retention $'!Q$5,'Full Customer List'!$E:$E,$AF44)/1000</f>
      </c>
      <c r="R47" s="197">
        <f>SUMIFS('Full Customer List'!$G:$G,'Full Customer List'!$I:$I,'Client Retention $'!R$5,'Full Customer List'!$E:$E,$AF44)/1000</f>
      </c>
      <c r="S47" s="197">
        <f>SUMIFS('Full Customer List'!$G:$G,'Full Customer List'!$I:$I,'Client Retention $'!S$5,'Full Customer List'!$E:$E,$AF44)/1000</f>
      </c>
      <c r="T47" s="197">
        <f>SUMIFS('Full Customer List'!$G:$G,'Full Customer List'!$I:$I,'Client Retention $'!T$5,'Full Customer List'!$E:$E,$AF44)/1000</f>
      </c>
      <c r="U47" s="197">
        <f>SUMIFS('Full Customer List'!$G:$G,'Full Customer List'!$I:$I,'Client Retention $'!U$5,'Full Customer List'!$E:$E,$AF44)/1000</f>
      </c>
      <c r="V47" s="197">
        <f>SUMIFS('Full Customer List'!$G:$G,'Full Customer List'!$I:$I,'Client Retention $'!V$5,'Full Customer List'!$E:$E,$AF44)/1000</f>
      </c>
      <c r="W47" s="197">
        <f>SUMIFS('Full Customer List'!$G:$G,'Full Customer List'!$I:$I,'Client Retention $'!W$5,'Full Customer List'!$E:$E,$AF44)/1000</f>
      </c>
      <c r="X47" s="197">
        <f>SUMIFS('Full Customer List'!$G:$G,'Full Customer List'!$I:$I,'Client Retention $'!X$5,'Full Customer List'!$E:$E,$AF44)/1000</f>
      </c>
      <c r="Y47" s="197">
        <f>SUMIFS('Full Customer List'!$G:$G,'Full Customer List'!$I:$I,'Client Retention $'!Y$5,'Full Customer List'!$E:$E,$AF44)/1000</f>
      </c>
      <c r="Z47" s="197">
        <f>SUMIFS('Full Customer List'!$G:$G,'Full Customer List'!$I:$I,'Client Retention $'!Z$5,'Full Customer List'!$E:$E,$AF44)/1000</f>
      </c>
      <c r="AA47" s="197">
        <f>SUMIFS('Full Customer List'!$G:$G,'Full Customer List'!$I:$I,'Client Retention $'!AA$5,'Full Customer List'!$E:$E,$AF44)/1000</f>
      </c>
      <c r="AB47" s="197">
        <f>SUMIFS('Full Customer List'!$G:$G,'Full Customer List'!$I:$I,'Client Retention $'!AB$5,'Full Customer List'!$E:$E,$AF44)/1000</f>
      </c>
      <c r="AC47" s="197">
        <f>SUMIFS('Full Customer List'!$G:$G,'Full Customer List'!$I:$I,'Client Retention $'!AC$5,'Full Customer List'!$E:$E,$AF44)/1000</f>
      </c>
      <c r="AD47" s="197">
        <f>SUMIFS('Full Customer List'!$G:$G,'Full Customer List'!$I:$I,'Client Retention $'!AD$5,'Full Customer List'!$E:$E,$AF44)/1000</f>
      </c>
    </row>
    <row r="48" spans="2:34">
      <c r="B48" s="269" t="s">
        <v>1551</v>
      </c>
      <c r="E48" s="199">
        <f>SUM(J48:U48)</f>
      </c>
      <c r="F48" s="199">
        <f>SUM(V48:AD48)</f>
      </c>
      <c r="H48" s="199">
        <f>SUM(S48:AD48)</f>
      </c>
      <c r="J48" s="197">
        <f>-SUMIFS('Full Customer List'!$G:$G,'Full Customer List'!$J:$J,J$1,'Full Customer List'!$E:$E,$AF44,'Full Customer List'!$H:$H,'Client Retention $'!$AF48)/1000</f>
      </c>
      <c r="K48" s="197">
        <f>-SUMIFS('Full Customer List'!$G:$G,'Full Customer List'!$J:$J,K$1,'Full Customer List'!$E:$E,$AF44,'Full Customer List'!$H:$H,'Client Retention $'!$AF48)/1000</f>
      </c>
      <c r="L48" s="197">
        <f>-SUMIFS('Full Customer List'!$G:$G,'Full Customer List'!$J:$J,L$1,'Full Customer List'!$E:$E,$AF44,'Full Customer List'!$H:$H,'Client Retention $'!$AF48)/1000</f>
      </c>
      <c r="M48" s="197">
        <f>-SUMIFS('Full Customer List'!$G:$G,'Full Customer List'!$J:$J,M$1,'Full Customer List'!$E:$E,$AF44,'Full Customer List'!$H:$H,'Client Retention $'!$AF48)/1000</f>
      </c>
      <c r="N48" s="197">
        <f>-SUMIFS('Full Customer List'!$G:$G,'Full Customer List'!$J:$J,N$1,'Full Customer List'!$E:$E,$AF44,'Full Customer List'!$H:$H,'Client Retention $'!$AF48)/1000</f>
      </c>
      <c r="O48" s="197">
        <f>-SUMIFS('Full Customer List'!$G:$G,'Full Customer List'!$J:$J,O$1,'Full Customer List'!$E:$E,$AF44,'Full Customer List'!$H:$H,'Client Retention $'!$AF48)/1000</f>
      </c>
      <c r="P48" s="197">
        <f>-SUMIFS('Full Customer List'!$G:$G,'Full Customer List'!$J:$J,P$1,'Full Customer List'!$E:$E,$AF44,'Full Customer List'!$H:$H,'Client Retention $'!$AF48)/1000</f>
      </c>
      <c r="Q48" s="197">
        <f>-SUMIFS('Full Customer List'!$G:$G,'Full Customer List'!$J:$J,Q$1,'Full Customer List'!$E:$E,$AF44,'Full Customer List'!$H:$H,'Client Retention $'!$AF48)/1000</f>
      </c>
      <c r="R48" s="197">
        <f>-SUMIFS('Full Customer List'!$G:$G,'Full Customer List'!$J:$J,R$1,'Full Customer List'!$E:$E,$AF44,'Full Customer List'!$H:$H,'Client Retention $'!$AF48)/1000</f>
      </c>
      <c r="S48" s="197">
        <f>-SUMIFS('Full Customer List'!$G:$G,'Full Customer List'!$J:$J,S$1,'Full Customer List'!$E:$E,$AF44,'Full Customer List'!$H:$H,'Client Retention $'!$AF48)/1000</f>
      </c>
      <c r="T48" s="197">
        <f>-SUMIFS('Full Customer List'!$G:$G,'Full Customer List'!$J:$J,T$1,'Full Customer List'!$E:$E,$AF44,'Full Customer List'!$H:$H,'Client Retention $'!$AF48)/1000</f>
      </c>
      <c r="U48" s="197">
        <f>-SUMIFS('Full Customer List'!$G:$G,'Full Customer List'!$J:$J,U$1,'Full Customer List'!$E:$E,$AF44,'Full Customer List'!$H:$H,'Client Retention $'!$AF48)/1000</f>
      </c>
      <c r="V48" s="197">
        <f>-SUMIFS('Full Customer List'!$G:$G,'Full Customer List'!$J:$J,V$1,'Full Customer List'!$E:$E,$AF44,'Full Customer List'!$H:$H,'Client Retention $'!$AF48)/1000</f>
      </c>
      <c r="W48" s="197">
        <f>-SUMIFS('Full Customer List'!$G:$G,'Full Customer List'!$J:$J,W$1,'Full Customer List'!$E:$E,$AF44,'Full Customer List'!$H:$H,'Client Retention $'!$AF48)/1000</f>
      </c>
      <c r="X48" s="197">
        <f>-SUMIFS('Full Customer List'!$G:$G,'Full Customer List'!$J:$J,X$1,'Full Customer List'!$E:$E,$AF44,'Full Customer List'!$H:$H,'Client Retention $'!$AF48)/1000</f>
      </c>
      <c r="Y48" s="197">
        <f>-SUMIFS('Full Customer List'!$G:$G,'Full Customer List'!$J:$J,Y$1,'Full Customer List'!$E:$E,$AF44,'Full Customer List'!$H:$H,'Client Retention $'!$AF48)/1000</f>
      </c>
      <c r="Z48" s="197">
        <f>-SUMIFS('Full Customer List'!$G:$G,'Full Customer List'!$J:$J,Z$1,'Full Customer List'!$E:$E,$AF44,'Full Customer List'!$H:$H,'Client Retention $'!$AF48)/1000</f>
      </c>
      <c r="AA48" s="197">
        <f>-SUMIFS('Full Customer List'!$G:$G,'Full Customer List'!$J:$J,AA$1,'Full Customer List'!$E:$E,$AF44,'Full Customer List'!$H:$H,'Client Retention $'!$AF48)/1000</f>
      </c>
      <c r="AB48" s="197">
        <f>-SUMIFS('Full Customer List'!$G:$G,'Full Customer List'!$J:$J,AB$1,'Full Customer List'!$E:$E,$AF44,'Full Customer List'!$H:$H,'Client Retention $'!$AF48)/1000</f>
      </c>
      <c r="AC48" s="197">
        <f>-SUMIFS('Full Customer List'!$G:$G,'Full Customer List'!$J:$J,AC$1,'Full Customer List'!$E:$E,$AF44,'Full Customer List'!$H:$H,'Client Retention $'!$AF48)/1000</f>
      </c>
      <c r="AD48" s="197">
        <f>-SUMIFS('Full Customer List'!$G:$G,'Full Customer List'!$J:$J,AD$1,'Full Customer List'!$E:$E,$AF44,'Full Customer List'!$H:$H,'Client Retention $'!$AF48)/1000</f>
      </c>
      <c r="AF48" s="175" t="s">
        <v>509</v>
      </c>
    </row>
    <row r="49" spans="2:34">
      <c r="B49" s="269" t="s">
        <v>1552</v>
      </c>
      <c r="E49" s="199">
        <f>SUM(J49:U49)</f>
      </c>
      <c r="F49" s="199">
        <f>SUM(V49:AD49)</f>
      </c>
      <c r="H49" s="199">
        <f>SUM(S49:AD49)</f>
      </c>
      <c r="J49" s="197">
        <f>-SUMIFS('Full Customer List'!$G:$G,'Full Customer List'!$J:$J,J$1,'Full Customer List'!$E:$E,$AF44,'Full Customer List'!$H:$H,'Client Retention $'!$AF49)/1000</f>
      </c>
      <c r="K49" s="197">
        <f>-SUMIFS('Full Customer List'!$G:$G,'Full Customer List'!$J:$J,K$1,'Full Customer List'!$E:$E,$AF44,'Full Customer List'!$H:$H,'Client Retention $'!$AF49)/1000</f>
      </c>
      <c r="L49" s="197">
        <f>-SUMIFS('Full Customer List'!$G:$G,'Full Customer List'!$J:$J,L$1,'Full Customer List'!$E:$E,$AF44,'Full Customer List'!$H:$H,'Client Retention $'!$AF49)/1000</f>
      </c>
      <c r="M49" s="197">
        <f>-SUMIFS('Full Customer List'!$G:$G,'Full Customer List'!$J:$J,M$1,'Full Customer List'!$E:$E,$AF44,'Full Customer List'!$H:$H,'Client Retention $'!$AF49)/1000</f>
      </c>
      <c r="N49" s="197">
        <f>-SUMIFS('Full Customer List'!$G:$G,'Full Customer List'!$J:$J,N$1,'Full Customer List'!$E:$E,$AF44,'Full Customer List'!$H:$H,'Client Retention $'!$AF49)/1000</f>
      </c>
      <c r="O49" s="197">
        <f>-SUMIFS('Full Customer List'!$G:$G,'Full Customer List'!$J:$J,O$1,'Full Customer List'!$E:$E,$AF44,'Full Customer List'!$H:$H,'Client Retention $'!$AF49)/1000</f>
      </c>
      <c r="P49" s="197">
        <f>-SUMIFS('Full Customer List'!$G:$G,'Full Customer List'!$J:$J,P$1,'Full Customer List'!$E:$E,$AF44,'Full Customer List'!$H:$H,'Client Retention $'!$AF49)/1000</f>
      </c>
      <c r="Q49" s="197">
        <f>-SUMIFS('Full Customer List'!$G:$G,'Full Customer List'!$J:$J,Q$1,'Full Customer List'!$E:$E,$AF44,'Full Customer List'!$H:$H,'Client Retention $'!$AF49)/1000</f>
      </c>
      <c r="R49" s="197">
        <f>-SUMIFS('Full Customer List'!$G:$G,'Full Customer List'!$J:$J,R$1,'Full Customer List'!$E:$E,$AF44,'Full Customer List'!$H:$H,'Client Retention $'!$AF49)/1000</f>
      </c>
      <c r="S49" s="197">
        <f>-SUMIFS('Full Customer List'!$G:$G,'Full Customer List'!$J:$J,S$1,'Full Customer List'!$E:$E,$AF44,'Full Customer List'!$H:$H,'Client Retention $'!$AF49)/1000</f>
      </c>
      <c r="T49" s="197">
        <f>-SUMIFS('Full Customer List'!$G:$G,'Full Customer List'!$J:$J,T$1,'Full Customer List'!$E:$E,$AF44,'Full Customer List'!$H:$H,'Client Retention $'!$AF49)/1000</f>
      </c>
      <c r="U49" s="197">
        <f>-SUMIFS('Full Customer List'!$G:$G,'Full Customer List'!$J:$J,U$1,'Full Customer List'!$E:$E,$AF44,'Full Customer List'!$H:$H,'Client Retention $'!$AF49)/1000</f>
      </c>
      <c r="V49" s="197">
        <f>-SUMIFS('Full Customer List'!$G:$G,'Full Customer List'!$J:$J,V$1,'Full Customer List'!$E:$E,$AF44,'Full Customer List'!$H:$H,'Client Retention $'!$AF49)/1000</f>
      </c>
      <c r="W49" s="197">
        <f>-SUMIFS('Full Customer List'!$G:$G,'Full Customer List'!$J:$J,W$1,'Full Customer List'!$E:$E,$AF44,'Full Customer List'!$H:$H,'Client Retention $'!$AF49)/1000</f>
      </c>
      <c r="X49" s="197">
        <f>-SUMIFS('Full Customer List'!$G:$G,'Full Customer List'!$J:$J,X$1,'Full Customer List'!$E:$E,$AF44,'Full Customer List'!$H:$H,'Client Retention $'!$AF49)/1000</f>
      </c>
      <c r="Y49" s="197">
        <f>-SUMIFS('Full Customer List'!$G:$G,'Full Customer List'!$J:$J,Y$1,'Full Customer List'!$E:$E,$AF44,'Full Customer List'!$H:$H,'Client Retention $'!$AF49)/1000</f>
      </c>
      <c r="Z49" s="197">
        <f>-SUMIFS('Full Customer List'!$G:$G,'Full Customer List'!$J:$J,Z$1,'Full Customer List'!$E:$E,$AF44,'Full Customer List'!$H:$H,'Client Retention $'!$AF49)/1000</f>
      </c>
      <c r="AA49" s="197">
        <f>-SUMIFS('Full Customer List'!$G:$G,'Full Customer List'!$J:$J,AA$1,'Full Customer List'!$E:$E,$AF44,'Full Customer List'!$H:$H,'Client Retention $'!$AF49)/1000</f>
      </c>
      <c r="AB49" s="197">
        <f>-SUMIFS('Full Customer List'!$G:$G,'Full Customer List'!$J:$J,AB$1,'Full Customer List'!$E:$E,$AF44,'Full Customer List'!$H:$H,'Client Retention $'!$AF49)/1000</f>
      </c>
      <c r="AC49" s="197">
        <f>-SUMIFS('Full Customer List'!$G:$G,'Full Customer List'!$J:$J,AC$1,'Full Customer List'!$E:$E,$AF44,'Full Customer List'!$H:$H,'Client Retention $'!$AF49)/1000</f>
      </c>
      <c r="AD49" s="197">
        <f>-SUMIFS('Full Customer List'!$G:$G,'Full Customer List'!$J:$J,AD$1,'Full Customer List'!$E:$E,$AF44,'Full Customer List'!$H:$H,'Client Retention $'!$AF49)/1000</f>
      </c>
      <c r="AF49" s="175" t="s">
        <v>510</v>
      </c>
    </row>
    <row r="50" spans="2:34">
      <c r="B50" s="269" t="s">
        <v>1553</v>
      </c>
      <c r="E50" s="199">
        <f>SUM(J50:U50)</f>
      </c>
      <c r="F50" s="199">
        <f>SUM(V50:AD50)</f>
      </c>
      <c r="H50" s="199">
        <f>SUM(S50:AD50)</f>
      </c>
      <c r="J50" s="197">
        <f>-SUMIFS('Full Customer List'!$G:$G,'Full Customer List'!$J:$J,J$1,'Full Customer List'!$E:$E,$AF44,'Full Customer List'!$H:$H,'Client Retention $'!$AF50)/1000</f>
      </c>
      <c r="K50" s="197">
        <f>-SUMIFS('Full Customer List'!$G:$G,'Full Customer List'!$J:$J,K$1,'Full Customer List'!$E:$E,$AF44,'Full Customer List'!$H:$H,'Client Retention $'!$AF50)/1000</f>
      </c>
      <c r="L50" s="197">
        <f>-SUMIFS('Full Customer List'!$G:$G,'Full Customer List'!$J:$J,L$1,'Full Customer List'!$E:$E,$AF44,'Full Customer List'!$H:$H,'Client Retention $'!$AF50)/1000</f>
      </c>
      <c r="M50" s="197">
        <f>-SUMIFS('Full Customer List'!$G:$G,'Full Customer List'!$J:$J,M$1,'Full Customer List'!$E:$E,$AF44,'Full Customer List'!$H:$H,'Client Retention $'!$AF50)/1000</f>
      </c>
      <c r="N50" s="197">
        <f>-SUMIFS('Full Customer List'!$G:$G,'Full Customer List'!$J:$J,N$1,'Full Customer List'!$E:$E,$AF44,'Full Customer List'!$H:$H,'Client Retention $'!$AF50)/1000</f>
      </c>
      <c r="O50" s="197">
        <f>-SUMIFS('Full Customer List'!$G:$G,'Full Customer List'!$J:$J,O$1,'Full Customer List'!$E:$E,$AF44,'Full Customer List'!$H:$H,'Client Retention $'!$AF50)/1000</f>
      </c>
      <c r="P50" s="197">
        <f>-SUMIFS('Full Customer List'!$G:$G,'Full Customer List'!$J:$J,P$1,'Full Customer List'!$E:$E,$AF44,'Full Customer List'!$H:$H,'Client Retention $'!$AF50)/1000</f>
      </c>
      <c r="Q50" s="197">
        <f>-SUMIFS('Full Customer List'!$G:$G,'Full Customer List'!$J:$J,Q$1,'Full Customer List'!$E:$E,$AF44,'Full Customer List'!$H:$H,'Client Retention $'!$AF50)/1000</f>
      </c>
      <c r="R50" s="197">
        <f>-SUMIFS('Full Customer List'!$G:$G,'Full Customer List'!$J:$J,R$1,'Full Customer List'!$E:$E,$AF44,'Full Customer List'!$H:$H,'Client Retention $'!$AF50)/1000</f>
      </c>
      <c r="S50" s="197">
        <f>-SUMIFS('Full Customer List'!$G:$G,'Full Customer List'!$J:$J,S$1,'Full Customer List'!$E:$E,$AF44,'Full Customer List'!$H:$H,'Client Retention $'!$AF50)/1000</f>
      </c>
      <c r="T50" s="197">
        <f>-SUMIFS('Full Customer List'!$G:$G,'Full Customer List'!$J:$J,T$1,'Full Customer List'!$E:$E,$AF44,'Full Customer List'!$H:$H,'Client Retention $'!$AF50)/1000</f>
      </c>
      <c r="U50" s="197">
        <f>-SUMIFS('Full Customer List'!$G:$G,'Full Customer List'!$J:$J,U$1,'Full Customer List'!$E:$E,$AF44,'Full Customer List'!$H:$H,'Client Retention $'!$AF50)/1000</f>
      </c>
      <c r="V50" s="197">
        <f>-SUMIFS('Full Customer List'!$G:$G,'Full Customer List'!$J:$J,V$1,'Full Customer List'!$E:$E,$AF44,'Full Customer List'!$H:$H,'Client Retention $'!$AF50)/1000</f>
      </c>
      <c r="W50" s="197">
        <f>-SUMIFS('Full Customer List'!$G:$G,'Full Customer List'!$J:$J,W$1,'Full Customer List'!$E:$E,$AF44,'Full Customer List'!$H:$H,'Client Retention $'!$AF50)/1000</f>
      </c>
      <c r="X50" s="197">
        <f>-SUMIFS('Full Customer List'!$G:$G,'Full Customer List'!$J:$J,X$1,'Full Customer List'!$E:$E,$AF44,'Full Customer List'!$H:$H,'Client Retention $'!$AF50)/1000</f>
      </c>
      <c r="Y50" s="197">
        <f>-SUMIFS('Full Customer List'!$G:$G,'Full Customer List'!$J:$J,Y$1,'Full Customer List'!$E:$E,$AF44,'Full Customer List'!$H:$H,'Client Retention $'!$AF50)/1000</f>
      </c>
      <c r="Z50" s="197">
        <f>-SUMIFS('Full Customer List'!$G:$G,'Full Customer List'!$J:$J,Z$1,'Full Customer List'!$E:$E,$AF44,'Full Customer List'!$H:$H,'Client Retention $'!$AF50)/1000</f>
      </c>
      <c r="AA50" s="197">
        <f>-SUMIFS('Full Customer List'!$G:$G,'Full Customer List'!$J:$J,AA$1,'Full Customer List'!$E:$E,$AF44,'Full Customer List'!$H:$H,'Client Retention $'!$AF50)/1000</f>
      </c>
      <c r="AB50" s="197">
        <f>-SUMIFS('Full Customer List'!$G:$G,'Full Customer List'!$J:$J,AB$1,'Full Customer List'!$E:$E,$AF44,'Full Customer List'!$H:$H,'Client Retention $'!$AF50)/1000</f>
      </c>
      <c r="AC50" s="197">
        <f>-SUMIFS('Full Customer List'!$G:$G,'Full Customer List'!$J:$J,AC$1,'Full Customer List'!$E:$E,$AF44,'Full Customer List'!$H:$H,'Client Retention $'!$AF50)/1000</f>
      </c>
      <c r="AD50" s="197">
        <f>-SUMIFS('Full Customer List'!$G:$G,'Full Customer List'!$J:$J,AD$1,'Full Customer List'!$E:$E,$AF44,'Full Customer List'!$H:$H,'Client Retention $'!$AF50)/1000</f>
      </c>
      <c r="AF50" s="175" t="s">
        <v>1554</v>
      </c>
    </row>
    <row r="51" spans="2:34" ht="12" customHeight="1">
      <c r="B51" s="259" t="s">
        <v>1555</v>
      </c>
      <c r="C51" s="262"/>
      <c r="D51" s="262"/>
      <c r="E51" s="260">
        <f>SUM(J51:U51)</f>
      </c>
      <c r="F51" s="260">
        <f>SUM(V51:AD51)</f>
      </c>
      <c r="G51" s="261"/>
      <c r="H51" s="260">
        <f>SUM(S51:AD51)</f>
      </c>
      <c r="I51" s="281"/>
      <c r="J51" s="262">
        <f>-SUMIFS('Full Customer List'!$G:$G,'Full Customer List'!$J:$J,J$1,'Full Customer List'!$E:$E,$AF44)/1000</f>
      </c>
      <c r="K51" s="262">
        <f>-SUMIFS('Full Customer List'!$G:$G,'Full Customer List'!$J:$J,K$1,'Full Customer List'!$E:$E,$AF44)/1000</f>
      </c>
      <c r="L51" s="262">
        <f>-SUMIFS('Full Customer List'!$G:$G,'Full Customer List'!$J:$J,L$1,'Full Customer List'!$E:$E,$AF44)/1000</f>
      </c>
      <c r="M51" s="262">
        <f>-SUMIFS('Full Customer List'!$G:$G,'Full Customer List'!$J:$J,M$1,'Full Customer List'!$E:$E,$AF44)/1000</f>
      </c>
      <c r="N51" s="262">
        <f>-SUMIFS('Full Customer List'!$G:$G,'Full Customer List'!$J:$J,N$1,'Full Customer List'!$E:$E,$AF44)/1000</f>
      </c>
      <c r="O51" s="262">
        <f>-SUMIFS('Full Customer List'!$G:$G,'Full Customer List'!$J:$J,O$1,'Full Customer List'!$E:$E,$AF44)/1000</f>
      </c>
      <c r="P51" s="262">
        <f>-SUMIFS('Full Customer List'!$G:$G,'Full Customer List'!$J:$J,P$1,'Full Customer List'!$E:$E,$AF44)/1000</f>
      </c>
      <c r="Q51" s="262">
        <f>-SUMIFS('Full Customer List'!$G:$G,'Full Customer List'!$J:$J,Q$1,'Full Customer List'!$E:$E,$AF44)/1000</f>
      </c>
      <c r="R51" s="262">
        <f>-SUMIFS('Full Customer List'!$G:$G,'Full Customer List'!$J:$J,R$1,'Full Customer List'!$E:$E,$AF44)/1000</f>
      </c>
      <c r="S51" s="262">
        <f>-SUMIFS('Full Customer List'!$G:$G,'Full Customer List'!$J:$J,S$1,'Full Customer List'!$E:$E,$AF44)/1000</f>
      </c>
      <c r="T51" s="262">
        <f>-SUMIFS('Full Customer List'!$G:$G,'Full Customer List'!$J:$J,T$1,'Full Customer List'!$E:$E,$AF44)/1000</f>
      </c>
      <c r="U51" s="262">
        <f>-SUMIFS('Full Customer List'!$G:$G,'Full Customer List'!$J:$J,U$1,'Full Customer List'!$E:$E,$AF44)/1000</f>
      </c>
      <c r="V51" s="262">
        <f>-SUMIFS('Full Customer List'!$G:$G,'Full Customer List'!$J:$J,V$1,'Full Customer List'!$E:$E,$AF44)/1000</f>
      </c>
      <c r="W51" s="262">
        <f>-SUMIFS('Full Customer List'!$G:$G,'Full Customer List'!$J:$J,W$1,'Full Customer List'!$E:$E,$AF44)/1000</f>
      </c>
      <c r="X51" s="262">
        <f>-SUMIFS('Full Customer List'!$G:$G,'Full Customer List'!$J:$J,X$1,'Full Customer List'!$E:$E,$AF44)/1000</f>
      </c>
      <c r="Y51" s="262">
        <f>-SUMIFS('Full Customer List'!$G:$G,'Full Customer List'!$J:$J,Y$1,'Full Customer List'!$E:$E,$AF44)/1000</f>
      </c>
      <c r="Z51" s="262">
        <f>-SUMIFS('Full Customer List'!$G:$G,'Full Customer List'!$J:$J,Z$1,'Full Customer List'!$E:$E,$AF44)/1000</f>
      </c>
      <c r="AA51" s="262">
        <f>-SUMIFS('Full Customer List'!$G:$G,'Full Customer List'!$J:$J,AA$1,'Full Customer List'!$E:$E,$AF44)/1000</f>
      </c>
      <c r="AB51" s="262">
        <f>-SUMIFS('Full Customer List'!$G:$G,'Full Customer List'!$J:$J,AB$1,'Full Customer List'!$E:$E,$AF44)/1000</f>
      </c>
      <c r="AC51" s="262">
        <f>-SUMIFS('Full Customer List'!$G:$G,'Full Customer List'!$J:$J,AC$1,'Full Customer List'!$E:$E,$AF44)/1000</f>
      </c>
      <c r="AD51" s="262">
        <f>-SUMIFS('Full Customer List'!$G:$G,'Full Customer List'!$J:$J,AD$1,'Full Customer List'!$E:$E,$AF44)/1000</f>
      </c>
    </row>
    <row r="52" spans="2:34" ht="12" customHeight="1">
      <c r="B52" s="263" t="s">
        <v>1570</v>
      </c>
      <c r="C52" s="264"/>
      <c r="D52" s="264"/>
      <c r="E52" s="264">
        <f>+F46</f>
      </c>
      <c r="F52" s="265">
        <f>+$AD52</f>
      </c>
      <c r="H52" s="268">
        <f>+$AD52</f>
      </c>
      <c r="J52" s="266">
        <f>+K46</f>
      </c>
      <c r="K52" s="264">
        <f>+L46</f>
      </c>
      <c r="L52" s="264">
        <f>+M46</f>
      </c>
      <c r="M52" s="264">
        <f>+N46</f>
      </c>
      <c r="N52" s="264">
        <f>+O46</f>
      </c>
      <c r="O52" s="264">
        <f>+P46</f>
      </c>
      <c r="P52" s="264">
        <f>+Q46</f>
      </c>
      <c r="Q52" s="264">
        <f>+R46</f>
      </c>
      <c r="R52" s="264">
        <f>+S46</f>
      </c>
      <c r="S52" s="266">
        <f>+T46</f>
      </c>
      <c r="T52" s="264">
        <f>+U46</f>
      </c>
      <c r="U52" s="264">
        <f>+V46</f>
      </c>
      <c r="V52" s="264">
        <f>+W46</f>
      </c>
      <c r="W52" s="264">
        <f>+X46</f>
      </c>
      <c r="X52" s="264">
        <f>+Y46</f>
      </c>
      <c r="Y52" s="264">
        <f>+Z46</f>
      </c>
      <c r="Z52" s="264">
        <f>+AA46</f>
      </c>
      <c r="AA52" s="264">
        <f>+AB46</f>
      </c>
      <c r="AB52" s="264">
        <f>+AC46</f>
      </c>
      <c r="AC52" s="264">
        <f>+AD46</f>
      </c>
      <c r="AD52" s="267">
        <f>SUMIFS('Full Customer List'!$G:$G,'Full Customer List'!$C:$C,"Active",'Full Customer List'!$E:$E,'Client Retention $'!$AF44)/1000</f>
      </c>
    </row>
    <row r="53" spans="2:34" ht="3.95" customHeight="1">
      <c r="B53" s="182"/>
      <c r="C53" s="236"/>
      <c r="D53" s="236"/>
      <c r="E53" s="236"/>
      <c r="F53" s="236"/>
      <c r="H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7"/>
      <c r="AC53" s="237"/>
      <c r="AD53" s="237"/>
    </row>
    <row r="54" spans="2:34" ht="12" customHeight="1">
      <c r="B54" s="238" t="s">
        <v>1571</v>
      </c>
      <c r="C54" s="239"/>
      <c r="D54" s="239"/>
      <c r="E54" s="240">
        <f>(E47+E46)/E46-1</f>
      </c>
      <c r="F54" s="251">
        <f>(F47+F46)/F46-1</f>
      </c>
      <c r="G54" s="252"/>
      <c r="H54" s="253">
        <f>(H47+H46)/H46-1</f>
      </c>
      <c r="J54" s="250">
        <f>(J47+J46)/J46-1</f>
      </c>
      <c r="K54" s="240">
        <f>(K47+K46)/K46-1</f>
      </c>
      <c r="L54" s="240">
        <f>(L47+L46)/L46-1</f>
      </c>
      <c r="M54" s="240">
        <f>(M47+M46)/M46-1</f>
      </c>
      <c r="N54" s="240">
        <f>(N47+N46)/N46-1</f>
      </c>
      <c r="O54" s="240">
        <f>(O47+O46)/O46-1</f>
      </c>
      <c r="P54" s="240">
        <f>(P47+P46)/P46-1</f>
      </c>
      <c r="Q54" s="240">
        <f>(Q47+Q46)/Q46-1</f>
      </c>
      <c r="R54" s="240">
        <f>(R47+R46)/R46-1</f>
      </c>
      <c r="S54" s="250">
        <f>(S47+S46)/S46-1</f>
      </c>
      <c r="T54" s="240">
        <f>(T47+T46)/T46-1</f>
      </c>
      <c r="U54" s="240">
        <f>(U47+U46)/U46-1</f>
      </c>
      <c r="V54" s="240">
        <f>(V47+V46)/V46-1</f>
      </c>
      <c r="W54" s="240">
        <f>(W47+W46)/W46-1</f>
      </c>
      <c r="X54" s="240">
        <f>(X47+X46)/X46-1</f>
      </c>
      <c r="Y54" s="240">
        <f>(Y47+Y46)/Y46-1</f>
      </c>
      <c r="Z54" s="240">
        <f>(Z47+Z46)/Z46-1</f>
      </c>
      <c r="AA54" s="240">
        <f>(AA47+AA46)/AA46-1</f>
      </c>
      <c r="AB54" s="240">
        <f>(AB47+AB46)/AB46-1</f>
      </c>
      <c r="AC54" s="240">
        <f>(AC47+AC46)/AC46-1</f>
      </c>
      <c r="AD54" s="251">
        <f>(AD47+AD46)/AD46-1</f>
      </c>
    </row>
    <row r="55" spans="2:34" ht="12" customHeight="1">
      <c r="B55" s="241" t="s">
        <v>1572</v>
      </c>
      <c r="C55" s="242"/>
      <c r="D55" s="242"/>
      <c r="E55" s="243">
        <f>(E51+E46)/E46-1</f>
      </c>
      <c r="F55" s="244">
        <f>(F51+F46)/F46-1</f>
      </c>
      <c r="G55" s="252"/>
      <c r="H55" s="246">
        <f>(H51+H46)/H46-1</f>
      </c>
      <c r="J55" s="245">
        <f>(J51+J46)/J46-1</f>
      </c>
      <c r="K55" s="243">
        <f>(K51+K46)/K46-1</f>
      </c>
      <c r="L55" s="243">
        <f>(L51+L46)/L46-1</f>
      </c>
      <c r="M55" s="243">
        <f>(M51+M46)/M46-1</f>
      </c>
      <c r="N55" s="243">
        <f>(N51+N46)/N46-1</f>
      </c>
      <c r="O55" s="243">
        <f>(O51+O46)/O46-1</f>
      </c>
      <c r="P55" s="243">
        <f>(P51+P46)/P46-1</f>
      </c>
      <c r="Q55" s="243">
        <f>(Q51+Q46)/Q46-1</f>
      </c>
      <c r="R55" s="243">
        <f>(R51+R46)/R46-1</f>
      </c>
      <c r="S55" s="245">
        <f>(S51+S46)/S46-1</f>
      </c>
      <c r="T55" s="243">
        <f>(T51+T46)/T46-1</f>
      </c>
      <c r="U55" s="243">
        <f>(U51+U46)/U46-1</f>
      </c>
      <c r="V55" s="243">
        <f>(V51+V46)/V46-1</f>
      </c>
      <c r="W55" s="243">
        <f>(W51+W46)/W46-1</f>
      </c>
      <c r="X55" s="243">
        <f>(X51+X46)/X46-1</f>
      </c>
      <c r="Y55" s="243">
        <f>(Y51+Y46)/Y46-1</f>
      </c>
      <c r="Z55" s="243">
        <f>(Z51+Z46)/Z46-1</f>
      </c>
      <c r="AA55" s="243">
        <f>(AA51+AA46)/AA46-1</f>
      </c>
      <c r="AB55" s="243">
        <f>(AB51+AB46)/AB46-1</f>
      </c>
      <c r="AC55" s="243">
        <f>(AC51+AC46)/AC46-1</f>
      </c>
      <c r="AD55" s="244">
        <f>(AD51+AD46)/AD46-1</f>
      </c>
    </row>
    <row r="56" spans="2:34" ht="3.95" customHeight="1">
      <c r="AF56" s="222"/>
    </row>
    <row r="57" spans="2:34" ht="24">
      <c r="B57" s="161" t="s">
        <v>1316</v>
      </c>
      <c r="C57" s="178" t="s">
        <v>1324</v>
      </c>
      <c r="D57" s="178" t="s">
        <v>3</v>
      </c>
      <c r="E57" s="178" t="s">
        <v>4</v>
      </c>
      <c r="F57" s="178" t="s">
        <v>1326</v>
      </c>
      <c r="G57" s="195"/>
      <c r="H57" s="178" t="s">
        <v>1550</v>
      </c>
      <c r="J57" s="194">
        <v>45658</v>
      </c>
      <c r="K57" s="194">
        <f>EOMONTH(J57,0)+1</f>
      </c>
      <c r="L57" s="194">
        <f>EOMONTH(K57,0)+1</f>
      </c>
      <c r="M57" s="194">
        <f>EOMONTH(L57,0)+1</f>
      </c>
      <c r="N57" s="194">
        <f>EOMONTH(M57,0)+1</f>
      </c>
      <c r="O57" s="194">
        <f>EOMONTH(N57,0)+1</f>
      </c>
      <c r="P57" s="194">
        <f>EOMONTH(O57,0)+1</f>
      </c>
      <c r="Q57" s="194">
        <v>45870</v>
      </c>
      <c r="R57" s="194">
        <f>EOMONTH(Q57,0)+1</f>
      </c>
      <c r="S57" s="194">
        <f>EOMONTH(R57,0)+1</f>
      </c>
      <c r="T57" s="194">
        <f>EOMONTH(S57,0)+1</f>
      </c>
      <c r="U57" s="194">
        <f>EOMONTH(T57,0)+1</f>
      </c>
      <c r="V57" s="194">
        <f>EOMONTH(U57,0)+1</f>
      </c>
      <c r="W57" s="194">
        <f>EOMONTH(V57,0)+1</f>
      </c>
      <c r="X57" s="194">
        <f>EOMONTH(W57,0)+1</f>
      </c>
      <c r="Y57" s="194">
        <f>EOMONTH(X57,0)+1</f>
      </c>
      <c r="Z57" s="194">
        <f>EOMONTH(Y57,0)+1</f>
      </c>
      <c r="AA57" s="194">
        <f>EOMONTH(Z57,0)+1</f>
      </c>
      <c r="AB57" s="194">
        <f>EOMONTH(AA57,0)+1</f>
      </c>
      <c r="AC57" s="194">
        <f>EOMONTH(AB57,0)+1</f>
      </c>
      <c r="AD57" s="194">
        <f>EOMONTH(AC57,0)+1</f>
      </c>
      <c r="AE57" s="189"/>
      <c r="AF57" s="222" t="s">
        <v>1307</v>
      </c>
      <c r="AG57" s="189"/>
      <c r="AH57" s="189"/>
    </row>
    <row r="58" spans="2:34">
      <c r="B58" s="188" t="str">
        <f>+AF57</f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2"/>
      <c r="AG58" s="6"/>
      <c r="AH58" s="6"/>
    </row>
    <row r="59" spans="2:34">
      <c r="B59" s="175" t="s">
        <v>1569</v>
      </c>
      <c r="C59" s="184"/>
      <c r="D59" s="184"/>
      <c r="E59" s="184">
        <f>+E65-E60-E64</f>
      </c>
      <c r="F59" s="184">
        <f>+F65-F60-F64</f>
      </c>
      <c r="H59" s="184">
        <f>+H65-H60-H64</f>
      </c>
      <c r="J59" s="184">
        <f>+J65-J60-J64</f>
      </c>
      <c r="K59" s="184">
        <f>+K65-K60-K64</f>
      </c>
      <c r="L59" s="184">
        <f>+L65-L60-L64</f>
      </c>
      <c r="M59" s="184">
        <f>+M65-M60-M64</f>
      </c>
      <c r="N59" s="184">
        <f>+N65-N60-N64</f>
      </c>
      <c r="O59" s="184">
        <f>+O65-O60-O64</f>
      </c>
      <c r="P59" s="184">
        <f>+P65-P60-P64</f>
      </c>
      <c r="Q59" s="184">
        <f>+Q65-Q60-Q64</f>
      </c>
      <c r="R59" s="184">
        <f>+R65-R60-R64</f>
      </c>
      <c r="S59" s="184">
        <f>+S65-S60-S64</f>
      </c>
      <c r="T59" s="184">
        <f>+T65-T60-T64</f>
      </c>
      <c r="U59" s="184">
        <f>+U65-U60-U64</f>
      </c>
      <c r="V59" s="184">
        <f>+V65-V60-V64</f>
      </c>
      <c r="W59" s="184">
        <f>+W65-W60-W64</f>
      </c>
      <c r="X59" s="184">
        <f>+X65-X60-X64</f>
      </c>
      <c r="Y59" s="184">
        <f>+Y65-Y60-Y64</f>
      </c>
      <c r="Z59" s="184">
        <f>+Z65-Z60-Z64</f>
      </c>
      <c r="AA59" s="184">
        <f>+AA65-AA60-AA64</f>
      </c>
      <c r="AB59" s="184">
        <f>+AB65-AB60-AB64</f>
      </c>
      <c r="AC59" s="184">
        <f>+AC65-AC60-AC64</f>
      </c>
      <c r="AD59" s="184">
        <f>+AD65-AD60-AD64</f>
      </c>
      <c r="AF59" s="222"/>
    </row>
    <row r="60" spans="2:34">
      <c r="B60" s="193" t="s">
        <v>1322</v>
      </c>
      <c r="E60" s="199">
        <f>SUM(J60:U60)</f>
      </c>
      <c r="F60" s="199">
        <f>SUM(V60:AD60)</f>
      </c>
      <c r="H60" s="199">
        <f>SUM(S60:AD60)</f>
      </c>
      <c r="J60" s="197">
        <f>SUMIFS('Full Customer List'!$G:$G,'Full Customer List'!$I:$I,'Client Retention $'!J$5,'Full Customer List'!$E:$E,$AF57)/1000</f>
      </c>
      <c r="K60" s="197">
        <f>SUMIFS('Full Customer List'!$G:$G,'Full Customer List'!$I:$I,'Client Retention $'!K$5,'Full Customer List'!$E:$E,$AF57)/1000</f>
      </c>
      <c r="L60" s="197">
        <f>SUMIFS('Full Customer List'!$G:$G,'Full Customer List'!$I:$I,'Client Retention $'!L$5,'Full Customer List'!$E:$E,$AF57)/1000</f>
      </c>
      <c r="M60" s="197">
        <f>SUMIFS('Full Customer List'!$G:$G,'Full Customer List'!$I:$I,'Client Retention $'!M$5,'Full Customer List'!$E:$E,$AF57)/1000</f>
      </c>
      <c r="N60" s="197">
        <f>SUMIFS('Full Customer List'!$G:$G,'Full Customer List'!$I:$I,'Client Retention $'!N$5,'Full Customer List'!$E:$E,$AF57)/1000</f>
      </c>
      <c r="O60" s="197">
        <f>SUMIFS('Full Customer List'!$G:$G,'Full Customer List'!$I:$I,'Client Retention $'!O$5,'Full Customer List'!$E:$E,$AF57)/1000</f>
      </c>
      <c r="P60" s="197">
        <f>SUMIFS('Full Customer List'!$G:$G,'Full Customer List'!$I:$I,'Client Retention $'!P$5,'Full Customer List'!$E:$E,$AF57)/1000</f>
      </c>
      <c r="Q60" s="197">
        <f>SUMIFS('Full Customer List'!$G:$G,'Full Customer List'!$I:$I,'Client Retention $'!Q$5,'Full Customer List'!$E:$E,$AF57)/1000</f>
      </c>
      <c r="R60" s="197">
        <f>SUMIFS('Full Customer List'!$G:$G,'Full Customer List'!$I:$I,'Client Retention $'!R$5,'Full Customer List'!$E:$E,$AF57)/1000</f>
      </c>
      <c r="S60" s="197">
        <f>SUMIFS('Full Customer List'!$G:$G,'Full Customer List'!$I:$I,'Client Retention $'!S$5,'Full Customer List'!$E:$E,$AF57)/1000</f>
      </c>
      <c r="T60" s="197">
        <f>SUMIFS('Full Customer List'!$G:$G,'Full Customer List'!$I:$I,'Client Retention $'!T$5,'Full Customer List'!$E:$E,$AF57)/1000</f>
      </c>
      <c r="U60" s="197">
        <f>SUMIFS('Full Customer List'!$G:$G,'Full Customer List'!$I:$I,'Client Retention $'!U$5,'Full Customer List'!$E:$E,$AF57)/1000</f>
      </c>
      <c r="V60" s="197">
        <f>SUMIFS('Full Customer List'!$G:$G,'Full Customer List'!$I:$I,'Client Retention $'!V$5,'Full Customer List'!$E:$E,$AF57)/1000</f>
      </c>
      <c r="W60" s="197">
        <f>SUMIFS('Full Customer List'!$G:$G,'Full Customer List'!$I:$I,'Client Retention $'!W$5,'Full Customer List'!$E:$E,$AF57)/1000</f>
      </c>
      <c r="X60" s="197">
        <f>SUMIFS('Full Customer List'!$G:$G,'Full Customer List'!$I:$I,'Client Retention $'!X$5,'Full Customer List'!$E:$E,$AF57)/1000</f>
      </c>
      <c r="Y60" s="197">
        <f>SUMIFS('Full Customer List'!$G:$G,'Full Customer List'!$I:$I,'Client Retention $'!Y$5,'Full Customer List'!$E:$E,$AF57)/1000</f>
      </c>
      <c r="Z60" s="197">
        <f>SUMIFS('Full Customer List'!$G:$G,'Full Customer List'!$I:$I,'Client Retention $'!Z$5,'Full Customer List'!$E:$E,$AF57)/1000</f>
      </c>
      <c r="AA60" s="197">
        <f>SUMIFS('Full Customer List'!$G:$G,'Full Customer List'!$I:$I,'Client Retention $'!AA$5,'Full Customer List'!$E:$E,$AF57)/1000</f>
      </c>
      <c r="AB60" s="197">
        <f>SUMIFS('Full Customer List'!$G:$G,'Full Customer List'!$I:$I,'Client Retention $'!AB$5,'Full Customer List'!$E:$E,$AF57)/1000</f>
      </c>
      <c r="AC60" s="197">
        <f>SUMIFS('Full Customer List'!$G:$G,'Full Customer List'!$I:$I,'Client Retention $'!AC$5,'Full Customer List'!$E:$E,$AF57)/1000</f>
      </c>
      <c r="AD60" s="197">
        <f>SUMIFS('Full Customer List'!$G:$G,'Full Customer List'!$I:$I,'Client Retention $'!AD$5,'Full Customer List'!$E:$E,$AF57)/1000</f>
      </c>
      <c r="AF60" s="222"/>
    </row>
    <row r="61" spans="2:34">
      <c r="B61" s="269" t="s">
        <v>1551</v>
      </c>
      <c r="E61" s="199">
        <f>SUM(J61:U61)</f>
      </c>
      <c r="F61" s="199">
        <f>SUM(V61:AD61)</f>
      </c>
      <c r="H61" s="199">
        <f>SUM(S61:AD61)</f>
      </c>
      <c r="J61" s="197">
        <f>-SUMIFS('Full Customer List'!$G:$G,'Full Customer List'!$J:$J,J$1,'Full Customer List'!$E:$E,$AF57,'Full Customer List'!$H:$H,'Client Retention $'!$AF61)/1000</f>
      </c>
      <c r="K61" s="197">
        <f>-SUMIFS('Full Customer List'!$G:$G,'Full Customer List'!$J:$J,K$1,'Full Customer List'!$E:$E,$AF57,'Full Customer List'!$H:$H,'Client Retention $'!$AF61)/1000</f>
      </c>
      <c r="L61" s="197">
        <f>-SUMIFS('Full Customer List'!$G:$G,'Full Customer List'!$J:$J,L$1,'Full Customer List'!$E:$E,$AF57,'Full Customer List'!$H:$H,'Client Retention $'!$AF61)/1000</f>
      </c>
      <c r="M61" s="197">
        <f>-SUMIFS('Full Customer List'!$G:$G,'Full Customer List'!$J:$J,M$1,'Full Customer List'!$E:$E,$AF57,'Full Customer List'!$H:$H,'Client Retention $'!$AF61)/1000</f>
      </c>
      <c r="N61" s="197">
        <f>-SUMIFS('Full Customer List'!$G:$G,'Full Customer List'!$J:$J,N$1,'Full Customer List'!$E:$E,$AF57,'Full Customer List'!$H:$H,'Client Retention $'!$AF61)/1000</f>
      </c>
      <c r="O61" s="197">
        <f>-SUMIFS('Full Customer List'!$G:$G,'Full Customer List'!$J:$J,O$1,'Full Customer List'!$E:$E,$AF57,'Full Customer List'!$H:$H,'Client Retention $'!$AF61)/1000</f>
      </c>
      <c r="P61" s="197">
        <f>-SUMIFS('Full Customer List'!$G:$G,'Full Customer List'!$J:$J,P$1,'Full Customer List'!$E:$E,$AF57,'Full Customer List'!$H:$H,'Client Retention $'!$AF61)/1000</f>
      </c>
      <c r="Q61" s="197">
        <f>-SUMIFS('Full Customer List'!$G:$G,'Full Customer List'!$J:$J,Q$1,'Full Customer List'!$E:$E,$AF57,'Full Customer List'!$H:$H,'Client Retention $'!$AF61)/1000</f>
      </c>
      <c r="R61" s="197">
        <f>-SUMIFS('Full Customer List'!$G:$G,'Full Customer List'!$J:$J,R$1,'Full Customer List'!$E:$E,$AF57,'Full Customer List'!$H:$H,'Client Retention $'!$AF61)/1000</f>
      </c>
      <c r="S61" s="197">
        <f>-SUMIFS('Full Customer List'!$G:$G,'Full Customer List'!$J:$J,S$1,'Full Customer List'!$E:$E,$AF57,'Full Customer List'!$H:$H,'Client Retention $'!$AF61)/1000</f>
      </c>
      <c r="T61" s="197">
        <f>-SUMIFS('Full Customer List'!$G:$G,'Full Customer List'!$J:$J,T$1,'Full Customer List'!$E:$E,$AF57,'Full Customer List'!$H:$H,'Client Retention $'!$AF61)/1000</f>
      </c>
      <c r="U61" s="197">
        <f>-SUMIFS('Full Customer List'!$G:$G,'Full Customer List'!$J:$J,U$1,'Full Customer List'!$E:$E,$AF57,'Full Customer List'!$H:$H,'Client Retention $'!$AF61)/1000</f>
      </c>
      <c r="V61" s="197">
        <f>-SUMIFS('Full Customer List'!$G:$G,'Full Customer List'!$J:$J,V$1,'Full Customer List'!$E:$E,$AF57,'Full Customer List'!$H:$H,'Client Retention $'!$AF61)/1000</f>
      </c>
      <c r="W61" s="197">
        <f>-SUMIFS('Full Customer List'!$G:$G,'Full Customer List'!$J:$J,W$1,'Full Customer List'!$E:$E,$AF57,'Full Customer List'!$H:$H,'Client Retention $'!$AF61)/1000</f>
      </c>
      <c r="X61" s="197">
        <f>-SUMIFS('Full Customer List'!$G:$G,'Full Customer List'!$J:$J,X$1,'Full Customer List'!$E:$E,$AF57,'Full Customer List'!$H:$H,'Client Retention $'!$AF61)/1000</f>
      </c>
      <c r="Y61" s="197">
        <f>-SUMIFS('Full Customer List'!$G:$G,'Full Customer List'!$J:$J,Y$1,'Full Customer List'!$E:$E,$AF57,'Full Customer List'!$H:$H,'Client Retention $'!$AF61)/1000</f>
      </c>
      <c r="Z61" s="197">
        <f>-SUMIFS('Full Customer List'!$G:$G,'Full Customer List'!$J:$J,Z$1,'Full Customer List'!$E:$E,$AF57,'Full Customer List'!$H:$H,'Client Retention $'!$AF61)/1000</f>
      </c>
      <c r="AA61" s="197">
        <f>-SUMIFS('Full Customer List'!$G:$G,'Full Customer List'!$J:$J,AA$1,'Full Customer List'!$E:$E,$AF57,'Full Customer List'!$H:$H,'Client Retention $'!$AF61)/1000</f>
      </c>
      <c r="AB61" s="197">
        <f>-SUMIFS('Full Customer List'!$G:$G,'Full Customer List'!$J:$J,AB$1,'Full Customer List'!$E:$E,$AF57,'Full Customer List'!$H:$H,'Client Retention $'!$AF61)/1000</f>
      </c>
      <c r="AC61" s="197">
        <f>-SUMIFS('Full Customer List'!$G:$G,'Full Customer List'!$J:$J,AC$1,'Full Customer List'!$E:$E,$AF57,'Full Customer List'!$H:$H,'Client Retention $'!$AF61)/1000</f>
      </c>
      <c r="AD61" s="197">
        <f>-SUMIFS('Full Customer List'!$G:$G,'Full Customer List'!$J:$J,AD$1,'Full Customer List'!$E:$E,$AF57,'Full Customer List'!$H:$H,'Client Retention $'!$AF61)/1000</f>
      </c>
      <c r="AF61" s="175" t="s">
        <v>509</v>
      </c>
    </row>
    <row r="62" spans="2:34">
      <c r="B62" s="269" t="s">
        <v>1552</v>
      </c>
      <c r="E62" s="199">
        <f>SUM(J62:U62)</f>
      </c>
      <c r="F62" s="199">
        <f>SUM(V62:AD62)</f>
      </c>
      <c r="H62" s="199">
        <f>SUM(S62:AD62)</f>
      </c>
      <c r="J62" s="197">
        <f>-SUMIFS('Full Customer List'!$G:$G,'Full Customer List'!$J:$J,J$1,'Full Customer List'!$E:$E,$AF57,'Full Customer List'!$H:$H,'Client Retention $'!$AF62)/1000</f>
      </c>
      <c r="K62" s="197">
        <f>-SUMIFS('Full Customer List'!$G:$G,'Full Customer List'!$J:$J,K$1,'Full Customer List'!$E:$E,$AF57,'Full Customer List'!$H:$H,'Client Retention $'!$AF62)/1000</f>
      </c>
      <c r="L62" s="197">
        <f>-SUMIFS('Full Customer List'!$G:$G,'Full Customer List'!$J:$J,L$1,'Full Customer List'!$E:$E,$AF57,'Full Customer List'!$H:$H,'Client Retention $'!$AF62)/1000</f>
      </c>
      <c r="M62" s="197">
        <f>-SUMIFS('Full Customer List'!$G:$G,'Full Customer List'!$J:$J,M$1,'Full Customer List'!$E:$E,$AF57,'Full Customer List'!$H:$H,'Client Retention $'!$AF62)/1000</f>
      </c>
      <c r="N62" s="197">
        <f>-SUMIFS('Full Customer List'!$G:$G,'Full Customer List'!$J:$J,N$1,'Full Customer List'!$E:$E,$AF57,'Full Customer List'!$H:$H,'Client Retention $'!$AF62)/1000</f>
      </c>
      <c r="O62" s="197">
        <f>-SUMIFS('Full Customer List'!$G:$G,'Full Customer List'!$J:$J,O$1,'Full Customer List'!$E:$E,$AF57,'Full Customer List'!$H:$H,'Client Retention $'!$AF62)/1000</f>
      </c>
      <c r="P62" s="197">
        <f>-SUMIFS('Full Customer List'!$G:$G,'Full Customer List'!$J:$J,P$1,'Full Customer List'!$E:$E,$AF57,'Full Customer List'!$H:$H,'Client Retention $'!$AF62)/1000</f>
      </c>
      <c r="Q62" s="197">
        <f>-SUMIFS('Full Customer List'!$G:$G,'Full Customer List'!$J:$J,Q$1,'Full Customer List'!$E:$E,$AF57,'Full Customer List'!$H:$H,'Client Retention $'!$AF62)/1000</f>
      </c>
      <c r="R62" s="197">
        <f>-SUMIFS('Full Customer List'!$G:$G,'Full Customer List'!$J:$J,R$1,'Full Customer List'!$E:$E,$AF57,'Full Customer List'!$H:$H,'Client Retention $'!$AF62)/1000</f>
      </c>
      <c r="S62" s="197">
        <f>-SUMIFS('Full Customer List'!$G:$G,'Full Customer List'!$J:$J,S$1,'Full Customer List'!$E:$E,$AF57,'Full Customer List'!$H:$H,'Client Retention $'!$AF62)/1000</f>
      </c>
      <c r="T62" s="197">
        <f>-SUMIFS('Full Customer List'!$G:$G,'Full Customer List'!$J:$J,T$1,'Full Customer List'!$E:$E,$AF57,'Full Customer List'!$H:$H,'Client Retention $'!$AF62)/1000</f>
      </c>
      <c r="U62" s="197">
        <f>-SUMIFS('Full Customer List'!$G:$G,'Full Customer List'!$J:$J,U$1,'Full Customer List'!$E:$E,$AF57,'Full Customer List'!$H:$H,'Client Retention $'!$AF62)/1000</f>
      </c>
      <c r="V62" s="197">
        <f>-SUMIFS('Full Customer List'!$G:$G,'Full Customer List'!$J:$J,V$1,'Full Customer List'!$E:$E,$AF57,'Full Customer List'!$H:$H,'Client Retention $'!$AF62)/1000</f>
      </c>
      <c r="W62" s="197">
        <f>-SUMIFS('Full Customer List'!$G:$G,'Full Customer List'!$J:$J,W$1,'Full Customer List'!$E:$E,$AF57,'Full Customer List'!$H:$H,'Client Retention $'!$AF62)/1000</f>
      </c>
      <c r="X62" s="197">
        <f>-SUMIFS('Full Customer List'!$G:$G,'Full Customer List'!$J:$J,X$1,'Full Customer List'!$E:$E,$AF57,'Full Customer List'!$H:$H,'Client Retention $'!$AF62)/1000</f>
      </c>
      <c r="Y62" s="197">
        <f>-SUMIFS('Full Customer List'!$G:$G,'Full Customer List'!$J:$J,Y$1,'Full Customer List'!$E:$E,$AF57,'Full Customer List'!$H:$H,'Client Retention $'!$AF62)/1000</f>
      </c>
      <c r="Z62" s="197">
        <f>-SUMIFS('Full Customer List'!$G:$G,'Full Customer List'!$J:$J,Z$1,'Full Customer List'!$E:$E,$AF57,'Full Customer List'!$H:$H,'Client Retention $'!$AF62)/1000</f>
      </c>
      <c r="AA62" s="197">
        <f>-SUMIFS('Full Customer List'!$G:$G,'Full Customer List'!$J:$J,AA$1,'Full Customer List'!$E:$E,$AF57,'Full Customer List'!$H:$H,'Client Retention $'!$AF62)/1000</f>
      </c>
      <c r="AB62" s="197">
        <f>-SUMIFS('Full Customer List'!$G:$G,'Full Customer List'!$J:$J,AB$1,'Full Customer List'!$E:$E,$AF57,'Full Customer List'!$H:$H,'Client Retention $'!$AF62)/1000</f>
      </c>
      <c r="AC62" s="197">
        <f>-SUMIFS('Full Customer List'!$G:$G,'Full Customer List'!$J:$J,AC$1,'Full Customer List'!$E:$E,$AF57,'Full Customer List'!$H:$H,'Client Retention $'!$AF62)/1000</f>
      </c>
      <c r="AD62" s="197">
        <f>-SUMIFS('Full Customer List'!$G:$G,'Full Customer List'!$J:$J,AD$1,'Full Customer List'!$E:$E,$AF57,'Full Customer List'!$H:$H,'Client Retention $'!$AF62)/1000</f>
      </c>
      <c r="AF62" s="175" t="s">
        <v>510</v>
      </c>
    </row>
    <row r="63" spans="2:34">
      <c r="B63" s="269" t="s">
        <v>1553</v>
      </c>
      <c r="E63" s="199">
        <f>SUM(J63:U63)</f>
      </c>
      <c r="F63" s="199">
        <f>SUM(V63:AD63)</f>
      </c>
      <c r="H63" s="199">
        <f>SUM(S63:AD63)</f>
      </c>
      <c r="J63" s="197">
        <f>-SUMIFS('Full Customer List'!$G:$G,'Full Customer List'!$J:$J,J$1,'Full Customer List'!$E:$E,$AF57,'Full Customer List'!$H:$H,'Client Retention $'!$AF63)/1000</f>
      </c>
      <c r="K63" s="197">
        <f>-SUMIFS('Full Customer List'!$G:$G,'Full Customer List'!$J:$J,K$1,'Full Customer List'!$E:$E,$AF57,'Full Customer List'!$H:$H,'Client Retention $'!$AF63)/1000</f>
      </c>
      <c r="L63" s="197">
        <f>-SUMIFS('Full Customer List'!$G:$G,'Full Customer List'!$J:$J,L$1,'Full Customer List'!$E:$E,$AF57,'Full Customer List'!$H:$H,'Client Retention $'!$AF63)/1000</f>
      </c>
      <c r="M63" s="197">
        <f>-SUMIFS('Full Customer List'!$G:$G,'Full Customer List'!$J:$J,M$1,'Full Customer List'!$E:$E,$AF57,'Full Customer List'!$H:$H,'Client Retention $'!$AF63)/1000</f>
      </c>
      <c r="N63" s="197">
        <f>-SUMIFS('Full Customer List'!$G:$G,'Full Customer List'!$J:$J,N$1,'Full Customer List'!$E:$E,$AF57,'Full Customer List'!$H:$H,'Client Retention $'!$AF63)/1000</f>
      </c>
      <c r="O63" s="197">
        <f>-SUMIFS('Full Customer List'!$G:$G,'Full Customer List'!$J:$J,O$1,'Full Customer List'!$E:$E,$AF57,'Full Customer List'!$H:$H,'Client Retention $'!$AF63)/1000</f>
      </c>
      <c r="P63" s="197">
        <f>-SUMIFS('Full Customer List'!$G:$G,'Full Customer List'!$J:$J,P$1,'Full Customer List'!$E:$E,$AF57,'Full Customer List'!$H:$H,'Client Retention $'!$AF63)/1000</f>
      </c>
      <c r="Q63" s="197">
        <f>-SUMIFS('Full Customer List'!$G:$G,'Full Customer List'!$J:$J,Q$1,'Full Customer List'!$E:$E,$AF57,'Full Customer List'!$H:$H,'Client Retention $'!$AF63)/1000</f>
      </c>
      <c r="R63" s="197">
        <f>-SUMIFS('Full Customer List'!$G:$G,'Full Customer List'!$J:$J,R$1,'Full Customer List'!$E:$E,$AF57,'Full Customer List'!$H:$H,'Client Retention $'!$AF63)/1000</f>
      </c>
      <c r="S63" s="197">
        <f>-SUMIFS('Full Customer List'!$G:$G,'Full Customer List'!$J:$J,S$1,'Full Customer List'!$E:$E,$AF57,'Full Customer List'!$H:$H,'Client Retention $'!$AF63)/1000</f>
      </c>
      <c r="T63" s="197">
        <f>-SUMIFS('Full Customer List'!$G:$G,'Full Customer List'!$J:$J,T$1,'Full Customer List'!$E:$E,$AF57,'Full Customer List'!$H:$H,'Client Retention $'!$AF63)/1000</f>
      </c>
      <c r="U63" s="197">
        <f>-SUMIFS('Full Customer List'!$G:$G,'Full Customer List'!$J:$J,U$1,'Full Customer List'!$E:$E,$AF57,'Full Customer List'!$H:$H,'Client Retention $'!$AF63)/1000</f>
      </c>
      <c r="V63" s="197">
        <f>-SUMIFS('Full Customer List'!$G:$G,'Full Customer List'!$J:$J,V$1,'Full Customer List'!$E:$E,$AF57,'Full Customer List'!$H:$H,'Client Retention $'!$AF63)/1000</f>
      </c>
      <c r="W63" s="197">
        <f>-SUMIFS('Full Customer List'!$G:$G,'Full Customer List'!$J:$J,W$1,'Full Customer List'!$E:$E,$AF57,'Full Customer List'!$H:$H,'Client Retention $'!$AF63)/1000</f>
      </c>
      <c r="X63" s="197">
        <f>-SUMIFS('Full Customer List'!$G:$G,'Full Customer List'!$J:$J,X$1,'Full Customer List'!$E:$E,$AF57,'Full Customer List'!$H:$H,'Client Retention $'!$AF63)/1000</f>
      </c>
      <c r="Y63" s="197">
        <f>-SUMIFS('Full Customer List'!$G:$G,'Full Customer List'!$J:$J,Y$1,'Full Customer List'!$E:$E,$AF57,'Full Customer List'!$H:$H,'Client Retention $'!$AF63)/1000</f>
      </c>
      <c r="Z63" s="197">
        <f>-SUMIFS('Full Customer List'!$G:$G,'Full Customer List'!$J:$J,Z$1,'Full Customer List'!$E:$E,$AF57,'Full Customer List'!$H:$H,'Client Retention $'!$AF63)/1000</f>
      </c>
      <c r="AA63" s="197">
        <f>-SUMIFS('Full Customer List'!$G:$G,'Full Customer List'!$J:$J,AA$1,'Full Customer List'!$E:$E,$AF57,'Full Customer List'!$H:$H,'Client Retention $'!$AF63)/1000</f>
      </c>
      <c r="AB63" s="197">
        <f>-SUMIFS('Full Customer List'!$G:$G,'Full Customer List'!$J:$J,AB$1,'Full Customer List'!$E:$E,$AF57,'Full Customer List'!$H:$H,'Client Retention $'!$AF63)/1000</f>
      </c>
      <c r="AC63" s="197">
        <f>-SUMIFS('Full Customer List'!$G:$G,'Full Customer List'!$J:$J,AC$1,'Full Customer List'!$E:$E,$AF57,'Full Customer List'!$H:$H,'Client Retention $'!$AF63)/1000</f>
      </c>
      <c r="AD63" s="197">
        <f>-SUMIFS('Full Customer List'!$G:$G,'Full Customer List'!$J:$J,AD$1,'Full Customer List'!$E:$E,$AF57,'Full Customer List'!$H:$H,'Client Retention $'!$AF63)/1000</f>
      </c>
      <c r="AF63" s="175" t="s">
        <v>1554</v>
      </c>
    </row>
    <row r="64" spans="2:34" ht="12" customHeight="1">
      <c r="B64" s="259" t="s">
        <v>1555</v>
      </c>
      <c r="C64" s="262"/>
      <c r="D64" s="262"/>
      <c r="E64" s="260">
        <f>SUM(J64:U64)</f>
      </c>
      <c r="F64" s="260">
        <f>SUM(V64:AD64)</f>
      </c>
      <c r="G64" s="261"/>
      <c r="H64" s="260">
        <f>SUM(S64:AD64)</f>
      </c>
      <c r="I64" s="281"/>
      <c r="J64" s="262">
        <f>-SUMIFS('Full Customer List'!$G:$G,'Full Customer List'!$J:$J,J$1,'Full Customer List'!$E:$E,$AF57)/1000</f>
      </c>
      <c r="K64" s="262">
        <f>-SUMIFS('Full Customer List'!$G:$G,'Full Customer List'!$J:$J,K$1,'Full Customer List'!$E:$E,$AF57)/1000</f>
      </c>
      <c r="L64" s="262">
        <f>-SUMIFS('Full Customer List'!$G:$G,'Full Customer List'!$J:$J,L$1,'Full Customer List'!$E:$E,$AF57)/1000</f>
      </c>
      <c r="M64" s="262">
        <f>-SUMIFS('Full Customer List'!$G:$G,'Full Customer List'!$J:$J,M$1,'Full Customer List'!$E:$E,$AF57)/1000</f>
      </c>
      <c r="N64" s="262">
        <f>-SUMIFS('Full Customer List'!$G:$G,'Full Customer List'!$J:$J,N$1,'Full Customer List'!$E:$E,$AF57)/1000</f>
      </c>
      <c r="O64" s="262">
        <f>-SUMIFS('Full Customer List'!$G:$G,'Full Customer List'!$J:$J,O$1,'Full Customer List'!$E:$E,$AF57)/1000</f>
      </c>
      <c r="P64" s="262">
        <f>-SUMIFS('Full Customer List'!$G:$G,'Full Customer List'!$J:$J,P$1,'Full Customer List'!$E:$E,$AF57)/1000</f>
      </c>
      <c r="Q64" s="262">
        <f>-SUMIFS('Full Customer List'!$G:$G,'Full Customer List'!$J:$J,Q$1,'Full Customer List'!$E:$E,$AF57)/1000</f>
      </c>
      <c r="R64" s="262">
        <f>-SUMIFS('Full Customer List'!$G:$G,'Full Customer List'!$J:$J,R$1,'Full Customer List'!$E:$E,$AF57)/1000</f>
      </c>
      <c r="S64" s="262">
        <f>-SUMIFS('Full Customer List'!$G:$G,'Full Customer List'!$J:$J,S$1,'Full Customer List'!$E:$E,$AF57)/1000</f>
      </c>
      <c r="T64" s="262">
        <f>-SUMIFS('Full Customer List'!$G:$G,'Full Customer List'!$J:$J,T$1,'Full Customer List'!$E:$E,$AF57)/1000</f>
      </c>
      <c r="U64" s="262">
        <f>-SUMIFS('Full Customer List'!$G:$G,'Full Customer List'!$J:$J,U$1,'Full Customer List'!$E:$E,$AF57)/1000</f>
      </c>
      <c r="V64" s="262">
        <f>-SUMIFS('Full Customer List'!$G:$G,'Full Customer List'!$J:$J,V$1,'Full Customer List'!$E:$E,$AF57)/1000</f>
      </c>
      <c r="W64" s="262">
        <f>-SUMIFS('Full Customer List'!$G:$G,'Full Customer List'!$J:$J,W$1,'Full Customer List'!$E:$E,$AF57)/1000</f>
      </c>
      <c r="X64" s="262">
        <f>-SUMIFS('Full Customer List'!$G:$G,'Full Customer List'!$J:$J,X$1,'Full Customer List'!$E:$E,$AF57)/1000</f>
      </c>
      <c r="Y64" s="262">
        <f>-SUMIFS('Full Customer List'!$G:$G,'Full Customer List'!$J:$J,Y$1,'Full Customer List'!$E:$E,$AF57)/1000</f>
      </c>
      <c r="Z64" s="262">
        <f>-SUMIFS('Full Customer List'!$G:$G,'Full Customer List'!$J:$J,Z$1,'Full Customer List'!$E:$E,$AF57)/1000</f>
      </c>
      <c r="AA64" s="262">
        <f>-SUMIFS('Full Customer List'!$G:$G,'Full Customer List'!$J:$J,AA$1,'Full Customer List'!$E:$E,$AF57)/1000</f>
      </c>
      <c r="AB64" s="262">
        <f>-SUMIFS('Full Customer List'!$G:$G,'Full Customer List'!$J:$J,AB$1,'Full Customer List'!$E:$E,$AF57)/1000</f>
      </c>
      <c r="AC64" s="262">
        <f>-SUMIFS('Full Customer List'!$G:$G,'Full Customer List'!$J:$J,AC$1,'Full Customer List'!$E:$E,$AF57)/1000</f>
      </c>
      <c r="AD64" s="262">
        <f>-SUMIFS('Full Customer List'!$G:$G,'Full Customer List'!$J:$J,AD$1,'Full Customer List'!$E:$E,$AF57)/1000</f>
      </c>
    </row>
    <row r="65" spans="2:34" ht="12" customHeight="1">
      <c r="B65" s="263" t="s">
        <v>1570</v>
      </c>
      <c r="C65" s="264"/>
      <c r="D65" s="264"/>
      <c r="E65" s="264">
        <f>+F59</f>
      </c>
      <c r="F65" s="265">
        <f>+$AD65</f>
      </c>
      <c r="H65" s="268">
        <f>+$AD65</f>
      </c>
      <c r="J65" s="266">
        <f>+K59</f>
      </c>
      <c r="K65" s="264">
        <f>+L59</f>
      </c>
      <c r="L65" s="264">
        <f>+M59</f>
      </c>
      <c r="M65" s="264">
        <f>+N59</f>
      </c>
      <c r="N65" s="264">
        <f>+O59</f>
      </c>
      <c r="O65" s="264">
        <f>+P59</f>
      </c>
      <c r="P65" s="264">
        <f>+Q59</f>
      </c>
      <c r="Q65" s="264">
        <f>+R59</f>
      </c>
      <c r="R65" s="264">
        <f>+S59</f>
      </c>
      <c r="S65" s="266">
        <f>+T59</f>
      </c>
      <c r="T65" s="264">
        <f>+U59</f>
      </c>
      <c r="U65" s="264">
        <f>+V59</f>
      </c>
      <c r="V65" s="264">
        <f>+W59</f>
      </c>
      <c r="W65" s="264">
        <f>+X59</f>
      </c>
      <c r="X65" s="264">
        <f>+Y59</f>
      </c>
      <c r="Y65" s="264">
        <f>+Z59</f>
      </c>
      <c r="Z65" s="264">
        <f>+AA59</f>
      </c>
      <c r="AA65" s="264">
        <f>+AB59</f>
      </c>
      <c r="AB65" s="264">
        <f>+AC59</f>
      </c>
      <c r="AC65" s="264">
        <f>+AD59</f>
      </c>
      <c r="AD65" s="267">
        <f>SUMIFS('Full Customer List'!$G:$G,'Full Customer List'!$C:$C,"Active",'Full Customer List'!$E:$E,'Client Retention $'!$AF57)/1000</f>
      </c>
    </row>
    <row r="66" spans="2:34" ht="3.95" customHeight="1">
      <c r="B66" s="182"/>
      <c r="C66" s="236"/>
      <c r="D66" s="236"/>
      <c r="E66" s="236"/>
      <c r="F66" s="236"/>
      <c r="H66" s="236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  <c r="AB66" s="237"/>
      <c r="AC66" s="237"/>
      <c r="AD66" s="237"/>
      <c r="AF66" s="222"/>
    </row>
    <row r="67" spans="2:34" ht="12" customHeight="1">
      <c r="B67" s="238" t="s">
        <v>1571</v>
      </c>
      <c r="C67" s="239"/>
      <c r="D67" s="239"/>
      <c r="E67" s="240">
        <f>(E60+E59)/E59-1</f>
      </c>
      <c r="F67" s="251">
        <f>(F60+F59)/F59-1</f>
      </c>
      <c r="G67" s="252"/>
      <c r="H67" s="253">
        <f>(H60+H59)/H59-1</f>
      </c>
      <c r="J67" s="250">
        <f>(J60+J59)/J59-1</f>
      </c>
      <c r="K67" s="240">
        <f>(K60+K59)/K59-1</f>
      </c>
      <c r="L67" s="240">
        <f>(L60+L59)/L59-1</f>
      </c>
      <c r="M67" s="240">
        <f>(M60+M59)/M59-1</f>
      </c>
      <c r="N67" s="240">
        <f>(N60+N59)/N59-1</f>
      </c>
      <c r="O67" s="240">
        <f>(O60+O59)/O59-1</f>
      </c>
      <c r="P67" s="240">
        <f>(P60+P59)/P59-1</f>
      </c>
      <c r="Q67" s="240">
        <f>(Q60+Q59)/Q59-1</f>
      </c>
      <c r="R67" s="240">
        <f>(R60+R59)/R59-1</f>
      </c>
      <c r="S67" s="250">
        <f>(S60+S59)/S59-1</f>
      </c>
      <c r="T67" s="240">
        <f>(T60+T59)/T59-1</f>
      </c>
      <c r="U67" s="240">
        <f>(U60+U59)/U59-1</f>
      </c>
      <c r="V67" s="240">
        <f>(V60+V59)/V59-1</f>
      </c>
      <c r="W67" s="240">
        <f>(W60+W59)/W59-1</f>
      </c>
      <c r="X67" s="240">
        <f>(X60+X59)/X59-1</f>
      </c>
      <c r="Y67" s="240">
        <f>(Y60+Y59)/Y59-1</f>
      </c>
      <c r="Z67" s="240">
        <f>(Z60+Z59)/Z59-1</f>
      </c>
      <c r="AA67" s="240">
        <f>(AA60+AA59)/AA59-1</f>
      </c>
      <c r="AB67" s="240">
        <f>(AB60+AB59)/AB59-1</f>
      </c>
      <c r="AC67" s="240">
        <f>(AC60+AC59)/AC59-1</f>
      </c>
      <c r="AD67" s="251">
        <f>(AD60+AD59)/AD59-1</f>
      </c>
      <c r="AF67" s="222"/>
    </row>
    <row r="68" spans="2:34" ht="12" customHeight="1">
      <c r="B68" s="241" t="s">
        <v>1572</v>
      </c>
      <c r="C68" s="242"/>
      <c r="D68" s="242"/>
      <c r="E68" s="243">
        <f>(E64+E59)/E59-1</f>
      </c>
      <c r="F68" s="244">
        <f>(F64+F59)/F59-1</f>
      </c>
      <c r="G68" s="252"/>
      <c r="H68" s="246">
        <f>(H64+H59)/H59-1</f>
      </c>
      <c r="J68" s="245">
        <f>(J64+J59)/J59-1</f>
      </c>
      <c r="K68" s="243">
        <f>(K64+K59)/K59-1</f>
      </c>
      <c r="L68" s="243">
        <f>(L64+L59)/L59-1</f>
      </c>
      <c r="M68" s="243">
        <f>(M64+M59)/M59-1</f>
      </c>
      <c r="N68" s="243">
        <f>(N64+N59)/N59-1</f>
      </c>
      <c r="O68" s="243">
        <f>(O64+O59)/O59-1</f>
      </c>
      <c r="P68" s="243">
        <f>(P64+P59)/P59-1</f>
      </c>
      <c r="Q68" s="243">
        <f>(Q64+Q59)/Q59-1</f>
      </c>
      <c r="R68" s="243">
        <f>(R64+R59)/R59-1</f>
      </c>
      <c r="S68" s="245">
        <f>(S64+S59)/S59-1</f>
      </c>
      <c r="T68" s="243">
        <f>(T64+T59)/T59-1</f>
      </c>
      <c r="U68" s="243">
        <f>(U64+U59)/U59-1</f>
      </c>
      <c r="V68" s="243">
        <f>(V64+V59)/V59-1</f>
      </c>
      <c r="W68" s="243">
        <f>(W64+W59)/W59-1</f>
      </c>
      <c r="X68" s="243">
        <f>(X64+X59)/X59-1</f>
      </c>
      <c r="Y68" s="243">
        <f>(Y64+Y59)/Y59-1</f>
      </c>
      <c r="Z68" s="243">
        <f>(Z64+Z59)/Z59-1</f>
      </c>
      <c r="AA68" s="243">
        <f>(AA64+AA59)/AA59-1</f>
      </c>
      <c r="AB68" s="243">
        <f>(AB64+AB59)/AB59-1</f>
      </c>
      <c r="AC68" s="243">
        <f>(AC64+AC59)/AC59-1</f>
      </c>
      <c r="AD68" s="244">
        <f>(AD64+AD59)/AD59-1</f>
      </c>
      <c r="AF68" s="222"/>
    </row>
    <row r="69" spans="2:34" ht="3.95" customHeight="1">
      <c r="AF69" s="222"/>
    </row>
    <row r="70" spans="2:34" ht="24">
      <c r="B70" s="161" t="s">
        <v>1316</v>
      </c>
      <c r="C70" s="178" t="s">
        <v>1324</v>
      </c>
      <c r="D70" s="178" t="s">
        <v>3</v>
      </c>
      <c r="E70" s="178" t="s">
        <v>4</v>
      </c>
      <c r="F70" s="178" t="s">
        <v>1326</v>
      </c>
      <c r="G70" s="195"/>
      <c r="H70" s="178" t="s">
        <v>1550</v>
      </c>
      <c r="J70" s="194">
        <v>45658</v>
      </c>
      <c r="K70" s="194">
        <f>EOMONTH(J70,0)+1</f>
      </c>
      <c r="L70" s="194">
        <f>EOMONTH(K70,0)+1</f>
      </c>
      <c r="M70" s="194">
        <f>EOMONTH(L70,0)+1</f>
      </c>
      <c r="N70" s="194">
        <f>EOMONTH(M70,0)+1</f>
      </c>
      <c r="O70" s="194">
        <f>EOMONTH(N70,0)+1</f>
      </c>
      <c r="P70" s="194">
        <f>EOMONTH(O70,0)+1</f>
      </c>
      <c r="Q70" s="194">
        <v>45870</v>
      </c>
      <c r="R70" s="194">
        <f>EOMONTH(Q70,0)+1</f>
      </c>
      <c r="S70" s="194">
        <f>EOMONTH(R70,0)+1</f>
      </c>
      <c r="T70" s="194">
        <f>EOMONTH(S70,0)+1</f>
      </c>
      <c r="U70" s="194">
        <f>EOMONTH(T70,0)+1</f>
      </c>
      <c r="V70" s="194">
        <f>EOMONTH(U70,0)+1</f>
      </c>
      <c r="W70" s="194">
        <f>EOMONTH(V70,0)+1</f>
      </c>
      <c r="X70" s="194">
        <f>EOMONTH(W70,0)+1</f>
      </c>
      <c r="Y70" s="194">
        <f>EOMONTH(X70,0)+1</f>
      </c>
      <c r="Z70" s="194">
        <f>EOMONTH(Y70,0)+1</f>
      </c>
      <c r="AA70" s="194">
        <f>EOMONTH(Z70,0)+1</f>
      </c>
      <c r="AB70" s="194">
        <f>EOMONTH(AA70,0)+1</f>
      </c>
      <c r="AC70" s="194">
        <f>EOMONTH(AB70,0)+1</f>
      </c>
      <c r="AD70" s="194">
        <f>EOMONTH(AC70,0)+1</f>
      </c>
      <c r="AE70" s="189"/>
      <c r="AF70" s="222" t="s">
        <v>1308</v>
      </c>
      <c r="AG70" s="189"/>
      <c r="AH70" s="189"/>
    </row>
    <row r="71" spans="2:34">
      <c r="B71" s="188" t="str">
        <f>+AF70</f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5" t="s">
        <v>1569</v>
      </c>
      <c r="C72" s="184"/>
      <c r="D72" s="184"/>
      <c r="E72" s="184">
        <f>+E78-E73-E77</f>
      </c>
      <c r="F72" s="184">
        <f>+F78-F73-F77</f>
      </c>
      <c r="H72" s="184">
        <f>+H78-H73-H77</f>
      </c>
      <c r="J72" s="184">
        <f>+J78-J73-J77</f>
      </c>
      <c r="K72" s="184">
        <f>+K78-K73-K77</f>
      </c>
      <c r="L72" s="184">
        <f>+L78-L73-L77</f>
      </c>
      <c r="M72" s="184">
        <f>+M78-M73-M77</f>
      </c>
      <c r="N72" s="184">
        <f>+N78-N73-N77</f>
      </c>
      <c r="O72" s="184">
        <f>+O78-O73-O77</f>
      </c>
      <c r="P72" s="184">
        <f>+P78-P73-P77</f>
      </c>
      <c r="Q72" s="184">
        <f>+Q78-Q73-Q77</f>
      </c>
      <c r="R72" s="184">
        <f>+R78-R73-R77</f>
      </c>
      <c r="S72" s="184">
        <f>+S78-S73-S77</f>
      </c>
      <c r="T72" s="184">
        <f>+T78-T73-T77</f>
      </c>
      <c r="U72" s="184">
        <f>+U78-U73-U77</f>
      </c>
      <c r="V72" s="184">
        <f>+V78-V73-V77</f>
      </c>
      <c r="W72" s="184">
        <f>+W78-W73-W77</f>
      </c>
      <c r="X72" s="184">
        <f>+X78-X73-X77</f>
      </c>
      <c r="Y72" s="184">
        <f>+Y78-Y73-Y77</f>
      </c>
      <c r="Z72" s="184">
        <f>+Z78-Z73-Z77</f>
      </c>
      <c r="AA72" s="184">
        <f>+AA78-AA73-AA77</f>
      </c>
      <c r="AB72" s="184">
        <f>+AB78-AB73-AB77</f>
      </c>
      <c r="AC72" s="184">
        <f>+AC78-AC73-AC77</f>
      </c>
      <c r="AD72" s="184">
        <f>+AD78-AD73-AD77</f>
      </c>
    </row>
    <row r="73" spans="2:34">
      <c r="B73" s="193" t="s">
        <v>1322</v>
      </c>
      <c r="E73" s="199">
        <f>SUM(J73:U73)</f>
      </c>
      <c r="F73" s="199">
        <f>SUM(V73:AD73)</f>
      </c>
      <c r="H73" s="199">
        <f>SUM(S73:AD73)</f>
      </c>
      <c r="J73" s="197">
        <f>SUMIFS('Full Customer List'!$G:$G,'Full Customer List'!$I:$I,'Client Retention $'!J$5,'Full Customer List'!$E:$E,$AF70)/1000</f>
      </c>
      <c r="K73" s="197">
        <f>SUMIFS('Full Customer List'!$G:$G,'Full Customer List'!$I:$I,'Client Retention $'!K$5,'Full Customer List'!$E:$E,$AF70)/1000</f>
      </c>
      <c r="L73" s="197">
        <f>SUMIFS('Full Customer List'!$G:$G,'Full Customer List'!$I:$I,'Client Retention $'!L$5,'Full Customer List'!$E:$E,$AF70)/1000</f>
      </c>
      <c r="M73" s="197">
        <f>SUMIFS('Full Customer List'!$G:$G,'Full Customer List'!$I:$I,'Client Retention $'!M$5,'Full Customer List'!$E:$E,$AF70)/1000</f>
      </c>
      <c r="N73" s="197">
        <f>SUMIFS('Full Customer List'!$G:$G,'Full Customer List'!$I:$I,'Client Retention $'!N$5,'Full Customer List'!$E:$E,$AF70)/1000</f>
      </c>
      <c r="O73" s="197">
        <f>SUMIFS('Full Customer List'!$G:$G,'Full Customer List'!$I:$I,'Client Retention $'!O$5,'Full Customer List'!$E:$E,$AF70)/1000</f>
      </c>
      <c r="P73" s="197">
        <f>SUMIFS('Full Customer List'!$G:$G,'Full Customer List'!$I:$I,'Client Retention $'!P$5,'Full Customer List'!$E:$E,$AF70)/1000</f>
      </c>
      <c r="Q73" s="197">
        <f>SUMIFS('Full Customer List'!$G:$G,'Full Customer List'!$I:$I,'Client Retention $'!Q$5,'Full Customer List'!$E:$E,$AF70)/1000</f>
      </c>
      <c r="R73" s="197">
        <f>SUMIFS('Full Customer List'!$G:$G,'Full Customer List'!$I:$I,'Client Retention $'!R$5,'Full Customer List'!$E:$E,$AF70)/1000</f>
      </c>
      <c r="S73" s="197">
        <f>SUMIFS('Full Customer List'!$G:$G,'Full Customer List'!$I:$I,'Client Retention $'!S$5,'Full Customer List'!$E:$E,$AF70)/1000</f>
      </c>
      <c r="T73" s="197">
        <f>SUMIFS('Full Customer List'!$G:$G,'Full Customer List'!$I:$I,'Client Retention $'!T$5,'Full Customer List'!$E:$E,$AF70)/1000</f>
      </c>
      <c r="U73" s="197">
        <f>SUMIFS('Full Customer List'!$G:$G,'Full Customer List'!$I:$I,'Client Retention $'!U$5,'Full Customer List'!$E:$E,$AF70)/1000</f>
      </c>
      <c r="V73" s="197">
        <f>SUMIFS('Full Customer List'!$G:$G,'Full Customer List'!$I:$I,'Client Retention $'!V$5,'Full Customer List'!$E:$E,$AF70)/1000</f>
      </c>
      <c r="W73" s="197">
        <f>SUMIFS('Full Customer List'!$G:$G,'Full Customer List'!$I:$I,'Client Retention $'!W$5,'Full Customer List'!$E:$E,$AF70)/1000</f>
      </c>
      <c r="X73" s="197">
        <f>SUMIFS('Full Customer List'!$G:$G,'Full Customer List'!$I:$I,'Client Retention $'!X$5,'Full Customer List'!$E:$E,$AF70)/1000</f>
      </c>
      <c r="Y73" s="197">
        <f>SUMIFS('Full Customer List'!$G:$G,'Full Customer List'!$I:$I,'Client Retention $'!Y$5,'Full Customer List'!$E:$E,$AF70)/1000</f>
      </c>
      <c r="Z73" s="197">
        <f>SUMIFS('Full Customer List'!$G:$G,'Full Customer List'!$I:$I,'Client Retention $'!Z$5,'Full Customer List'!$E:$E,$AF70)/1000</f>
      </c>
      <c r="AA73" s="197">
        <f>SUMIFS('Full Customer List'!$G:$G,'Full Customer List'!$I:$I,'Client Retention $'!AA$5,'Full Customer List'!$E:$E,$AF70)/1000</f>
      </c>
      <c r="AB73" s="197">
        <f>SUMIFS('Full Customer List'!$G:$G,'Full Customer List'!$I:$I,'Client Retention $'!AB$5,'Full Customer List'!$E:$E,$AF70)/1000</f>
      </c>
      <c r="AC73" s="197">
        <f>SUMIFS('Full Customer List'!$G:$G,'Full Customer List'!$I:$I,'Client Retention $'!AC$5,'Full Customer List'!$E:$E,$AF70)/1000</f>
      </c>
      <c r="AD73" s="197">
        <f>SUMIFS('Full Customer List'!$G:$G,'Full Customer List'!$I:$I,'Client Retention $'!AD$5,'Full Customer List'!$E:$E,$AF70)/1000</f>
      </c>
    </row>
    <row r="74" spans="2:34">
      <c r="B74" s="269" t="s">
        <v>1551</v>
      </c>
      <c r="E74" s="199">
        <f>SUM(J74:U74)</f>
      </c>
      <c r="F74" s="199">
        <f>SUM(V74:AD74)</f>
      </c>
      <c r="H74" s="199">
        <f>SUM(S74:AD74)</f>
      </c>
      <c r="J74" s="197">
        <f>-SUMIFS('Full Customer List'!$G:$G,'Full Customer List'!$J:$J,J$1,'Full Customer List'!$E:$E,$AF70,'Full Customer List'!$H:$H,'Client Retention $'!$AF74)/1000</f>
      </c>
      <c r="K74" s="197">
        <f>-SUMIFS('Full Customer List'!$G:$G,'Full Customer List'!$J:$J,K$1,'Full Customer List'!$E:$E,$AF70,'Full Customer List'!$H:$H,'Client Retention $'!$AF74)/1000</f>
      </c>
      <c r="L74" s="197">
        <f>-SUMIFS('Full Customer List'!$G:$G,'Full Customer List'!$J:$J,L$1,'Full Customer List'!$E:$E,$AF70,'Full Customer List'!$H:$H,'Client Retention $'!$AF74)/1000</f>
      </c>
      <c r="M74" s="197">
        <f>-SUMIFS('Full Customer List'!$G:$G,'Full Customer List'!$J:$J,M$1,'Full Customer List'!$E:$E,$AF70,'Full Customer List'!$H:$H,'Client Retention $'!$AF74)/1000</f>
      </c>
      <c r="N74" s="197">
        <f>-SUMIFS('Full Customer List'!$G:$G,'Full Customer List'!$J:$J,N$1,'Full Customer List'!$E:$E,$AF70,'Full Customer List'!$H:$H,'Client Retention $'!$AF74)/1000</f>
      </c>
      <c r="O74" s="197">
        <f>-SUMIFS('Full Customer List'!$G:$G,'Full Customer List'!$J:$J,O$1,'Full Customer List'!$E:$E,$AF70,'Full Customer List'!$H:$H,'Client Retention $'!$AF74)/1000</f>
      </c>
      <c r="P74" s="197">
        <f>-SUMIFS('Full Customer List'!$G:$G,'Full Customer List'!$J:$J,P$1,'Full Customer List'!$E:$E,$AF70,'Full Customer List'!$H:$H,'Client Retention $'!$AF74)/1000</f>
      </c>
      <c r="Q74" s="197">
        <f>-SUMIFS('Full Customer List'!$G:$G,'Full Customer List'!$J:$J,Q$1,'Full Customer List'!$E:$E,$AF70,'Full Customer List'!$H:$H,'Client Retention $'!$AF74)/1000</f>
      </c>
      <c r="R74" s="197">
        <f>-SUMIFS('Full Customer List'!$G:$G,'Full Customer List'!$J:$J,R$1,'Full Customer List'!$E:$E,$AF70,'Full Customer List'!$H:$H,'Client Retention $'!$AF74)/1000</f>
      </c>
      <c r="S74" s="197">
        <f>-SUMIFS('Full Customer List'!$G:$G,'Full Customer List'!$J:$J,S$1,'Full Customer List'!$E:$E,$AF70,'Full Customer List'!$H:$H,'Client Retention $'!$AF74)/1000</f>
      </c>
      <c r="T74" s="197">
        <f>-SUMIFS('Full Customer List'!$G:$G,'Full Customer List'!$J:$J,T$1,'Full Customer List'!$E:$E,$AF70,'Full Customer List'!$H:$H,'Client Retention $'!$AF74)/1000</f>
      </c>
      <c r="U74" s="197">
        <f>-SUMIFS('Full Customer List'!$G:$G,'Full Customer List'!$J:$J,U$1,'Full Customer List'!$E:$E,$AF70,'Full Customer List'!$H:$H,'Client Retention $'!$AF74)/1000</f>
      </c>
      <c r="V74" s="197">
        <f>-SUMIFS('Full Customer List'!$G:$G,'Full Customer List'!$J:$J,V$1,'Full Customer List'!$E:$E,$AF70,'Full Customer List'!$H:$H,'Client Retention $'!$AF74)/1000</f>
      </c>
      <c r="W74" s="197">
        <f>-SUMIFS('Full Customer List'!$G:$G,'Full Customer List'!$J:$J,W$1,'Full Customer List'!$E:$E,$AF70,'Full Customer List'!$H:$H,'Client Retention $'!$AF74)/1000</f>
      </c>
      <c r="X74" s="197">
        <f>-SUMIFS('Full Customer List'!$G:$G,'Full Customer List'!$J:$J,X$1,'Full Customer List'!$E:$E,$AF70,'Full Customer List'!$H:$H,'Client Retention $'!$AF74)/1000</f>
      </c>
      <c r="Y74" s="197">
        <f>-SUMIFS('Full Customer List'!$G:$G,'Full Customer List'!$J:$J,Y$1,'Full Customer List'!$E:$E,$AF70,'Full Customer List'!$H:$H,'Client Retention $'!$AF74)/1000</f>
      </c>
      <c r="Z74" s="197">
        <f>-SUMIFS('Full Customer List'!$G:$G,'Full Customer List'!$J:$J,Z$1,'Full Customer List'!$E:$E,$AF70,'Full Customer List'!$H:$H,'Client Retention $'!$AF74)/1000</f>
      </c>
      <c r="AA74" s="197">
        <f>-SUMIFS('Full Customer List'!$G:$G,'Full Customer List'!$J:$J,AA$1,'Full Customer List'!$E:$E,$AF70,'Full Customer List'!$H:$H,'Client Retention $'!$AF74)/1000</f>
      </c>
      <c r="AB74" s="197">
        <f>-SUMIFS('Full Customer List'!$G:$G,'Full Customer List'!$J:$J,AB$1,'Full Customer List'!$E:$E,$AF70,'Full Customer List'!$H:$H,'Client Retention $'!$AF74)/1000</f>
      </c>
      <c r="AC74" s="197">
        <f>-SUMIFS('Full Customer List'!$G:$G,'Full Customer List'!$J:$J,AC$1,'Full Customer List'!$E:$E,$AF70,'Full Customer List'!$H:$H,'Client Retention $'!$AF74)/1000</f>
      </c>
      <c r="AD74" s="197">
        <f>-SUMIFS('Full Customer List'!$G:$G,'Full Customer List'!$J:$J,AD$1,'Full Customer List'!$E:$E,$AF70,'Full Customer List'!$H:$H,'Client Retention $'!$AF74)/1000</f>
      </c>
      <c r="AF74" s="175" t="s">
        <v>509</v>
      </c>
    </row>
    <row r="75" spans="2:34">
      <c r="B75" s="269" t="s">
        <v>1552</v>
      </c>
      <c r="E75" s="199">
        <f>SUM(J75:U75)</f>
      </c>
      <c r="F75" s="199">
        <f>SUM(V75:AD75)</f>
      </c>
      <c r="H75" s="199">
        <f>SUM(S75:AD75)</f>
      </c>
      <c r="J75" s="197">
        <f>-SUMIFS('Full Customer List'!$G:$G,'Full Customer List'!$J:$J,J$1,'Full Customer List'!$E:$E,$AF70,'Full Customer List'!$H:$H,'Client Retention $'!$AF75)/1000</f>
      </c>
      <c r="K75" s="197">
        <f>-SUMIFS('Full Customer List'!$G:$G,'Full Customer List'!$J:$J,K$1,'Full Customer List'!$E:$E,$AF70,'Full Customer List'!$H:$H,'Client Retention $'!$AF75)/1000</f>
      </c>
      <c r="L75" s="197">
        <f>-SUMIFS('Full Customer List'!$G:$G,'Full Customer List'!$J:$J,L$1,'Full Customer List'!$E:$E,$AF70,'Full Customer List'!$H:$H,'Client Retention $'!$AF75)/1000</f>
      </c>
      <c r="M75" s="197">
        <f>-SUMIFS('Full Customer List'!$G:$G,'Full Customer List'!$J:$J,M$1,'Full Customer List'!$E:$E,$AF70,'Full Customer List'!$H:$H,'Client Retention $'!$AF75)/1000</f>
      </c>
      <c r="N75" s="197">
        <f>-SUMIFS('Full Customer List'!$G:$G,'Full Customer List'!$J:$J,N$1,'Full Customer List'!$E:$E,$AF70,'Full Customer List'!$H:$H,'Client Retention $'!$AF75)/1000</f>
      </c>
      <c r="O75" s="197">
        <f>-SUMIFS('Full Customer List'!$G:$G,'Full Customer List'!$J:$J,O$1,'Full Customer List'!$E:$E,$AF70,'Full Customer List'!$H:$H,'Client Retention $'!$AF75)/1000</f>
      </c>
      <c r="P75" s="197">
        <f>-SUMIFS('Full Customer List'!$G:$G,'Full Customer List'!$J:$J,P$1,'Full Customer List'!$E:$E,$AF70,'Full Customer List'!$H:$H,'Client Retention $'!$AF75)/1000</f>
      </c>
      <c r="Q75" s="197">
        <f>-SUMIFS('Full Customer List'!$G:$G,'Full Customer List'!$J:$J,Q$1,'Full Customer List'!$E:$E,$AF70,'Full Customer List'!$H:$H,'Client Retention $'!$AF75)/1000</f>
      </c>
      <c r="R75" s="197">
        <f>-SUMIFS('Full Customer List'!$G:$G,'Full Customer List'!$J:$J,R$1,'Full Customer List'!$E:$E,$AF70,'Full Customer List'!$H:$H,'Client Retention $'!$AF75)/1000</f>
      </c>
      <c r="S75" s="197">
        <f>-SUMIFS('Full Customer List'!$G:$G,'Full Customer List'!$J:$J,S$1,'Full Customer List'!$E:$E,$AF70,'Full Customer List'!$H:$H,'Client Retention $'!$AF75)/1000</f>
      </c>
      <c r="T75" s="197">
        <f>-SUMIFS('Full Customer List'!$G:$G,'Full Customer List'!$J:$J,T$1,'Full Customer List'!$E:$E,$AF70,'Full Customer List'!$H:$H,'Client Retention $'!$AF75)/1000</f>
      </c>
      <c r="U75" s="197">
        <f>-SUMIFS('Full Customer List'!$G:$G,'Full Customer List'!$J:$J,U$1,'Full Customer List'!$E:$E,$AF70,'Full Customer List'!$H:$H,'Client Retention $'!$AF75)/1000</f>
      </c>
      <c r="V75" s="197">
        <f>-SUMIFS('Full Customer List'!$G:$G,'Full Customer List'!$J:$J,V$1,'Full Customer List'!$E:$E,$AF70,'Full Customer List'!$H:$H,'Client Retention $'!$AF75)/1000</f>
      </c>
      <c r="W75" s="197">
        <f>-SUMIFS('Full Customer List'!$G:$G,'Full Customer List'!$J:$J,W$1,'Full Customer List'!$E:$E,$AF70,'Full Customer List'!$H:$H,'Client Retention $'!$AF75)/1000</f>
      </c>
      <c r="X75" s="197">
        <f>-SUMIFS('Full Customer List'!$G:$G,'Full Customer List'!$J:$J,X$1,'Full Customer List'!$E:$E,$AF70,'Full Customer List'!$H:$H,'Client Retention $'!$AF75)/1000</f>
      </c>
      <c r="Y75" s="197">
        <f>-SUMIFS('Full Customer List'!$G:$G,'Full Customer List'!$J:$J,Y$1,'Full Customer List'!$E:$E,$AF70,'Full Customer List'!$H:$H,'Client Retention $'!$AF75)/1000</f>
      </c>
      <c r="Z75" s="197">
        <f>-SUMIFS('Full Customer List'!$G:$G,'Full Customer List'!$J:$J,Z$1,'Full Customer List'!$E:$E,$AF70,'Full Customer List'!$H:$H,'Client Retention $'!$AF75)/1000</f>
      </c>
      <c r="AA75" s="197">
        <f>-SUMIFS('Full Customer List'!$G:$G,'Full Customer List'!$J:$J,AA$1,'Full Customer List'!$E:$E,$AF70,'Full Customer List'!$H:$H,'Client Retention $'!$AF75)/1000</f>
      </c>
      <c r="AB75" s="197">
        <f>-SUMIFS('Full Customer List'!$G:$G,'Full Customer List'!$J:$J,AB$1,'Full Customer List'!$E:$E,$AF70,'Full Customer List'!$H:$H,'Client Retention $'!$AF75)/1000</f>
      </c>
      <c r="AC75" s="197">
        <f>-SUMIFS('Full Customer List'!$G:$G,'Full Customer List'!$J:$J,AC$1,'Full Customer List'!$E:$E,$AF70,'Full Customer List'!$H:$H,'Client Retention $'!$AF75)/1000</f>
      </c>
      <c r="AD75" s="197">
        <f>-SUMIFS('Full Customer List'!$G:$G,'Full Customer List'!$J:$J,AD$1,'Full Customer List'!$E:$E,$AF70,'Full Customer List'!$H:$H,'Client Retention $'!$AF75)/1000</f>
      </c>
      <c r="AF75" s="175" t="s">
        <v>510</v>
      </c>
    </row>
    <row r="76" spans="2:34">
      <c r="B76" s="269" t="s">
        <v>1553</v>
      </c>
      <c r="E76" s="199">
        <f>SUM(J76:U76)</f>
      </c>
      <c r="F76" s="199">
        <f>SUM(V76:AD76)</f>
      </c>
      <c r="H76" s="199">
        <f>SUM(S76:AD76)</f>
      </c>
      <c r="J76" s="197">
        <f>-SUMIFS('Full Customer List'!$G:$G,'Full Customer List'!$J:$J,J$1,'Full Customer List'!$E:$E,$AF70,'Full Customer List'!$H:$H,'Client Retention $'!$AF76)/1000</f>
      </c>
      <c r="K76" s="197">
        <f>-SUMIFS('Full Customer List'!$G:$G,'Full Customer List'!$J:$J,K$1,'Full Customer List'!$E:$E,$AF70,'Full Customer List'!$H:$H,'Client Retention $'!$AF76)/1000</f>
      </c>
      <c r="L76" s="197">
        <f>-SUMIFS('Full Customer List'!$G:$G,'Full Customer List'!$J:$J,L$1,'Full Customer List'!$E:$E,$AF70,'Full Customer List'!$H:$H,'Client Retention $'!$AF76)/1000</f>
      </c>
      <c r="M76" s="197">
        <f>-SUMIFS('Full Customer List'!$G:$G,'Full Customer List'!$J:$J,M$1,'Full Customer List'!$E:$E,$AF70,'Full Customer List'!$H:$H,'Client Retention $'!$AF76)/1000</f>
      </c>
      <c r="N76" s="197">
        <f>-SUMIFS('Full Customer List'!$G:$G,'Full Customer List'!$J:$J,N$1,'Full Customer List'!$E:$E,$AF70,'Full Customer List'!$H:$H,'Client Retention $'!$AF76)/1000</f>
      </c>
      <c r="O76" s="197">
        <f>-SUMIFS('Full Customer List'!$G:$G,'Full Customer List'!$J:$J,O$1,'Full Customer List'!$E:$E,$AF70,'Full Customer List'!$H:$H,'Client Retention $'!$AF76)/1000</f>
      </c>
      <c r="P76" s="197">
        <f>-SUMIFS('Full Customer List'!$G:$G,'Full Customer List'!$J:$J,P$1,'Full Customer List'!$E:$E,$AF70,'Full Customer List'!$H:$H,'Client Retention $'!$AF76)/1000</f>
      </c>
      <c r="Q76" s="197">
        <f>-SUMIFS('Full Customer List'!$G:$G,'Full Customer List'!$J:$J,Q$1,'Full Customer List'!$E:$E,$AF70,'Full Customer List'!$H:$H,'Client Retention $'!$AF76)/1000</f>
      </c>
      <c r="R76" s="197">
        <f>-SUMIFS('Full Customer List'!$G:$G,'Full Customer List'!$J:$J,R$1,'Full Customer List'!$E:$E,$AF70,'Full Customer List'!$H:$H,'Client Retention $'!$AF76)/1000</f>
      </c>
      <c r="S76" s="197">
        <f>-SUMIFS('Full Customer List'!$G:$G,'Full Customer List'!$J:$J,S$1,'Full Customer List'!$E:$E,$AF70,'Full Customer List'!$H:$H,'Client Retention $'!$AF76)/1000</f>
      </c>
      <c r="T76" s="197">
        <f>-SUMIFS('Full Customer List'!$G:$G,'Full Customer List'!$J:$J,T$1,'Full Customer List'!$E:$E,$AF70,'Full Customer List'!$H:$H,'Client Retention $'!$AF76)/1000</f>
      </c>
      <c r="U76" s="197">
        <f>-SUMIFS('Full Customer List'!$G:$G,'Full Customer List'!$J:$J,U$1,'Full Customer List'!$E:$E,$AF70,'Full Customer List'!$H:$H,'Client Retention $'!$AF76)/1000</f>
      </c>
      <c r="V76" s="197">
        <f>-SUMIFS('Full Customer List'!$G:$G,'Full Customer List'!$J:$J,V$1,'Full Customer List'!$E:$E,$AF70,'Full Customer List'!$H:$H,'Client Retention $'!$AF76)/1000</f>
      </c>
      <c r="W76" s="197">
        <f>-SUMIFS('Full Customer List'!$G:$G,'Full Customer List'!$J:$J,W$1,'Full Customer List'!$E:$E,$AF70,'Full Customer List'!$H:$H,'Client Retention $'!$AF76)/1000</f>
      </c>
      <c r="X76" s="197">
        <f>-SUMIFS('Full Customer List'!$G:$G,'Full Customer List'!$J:$J,X$1,'Full Customer List'!$E:$E,$AF70,'Full Customer List'!$H:$H,'Client Retention $'!$AF76)/1000</f>
      </c>
      <c r="Y76" s="197">
        <f>-SUMIFS('Full Customer List'!$G:$G,'Full Customer List'!$J:$J,Y$1,'Full Customer List'!$E:$E,$AF70,'Full Customer List'!$H:$H,'Client Retention $'!$AF76)/1000</f>
      </c>
      <c r="Z76" s="197">
        <f>-SUMIFS('Full Customer List'!$G:$G,'Full Customer List'!$J:$J,Z$1,'Full Customer List'!$E:$E,$AF70,'Full Customer List'!$H:$H,'Client Retention $'!$AF76)/1000</f>
      </c>
      <c r="AA76" s="197">
        <f>-SUMIFS('Full Customer List'!$G:$G,'Full Customer List'!$J:$J,AA$1,'Full Customer List'!$E:$E,$AF70,'Full Customer List'!$H:$H,'Client Retention $'!$AF76)/1000</f>
      </c>
      <c r="AB76" s="197">
        <f>-SUMIFS('Full Customer List'!$G:$G,'Full Customer List'!$J:$J,AB$1,'Full Customer List'!$E:$E,$AF70,'Full Customer List'!$H:$H,'Client Retention $'!$AF76)/1000</f>
      </c>
      <c r="AC76" s="197">
        <f>-SUMIFS('Full Customer List'!$G:$G,'Full Customer List'!$J:$J,AC$1,'Full Customer List'!$E:$E,$AF70,'Full Customer List'!$H:$H,'Client Retention $'!$AF76)/1000</f>
      </c>
      <c r="AD76" s="197">
        <f>-SUMIFS('Full Customer List'!$G:$G,'Full Customer List'!$J:$J,AD$1,'Full Customer List'!$E:$E,$AF70,'Full Customer List'!$H:$H,'Client Retention $'!$AF76)/1000</f>
      </c>
      <c r="AF76" s="175" t="s">
        <v>1554</v>
      </c>
    </row>
    <row r="77" spans="2:34" ht="12" customHeight="1">
      <c r="B77" s="259" t="s">
        <v>1555</v>
      </c>
      <c r="C77" s="262"/>
      <c r="D77" s="262"/>
      <c r="E77" s="260">
        <f>SUM(J77:U77)</f>
      </c>
      <c r="F77" s="260">
        <f>SUM(V77:AD77)</f>
      </c>
      <c r="G77" s="261"/>
      <c r="H77" s="260">
        <f>SUM(S77:AD77)</f>
      </c>
      <c r="I77" s="281"/>
      <c r="J77" s="262">
        <f>-SUMIFS('Full Customer List'!$G:$G,'Full Customer List'!$J:$J,J$1,'Full Customer List'!$E:$E,$AF70)/1000</f>
      </c>
      <c r="K77" s="262">
        <f>-SUMIFS('Full Customer List'!$G:$G,'Full Customer List'!$J:$J,K$1,'Full Customer List'!$E:$E,$AF70)/1000</f>
      </c>
      <c r="L77" s="262">
        <f>-SUMIFS('Full Customer List'!$G:$G,'Full Customer List'!$J:$J,L$1,'Full Customer List'!$E:$E,$AF70)/1000</f>
      </c>
      <c r="M77" s="262">
        <f>-SUMIFS('Full Customer List'!$G:$G,'Full Customer List'!$J:$J,M$1,'Full Customer List'!$E:$E,$AF70)/1000</f>
      </c>
      <c r="N77" s="262">
        <f>-SUMIFS('Full Customer List'!$G:$G,'Full Customer List'!$J:$J,N$1,'Full Customer List'!$E:$E,$AF70)/1000</f>
      </c>
      <c r="O77" s="262">
        <f>-SUMIFS('Full Customer List'!$G:$G,'Full Customer List'!$J:$J,O$1,'Full Customer List'!$E:$E,$AF70)/1000</f>
      </c>
      <c r="P77" s="262">
        <f>-SUMIFS('Full Customer List'!$G:$G,'Full Customer List'!$J:$J,P$1,'Full Customer List'!$E:$E,$AF70)/1000</f>
      </c>
      <c r="Q77" s="262">
        <f>-SUMIFS('Full Customer List'!$G:$G,'Full Customer List'!$J:$J,Q$1,'Full Customer List'!$E:$E,$AF70)/1000</f>
      </c>
      <c r="R77" s="262">
        <f>-SUMIFS('Full Customer List'!$G:$G,'Full Customer List'!$J:$J,R$1,'Full Customer List'!$E:$E,$AF70)/1000</f>
      </c>
      <c r="S77" s="262">
        <f>-SUMIFS('Full Customer List'!$G:$G,'Full Customer List'!$J:$J,S$1,'Full Customer List'!$E:$E,$AF70)/1000</f>
      </c>
      <c r="T77" s="262">
        <f>-SUMIFS('Full Customer List'!$G:$G,'Full Customer List'!$J:$J,T$1,'Full Customer List'!$E:$E,$AF70)/1000</f>
      </c>
      <c r="U77" s="262">
        <f>-SUMIFS('Full Customer List'!$G:$G,'Full Customer List'!$J:$J,U$1,'Full Customer List'!$E:$E,$AF70)/1000</f>
      </c>
      <c r="V77" s="262">
        <f>-SUMIFS('Full Customer List'!$G:$G,'Full Customer List'!$J:$J,V$1,'Full Customer List'!$E:$E,$AF70)/1000</f>
      </c>
      <c r="W77" s="262">
        <f>-SUMIFS('Full Customer List'!$G:$G,'Full Customer List'!$J:$J,W$1,'Full Customer List'!$E:$E,$AF70)/1000</f>
      </c>
      <c r="X77" s="262">
        <f>-SUMIFS('Full Customer List'!$G:$G,'Full Customer List'!$J:$J,X$1,'Full Customer List'!$E:$E,$AF70)/1000</f>
      </c>
      <c r="Y77" s="262">
        <f>-SUMIFS('Full Customer List'!$G:$G,'Full Customer List'!$J:$J,Y$1,'Full Customer List'!$E:$E,$AF70)/1000</f>
      </c>
      <c r="Z77" s="262">
        <f>-SUMIFS('Full Customer List'!$G:$G,'Full Customer List'!$J:$J,Z$1,'Full Customer List'!$E:$E,$AF70)/1000</f>
      </c>
      <c r="AA77" s="262">
        <f>-SUMIFS('Full Customer List'!$G:$G,'Full Customer List'!$J:$J,AA$1,'Full Customer List'!$E:$E,$AF70)/1000</f>
      </c>
      <c r="AB77" s="262">
        <f>-SUMIFS('Full Customer List'!$G:$G,'Full Customer List'!$J:$J,AB$1,'Full Customer List'!$E:$E,$AF70)/1000</f>
      </c>
      <c r="AC77" s="262">
        <f>-SUMIFS('Full Customer List'!$G:$G,'Full Customer List'!$J:$J,AC$1,'Full Customer List'!$E:$E,$AF70)/1000</f>
      </c>
      <c r="AD77" s="262">
        <f>-SUMIFS('Full Customer List'!$G:$G,'Full Customer List'!$J:$J,AD$1,'Full Customer List'!$E:$E,$AF70)/1000</f>
      </c>
    </row>
    <row r="78" spans="2:34" ht="12" customHeight="1">
      <c r="B78" s="263" t="s">
        <v>1570</v>
      </c>
      <c r="C78" s="264"/>
      <c r="D78" s="264"/>
      <c r="E78" s="264">
        <f>+F72</f>
      </c>
      <c r="F78" s="265">
        <f>+$AD78</f>
      </c>
      <c r="H78" s="268">
        <f>+$AD78</f>
      </c>
      <c r="J78" s="266">
        <f>+K72</f>
      </c>
      <c r="K78" s="264">
        <f>+L72</f>
      </c>
      <c r="L78" s="264">
        <f>+M72</f>
      </c>
      <c r="M78" s="264">
        <f>+N72</f>
      </c>
      <c r="N78" s="264">
        <f>+O72</f>
      </c>
      <c r="O78" s="264">
        <f>+P72</f>
      </c>
      <c r="P78" s="264">
        <f>+Q72</f>
      </c>
      <c r="Q78" s="264">
        <f>+R72</f>
      </c>
      <c r="R78" s="264">
        <f>+S72</f>
      </c>
      <c r="S78" s="266">
        <f>+T72</f>
      </c>
      <c r="T78" s="264">
        <f>+U72</f>
      </c>
      <c r="U78" s="264">
        <f>+V72</f>
      </c>
      <c r="V78" s="264">
        <f>+W72</f>
      </c>
      <c r="W78" s="264">
        <f>+X72</f>
      </c>
      <c r="X78" s="264">
        <f>+Y72</f>
      </c>
      <c r="Y78" s="264">
        <f>+Z72</f>
      </c>
      <c r="Z78" s="264">
        <f>+AA72</f>
      </c>
      <c r="AA78" s="264">
        <f>+AB72</f>
      </c>
      <c r="AB78" s="264">
        <f>+AC72</f>
      </c>
      <c r="AC78" s="264">
        <f>+AD72</f>
      </c>
      <c r="AD78" s="265">
        <f>SUMIFS('Full Customer List'!$G:$G,'Full Customer List'!$C:$C,"Active",'Full Customer List'!$E:$E,'Client Retention $'!$AF70)/1000</f>
      </c>
    </row>
    <row r="79" spans="2:34" ht="3.95" customHeight="1">
      <c r="B79" s="182"/>
      <c r="C79" s="236"/>
      <c r="D79" s="236"/>
      <c r="E79" s="236"/>
      <c r="F79" s="236"/>
      <c r="H79" s="236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  <c r="AB79" s="237"/>
      <c r="AC79" s="237"/>
      <c r="AD79" s="237"/>
    </row>
    <row r="80" spans="2:34" ht="12" customHeight="1">
      <c r="B80" s="238" t="s">
        <v>1571</v>
      </c>
      <c r="C80" s="239"/>
      <c r="D80" s="239"/>
      <c r="E80" s="240">
        <f>(E73+E72)/E72-1</f>
      </c>
      <c r="F80" s="251">
        <f>(F73+F72)/F72-1</f>
      </c>
      <c r="G80" s="252"/>
      <c r="H80" s="253">
        <f>(H73+H72)/H72-1</f>
      </c>
      <c r="J80" s="250">
        <f>(J73+J72)/J72-1</f>
      </c>
      <c r="K80" s="240">
        <f>(K73+K72)/K72-1</f>
      </c>
      <c r="L80" s="240">
        <f>(L73+L72)/L72-1</f>
      </c>
      <c r="M80" s="240">
        <f>(M73+M72)/M72-1</f>
      </c>
      <c r="N80" s="240">
        <f>(N73+N72)/N72-1</f>
      </c>
      <c r="O80" s="240">
        <f>(O73+O72)/O72-1</f>
      </c>
      <c r="P80" s="240">
        <f>(P73+P72)/P72-1</f>
      </c>
      <c r="Q80" s="240">
        <f>(Q73+Q72)/Q72-1</f>
      </c>
      <c r="R80" s="240">
        <f>(R73+R72)/R72-1</f>
      </c>
      <c r="S80" s="250">
        <f>(S73+S72)/S72-1</f>
      </c>
      <c r="T80" s="240">
        <f>(T73+T72)/T72-1</f>
      </c>
      <c r="U80" s="240">
        <f>(U73+U72)/U72-1</f>
      </c>
      <c r="V80" s="240">
        <f>(V73+V72)/V72-1</f>
      </c>
      <c r="W80" s="240">
        <f>(W73+W72)/W72-1</f>
      </c>
      <c r="X80" s="240">
        <f>(X73+X72)/X72-1</f>
      </c>
      <c r="Y80" s="240">
        <f>(Y73+Y72)/Y72-1</f>
      </c>
      <c r="Z80" s="240">
        <f>(Z73+Z72)/Z72-1</f>
      </c>
      <c r="AA80" s="240">
        <f>(AA73+AA72)/AA72-1</f>
      </c>
      <c r="AB80" s="240">
        <f>(AB73+AB72)/AB72-1</f>
      </c>
      <c r="AC80" s="240">
        <f>IFERROR((AC73+AC72)/AC72-1,0)</f>
      </c>
      <c r="AD80" s="251">
        <f>IFERROR((AD73+AD72)/AD72-1,0)</f>
      </c>
    </row>
    <row r="81" spans="2:37" ht="12" customHeight="1">
      <c r="B81" s="241" t="s">
        <v>1572</v>
      </c>
      <c r="C81" s="242"/>
      <c r="D81" s="242"/>
      <c r="E81" s="243">
        <f>(E77+E72)/E72-1</f>
      </c>
      <c r="F81" s="244">
        <f>(F77+F72)/F72-1</f>
      </c>
      <c r="G81" s="252"/>
      <c r="H81" s="246">
        <f>(H77+H72)/H72-1</f>
      </c>
      <c r="J81" s="245">
        <f>(J77+J72)/J72-1</f>
      </c>
      <c r="K81" s="243">
        <f>(K77+K72)/K72-1</f>
      </c>
      <c r="L81" s="243">
        <f>(L77+L72)/L72-1</f>
      </c>
      <c r="M81" s="243">
        <f>(M77+M72)/M72-1</f>
      </c>
      <c r="N81" s="243">
        <f>(N77+N72)/N72-1</f>
      </c>
      <c r="O81" s="243">
        <f>(O77+O72)/O72-1</f>
      </c>
      <c r="P81" s="243">
        <f>(P77+P72)/P72-1</f>
      </c>
      <c r="Q81" s="243">
        <f>(Q77+Q72)/Q72-1</f>
      </c>
      <c r="R81" s="243">
        <f>(R77+R72)/R72-1</f>
      </c>
      <c r="S81" s="245">
        <f>(S77+S72)/S72-1</f>
      </c>
      <c r="T81" s="243">
        <f>(T77+T72)/T72-1</f>
      </c>
      <c r="U81" s="243">
        <f>(U77+U72)/U72-1</f>
      </c>
      <c r="V81" s="243">
        <f>(V77+V72)/V72-1</f>
      </c>
      <c r="W81" s="243">
        <f>(W77+W72)/W72-1</f>
      </c>
      <c r="X81" s="243">
        <f>(X77+X72)/X72-1</f>
      </c>
      <c r="Y81" s="243">
        <f>(Y77+Y72)/Y72-1</f>
      </c>
      <c r="Z81" s="243">
        <f>(Z77+Z72)/Z72-1</f>
      </c>
      <c r="AA81" s="243">
        <f>(AA77+AA72)/AA72-1</f>
      </c>
      <c r="AB81" s="243">
        <f>(AB77+AB72)/AB72-1</f>
      </c>
      <c r="AC81" s="243">
        <f>IFERROR((AC77+AC72)/AC72-1,0)</f>
      </c>
      <c r="AD81" s="244">
        <f>IFERROR((AD77+AD72)/AD72-1,0)</f>
      </c>
    </row>
    <row r="82" spans="2:37" ht="3.95" customHeight="1">
      <c r="AF82" s="222"/>
    </row>
    <row r="83" spans="2:37" ht="24">
      <c r="B83" s="161" t="s">
        <v>1316</v>
      </c>
      <c r="C83" s="178" t="s">
        <v>1324</v>
      </c>
      <c r="D83" s="178" t="s">
        <v>3</v>
      </c>
      <c r="E83" s="178" t="s">
        <v>4</v>
      </c>
      <c r="F83" s="178" t="s">
        <v>1326</v>
      </c>
      <c r="G83" s="195"/>
      <c r="H83" s="178" t="s">
        <v>1550</v>
      </c>
      <c r="J83" s="194">
        <v>45658</v>
      </c>
      <c r="K83" s="194">
        <f>EOMONTH(J83,0)+1</f>
      </c>
      <c r="L83" s="194">
        <f>EOMONTH(K83,0)+1</f>
      </c>
      <c r="M83" s="194">
        <f>EOMONTH(L83,0)+1</f>
      </c>
      <c r="N83" s="194">
        <f>EOMONTH(M83,0)+1</f>
      </c>
      <c r="O83" s="194">
        <f>EOMONTH(N83,0)+1</f>
      </c>
      <c r="P83" s="194">
        <f>EOMONTH(O83,0)+1</f>
      </c>
      <c r="Q83" s="194">
        <v>45870</v>
      </c>
      <c r="R83" s="194">
        <f>EOMONTH(Q83,0)+1</f>
      </c>
      <c r="S83" s="194">
        <f>EOMONTH(R83,0)+1</f>
      </c>
      <c r="T83" s="194">
        <f>EOMONTH(S83,0)+1</f>
      </c>
      <c r="U83" s="194">
        <f>EOMONTH(T83,0)+1</f>
      </c>
      <c r="V83" s="194">
        <f>EOMONTH(U83,0)+1</f>
      </c>
      <c r="W83" s="194">
        <f>EOMONTH(V83,0)+1</f>
      </c>
      <c r="X83" s="194">
        <f>EOMONTH(W83,0)+1</f>
      </c>
      <c r="Y83" s="194">
        <f>EOMONTH(X83,0)+1</f>
      </c>
      <c r="Z83" s="194">
        <f>EOMONTH(Y83,0)+1</f>
      </c>
      <c r="AA83" s="194">
        <f>EOMONTH(Z83,0)+1</f>
      </c>
      <c r="AB83" s="194">
        <f>EOMONTH(AA83,0)+1</f>
      </c>
      <c r="AC83" s="194">
        <f>EOMONTH(AB83,0)+1</f>
      </c>
      <c r="AD83" s="194">
        <f>EOMONTH(AC83,0)+1</f>
      </c>
      <c r="AE83" s="189"/>
      <c r="AF83" s="247" t="s">
        <v>1309</v>
      </c>
      <c r="AG83" s="189"/>
      <c r="AH83" s="189"/>
    </row>
    <row r="84" spans="2:37">
      <c r="B84" s="188" t="str">
        <f>+AF83</f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5" t="s">
        <v>1569</v>
      </c>
      <c r="C85" s="184"/>
      <c r="D85" s="184"/>
      <c r="E85" s="184">
        <f>+E91-E86-E90</f>
      </c>
      <c r="F85" s="184">
        <f>+F91-F86-F90</f>
      </c>
      <c r="H85" s="184">
        <f>+H91-H86-H90</f>
      </c>
      <c r="J85" s="184">
        <f>+J91-J86-J90</f>
      </c>
      <c r="K85" s="184">
        <f>+K91-K86-K90</f>
      </c>
      <c r="L85" s="184">
        <f>+L91-L86-L90</f>
      </c>
      <c r="M85" s="184">
        <f>+M91-M86-M90</f>
      </c>
      <c r="N85" s="184">
        <f>+N91-N86-N90</f>
      </c>
      <c r="O85" s="184">
        <f>+O91-O86-O90</f>
      </c>
      <c r="P85" s="184">
        <f>+P91-P86-P90</f>
      </c>
      <c r="Q85" s="184">
        <f>+Q91-Q86-Q90</f>
      </c>
      <c r="R85" s="184">
        <f>+R91-R86-R90</f>
      </c>
      <c r="S85" s="184">
        <f>+S91-S86-S90</f>
      </c>
      <c r="T85" s="184">
        <f>+T91-T86-T90</f>
      </c>
      <c r="U85" s="184">
        <f>+U91-U86-U90</f>
      </c>
      <c r="V85" s="184">
        <f>+V91-V86-V90</f>
      </c>
      <c r="W85" s="184">
        <f>+W91-W86-W90</f>
      </c>
      <c r="X85" s="184">
        <f>+X91-X86-X90</f>
      </c>
      <c r="Y85" s="184">
        <f>+Y91-Y86-Y90</f>
      </c>
      <c r="Z85" s="184">
        <f>+Z91-Z86-Z90</f>
      </c>
      <c r="AA85" s="184">
        <f>+AA91-AA86-AA90</f>
      </c>
      <c r="AB85" s="184">
        <f>+AB91-AB86-AB90</f>
      </c>
      <c r="AC85" s="184">
        <f>+AC91-AC86-AC90</f>
      </c>
      <c r="AD85" s="184">
        <f>+AD91-AD86-AD90</f>
      </c>
    </row>
    <row r="86" spans="2:37">
      <c r="B86" s="193" t="s">
        <v>1322</v>
      </c>
      <c r="E86" s="199">
        <f>SUM(J86:U86)</f>
      </c>
      <c r="F86" s="199">
        <f>SUM(V86:AD86)</f>
      </c>
      <c r="H86" s="199">
        <f>SUM(S86:AD86)</f>
      </c>
      <c r="J86" s="197">
        <f>SUMIFS('Full Customer List'!$G:$G,'Full Customer List'!$I:$I,'Client Retention $'!J$5,'Full Customer List'!$E:$E,$AF83)/1000</f>
      </c>
      <c r="K86" s="197">
        <f>SUMIFS('Full Customer List'!$G:$G,'Full Customer List'!$I:$I,'Client Retention $'!K$5,'Full Customer List'!$E:$E,$AF83)/1000</f>
      </c>
      <c r="L86" s="197">
        <f>SUMIFS('Full Customer List'!$G:$G,'Full Customer List'!$I:$I,'Client Retention $'!L$5,'Full Customer List'!$E:$E,$AF83)/1000</f>
      </c>
      <c r="M86" s="197">
        <f>SUMIFS('Full Customer List'!$G:$G,'Full Customer List'!$I:$I,'Client Retention $'!M$5,'Full Customer List'!$E:$E,$AF83)/1000</f>
      </c>
      <c r="N86" s="197">
        <f>SUMIFS('Full Customer List'!$G:$G,'Full Customer List'!$I:$I,'Client Retention $'!N$5,'Full Customer List'!$E:$E,$AF83)/1000</f>
      </c>
      <c r="O86" s="197">
        <f>SUMIFS('Full Customer List'!$G:$G,'Full Customer List'!$I:$I,'Client Retention $'!O$5,'Full Customer List'!$E:$E,$AF83)/1000</f>
      </c>
      <c r="P86" s="197">
        <f>SUMIFS('Full Customer List'!$G:$G,'Full Customer List'!$I:$I,'Client Retention $'!P$5,'Full Customer List'!$E:$E,$AF83)/1000</f>
      </c>
      <c r="Q86" s="197">
        <f>SUMIFS('Full Customer List'!$G:$G,'Full Customer List'!$I:$I,'Client Retention $'!Q$5,'Full Customer List'!$E:$E,$AF83)/1000</f>
      </c>
      <c r="R86" s="197">
        <f>SUMIFS('Full Customer List'!$G:$G,'Full Customer List'!$I:$I,'Client Retention $'!R$5,'Full Customer List'!$E:$E,$AF83)/1000</f>
      </c>
      <c r="S86" s="197">
        <f>SUMIFS('Full Customer List'!$G:$G,'Full Customer List'!$I:$I,'Client Retention $'!S$5,'Full Customer List'!$E:$E,$AF83)/1000</f>
      </c>
      <c r="T86" s="197">
        <f>SUMIFS('Full Customer List'!$G:$G,'Full Customer List'!$I:$I,'Client Retention $'!T$5,'Full Customer List'!$E:$E,$AF83)/1000</f>
      </c>
      <c r="U86" s="197">
        <f>SUMIFS('Full Customer List'!$G:$G,'Full Customer List'!$I:$I,'Client Retention $'!U$5,'Full Customer List'!$E:$E,$AF83)/1000</f>
      </c>
      <c r="V86" s="197">
        <f>SUMIFS('Full Customer List'!$G:$G,'Full Customer List'!$I:$I,'Client Retention $'!V$5,'Full Customer List'!$E:$E,$AF83)/1000</f>
      </c>
      <c r="W86" s="197">
        <f>SUMIFS('Full Customer List'!$G:$G,'Full Customer List'!$I:$I,'Client Retention $'!W$5,'Full Customer List'!$E:$E,$AF83)/1000</f>
      </c>
      <c r="X86" s="197">
        <f>SUMIFS('Full Customer List'!$G:$G,'Full Customer List'!$I:$I,'Client Retention $'!X$5,'Full Customer List'!$E:$E,$AF83)/1000</f>
      </c>
      <c r="Y86" s="197">
        <f>SUMIFS('Full Customer List'!$G:$G,'Full Customer List'!$I:$I,'Client Retention $'!Y$5,'Full Customer List'!$E:$E,$AF83)/1000</f>
      </c>
      <c r="Z86" s="197">
        <f>SUMIFS('Full Customer List'!$G:$G,'Full Customer List'!$I:$I,'Client Retention $'!Z$5,'Full Customer List'!$E:$E,$AF83)/1000</f>
      </c>
      <c r="AA86" s="197">
        <f>SUMIFS('Full Customer List'!$G:$G,'Full Customer List'!$I:$I,'Client Retention $'!AA$5,'Full Customer List'!$E:$E,$AF83)/1000</f>
      </c>
      <c r="AB86" s="197">
        <f>SUMIFS('Full Customer List'!$G:$G,'Full Customer List'!$I:$I,'Client Retention $'!AB$5,'Full Customer List'!$E:$E,$AF83)/1000</f>
      </c>
      <c r="AC86" s="197">
        <f>SUMIFS('Full Customer List'!$G:$G,'Full Customer List'!$I:$I,'Client Retention $'!AC$5,'Full Customer List'!$E:$E,$AF83)/1000</f>
      </c>
      <c r="AD86" s="197">
        <f>SUMIFS('Full Customer List'!$G:$G,'Full Customer List'!$I:$I,'Client Retention $'!AD$5,'Full Customer List'!$E:$E,$AF83)/1000</f>
      </c>
    </row>
    <row r="87" spans="2:37">
      <c r="B87" s="269" t="s">
        <v>1551</v>
      </c>
      <c r="E87" s="199">
        <f>SUM(J87:U87)</f>
      </c>
      <c r="F87" s="199">
        <f>SUM(V87:AD87)</f>
      </c>
      <c r="H87" s="199">
        <f>SUM(S87:AD87)</f>
      </c>
      <c r="J87" s="197">
        <f>-SUMIFS('Full Customer List'!$G:$G,'Full Customer List'!$J:$J,J$1,'Full Customer List'!$E:$E,$AF83,'Full Customer List'!$H:$H,'Client Retention $'!$AF87)/1000</f>
      </c>
      <c r="K87" s="197">
        <f>-SUMIFS('Full Customer List'!$G:$G,'Full Customer List'!$J:$J,K$1,'Full Customer List'!$E:$E,$AF83,'Full Customer List'!$H:$H,'Client Retention $'!$AF87)/1000</f>
      </c>
      <c r="L87" s="197">
        <f>-SUMIFS('Full Customer List'!$G:$G,'Full Customer List'!$J:$J,L$1,'Full Customer List'!$E:$E,$AF83,'Full Customer List'!$H:$H,'Client Retention $'!$AF87)/1000</f>
      </c>
      <c r="M87" s="197">
        <f>-SUMIFS('Full Customer List'!$G:$G,'Full Customer List'!$J:$J,M$1,'Full Customer List'!$E:$E,$AF83,'Full Customer List'!$H:$H,'Client Retention $'!$AF87)/1000</f>
      </c>
      <c r="N87" s="197">
        <f>-SUMIFS('Full Customer List'!$G:$G,'Full Customer List'!$J:$J,N$1,'Full Customer List'!$E:$E,$AF83,'Full Customer List'!$H:$H,'Client Retention $'!$AF87)/1000</f>
      </c>
      <c r="O87" s="197">
        <f>-SUMIFS('Full Customer List'!$G:$G,'Full Customer List'!$J:$J,O$1,'Full Customer List'!$E:$E,$AF83,'Full Customer List'!$H:$H,'Client Retention $'!$AF87)/1000</f>
      </c>
      <c r="P87" s="197">
        <f>-SUMIFS('Full Customer List'!$G:$G,'Full Customer List'!$J:$J,P$1,'Full Customer List'!$E:$E,$AF83,'Full Customer List'!$H:$H,'Client Retention $'!$AF87)/1000</f>
      </c>
      <c r="Q87" s="197">
        <f>-SUMIFS('Full Customer List'!$G:$G,'Full Customer List'!$J:$J,Q$1,'Full Customer List'!$E:$E,$AF83,'Full Customer List'!$H:$H,'Client Retention $'!$AF87)/1000</f>
      </c>
      <c r="R87" s="197">
        <f>-SUMIFS('Full Customer List'!$G:$G,'Full Customer List'!$J:$J,R$1,'Full Customer List'!$E:$E,$AF83,'Full Customer List'!$H:$H,'Client Retention $'!$AF87)/1000</f>
      </c>
      <c r="S87" s="197">
        <f>-SUMIFS('Full Customer List'!$G:$G,'Full Customer List'!$J:$J,S$1,'Full Customer List'!$E:$E,$AF83,'Full Customer List'!$H:$H,'Client Retention $'!$AF87)/1000</f>
      </c>
      <c r="T87" s="197">
        <f>-SUMIFS('Full Customer List'!$G:$G,'Full Customer List'!$J:$J,T$1,'Full Customer List'!$E:$E,$AF83,'Full Customer List'!$H:$H,'Client Retention $'!$AF87)/1000</f>
      </c>
      <c r="U87" s="197">
        <f>-SUMIFS('Full Customer List'!$G:$G,'Full Customer List'!$J:$J,U$1,'Full Customer List'!$E:$E,$AF83,'Full Customer List'!$H:$H,'Client Retention $'!$AF87)/1000</f>
      </c>
      <c r="V87" s="197">
        <f>-SUMIFS('Full Customer List'!$G:$G,'Full Customer List'!$J:$J,V$1,'Full Customer List'!$E:$E,$AF83,'Full Customer List'!$H:$H,'Client Retention $'!$AF87)/1000</f>
      </c>
      <c r="W87" s="197">
        <f>-SUMIFS('Full Customer List'!$G:$G,'Full Customer List'!$J:$J,W$1,'Full Customer List'!$E:$E,$AF83,'Full Customer List'!$H:$H,'Client Retention $'!$AF87)/1000</f>
      </c>
      <c r="X87" s="197">
        <f>-SUMIFS('Full Customer List'!$G:$G,'Full Customer List'!$J:$J,X$1,'Full Customer List'!$E:$E,$AF83,'Full Customer List'!$H:$H,'Client Retention $'!$AF87)/1000</f>
      </c>
      <c r="Y87" s="197">
        <f>-SUMIFS('Full Customer List'!$G:$G,'Full Customer List'!$J:$J,Y$1,'Full Customer List'!$E:$E,$AF83,'Full Customer List'!$H:$H,'Client Retention $'!$AF87)/1000</f>
      </c>
      <c r="Z87" s="197">
        <f>-SUMIFS('Full Customer List'!$G:$G,'Full Customer List'!$J:$J,Z$1,'Full Customer List'!$E:$E,$AF83,'Full Customer List'!$H:$H,'Client Retention $'!$AF87)/1000</f>
      </c>
      <c r="AA87" s="197">
        <f>-SUMIFS('Full Customer List'!$G:$G,'Full Customer List'!$J:$J,AA$1,'Full Customer List'!$E:$E,$AF83,'Full Customer List'!$H:$H,'Client Retention $'!$AF87)/1000</f>
      </c>
      <c r="AB87" s="197">
        <f>-SUMIFS('Full Customer List'!$G:$G,'Full Customer List'!$J:$J,AB$1,'Full Customer List'!$E:$E,$AF83,'Full Customer List'!$H:$H,'Client Retention $'!$AF87)/1000</f>
      </c>
      <c r="AC87" s="197">
        <f>-SUMIFS('Full Customer List'!$G:$G,'Full Customer List'!$J:$J,AC$1,'Full Customer List'!$E:$E,$AF83,'Full Customer List'!$H:$H,'Client Retention $'!$AF87)/1000</f>
      </c>
      <c r="AD87" s="197">
        <f>-SUMIFS('Full Customer List'!$G:$G,'Full Customer List'!$J:$J,AD$1,'Full Customer List'!$E:$E,$AF83,'Full Customer List'!$H:$H,'Client Retention $'!$AF87)/1000</f>
      </c>
      <c r="AF87" s="175" t="s">
        <v>509</v>
      </c>
    </row>
    <row r="88" spans="2:37">
      <c r="B88" s="269" t="s">
        <v>1552</v>
      </c>
      <c r="E88" s="199">
        <f>SUM(J88:U88)</f>
      </c>
      <c r="F88" s="199">
        <f>SUM(V88:AD88)</f>
      </c>
      <c r="H88" s="199">
        <f>SUM(S88:AD88)</f>
      </c>
      <c r="J88" s="197">
        <f>-SUMIFS('Full Customer List'!$G:$G,'Full Customer List'!$J:$J,J$1,'Full Customer List'!$E:$E,$AF83,'Full Customer List'!$H:$H,'Client Retention $'!$AF88)/1000</f>
      </c>
      <c r="K88" s="197">
        <f>-SUMIFS('Full Customer List'!$G:$G,'Full Customer List'!$J:$J,K$1,'Full Customer List'!$E:$E,$AF83,'Full Customer List'!$H:$H,'Client Retention $'!$AF88)/1000</f>
      </c>
      <c r="L88" s="197">
        <f>-SUMIFS('Full Customer List'!$G:$G,'Full Customer List'!$J:$J,L$1,'Full Customer List'!$E:$E,$AF83,'Full Customer List'!$H:$H,'Client Retention $'!$AF88)/1000</f>
      </c>
      <c r="M88" s="197">
        <f>-SUMIFS('Full Customer List'!$G:$G,'Full Customer List'!$J:$J,M$1,'Full Customer List'!$E:$E,$AF83,'Full Customer List'!$H:$H,'Client Retention $'!$AF88)/1000</f>
      </c>
      <c r="N88" s="197">
        <f>-SUMIFS('Full Customer List'!$G:$G,'Full Customer List'!$J:$J,N$1,'Full Customer List'!$E:$E,$AF83,'Full Customer List'!$H:$H,'Client Retention $'!$AF88)/1000</f>
      </c>
      <c r="O88" s="197">
        <f>-SUMIFS('Full Customer List'!$G:$G,'Full Customer List'!$J:$J,O$1,'Full Customer List'!$E:$E,$AF83,'Full Customer List'!$H:$H,'Client Retention $'!$AF88)/1000</f>
      </c>
      <c r="P88" s="197">
        <f>-SUMIFS('Full Customer List'!$G:$G,'Full Customer List'!$J:$J,P$1,'Full Customer List'!$E:$E,$AF83,'Full Customer List'!$H:$H,'Client Retention $'!$AF88)/1000</f>
      </c>
      <c r="Q88" s="197">
        <f>-SUMIFS('Full Customer List'!$G:$G,'Full Customer List'!$J:$J,Q$1,'Full Customer List'!$E:$E,$AF83,'Full Customer List'!$H:$H,'Client Retention $'!$AF88)/1000</f>
      </c>
      <c r="R88" s="197">
        <f>-SUMIFS('Full Customer List'!$G:$G,'Full Customer List'!$J:$J,R$1,'Full Customer List'!$E:$E,$AF83,'Full Customer List'!$H:$H,'Client Retention $'!$AF88)/1000</f>
      </c>
      <c r="S88" s="197">
        <f>-SUMIFS('Full Customer List'!$G:$G,'Full Customer List'!$J:$J,S$1,'Full Customer List'!$E:$E,$AF83,'Full Customer List'!$H:$H,'Client Retention $'!$AF88)/1000</f>
      </c>
      <c r="T88" s="197">
        <f>-SUMIFS('Full Customer List'!$G:$G,'Full Customer List'!$J:$J,T$1,'Full Customer List'!$E:$E,$AF83,'Full Customer List'!$H:$H,'Client Retention $'!$AF88)/1000</f>
      </c>
      <c r="U88" s="197">
        <f>-SUMIFS('Full Customer List'!$G:$G,'Full Customer List'!$J:$J,U$1,'Full Customer List'!$E:$E,$AF83,'Full Customer List'!$H:$H,'Client Retention $'!$AF88)/1000</f>
      </c>
      <c r="V88" s="197">
        <f>-SUMIFS('Full Customer List'!$G:$G,'Full Customer List'!$J:$J,V$1,'Full Customer List'!$E:$E,$AF83,'Full Customer List'!$H:$H,'Client Retention $'!$AF88)/1000</f>
      </c>
      <c r="W88" s="197">
        <f>-SUMIFS('Full Customer List'!$G:$G,'Full Customer List'!$J:$J,W$1,'Full Customer List'!$E:$E,$AF83,'Full Customer List'!$H:$H,'Client Retention $'!$AF88)/1000</f>
      </c>
      <c r="X88" s="197">
        <f>-SUMIFS('Full Customer List'!$G:$G,'Full Customer List'!$J:$J,X$1,'Full Customer List'!$E:$E,$AF83,'Full Customer List'!$H:$H,'Client Retention $'!$AF88)/1000</f>
      </c>
      <c r="Y88" s="197">
        <f>-SUMIFS('Full Customer List'!$G:$G,'Full Customer List'!$J:$J,Y$1,'Full Customer List'!$E:$E,$AF83,'Full Customer List'!$H:$H,'Client Retention $'!$AF88)/1000</f>
      </c>
      <c r="Z88" s="197">
        <f>-SUMIFS('Full Customer List'!$G:$G,'Full Customer List'!$J:$J,Z$1,'Full Customer List'!$E:$E,$AF83,'Full Customer List'!$H:$H,'Client Retention $'!$AF88)/1000</f>
      </c>
      <c r="AA88" s="197">
        <f>-SUMIFS('Full Customer List'!$G:$G,'Full Customer List'!$J:$J,AA$1,'Full Customer List'!$E:$E,$AF83,'Full Customer List'!$H:$H,'Client Retention $'!$AF88)/1000</f>
      </c>
      <c r="AB88" s="197">
        <f>-SUMIFS('Full Customer List'!$G:$G,'Full Customer List'!$J:$J,AB$1,'Full Customer List'!$E:$E,$AF83,'Full Customer List'!$H:$H,'Client Retention $'!$AF88)/1000</f>
      </c>
      <c r="AC88" s="197">
        <f>-SUMIFS('Full Customer List'!$G:$G,'Full Customer List'!$J:$J,AC$1,'Full Customer List'!$E:$E,$AF83,'Full Customer List'!$H:$H,'Client Retention $'!$AF88)/1000</f>
      </c>
      <c r="AD88" s="197">
        <f>-SUMIFS('Full Customer List'!$G:$G,'Full Customer List'!$J:$J,AD$1,'Full Customer List'!$E:$E,$AF83,'Full Customer List'!$H:$H,'Client Retention $'!$AF88)/1000</f>
      </c>
      <c r="AF88" s="175" t="s">
        <v>510</v>
      </c>
    </row>
    <row r="89" spans="2:37">
      <c r="B89" s="269" t="s">
        <v>1553</v>
      </c>
      <c r="E89" s="199">
        <f>SUM(J89:U89)</f>
      </c>
      <c r="F89" s="199">
        <f>SUM(V89:AD89)</f>
      </c>
      <c r="H89" s="199">
        <f>SUM(S89:AD89)</f>
      </c>
      <c r="J89" s="197">
        <f>-SUMIFS('Full Customer List'!$G:$G,'Full Customer List'!$J:$J,J$1,'Full Customer List'!$E:$E,$AF83,'Full Customer List'!$H:$H,'Client Retention $'!$AF89)/1000</f>
      </c>
      <c r="K89" s="197">
        <f>-SUMIFS('Full Customer List'!$G:$G,'Full Customer List'!$J:$J,K$1,'Full Customer List'!$E:$E,$AF83,'Full Customer List'!$H:$H,'Client Retention $'!$AF89)/1000</f>
      </c>
      <c r="L89" s="197">
        <f>-SUMIFS('Full Customer List'!$G:$G,'Full Customer List'!$J:$J,L$1,'Full Customer List'!$E:$E,$AF83,'Full Customer List'!$H:$H,'Client Retention $'!$AF89)/1000</f>
      </c>
      <c r="M89" s="197">
        <f>-SUMIFS('Full Customer List'!$G:$G,'Full Customer List'!$J:$J,M$1,'Full Customer List'!$E:$E,$AF83,'Full Customer List'!$H:$H,'Client Retention $'!$AF89)/1000</f>
      </c>
      <c r="N89" s="197">
        <f>-SUMIFS('Full Customer List'!$G:$G,'Full Customer List'!$J:$J,N$1,'Full Customer List'!$E:$E,$AF83,'Full Customer List'!$H:$H,'Client Retention $'!$AF89)/1000</f>
      </c>
      <c r="O89" s="197">
        <f>-SUMIFS('Full Customer List'!$G:$G,'Full Customer List'!$J:$J,O$1,'Full Customer List'!$E:$E,$AF83,'Full Customer List'!$H:$H,'Client Retention $'!$AF89)/1000</f>
      </c>
      <c r="P89" s="197">
        <f>-SUMIFS('Full Customer List'!$G:$G,'Full Customer List'!$J:$J,P$1,'Full Customer List'!$E:$E,$AF83,'Full Customer List'!$H:$H,'Client Retention $'!$AF89)/1000</f>
      </c>
      <c r="Q89" s="197">
        <f>-SUMIFS('Full Customer List'!$G:$G,'Full Customer List'!$J:$J,Q$1,'Full Customer List'!$E:$E,$AF83,'Full Customer List'!$H:$H,'Client Retention $'!$AF89)/1000</f>
      </c>
      <c r="R89" s="197">
        <f>-SUMIFS('Full Customer List'!$G:$G,'Full Customer List'!$J:$J,R$1,'Full Customer List'!$E:$E,$AF83,'Full Customer List'!$H:$H,'Client Retention $'!$AF89)/1000</f>
      </c>
      <c r="S89" s="197">
        <f>-SUMIFS('Full Customer List'!$G:$G,'Full Customer List'!$J:$J,S$1,'Full Customer List'!$E:$E,$AF83,'Full Customer List'!$H:$H,'Client Retention $'!$AF89)/1000</f>
      </c>
      <c r="T89" s="197">
        <f>-SUMIFS('Full Customer List'!$G:$G,'Full Customer List'!$J:$J,T$1,'Full Customer List'!$E:$E,$AF83,'Full Customer List'!$H:$H,'Client Retention $'!$AF89)/1000</f>
      </c>
      <c r="U89" s="197">
        <f>-SUMIFS('Full Customer List'!$G:$G,'Full Customer List'!$J:$J,U$1,'Full Customer List'!$E:$E,$AF83,'Full Customer List'!$H:$H,'Client Retention $'!$AF89)/1000</f>
      </c>
      <c r="V89" s="197">
        <f>-SUMIFS('Full Customer List'!$G:$G,'Full Customer List'!$J:$J,V$1,'Full Customer List'!$E:$E,$AF83,'Full Customer List'!$H:$H,'Client Retention $'!$AF89)/1000</f>
      </c>
      <c r="W89" s="197">
        <f>-SUMIFS('Full Customer List'!$G:$G,'Full Customer List'!$J:$J,W$1,'Full Customer List'!$E:$E,$AF83,'Full Customer List'!$H:$H,'Client Retention $'!$AF89)/1000</f>
      </c>
      <c r="X89" s="197">
        <f>-SUMIFS('Full Customer List'!$G:$G,'Full Customer List'!$J:$J,X$1,'Full Customer List'!$E:$E,$AF83,'Full Customer List'!$H:$H,'Client Retention $'!$AF89)/1000</f>
      </c>
      <c r="Y89" s="197">
        <f>-SUMIFS('Full Customer List'!$G:$G,'Full Customer List'!$J:$J,Y$1,'Full Customer List'!$E:$E,$AF83,'Full Customer List'!$H:$H,'Client Retention $'!$AF89)/1000</f>
      </c>
      <c r="Z89" s="197">
        <f>-SUMIFS('Full Customer List'!$G:$G,'Full Customer List'!$J:$J,Z$1,'Full Customer List'!$E:$E,$AF83,'Full Customer List'!$H:$H,'Client Retention $'!$AF89)/1000</f>
      </c>
      <c r="AA89" s="197">
        <f>-SUMIFS('Full Customer List'!$G:$G,'Full Customer List'!$J:$J,AA$1,'Full Customer List'!$E:$E,$AF83,'Full Customer List'!$H:$H,'Client Retention $'!$AF89)/1000</f>
      </c>
      <c r="AB89" s="197">
        <f>-SUMIFS('Full Customer List'!$G:$G,'Full Customer List'!$J:$J,AB$1,'Full Customer List'!$E:$E,$AF83,'Full Customer List'!$H:$H,'Client Retention $'!$AF89)/1000</f>
      </c>
      <c r="AC89" s="197">
        <f>-SUMIFS('Full Customer List'!$G:$G,'Full Customer List'!$J:$J,AC$1,'Full Customer List'!$E:$E,$AF83,'Full Customer List'!$H:$H,'Client Retention $'!$AF89)/1000</f>
      </c>
      <c r="AD89" s="197">
        <f>-SUMIFS('Full Customer List'!$G:$G,'Full Customer List'!$J:$J,AD$1,'Full Customer List'!$E:$E,$AF83,'Full Customer List'!$H:$H,'Client Retention $'!$AF89)/1000</f>
      </c>
      <c r="AF89" s="175" t="s">
        <v>1554</v>
      </c>
    </row>
    <row r="90" spans="2:37" ht="12" customHeight="1">
      <c r="B90" s="259" t="s">
        <v>1555</v>
      </c>
      <c r="C90" s="262"/>
      <c r="D90" s="262"/>
      <c r="E90" s="260">
        <f>SUM(J90:U90)</f>
      </c>
      <c r="F90" s="260">
        <f>SUM(V90:AD90)</f>
      </c>
      <c r="G90" s="261"/>
      <c r="H90" s="260">
        <f>SUM(S90:AD90)</f>
      </c>
      <c r="I90" s="281"/>
      <c r="J90" s="262">
        <f>-SUMIFS('Full Customer List'!$G:$G,'Full Customer List'!$J:$J,J$1,'Full Customer List'!$E:$E,$AF83)/1000</f>
      </c>
      <c r="K90" s="262">
        <f>-SUMIFS('Full Customer List'!$G:$G,'Full Customer List'!$J:$J,K$1,'Full Customer List'!$E:$E,$AF83)/1000</f>
      </c>
      <c r="L90" s="262">
        <f>-SUMIFS('Full Customer List'!$G:$G,'Full Customer List'!$J:$J,L$1,'Full Customer List'!$E:$E,$AF83)/1000</f>
      </c>
      <c r="M90" s="262">
        <f>-SUMIFS('Full Customer List'!$G:$G,'Full Customer List'!$J:$J,M$1,'Full Customer List'!$E:$E,$AF83)/1000</f>
      </c>
      <c r="N90" s="262">
        <f>-SUMIFS('Full Customer List'!$G:$G,'Full Customer List'!$J:$J,N$1,'Full Customer List'!$E:$E,$AF83)/1000</f>
      </c>
      <c r="O90" s="262">
        <f>-SUMIFS('Full Customer List'!$G:$G,'Full Customer List'!$J:$J,O$1,'Full Customer List'!$E:$E,$AF83)/1000</f>
      </c>
      <c r="P90" s="262">
        <f>-SUMIFS('Full Customer List'!$G:$G,'Full Customer List'!$J:$J,P$1,'Full Customer List'!$E:$E,$AF83)/1000</f>
      </c>
      <c r="Q90" s="262">
        <f>-SUMIFS('Full Customer List'!$G:$G,'Full Customer List'!$J:$J,Q$1,'Full Customer List'!$E:$E,$AF83)/1000</f>
      </c>
      <c r="R90" s="262">
        <f>-SUMIFS('Full Customer List'!$G:$G,'Full Customer List'!$J:$J,R$1,'Full Customer List'!$E:$E,$AF83)/1000</f>
      </c>
      <c r="S90" s="262">
        <f>-SUMIFS('Full Customer List'!$G:$G,'Full Customer List'!$J:$J,S$1,'Full Customer List'!$E:$E,$AF83)/1000</f>
      </c>
      <c r="T90" s="262">
        <f>-SUMIFS('Full Customer List'!$G:$G,'Full Customer List'!$J:$J,T$1,'Full Customer List'!$E:$E,$AF83)/1000</f>
      </c>
      <c r="U90" s="262">
        <f>-SUMIFS('Full Customer List'!$G:$G,'Full Customer List'!$J:$J,U$1,'Full Customer List'!$E:$E,$AF83)/1000</f>
      </c>
      <c r="V90" s="262">
        <f>-SUMIFS('Full Customer List'!$G:$G,'Full Customer List'!$J:$J,V$1,'Full Customer List'!$E:$E,$AF83)/1000</f>
      </c>
      <c r="W90" s="262">
        <f>-SUMIFS('Full Customer List'!$G:$G,'Full Customer List'!$J:$J,W$1,'Full Customer List'!$E:$E,$AF83)/1000</f>
      </c>
      <c r="X90" s="262">
        <f>-SUMIFS('Full Customer List'!$G:$G,'Full Customer List'!$J:$J,X$1,'Full Customer List'!$E:$E,$AF83)/1000</f>
      </c>
      <c r="Y90" s="262">
        <f>-SUMIFS('Full Customer List'!$G:$G,'Full Customer List'!$J:$J,Y$1,'Full Customer List'!$E:$E,$AF83)/1000</f>
      </c>
      <c r="Z90" s="262">
        <f>-SUMIFS('Full Customer List'!$G:$G,'Full Customer List'!$J:$J,Z$1,'Full Customer List'!$E:$E,$AF83)/1000</f>
      </c>
      <c r="AA90" s="262">
        <f>-SUMIFS('Full Customer List'!$G:$G,'Full Customer List'!$J:$J,AA$1,'Full Customer List'!$E:$E,$AF83)/1000</f>
      </c>
      <c r="AB90" s="262">
        <f>-SUMIFS('Full Customer List'!$G:$G,'Full Customer List'!$J:$J,AB$1,'Full Customer List'!$E:$E,$AF83)/1000</f>
      </c>
      <c r="AC90" s="262">
        <f>-SUMIFS('Full Customer List'!$G:$G,'Full Customer List'!$J:$J,AC$1,'Full Customer List'!$E:$E,$AF83)/1000</f>
      </c>
      <c r="AD90" s="262">
        <f>-SUMIFS('Full Customer List'!$G:$G,'Full Customer List'!$J:$J,AD$1,'Full Customer List'!$E:$E,$AF83)/1000</f>
      </c>
    </row>
    <row r="91" spans="2:37" ht="12" customHeight="1">
      <c r="B91" s="263" t="s">
        <v>1570</v>
      </c>
      <c r="C91" s="264"/>
      <c r="D91" s="264"/>
      <c r="E91" s="264">
        <f>+F85</f>
      </c>
      <c r="F91" s="265">
        <f>+$AD91</f>
      </c>
      <c r="H91" s="268">
        <f>+$AD91</f>
      </c>
      <c r="J91" s="266">
        <f>+K85</f>
      </c>
      <c r="K91" s="264">
        <f>+L85</f>
      </c>
      <c r="L91" s="264">
        <f>+M85</f>
      </c>
      <c r="M91" s="264">
        <f>+N85</f>
      </c>
      <c r="N91" s="264">
        <f>+O85</f>
      </c>
      <c r="O91" s="264">
        <f>+P85</f>
      </c>
      <c r="P91" s="264">
        <f>+Q85</f>
      </c>
      <c r="Q91" s="264">
        <f>+R85</f>
      </c>
      <c r="R91" s="264">
        <f>+S85</f>
      </c>
      <c r="S91" s="264">
        <f>+T85</f>
      </c>
      <c r="T91" s="264">
        <f>+U85</f>
      </c>
      <c r="U91" s="264">
        <f>+V85</f>
      </c>
      <c r="V91" s="264">
        <f>+W85</f>
      </c>
      <c r="W91" s="264">
        <f>+X85</f>
      </c>
      <c r="X91" s="264">
        <f>+Y85</f>
      </c>
      <c r="Y91" s="264">
        <f>+Z85</f>
      </c>
      <c r="Z91" s="264">
        <f>+AA85</f>
      </c>
      <c r="AA91" s="264">
        <f>+AB85</f>
      </c>
      <c r="AB91" s="264">
        <f>+AC85</f>
      </c>
      <c r="AC91" s="264">
        <f>+AD85</f>
      </c>
      <c r="AD91" s="265">
        <f>SUMIFS('Full Customer List'!$G:$G,'Full Customer List'!$C:$C,"Active",'Full Customer List'!$E:$E,'Client Retention $'!$AF83)/1000</f>
      </c>
    </row>
    <row r="92" spans="2:37" ht="3.95" customHeight="1">
      <c r="B92" s="182"/>
      <c r="C92" s="236"/>
      <c r="D92" s="236"/>
      <c r="E92" s="236"/>
      <c r="F92" s="236"/>
      <c r="H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  <c r="AA92" s="236"/>
      <c r="AB92" s="237"/>
      <c r="AC92" s="237"/>
      <c r="AD92" s="237"/>
    </row>
    <row r="93" spans="2:37" ht="12" customHeight="1">
      <c r="B93" s="238" t="s">
        <v>1571</v>
      </c>
      <c r="C93" s="239"/>
      <c r="D93" s="239"/>
      <c r="E93" s="240">
        <f>(E86+E85)/E85-1</f>
      </c>
      <c r="F93" s="251">
        <f>(F86+F85)/F85-1</f>
      </c>
      <c r="G93" s="252"/>
      <c r="H93" s="253">
        <f>(H86+H85)/H85-1</f>
      </c>
      <c r="J93" s="250">
        <f>(J86+J85)/J85-1</f>
      </c>
      <c r="K93" s="240">
        <f>(K86+K85)/K85-1</f>
      </c>
      <c r="L93" s="240">
        <f>(L86+L85)/L85-1</f>
      </c>
      <c r="M93" s="240">
        <f>(M86+M85)/M85-1</f>
      </c>
      <c r="N93" s="240">
        <f>(N86+N85)/N85-1</f>
      </c>
      <c r="O93" s="240">
        <f>(O86+O85)/O85-1</f>
      </c>
      <c r="P93" s="240">
        <f>(P86+P85)/P85-1</f>
      </c>
      <c r="Q93" s="240">
        <f>(Q86+Q85)/Q85-1</f>
      </c>
      <c r="R93" s="240">
        <f>(R86+R85)/R85-1</f>
      </c>
      <c r="S93" s="240">
        <f>(S86+S85)/S85-1</f>
      </c>
      <c r="T93" s="240">
        <f>(T86+T85)/T85-1</f>
      </c>
      <c r="U93" s="240">
        <f>IFERROR((U86+U85)/U85-1,0)</f>
      </c>
      <c r="V93" s="240">
        <f>IFERROR((V86+V85)/V85-1,0)</f>
      </c>
      <c r="W93" s="240">
        <f>IFERROR((W86+W85)/W85-1,0)</f>
      </c>
      <c r="X93" s="240">
        <f>IFERROR((X86+X85)/X85-1,0)</f>
      </c>
      <c r="Y93" s="240">
        <f>IFERROR((Y86+Y85)/Y85-1,0)</f>
      </c>
      <c r="Z93" s="240">
        <f>IFERROR((Z86+Z85)/Z85-1,0)</f>
      </c>
      <c r="AA93" s="240">
        <f>IFERROR((AA86+AA85)/AA85-1,0)</f>
      </c>
      <c r="AB93" s="240">
        <f>IFERROR((AB86+AB85)/AB85-1,0)</f>
      </c>
      <c r="AC93" s="240">
        <f>IFERROR((AC86+AC85)/AC85-1,0)</f>
      </c>
      <c r="AD93" s="251">
        <f>IFERROR((AD86+AD85)/AD85-1,0)</f>
      </c>
    </row>
    <row r="94" spans="2:37" ht="12" customHeight="1">
      <c r="B94" s="241" t="s">
        <v>1572</v>
      </c>
      <c r="C94" s="242"/>
      <c r="D94" s="242"/>
      <c r="E94" s="243">
        <f>(E90+E85)/E85-1</f>
      </c>
      <c r="F94" s="244">
        <f>(F90+F85)/F85-1</f>
      </c>
      <c r="G94" s="252"/>
      <c r="H94" s="246">
        <f>(H90+H85)/H85-1</f>
      </c>
      <c r="J94" s="245">
        <f>(J90+J85)/J85-1</f>
      </c>
      <c r="K94" s="243">
        <f>(K90+K85)/K85-1</f>
      </c>
      <c r="L94" s="243">
        <f>(L90+L85)/L85-1</f>
      </c>
      <c r="M94" s="243">
        <f>(M90+M85)/M85-1</f>
      </c>
      <c r="N94" s="243">
        <f>(N90+N85)/N85-1</f>
      </c>
      <c r="O94" s="243">
        <f>(O90+O85)/O85-1</f>
      </c>
      <c r="P94" s="243">
        <f>(P90+P85)/P85-1</f>
      </c>
      <c r="Q94" s="243">
        <f>(Q90+Q85)/Q85-1</f>
      </c>
      <c r="R94" s="243">
        <f>(R90+R85)/R85-1</f>
      </c>
      <c r="S94" s="243">
        <f>(S90+S85)/S85-1</f>
      </c>
      <c r="T94" s="243">
        <f>(T90+T85)/T85-1</f>
      </c>
      <c r="U94" s="243">
        <f>(U90+U85)/U85-1</f>
      </c>
      <c r="V94" s="243">
        <f>(V90+V85)/V85-1</f>
      </c>
      <c r="W94" s="243">
        <f>(W90+W85)/W85-1</f>
      </c>
      <c r="X94" s="243">
        <f>IFERROR((X90+X85)/X85-1,0)</f>
      </c>
      <c r="Y94" s="243">
        <f>IFERROR((Y90+Y85)/Y85-1,0)</f>
      </c>
      <c r="Z94" s="243">
        <f>IFERROR((Z90+Z85)/Z85-1,0)</f>
      </c>
      <c r="AA94" s="243">
        <f>IFERROR((AA90+AA85)/AA85-1,0)</f>
      </c>
      <c r="AB94" s="243">
        <f>IFERROR((AB90+AB85)/AB85-1,0)</f>
      </c>
      <c r="AC94" s="243">
        <f>IFERROR((AC90+AC85)/AC85-1,0)</f>
      </c>
      <c r="AD94" s="244">
        <f>IFERROR((AD90+AD85)/AD85-1,0)</f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200">
        <v>44926</v>
      </c>
      <c r="D134" s="202">
        <f>C135</f>
      </c>
      <c r="E134" s="202">
        <f>D135</f>
      </c>
      <c r="AK134"/>
    </row>
    <row r="135" spans="3:37" ht="15">
      <c r="C135" s="201">
        <f>EOMONTH(C134,12)</f>
      </c>
      <c r="D135" s="201">
        <f>EOMONTH(D134,12)</f>
      </c>
      <c r="E135" s="201">
        <f>EOMONTH(E134,12)</f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B6:H6 J6:AH6">
    <cfRule type="expression" dxfId="13" priority="19">
      <formula>$Y$3=1</formula>
    </cfRule>
  </conditionalFormatting>
  <conditionalFormatting sqref="B19:H19 J19:AH19">
    <cfRule type="expression" dxfId="12" priority="7">
      <formula>$Y$3=1</formula>
    </cfRule>
  </conditionalFormatting>
  <conditionalFormatting sqref="B32:H32">
    <cfRule type="expression" dxfId="11" priority="6">
      <formula>$Y$3=1</formula>
    </cfRule>
  </conditionalFormatting>
  <conditionalFormatting sqref="B45:H45">
    <cfRule type="expression" dxfId="10" priority="5">
      <formula>$Y$3=1</formula>
    </cfRule>
  </conditionalFormatting>
  <conditionalFormatting sqref="B58:H58">
    <cfRule type="expression" dxfId="9" priority="4">
      <formula>$Y$3=1</formula>
    </cfRule>
  </conditionalFormatting>
  <conditionalFormatting sqref="B71:H71">
    <cfRule type="expression" dxfId="8" priority="3">
      <formula>$Y$3=1</formula>
    </cfRule>
  </conditionalFormatting>
  <conditionalFormatting sqref="B84:H84">
    <cfRule type="expression" dxfId="7" priority="2">
      <formula>$Y$3=1</formula>
    </cfRule>
  </conditionalFormatting>
  <conditionalFormatting sqref="J32:AH32">
    <cfRule type="expression" dxfId="6" priority="17">
      <formula>$Y$3=1</formula>
    </cfRule>
  </conditionalFormatting>
  <conditionalFormatting sqref="J45:AH45">
    <cfRule type="expression" dxfId="5" priority="13">
      <formula>$Y$3=1</formula>
    </cfRule>
  </conditionalFormatting>
  <conditionalFormatting sqref="J58:AH58">
    <cfRule type="expression" dxfId="4" priority="16">
      <formula>$Y$3=1</formula>
    </cfRule>
  </conditionalFormatting>
  <conditionalFormatting sqref="J71:AH71">
    <cfRule type="expression" dxfId="3" priority="15">
      <formula>$Y$3=1</formula>
    </cfRule>
  </conditionalFormatting>
  <conditionalFormatting sqref="J84:AH84">
    <cfRule type="expression" dxfId="2" priority="10">
      <formula>$Y$3=1</formula>
    </cfRule>
  </conditionalFormatting>
  <conditionalFormatting sqref="A32:XFD42 A45:XFD55 A58:XFD68 A71:XFD81 A84:XFD94 A6:XFD16 A19:XFD29">
    <cfRule type="expression" dxfId="0" priority="1">
      <formula>$AG$3=1</formula>
    </cfRule>
  </conditionalFormatting>
  <pageMargins left="0.7" right="0.7" top="0.75" bottom="0.75" header="0.3" footer="0.3"/>
  <pageSetup scale="45" orientation="landscape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75" customWidth="1"/>
    <col min="2" max="2" width="28.85546875" style="275" bestFit="1" customWidth="1"/>
    <col min="3" max="13" width="9.140625" style="275"/>
    <col min="14" max="14" width="12.42578125" style="275" customWidth="1"/>
    <col min="15" max="16384" width="9.140625" style="275"/>
  </cols>
  <sheetData>
    <row r="2" spans="2:14" ht="16.5">
      <c r="B2" s="37" t="str">
        <f>+'Client Retention $'!B2</f>
      </c>
    </row>
    <row r="3" spans="2:14">
      <c r="B3" s="38" t="s">
        <v>1573</v>
      </c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8"/>
      <c r="N3" s="278"/>
    </row>
    <row r="5" spans="2:14">
      <c r="B5" s="219" t="s">
        <v>1566</v>
      </c>
    </row>
    <row r="32" spans="2:2">
      <c r="B32" s="219" t="s">
        <v>1565</v>
      </c>
    </row>
    <row r="58" spans="2:2">
      <c r="B58" s="219" t="s">
        <v>1562</v>
      </c>
    </row>
    <row r="85" spans="2:2">
      <c r="B85" s="219" t="s">
        <v>1563</v>
      </c>
    </row>
    <row r="111" spans="2:23">
      <c r="B111" s="276" t="str">
        <f>+'Client Retention $'!B19</f>
      </c>
      <c r="C111" s="194">
        <v>45658</v>
      </c>
      <c r="D111" s="194">
        <f>EOMONTH(C111,0)+1</f>
      </c>
      <c r="E111" s="194">
        <f>EOMONTH(D111,0)+1</f>
      </c>
      <c r="F111" s="194">
        <f>EOMONTH(E111,0)+1</f>
      </c>
      <c r="G111" s="194">
        <f>EOMONTH(F111,0)+1</f>
      </c>
      <c r="H111" s="194">
        <f>EOMONTH(G111,0)+1</f>
      </c>
      <c r="I111" s="194">
        <f>EOMONTH(H111,0)+1</f>
      </c>
      <c r="J111" s="194">
        <v>45870</v>
      </c>
      <c r="K111" s="194">
        <f>EOMONTH(J111,0)+1</f>
      </c>
      <c r="L111" s="194">
        <f>EOMONTH(K111,0)+1</f>
      </c>
      <c r="M111" s="194">
        <f>EOMONTH(L111,0)+1</f>
      </c>
      <c r="N111" s="194">
        <f>EOMONTH(M111,0)+1</f>
      </c>
      <c r="O111" s="194">
        <f>EOMONTH(N111,0)+1</f>
      </c>
      <c r="P111" s="194">
        <f>EOMONTH(O111,0)+1</f>
      </c>
      <c r="Q111" s="194">
        <f>EOMONTH(P111,0)+1</f>
      </c>
      <c r="R111" s="194">
        <f>EOMONTH(Q111,0)+1</f>
      </c>
      <c r="S111" s="194">
        <f>EOMONTH(R111,0)+1</f>
      </c>
      <c r="T111" s="194">
        <f>EOMONTH(S111,0)+1</f>
      </c>
      <c r="U111" s="194">
        <f>EOMONTH(T111,0)+1</f>
      </c>
      <c r="V111" s="194">
        <f>EOMONTH(U111,0)+1</f>
      </c>
      <c r="W111" s="194">
        <f>EOMONTH(V111,0)+1</f>
      </c>
    </row>
    <row r="112" spans="2:23">
      <c r="B112" s="275" t="s">
        <v>1557</v>
      </c>
      <c r="C112" s="53">
        <f>+'Client Retention $'!J21</f>
      </c>
      <c r="D112" s="53">
        <f>+'Client Retention $'!K21</f>
      </c>
      <c r="E112" s="53">
        <f>+'Client Retention $'!L21</f>
      </c>
      <c r="F112" s="53">
        <f>+'Client Retention $'!M21</f>
      </c>
      <c r="G112" s="53">
        <f>+'Client Retention $'!N21</f>
      </c>
      <c r="H112" s="53">
        <f>+'Client Retention $'!O21</f>
      </c>
      <c r="I112" s="53">
        <f>+'Client Retention $'!P21</f>
      </c>
      <c r="J112" s="53">
        <f>+'Client Retention $'!Q21</f>
      </c>
      <c r="K112" s="53">
        <f>+'Client Retention $'!R21</f>
      </c>
      <c r="L112" s="53">
        <f>+'Client Retention $'!S21</f>
      </c>
      <c r="M112" s="53">
        <f>+'Client Retention $'!T21</f>
      </c>
      <c r="N112" s="53">
        <f>+'Client Retention $'!U21</f>
      </c>
      <c r="O112" s="53">
        <f>+'Client Retention $'!V21</f>
      </c>
      <c r="P112" s="53">
        <f>+'Client Retention $'!W21</f>
      </c>
      <c r="Q112" s="53">
        <f>+'Client Retention $'!X21</f>
      </c>
      <c r="R112" s="53">
        <f>+'Client Retention $'!Y21</f>
      </c>
      <c r="S112" s="53">
        <f>+'Client Retention $'!Z21</f>
      </c>
      <c r="T112" s="53">
        <f>+'Client Retention $'!AA21</f>
      </c>
      <c r="U112" s="53">
        <f>+'Client Retention $'!AB21</f>
      </c>
      <c r="V112" s="53">
        <f>+'Client Retention $'!AC21</f>
      </c>
      <c r="W112" s="53">
        <f>+'Client Retention $'!AD21</f>
      </c>
    </row>
    <row r="113" spans="2:23">
      <c r="B113" s="275" t="s">
        <v>1558</v>
      </c>
      <c r="C113" s="53">
        <f>-'Client Retention $'!J22</f>
      </c>
      <c r="D113" s="53">
        <f>-'Client Retention $'!K22</f>
      </c>
      <c r="E113" s="53">
        <f>-'Client Retention $'!L22</f>
      </c>
      <c r="F113" s="53">
        <f>-'Client Retention $'!M22</f>
      </c>
      <c r="G113" s="53">
        <f>-'Client Retention $'!N22</f>
      </c>
      <c r="H113" s="53">
        <f>-'Client Retention $'!O22</f>
      </c>
      <c r="I113" s="53">
        <f>-'Client Retention $'!P22</f>
      </c>
      <c r="J113" s="53">
        <f>-'Client Retention $'!Q22</f>
      </c>
      <c r="K113" s="53">
        <f>-'Client Retention $'!R22</f>
      </c>
      <c r="L113" s="53">
        <f>-'Client Retention $'!S22</f>
      </c>
      <c r="M113" s="53">
        <f>-'Client Retention $'!T22</f>
      </c>
      <c r="N113" s="53">
        <f>-'Client Retention $'!U22</f>
      </c>
      <c r="O113" s="53">
        <f>-'Client Retention $'!V22</f>
      </c>
      <c r="P113" s="53">
        <f>-'Client Retention $'!W22</f>
      </c>
      <c r="Q113" s="53">
        <f>-'Client Retention $'!X22</f>
      </c>
      <c r="R113" s="53">
        <f>-'Client Retention $'!Y22</f>
      </c>
      <c r="S113" s="53">
        <f>-'Client Retention $'!Z22</f>
      </c>
      <c r="T113" s="53">
        <f>-'Client Retention $'!AA22</f>
      </c>
      <c r="U113" s="53">
        <f>-'Client Retention $'!AB22</f>
      </c>
      <c r="V113" s="53">
        <f>-'Client Retention $'!AC22</f>
      </c>
      <c r="W113" s="53">
        <f>-'Client Retention $'!AD22</f>
      </c>
    </row>
    <row r="114" spans="2:23">
      <c r="B114" s="275" t="s">
        <v>1559</v>
      </c>
      <c r="C114" s="53">
        <f>-'Client Retention $'!J23</f>
      </c>
      <c r="D114" s="53">
        <f>-'Client Retention $'!K23</f>
      </c>
      <c r="E114" s="53">
        <f>-'Client Retention $'!L23</f>
      </c>
      <c r="F114" s="53">
        <f>-'Client Retention $'!M23</f>
      </c>
      <c r="G114" s="53">
        <f>-'Client Retention $'!N23</f>
      </c>
      <c r="H114" s="53">
        <f>-'Client Retention $'!O23</f>
      </c>
      <c r="I114" s="53">
        <f>-'Client Retention $'!P23</f>
      </c>
      <c r="J114" s="53">
        <f>-'Client Retention $'!Q23</f>
      </c>
      <c r="K114" s="53">
        <f>-'Client Retention $'!R23</f>
      </c>
      <c r="L114" s="53">
        <f>-'Client Retention $'!S23</f>
      </c>
      <c r="M114" s="53">
        <f>-'Client Retention $'!T23</f>
      </c>
      <c r="N114" s="53">
        <f>-'Client Retention $'!U23</f>
      </c>
      <c r="O114" s="53">
        <f>-'Client Retention $'!V23</f>
      </c>
      <c r="P114" s="53">
        <f>-'Client Retention $'!W23</f>
      </c>
      <c r="Q114" s="53">
        <f>-'Client Retention $'!X23</f>
      </c>
      <c r="R114" s="53">
        <f>-'Client Retention $'!Y23</f>
      </c>
      <c r="S114" s="53">
        <f>-'Client Retention $'!Z23</f>
      </c>
      <c r="T114" s="53">
        <f>-'Client Retention $'!AA23</f>
      </c>
      <c r="U114" s="53">
        <f>-'Client Retention $'!AB23</f>
      </c>
      <c r="V114" s="53">
        <f>-'Client Retention $'!AC23</f>
      </c>
      <c r="W114" s="53">
        <f>-'Client Retention $'!AD23</f>
      </c>
    </row>
    <row r="115" spans="2:23">
      <c r="B115" s="275" t="s">
        <v>1560</v>
      </c>
      <c r="C115" s="53">
        <f>-'Client Retention $'!J24</f>
      </c>
      <c r="D115" s="53">
        <f>-'Client Retention $'!K24</f>
      </c>
      <c r="E115" s="53">
        <f>-'Client Retention $'!L24</f>
      </c>
      <c r="F115" s="53">
        <f>-'Client Retention $'!M24</f>
      </c>
      <c r="G115" s="53">
        <f>-'Client Retention $'!N24</f>
      </c>
      <c r="H115" s="53">
        <f>-'Client Retention $'!O24</f>
      </c>
      <c r="I115" s="53">
        <f>-'Client Retention $'!P24</f>
      </c>
      <c r="J115" s="53">
        <f>-'Client Retention $'!Q24</f>
      </c>
      <c r="K115" s="53">
        <f>-'Client Retention $'!R24</f>
      </c>
      <c r="L115" s="53">
        <f>-'Client Retention $'!S24</f>
      </c>
      <c r="M115" s="53">
        <f>-'Client Retention $'!T24</f>
      </c>
      <c r="N115" s="53">
        <f>-'Client Retention $'!U24</f>
      </c>
      <c r="O115" s="53">
        <f>-'Client Retention $'!V24</f>
      </c>
      <c r="P115" s="53">
        <f>-'Client Retention $'!W24</f>
      </c>
      <c r="Q115" s="53">
        <f>-'Client Retention $'!X24</f>
      </c>
      <c r="R115" s="53">
        <f>-'Client Retention $'!Y24</f>
      </c>
      <c r="S115" s="53">
        <f>-'Client Retention $'!Z24</f>
      </c>
      <c r="T115" s="53">
        <f>-'Client Retention $'!AA24</f>
      </c>
      <c r="U115" s="53">
        <f>-'Client Retention $'!AB24</f>
      </c>
      <c r="V115" s="53">
        <f>-'Client Retention $'!AC24</f>
      </c>
      <c r="W115" s="53">
        <f>-'Client Retention $'!AD24</f>
      </c>
    </row>
    <row r="117" spans="2:23">
      <c r="B117" s="276" t="str">
        <f>+B111</f>
      </c>
      <c r="C117" s="194">
        <v>45658</v>
      </c>
      <c r="D117" s="194">
        <f>EOMONTH(C117,0)+1</f>
      </c>
      <c r="E117" s="194">
        <f>EOMONTH(D117,0)+1</f>
      </c>
      <c r="F117" s="194">
        <f>EOMONTH(E117,0)+1</f>
      </c>
      <c r="G117" s="194">
        <f>EOMONTH(F117,0)+1</f>
      </c>
      <c r="H117" s="194">
        <f>EOMONTH(G117,0)+1</f>
      </c>
      <c r="I117" s="194">
        <f>EOMONTH(H117,0)+1</f>
      </c>
      <c r="J117" s="194">
        <v>45870</v>
      </c>
      <c r="K117" s="194">
        <f>EOMONTH(J117,0)+1</f>
      </c>
      <c r="L117" s="194">
        <f>EOMONTH(K117,0)+1</f>
      </c>
      <c r="M117" s="194">
        <f>EOMONTH(L117,0)+1</f>
      </c>
      <c r="N117" s="194">
        <f>EOMONTH(M117,0)+1</f>
      </c>
      <c r="O117" s="194">
        <f>EOMONTH(N117,0)+1</f>
      </c>
      <c r="P117" s="194">
        <f>EOMONTH(O117,0)+1</f>
      </c>
      <c r="Q117" s="194">
        <f>EOMONTH(P117,0)+1</f>
      </c>
      <c r="R117" s="194">
        <f>EOMONTH(Q117,0)+1</f>
      </c>
      <c r="S117" s="194">
        <f>EOMONTH(R117,0)+1</f>
      </c>
      <c r="T117" s="194">
        <f>EOMONTH(S117,0)+1</f>
      </c>
      <c r="U117" s="194">
        <f>EOMONTH(T117,0)+1</f>
      </c>
      <c r="V117" s="194">
        <f>EOMONTH(U117,0)+1</f>
      </c>
      <c r="W117" s="194">
        <f>EOMONTH(V117,0)+1</f>
      </c>
    </row>
    <row r="118" spans="2:23">
      <c r="B118" s="275" t="s">
        <v>1557</v>
      </c>
      <c r="C118" s="83">
        <f>+C112</f>
      </c>
      <c r="D118" s="83">
        <f>+D112</f>
      </c>
      <c r="E118" s="83">
        <f>+E112</f>
      </c>
      <c r="F118" s="83">
        <f>+F112</f>
      </c>
      <c r="G118" s="83">
        <f>+G112</f>
      </c>
      <c r="H118" s="83">
        <f>+H112</f>
      </c>
      <c r="I118" s="83">
        <f>+I112</f>
      </c>
      <c r="J118" s="83">
        <f>+J112</f>
      </c>
      <c r="K118" s="83">
        <f>+K112</f>
      </c>
      <c r="L118" s="83">
        <f>+L112</f>
      </c>
      <c r="M118" s="83">
        <f>+M112</f>
      </c>
      <c r="N118" s="83">
        <f>+N112</f>
      </c>
      <c r="O118" s="83">
        <f>+O112</f>
      </c>
      <c r="P118" s="83">
        <f>+P112</f>
      </c>
      <c r="Q118" s="83">
        <f>+Q112</f>
      </c>
      <c r="R118" s="83">
        <f>+R112</f>
      </c>
      <c r="S118" s="83">
        <f>+S112</f>
      </c>
      <c r="T118" s="83">
        <f>+T112</f>
      </c>
      <c r="U118" s="83">
        <f>+U112</f>
      </c>
      <c r="V118" s="83">
        <f>+V112</f>
      </c>
      <c r="W118" s="83">
        <f>+W112</f>
      </c>
    </row>
    <row r="119" spans="2:23">
      <c r="B119" s="275" t="s">
        <v>1561</v>
      </c>
      <c r="C119" s="53">
        <f>-'Client Retention $'!J25</f>
      </c>
      <c r="D119" s="53">
        <f>-'Client Retention $'!K25</f>
      </c>
      <c r="E119" s="53">
        <f>-'Client Retention $'!L25</f>
      </c>
      <c r="F119" s="53">
        <f>-'Client Retention $'!M25</f>
      </c>
      <c r="G119" s="53">
        <f>-'Client Retention $'!N25</f>
      </c>
      <c r="H119" s="53">
        <f>-'Client Retention $'!O25</f>
      </c>
      <c r="I119" s="53">
        <f>-'Client Retention $'!P25</f>
      </c>
      <c r="J119" s="53">
        <f>-'Client Retention $'!Q25</f>
      </c>
      <c r="K119" s="53">
        <f>-'Client Retention $'!R25</f>
      </c>
      <c r="L119" s="53">
        <f>-'Client Retention $'!S25</f>
      </c>
      <c r="M119" s="53">
        <f>-'Client Retention $'!T25</f>
      </c>
      <c r="N119" s="53">
        <f>-'Client Retention $'!U25</f>
      </c>
      <c r="O119" s="53">
        <f>-'Client Retention $'!V25</f>
      </c>
      <c r="P119" s="53">
        <f>-'Client Retention $'!W25</f>
      </c>
      <c r="Q119" s="53">
        <f>-'Client Retention $'!X25</f>
      </c>
      <c r="R119" s="53">
        <f>-'Client Retention $'!Y25</f>
      </c>
      <c r="S119" s="53">
        <f>-'Client Retention $'!Z25</f>
      </c>
      <c r="T119" s="53">
        <f>-'Client Retention $'!AA25</f>
      </c>
      <c r="U119" s="53">
        <f>-'Client Retention $'!AB25</f>
      </c>
      <c r="V119" s="53">
        <f>-'Client Retention $'!AC25</f>
      </c>
      <c r="W119" s="53">
        <f>-'Client Retention $'!AD25</f>
      </c>
    </row>
    <row r="121" spans="2:23">
      <c r="B121" s="276" t="str">
        <f>+'Client Retention $'!B32</f>
      </c>
      <c r="C121" s="194">
        <v>45658</v>
      </c>
      <c r="D121" s="194">
        <f>EOMONTH(C121,0)+1</f>
      </c>
      <c r="E121" s="194">
        <f>EOMONTH(D121,0)+1</f>
      </c>
      <c r="F121" s="194">
        <f>EOMONTH(E121,0)+1</f>
      </c>
      <c r="G121" s="194">
        <f>EOMONTH(F121,0)+1</f>
      </c>
      <c r="H121" s="194">
        <f>EOMONTH(G121,0)+1</f>
      </c>
      <c r="I121" s="194">
        <f>EOMONTH(H121,0)+1</f>
      </c>
      <c r="J121" s="194">
        <v>45870</v>
      </c>
      <c r="K121" s="194">
        <f>EOMONTH(J121,0)+1</f>
      </c>
      <c r="L121" s="194">
        <f>EOMONTH(K121,0)+1</f>
      </c>
      <c r="M121" s="194">
        <f>EOMONTH(L121,0)+1</f>
      </c>
      <c r="N121" s="194">
        <f>EOMONTH(M121,0)+1</f>
      </c>
      <c r="O121" s="194">
        <f>EOMONTH(N121,0)+1</f>
      </c>
      <c r="P121" s="194">
        <f>EOMONTH(O121,0)+1</f>
      </c>
      <c r="Q121" s="194">
        <f>EOMONTH(P121,0)+1</f>
      </c>
      <c r="R121" s="194">
        <f>EOMONTH(Q121,0)+1</f>
      </c>
      <c r="S121" s="194">
        <f>EOMONTH(R121,0)+1</f>
      </c>
      <c r="T121" s="194">
        <f>EOMONTH(S121,0)+1</f>
      </c>
      <c r="U121" s="194">
        <f>EOMONTH(T121,0)+1</f>
      </c>
      <c r="V121" s="194">
        <f>EOMONTH(U121,0)+1</f>
      </c>
      <c r="W121" s="194">
        <f>EOMONTH(V121,0)+1</f>
      </c>
    </row>
    <row r="122" spans="2:23">
      <c r="B122" s="275" t="s">
        <v>1557</v>
      </c>
      <c r="C122" s="53">
        <f>+'Client Retention $'!J34</f>
      </c>
      <c r="D122" s="53">
        <f>+'Client Retention $'!K34</f>
      </c>
      <c r="E122" s="53">
        <f>+'Client Retention $'!L34</f>
      </c>
      <c r="F122" s="53">
        <f>+'Client Retention $'!M34</f>
      </c>
      <c r="G122" s="53">
        <f>+'Client Retention $'!N34</f>
      </c>
      <c r="H122" s="53">
        <f>+'Client Retention $'!O34</f>
      </c>
      <c r="I122" s="53">
        <f>+'Client Retention $'!P34</f>
      </c>
      <c r="J122" s="53">
        <f>+'Client Retention $'!Q34</f>
      </c>
      <c r="K122" s="53">
        <f>+'Client Retention $'!R34</f>
      </c>
      <c r="L122" s="53">
        <f>+'Client Retention $'!S34</f>
      </c>
      <c r="M122" s="53">
        <f>+'Client Retention $'!T34</f>
      </c>
      <c r="N122" s="53">
        <f>+'Client Retention $'!U34</f>
      </c>
      <c r="O122" s="53">
        <f>+'Client Retention $'!V34</f>
      </c>
      <c r="P122" s="53">
        <f>+'Client Retention $'!W34</f>
      </c>
      <c r="Q122" s="53">
        <f>+'Client Retention $'!X34</f>
      </c>
      <c r="R122" s="53">
        <f>+'Client Retention $'!Y34</f>
      </c>
      <c r="S122" s="53">
        <f>+'Client Retention $'!Z34</f>
      </c>
      <c r="T122" s="53">
        <f>+'Client Retention $'!AA34</f>
      </c>
      <c r="U122" s="53">
        <f>+'Client Retention $'!AB34</f>
      </c>
      <c r="V122" s="53">
        <f>+'Client Retention $'!AC34</f>
      </c>
      <c r="W122" s="53">
        <f>+'Client Retention $'!AD34</f>
      </c>
    </row>
    <row r="123" spans="2:23">
      <c r="B123" s="275" t="s">
        <v>1561</v>
      </c>
      <c r="C123" s="53">
        <f>-'Client Retention $'!J38</f>
      </c>
      <c r="D123" s="53">
        <f>-'Client Retention $'!K38</f>
      </c>
      <c r="E123" s="53">
        <f>-'Client Retention $'!L38</f>
      </c>
      <c r="F123" s="53">
        <f>-'Client Retention $'!M38</f>
      </c>
      <c r="G123" s="53">
        <f>-'Client Retention $'!N38</f>
      </c>
      <c r="H123" s="53">
        <f>-'Client Retention $'!O38</f>
      </c>
      <c r="I123" s="53">
        <f>-'Client Retention $'!P38</f>
      </c>
      <c r="J123" s="53">
        <f>-'Client Retention $'!Q38</f>
      </c>
      <c r="K123" s="53">
        <f>-'Client Retention $'!R38</f>
      </c>
      <c r="L123" s="53">
        <f>-'Client Retention $'!S38</f>
      </c>
      <c r="M123" s="53">
        <f>-'Client Retention $'!T38</f>
      </c>
      <c r="N123" s="53">
        <f>-'Client Retention $'!U38</f>
      </c>
      <c r="O123" s="53">
        <f>-'Client Retention $'!V38</f>
      </c>
      <c r="P123" s="53">
        <f>-'Client Retention $'!W38</f>
      </c>
      <c r="Q123" s="53">
        <f>-'Client Retention $'!X38</f>
      </c>
      <c r="R123" s="53">
        <f>-'Client Retention $'!Y38</f>
      </c>
      <c r="S123" s="53">
        <f>-'Client Retention $'!Z38</f>
      </c>
      <c r="T123" s="53">
        <f>-'Client Retention $'!AA38</f>
      </c>
      <c r="U123" s="53">
        <f>-'Client Retention $'!AB38</f>
      </c>
      <c r="V123" s="53">
        <f>-'Client Retention $'!AC38</f>
      </c>
      <c r="W123" s="53">
        <f>-'Client Retention $'!AD38</f>
      </c>
    </row>
    <row r="125" spans="2:23">
      <c r="B125" s="276" t="str">
        <f>+'Client Retention $'!B45</f>
      </c>
      <c r="C125" s="194">
        <v>45658</v>
      </c>
      <c r="D125" s="194">
        <f>EOMONTH(C125,0)+1</f>
      </c>
      <c r="E125" s="194">
        <f>EOMONTH(D125,0)+1</f>
      </c>
      <c r="F125" s="194">
        <f>EOMONTH(E125,0)+1</f>
      </c>
      <c r="G125" s="194">
        <f>EOMONTH(F125,0)+1</f>
      </c>
      <c r="H125" s="194">
        <f>EOMONTH(G125,0)+1</f>
      </c>
      <c r="I125" s="194">
        <f>EOMONTH(H125,0)+1</f>
      </c>
      <c r="J125" s="194">
        <v>45870</v>
      </c>
      <c r="K125" s="194">
        <f>EOMONTH(J125,0)+1</f>
      </c>
      <c r="L125" s="194">
        <f>EOMONTH(K125,0)+1</f>
      </c>
      <c r="M125" s="194">
        <f>EOMONTH(L125,0)+1</f>
      </c>
      <c r="N125" s="194">
        <f>EOMONTH(M125,0)+1</f>
      </c>
      <c r="O125" s="194">
        <f>EOMONTH(N125,0)+1</f>
      </c>
      <c r="P125" s="194">
        <f>EOMONTH(O125,0)+1</f>
      </c>
      <c r="Q125" s="194">
        <f>EOMONTH(P125,0)+1</f>
      </c>
      <c r="R125" s="194">
        <f>EOMONTH(Q125,0)+1</f>
      </c>
      <c r="S125" s="194">
        <f>EOMONTH(R125,0)+1</f>
      </c>
      <c r="T125" s="194">
        <f>EOMONTH(S125,0)+1</f>
      </c>
      <c r="U125" s="194">
        <f>EOMONTH(T125,0)+1</f>
      </c>
      <c r="V125" s="194">
        <f>EOMONTH(U125,0)+1</f>
      </c>
      <c r="W125" s="194">
        <f>EOMONTH(V125,0)+1</f>
      </c>
    </row>
    <row r="126" spans="2:23">
      <c r="B126" s="275" t="s">
        <v>1557</v>
      </c>
      <c r="C126" s="53">
        <f>+'Client Retention $'!J47</f>
      </c>
      <c r="D126" s="53">
        <f>+'Client Retention $'!K47</f>
      </c>
      <c r="E126" s="53">
        <f>+'Client Retention $'!L47</f>
      </c>
      <c r="F126" s="53">
        <f>+'Client Retention $'!M47</f>
      </c>
      <c r="G126" s="53">
        <f>+'Client Retention $'!N47</f>
      </c>
      <c r="H126" s="53">
        <f>+'Client Retention $'!O47</f>
      </c>
      <c r="I126" s="53">
        <f>+'Client Retention $'!P47</f>
      </c>
      <c r="J126" s="53">
        <f>+'Client Retention $'!Q47</f>
      </c>
      <c r="K126" s="53">
        <f>+'Client Retention $'!R47</f>
      </c>
      <c r="L126" s="53">
        <f>+'Client Retention $'!S47</f>
      </c>
      <c r="M126" s="53">
        <f>+'Client Retention $'!T47</f>
      </c>
      <c r="N126" s="53">
        <f>+'Client Retention $'!U47</f>
      </c>
      <c r="O126" s="53">
        <f>+'Client Retention $'!V47</f>
      </c>
      <c r="P126" s="53">
        <f>+'Client Retention $'!W47</f>
      </c>
      <c r="Q126" s="53">
        <f>+'Client Retention $'!X47</f>
      </c>
      <c r="R126" s="53">
        <f>+'Client Retention $'!Y47</f>
      </c>
      <c r="S126" s="53">
        <f>+'Client Retention $'!Z47</f>
      </c>
      <c r="T126" s="53">
        <f>+'Client Retention $'!AA47</f>
      </c>
      <c r="U126" s="53">
        <f>+'Client Retention $'!AB47</f>
      </c>
      <c r="V126" s="53">
        <f>+'Client Retention $'!AC47</f>
      </c>
      <c r="W126" s="53">
        <f>+'Client Retention $'!AD47</f>
      </c>
    </row>
    <row r="127" spans="2:23">
      <c r="B127" s="275" t="s">
        <v>1561</v>
      </c>
      <c r="C127" s="53">
        <f>-'Client Retention $'!J51</f>
      </c>
      <c r="D127" s="53">
        <f>-'Client Retention $'!K51</f>
      </c>
      <c r="E127" s="53">
        <f>-'Client Retention $'!L51</f>
      </c>
      <c r="F127" s="53">
        <f>-'Client Retention $'!M51</f>
      </c>
      <c r="G127" s="53">
        <f>-'Client Retention $'!N51</f>
      </c>
      <c r="H127" s="53">
        <f>-'Client Retention $'!O51</f>
      </c>
      <c r="I127" s="53">
        <f>-'Client Retention $'!P51</f>
      </c>
      <c r="J127" s="53">
        <f>-'Client Retention $'!Q51</f>
      </c>
      <c r="K127" s="53">
        <f>-'Client Retention $'!R51</f>
      </c>
      <c r="L127" s="53">
        <f>-'Client Retention $'!S51</f>
      </c>
      <c r="M127" s="53">
        <f>-'Client Retention $'!T51</f>
      </c>
      <c r="N127" s="53">
        <f>-'Client Retention $'!U51</f>
      </c>
      <c r="O127" s="53">
        <f>-'Client Retention $'!V51</f>
      </c>
      <c r="P127" s="53">
        <f>-'Client Retention $'!W51</f>
      </c>
      <c r="Q127" s="53">
        <f>-'Client Retention $'!X51</f>
      </c>
      <c r="R127" s="53">
        <f>-'Client Retention $'!Y51</f>
      </c>
      <c r="S127" s="53">
        <f>-'Client Retention $'!Z51</f>
      </c>
      <c r="T127" s="53">
        <f>-'Client Retention $'!AA51</f>
      </c>
      <c r="U127" s="53">
        <f>-'Client Retention $'!AB51</f>
      </c>
      <c r="V127" s="53">
        <f>-'Client Retention $'!AC51</f>
      </c>
      <c r="W127" s="53">
        <f>-'Client Retention $'!AD51</f>
      </c>
    </row>
  </sheetData>
  <pageMargins left="0.7" right="0.7" top="0.75" bottom="0.75" header="0.3" footer="0.3"/>
  <pageSetup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18</vt:i4>
      </vt:variant>
    </vt:vector>
  </HeadingPairs>
  <TitlesOfParts>
    <vt:vector size="53" baseType="lpstr">
      <vt:lpstr>Cover</vt:lpstr>
      <vt:lpstr>P&amp;L Overview</vt:lpstr>
      <vt:lpstr>P&amp;L Overview (Target Version)</vt:lpstr>
      <vt:lpstr>P&amp;L Forecast</vt:lpstr>
      <vt:lpstr>Employee Overview</vt:lpstr>
      <vt:lpstr>Headcount &amp; Compensation</vt:lpstr>
      <vt:lpstr>Combined P&amp;L</vt:lpstr>
      <vt:lpstr>Tech Stack</vt:lpstr>
      <vt:lpstr>Revenue Analysis</vt:lpstr>
      <vt:lpstr>Revenue Charts</vt:lpstr>
      <vt:lpstr>Expense Analysis</vt:lpstr>
      <vt:lpstr>Expense Charts</vt:lpstr>
      <vt:lpstr>Client Overview</vt:lpstr>
      <vt:lpstr>Client Retention</vt:lpstr>
      <vt:lpstr>Customer Retention Charts</vt:lpstr>
      <vt:lpstr>Client Retention $</vt:lpstr>
      <vt:lpstr>Client Retention Charts $</vt:lpstr>
      <vt:lpstr>Full Customer List</vt:lpstr>
      <vt:lpstr>Client Departures</vt:lpstr>
      <vt:lpstr>Customer Data --&gt;</vt:lpstr>
      <vt:lpstr>Missing End Dates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Raw Data --&gt;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'Client Retention'!Print_Area</vt:lpstr>
      <vt:lpstr>Cover!Print_Area</vt:lpstr>
      <vt:lpstr>'Customer Retention Charts'!Print_Area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'Client Retention'!Print_Titles</vt:lpstr>
      <vt:lpstr>'Combined P&amp;L'!Print_Titles</vt:lpstr>
      <vt:lpstr>'Customer Retention Charts'!Print_Titles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2026-09-10T19:02:41Z</cp:lastPrinted>
  <dcterms:created xsi:type="dcterms:W3CDTF">2015-06-05T18:17:20Z</dcterms:created>
  <dcterms:modified xsi:type="dcterms:W3CDTF">2026-09-10T20:01:05Z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