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<sst xmlns="http://schemas.openxmlformats.org/spreadsheetml/2006/main" count="1488" uniqueCount="197">
  <si>
    <t>ID</t>
  </si>
  <si>
    <t>Workstream</t>
  </si>
  <si>
    <t>Task</t>
  </si>
  <si>
    <t>Detail / deliverable</t>
  </si>
  <si>
    <t>Priority</t>
  </si>
  <si>
    <t>Difficulty</t>
  </si>
  <si>
    <t>Owner</t>
  </si>
  <si>
    <t>Support</t>
  </si>
  <si>
    <t>Start</t>
  </si>
  <si>
    <t>Due</t>
  </si>
  <si>
    <t>Duration (days)</t>
  </si>
  <si>
    <t>Days to due</t>
  </si>
  <si>
    <t>Depends on</t>
  </si>
  <si>
    <t>Critical path</t>
  </si>
  <si>
    <t>Status</t>
  </si>
  <si>
    <t>Notes / source</t>
  </si>
  <si>
    <t>Week of →</t>
  </si>
  <si>
    <t>POST-01</t>
  </si>
  <si>
    <t>Project management</t>
  </si>
  <si>
    <t>Kickoff call, diligence request list, working-group list and calendar</t>
  </si>
  <si>
    <t>Weekly deal call through signing</t>
  </si>
  <si>
    <t>P1 - Critical</t>
  </si>
  <si>
    <t>Low</t>
  </si>
  <si>
    <t>Frank</t>
  </si>
  <si>
    <t>Tereno</t>
  </si>
  <si>
    <t>PRE-27</t>
  </si>
  <si>
    <t>Y</t>
  </si>
  <si>
    <t>Not started</t>
  </si>
  <si>
    <t/>
  </si>
  <si>
    <t>POST-02</t>
  </si>
  <si>
    <t>Diligence</t>
  </si>
  <si>
    <t>Keystone target data room populated</t>
  </si>
  <si>
    <t>Financials, contracts, roster, vendor agreements, IP, tax filings</t>
  </si>
  <si>
    <t>Medium</t>
  </si>
  <si>
    <t>Ben</t>
  </si>
  <si>
    <t>■</t>
  </si>
  <si>
    <t>POST-03</t>
  </si>
  <si>
    <t>Tax &amp; structure</t>
  </si>
  <si>
    <t>Tax structure memo</t>
  </si>
  <si>
    <t>F-reorg, 99-5 treatment, NH BPT, QSBS opinion on Topkey shares, §83 repurchase, Form 8594 allocation, §754, tax distributions</t>
  </si>
  <si>
    <t>High</t>
  </si>
  <si>
    <t>Tax counsel</t>
  </si>
  <si>
    <t>Josh, Frank</t>
  </si>
  <si>
    <t>PRE-03</t>
  </si>
  <si>
    <t>POST-04</t>
  </si>
  <si>
    <t>Entity and tax diligence</t>
  </si>
  <si>
    <t>Formation docs, S-election acceptance, stock basis/AAA, NH DP-80 apportionment, §174 treatment of Arch/portal</t>
  </si>
  <si>
    <t>P2 - High</t>
  </si>
  <si>
    <t>Josh</t>
  </si>
  <si>
    <t>N</t>
  </si>
  <si>
    <t>POST-05</t>
  </si>
  <si>
    <t>Financing &amp; consents</t>
  </si>
  <si>
    <t>Thread payoff executed</t>
  </si>
  <si>
    <t>Payoff letter, UCC-3 termination, DACA terminations (Mercury, Brex), warrant status</t>
  </si>
  <si>
    <t>Jon</t>
  </si>
  <si>
    <t>Josh, Corey</t>
  </si>
  <si>
    <t>PRE-11</t>
  </si>
  <si>
    <t>LSA §2.6</t>
  </si>
  <si>
    <t>POST-06</t>
  </si>
  <si>
    <t>Charge-card wind-down and reserve release</t>
  </si>
  <si>
    <t>Collect $779K receivables, release reserve and operational balances, settle $476K reward-points liability</t>
  </si>
  <si>
    <t>Financials 8/31/26</t>
  </si>
  <si>
    <t>POST-07</t>
  </si>
  <si>
    <t>Insider bridge SAFE closed (if pursued)</t>
  </si>
  <si>
    <t>Restores runway before closing cash goes out</t>
  </si>
  <si>
    <t>PRE-06</t>
  </si>
  <si>
    <t>POST-08</t>
  </si>
  <si>
    <t>Reverse diligence by Ben's advisors</t>
  </si>
  <si>
    <t>Q&amp;A on Topkey package, preference stack, runway</t>
  </si>
  <si>
    <t>PRE-22</t>
  </si>
  <si>
    <t>POST-09</t>
  </si>
  <si>
    <t>Quality of earnings and working-capital peg</t>
  </si>
  <si>
    <t>Normalized EBITDA ($470–500K), deferred revenue as operating liability, card/revolver balances cleared</t>
  </si>
  <si>
    <t>POST-10</t>
  </si>
  <si>
    <t>Client contracts, retention and churn</t>
  </si>
  <si>
    <t>Revenue per client, properties per client, SMB book sale, departures</t>
  </si>
  <si>
    <t>POST-11</t>
  </si>
  <si>
    <t>Offshore team classification and go-forward model</t>
  </si>
  <si>
    <t>Philippines counsel view; EOR for client leads and accounting staff; special indemnity scope</t>
  </si>
  <si>
    <t>Corey</t>
  </si>
  <si>
    <t>PH counsel, Ben</t>
  </si>
  <si>
    <t>LOI 7(d); Options doc Decision 8</t>
  </si>
  <si>
    <t>POST-12</t>
  </si>
  <si>
    <t>Vendor and software contract assignability</t>
  </si>
  <si>
    <t>VR Platform, Karbon (through Apr 2027), other tools</t>
  </si>
  <si>
    <t>POST-13</t>
  </si>
  <si>
    <t>IP assignment confirmation</t>
  </si>
  <si>
    <t>Arch, client portal, developer work product assigned to Keystone</t>
  </si>
  <si>
    <t>POST-14</t>
  </si>
  <si>
    <t>Franchise, marketplace and referral agreements</t>
  </si>
  <si>
    <t>PMI, PMS marketplaces, STR Secrets, commissions</t>
  </si>
  <si>
    <t>POST-15</t>
  </si>
  <si>
    <t>Documents</t>
  </si>
  <si>
    <t>Membership interest purchase agreement – first draft</t>
  </si>
  <si>
    <t>Reps, indemnity (10% cap, 0.75% basket, 15 months), escrow, set-off, special indemnity, Topkey reps</t>
  </si>
  <si>
    <t>POST-16</t>
  </si>
  <si>
    <t>A&amp;R Operating Agreement – first draft</t>
  </si>
  <si>
    <t>Board, consent rights, tax distributions, ROFR/tag/drag, call (yrs 3–5) and put (yr 5), Formula Price, credit-support limit</t>
  </si>
  <si>
    <t>LOI Exhibit A</t>
  </si>
  <si>
    <t>POST-17</t>
  </si>
  <si>
    <t>Services Schedule</t>
  </si>
  <si>
    <t>Topkey product pricing, engineering support and IP ownership/licence, referral fee</t>
  </si>
  <si>
    <t>Jon, Corey</t>
  </si>
  <si>
    <t>LOI 7(b)</t>
  </si>
  <si>
    <t>POST-18</t>
  </si>
  <si>
    <t>Integration</t>
  </si>
  <si>
    <t>Migration Protocol</t>
  </si>
  <si>
    <t>Readiness criteria, cohort sign-off by Ben, Jan–Feb blackout, trust accounts last; tied to trust-accounting general availability</t>
  </si>
  <si>
    <t>Pete</t>
  </si>
  <si>
    <t>Darren, Ben, Frank</t>
  </si>
  <si>
    <t>POST-19</t>
  </si>
  <si>
    <t>Ben employment and restrictive-covenant agreements</t>
  </si>
  <si>
    <t>Title, bonus metrics, severance, Good Reason, non-compete (NH enforceability; Ben abroad)</t>
  </si>
  <si>
    <t>POST-20</t>
  </si>
  <si>
    <t>Related-party recruiting agreement</t>
  </si>
  <si>
    <t>Arm's-length terms; approved in stockholder consent</t>
  </si>
  <si>
    <t>P3 - Medium</t>
  </si>
  <si>
    <t>Charter §3.3.8</t>
  </si>
  <si>
    <t>POST-21</t>
  </si>
  <si>
    <t>F-reorganization executed</t>
  </si>
  <si>
    <t>NewCo S corp formed, Keystone LLC contributed, QSub election (Form 8869), EINs, NewCo bank account</t>
  </si>
  <si>
    <t>Ben's CPA, tax counsel</t>
  </si>
  <si>
    <t>POST-22</t>
  </si>
  <si>
    <t>Disclosure schedules</t>
  </si>
  <si>
    <t>Seller schedules against MIPA reps</t>
  </si>
  <si>
    <t>POST-23</t>
  </si>
  <si>
    <t>Document turns and negotiation</t>
  </si>
  <si>
    <t>2–3 rounds with Ben's counsel on MIPA, Operating Agreement, employment, Services Schedule</t>
  </si>
  <si>
    <t>Jon, Frank, Ben's counsel</t>
  </si>
  <si>
    <t>POST-15, POST-16</t>
  </si>
  <si>
    <t>POST-24</t>
  </si>
  <si>
    <t>Third-party consents</t>
  </si>
  <si>
    <t>VR Platform, Karbon, PMI, marketplaces, any lease</t>
  </si>
  <si>
    <t>POST-25</t>
  </si>
  <si>
    <t>Closing-date 409A and appraisal of Ben's shares; agree Form 8594 allocation</t>
  </si>
  <si>
    <t>Both sides report the same value</t>
  </si>
  <si>
    <t>Appraiser, tax counsel</t>
  </si>
  <si>
    <t>PRE-07</t>
  </si>
  <si>
    <t>POST-26</t>
  </si>
  <si>
    <t>Day-1 and 100-day integration plan</t>
  </si>
  <si>
    <t>Two-segment reporting, monthly close, banking, brand ('Keystone, a Topkey company'), governance calendar</t>
  </si>
  <si>
    <t>Tereno, Jon, Ben</t>
  </si>
  <si>
    <t>POST-27</t>
  </si>
  <si>
    <t>Escrow agreement and agent</t>
  </si>
  <si>
    <t>$65K escrow, 15-month term</t>
  </si>
  <si>
    <t>POST-28</t>
  </si>
  <si>
    <t>Securities documents</t>
  </si>
  <si>
    <t>Subscription, investor questionnaire, Voting Agreement adoption, ROFR/co-sale joinder, IRA stand-off, legends; Form D prep</t>
  </si>
  <si>
    <t>Voting Agreement §7.1(b)</t>
  </si>
  <si>
    <t>POST-29</t>
  </si>
  <si>
    <t>Governance</t>
  </si>
  <si>
    <t>Ben option grant</t>
  </si>
  <si>
    <t>Board approval at 409A strike</t>
  </si>
  <si>
    <t>POST-30</t>
  </si>
  <si>
    <t>Client and team communications plan</t>
  </si>
  <si>
    <t>Announce after Jan 2; no disruption in 1099 season</t>
  </si>
  <si>
    <t>POST-31</t>
  </si>
  <si>
    <t>Closing</t>
  </si>
  <si>
    <t>Funds-flow memo and wire verification</t>
  </si>
  <si>
    <t>Escrow $65K on 12/18; $585K to NewCo on first business day; call-back verification</t>
  </si>
  <si>
    <t>POST-32</t>
  </si>
  <si>
    <t>Confirm effective time and wire date</t>
  </si>
  <si>
    <t>Jan 2, 2027 is a Saturday – confirm effective time with tax counsel; wires on Mon Jan 4</t>
  </si>
  <si>
    <t>POST-33</t>
  </si>
  <si>
    <t>Final board approval and any bring-down consent</t>
  </si>
  <si>
    <t>Acquisition, share issuance with fair-value finding, employment, option grant, repurchase right</t>
  </si>
  <si>
    <t>Charter §4.4.5</t>
  </si>
  <si>
    <t>POST-34</t>
  </si>
  <si>
    <t>Milestone</t>
  </si>
  <si>
    <t>SIGNING – definitive agreements executed; escrow funded</t>
  </si>
  <si>
    <t>Target Friday Dec 18, 2026</t>
  </si>
  <si>
    <t>Ben, Corey</t>
  </si>
  <si>
    <t>POST-21, POST-22, POST-23, POST-33</t>
  </si>
  <si>
    <t>POST-35</t>
  </si>
  <si>
    <t>Exclusivity window check</t>
  </si>
  <si>
    <t>90 days from LOI ≈ Jan 14, 2027; single automatic 30-day extension</t>
  </si>
  <si>
    <t>LOI Agreement §1</t>
  </si>
  <si>
    <t>POST-36</t>
  </si>
  <si>
    <t>EFFECTIVE DATE – closing</t>
  </si>
  <si>
    <t>Operating Agreement effective, shares issued, $585K wired Mon Jan 4</t>
  </si>
  <si>
    <t>POST-37</t>
  </si>
  <si>
    <t>Post-close</t>
  </si>
  <si>
    <t>Post-close filings</t>
  </si>
  <si>
    <t>Form D within 15 days, Pulley cap table, stock notices, blue sky</t>
  </si>
  <si>
    <t>POST-38</t>
  </si>
  <si>
    <t>Announcements and client communications</t>
  </si>
  <si>
    <t>Per POST-30 plan</t>
  </si>
  <si>
    <t>POST-39</t>
  </si>
  <si>
    <t>Purchase price allocation and first consolidated close</t>
  </si>
  <si>
    <t>ASC 805 valuation, NCI, two-segment reporting</t>
  </si>
  <si>
    <t>POST-40</t>
  </si>
  <si>
    <t>First tax distribution; Keystone 1065 and §754 plan</t>
  </si>
  <si>
    <t>Quarterly tax distribution by Apr 15, 2027</t>
  </si>
  <si>
    <t>POST-41</t>
  </si>
  <si>
    <t>Migration cohort 1 readiness review</t>
  </si>
  <si>
    <t>No client migrations before March (1099 season)</t>
  </si>
  <si>
    <t>Darren, Ben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</si>
</sst>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>
        <v>46314.0</v>
      </c>
      <c r="S1" s="2">
        <v>46321.0</v>
      </c>
      <c r="T1" s="2">
        <v>46328.0</v>
      </c>
      <c r="U1" s="2">
        <v>46335.0</v>
      </c>
      <c r="V1" s="2">
        <v>46342.0</v>
      </c>
      <c r="W1" s="2">
        <v>46349.0</v>
      </c>
      <c r="X1" s="2">
        <v>46356.0</v>
      </c>
      <c r="Y1" s="2">
        <v>46363.0</v>
      </c>
      <c r="Z1" s="2">
        <v>46370.0</v>
      </c>
      <c r="AA1" s="2">
        <v>46377.0</v>
      </c>
      <c r="AB1" s="2">
        <v>46384.0</v>
      </c>
      <c r="AC1" s="2">
        <v>46391.0</v>
      </c>
      <c r="AD1" s="2">
        <v>46398.0</v>
      </c>
      <c r="AE1" s="2">
        <v>46405.0</v>
      </c>
      <c r="AF1" s="2">
        <v>46412.0</v>
      </c>
      <c r="AG1" s="2">
        <v>46419.0</v>
      </c>
      <c r="AH1" s="2">
        <v>46426.0</v>
      </c>
      <c r="AI1" s="2">
        <v>46433.0</v>
      </c>
      <c r="AJ1" s="2">
        <v>46440.0</v>
      </c>
      <c r="AK1" s="2">
        <v>46447.0</v>
      </c>
      <c r="AL1" s="2">
        <v>46454.0</v>
      </c>
      <c r="AM1" s="2">
        <v>46461.0</v>
      </c>
      <c r="AN1" s="2">
        <v>46468.0</v>
      </c>
      <c r="AO1" s="2">
        <v>46475.0</v>
      </c>
      <c r="AP1" s="2">
        <v>46482.0</v>
      </c>
      <c r="AQ1" s="2">
        <v>46489.0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2">
        <v>46314.0</v>
      </c>
      <c r="J2" s="2">
        <v>46316.0</v>
      </c>
      <c r="K2" s="3">
        <f t="shared" ref="K2:K42" si="1">J2-I2+1</f>
        <v>3</v>
      </c>
      <c r="L2" s="3">
        <f t="shared" ref="L2:L42" si="2">IF(O2="Done","",J2-TODAY())</f>
        <v>24</v>
      </c>
      <c r="M2" s="1" t="s">
        <v>25</v>
      </c>
      <c r="N2" s="1" t="s">
        <v>26</v>
      </c>
      <c r="O2" s="1" t="s">
        <v>27</v>
      </c>
      <c r="R2" s="3" t="str">
        <f t="array" ref="R2:AQ2">IF(($I2&lt;=R$1:AQ$1+6)*($J2&gt;=R$1:AQ$1),"■","")</f>
        <v>■</v>
      </c>
      <c r="S2" s="3" t="s">
        <v>28</v>
      </c>
      <c r="T2" s="3" t="s">
        <v>28</v>
      </c>
      <c r="U2" s="3" t="s">
        <v>28</v>
      </c>
      <c r="V2" s="3" t="s">
        <v>28</v>
      </c>
      <c r="W2" s="3" t="s">
        <v>28</v>
      </c>
      <c r="X2" s="3" t="s">
        <v>28</v>
      </c>
      <c r="Y2" s="3" t="s">
        <v>28</v>
      </c>
      <c r="Z2" s="3" t="s">
        <v>28</v>
      </c>
      <c r="AA2" s="3" t="s">
        <v>28</v>
      </c>
      <c r="AB2" s="3" t="s">
        <v>28</v>
      </c>
      <c r="AC2" s="3" t="s">
        <v>28</v>
      </c>
      <c r="AD2" s="3" t="s">
        <v>28</v>
      </c>
      <c r="AE2" s="3" t="s">
        <v>28</v>
      </c>
      <c r="AF2" s="3" t="s">
        <v>28</v>
      </c>
      <c r="AG2" s="3" t="s">
        <v>28</v>
      </c>
      <c r="AH2" s="3" t="s">
        <v>28</v>
      </c>
      <c r="AI2" s="3" t="s">
        <v>28</v>
      </c>
      <c r="AJ2" s="3" t="s">
        <v>28</v>
      </c>
      <c r="AK2" s="3" t="s">
        <v>28</v>
      </c>
      <c r="AL2" s="3" t="s">
        <v>28</v>
      </c>
      <c r="AM2" s="3" t="s">
        <v>28</v>
      </c>
      <c r="AN2" s="3" t="s">
        <v>28</v>
      </c>
      <c r="AO2" s="3" t="s">
        <v>28</v>
      </c>
      <c r="AP2" s="3" t="s">
        <v>28</v>
      </c>
      <c r="AQ2" s="3" t="s">
        <v>28</v>
      </c>
    </row>
    <row r="3">
      <c r="A3" s="1" t="s">
        <v>29</v>
      </c>
      <c r="B3" s="1" t="s">
        <v>30</v>
      </c>
      <c r="C3" s="1" t="s">
        <v>31</v>
      </c>
      <c r="D3" s="1" t="s">
        <v>32</v>
      </c>
      <c r="E3" s="1" t="s">
        <v>21</v>
      </c>
      <c r="F3" s="1" t="s">
        <v>33</v>
      </c>
      <c r="G3" s="1" t="s">
        <v>34</v>
      </c>
      <c r="H3" s="1" t="s">
        <v>23</v>
      </c>
      <c r="I3" s="2">
        <v>46314.0</v>
      </c>
      <c r="J3" s="2">
        <v>46325.0</v>
      </c>
      <c r="K3" s="3">
        <f t="shared" si="1"/>
        <v>12</v>
      </c>
      <c r="L3" s="3">
        <f t="shared" si="2"/>
        <v>33</v>
      </c>
      <c r="M3" s="1" t="s">
        <v>17</v>
      </c>
      <c r="N3" s="1" t="s">
        <v>26</v>
      </c>
      <c r="O3" s="1" t="s">
        <v>27</v>
      </c>
      <c r="R3" s="3" t="str">
        <f t="array" ref="R3:AQ3">IF(($I3&lt;=R$1:AQ$1+6)*($J3&gt;=R$1:AQ$1),"■","")</f>
        <v>■</v>
      </c>
      <c r="S3" s="3" t="s">
        <v>35</v>
      </c>
      <c r="T3" s="3" t="s">
        <v>28</v>
      </c>
      <c r="U3" s="3" t="s">
        <v>28</v>
      </c>
      <c r="V3" s="3" t="s">
        <v>28</v>
      </c>
      <c r="W3" s="3" t="s">
        <v>28</v>
      </c>
      <c r="X3" s="3" t="s">
        <v>28</v>
      </c>
      <c r="Y3" s="3" t="s">
        <v>28</v>
      </c>
      <c r="Z3" s="3" t="s">
        <v>28</v>
      </c>
      <c r="AA3" s="3" t="s">
        <v>28</v>
      </c>
      <c r="AB3" s="3" t="s">
        <v>28</v>
      </c>
      <c r="AC3" s="3" t="s">
        <v>28</v>
      </c>
      <c r="AD3" s="3" t="s">
        <v>28</v>
      </c>
      <c r="AE3" s="3" t="s">
        <v>28</v>
      </c>
      <c r="AF3" s="3" t="s">
        <v>28</v>
      </c>
      <c r="AG3" s="3" t="s">
        <v>28</v>
      </c>
      <c r="AH3" s="3" t="s">
        <v>28</v>
      </c>
      <c r="AI3" s="3" t="s">
        <v>28</v>
      </c>
      <c r="AJ3" s="3" t="s">
        <v>28</v>
      </c>
      <c r="AK3" s="3" t="s">
        <v>28</v>
      </c>
      <c r="AL3" s="3" t="s">
        <v>28</v>
      </c>
      <c r="AM3" s="3" t="s">
        <v>28</v>
      </c>
      <c r="AN3" s="3" t="s">
        <v>28</v>
      </c>
      <c r="AO3" s="3" t="s">
        <v>28</v>
      </c>
      <c r="AP3" s="3" t="s">
        <v>28</v>
      </c>
      <c r="AQ3" s="3" t="s">
        <v>28</v>
      </c>
    </row>
    <row r="4">
      <c r="A4" s="1" t="s">
        <v>36</v>
      </c>
      <c r="B4" s="1" t="s">
        <v>37</v>
      </c>
      <c r="C4" s="1" t="s">
        <v>38</v>
      </c>
      <c r="D4" s="1" t="s">
        <v>39</v>
      </c>
      <c r="E4" s="1" t="s">
        <v>21</v>
      </c>
      <c r="F4" s="1" t="s">
        <v>40</v>
      </c>
      <c r="G4" s="1" t="s">
        <v>41</v>
      </c>
      <c r="H4" s="1" t="s">
        <v>42</v>
      </c>
      <c r="I4" s="2">
        <v>46314.0</v>
      </c>
      <c r="J4" s="2">
        <v>46339.0</v>
      </c>
      <c r="K4" s="3">
        <f t="shared" si="1"/>
        <v>26</v>
      </c>
      <c r="L4" s="3">
        <f t="shared" si="2"/>
        <v>47</v>
      </c>
      <c r="M4" s="1" t="s">
        <v>43</v>
      </c>
      <c r="N4" s="1" t="s">
        <v>26</v>
      </c>
      <c r="O4" s="1" t="s">
        <v>27</v>
      </c>
      <c r="R4" s="3" t="str">
        <f t="array" ref="R4:AQ4">IF(($I4&lt;=R$1:AQ$1+6)*($J4&gt;=R$1:AQ$1),"■","")</f>
        <v>■</v>
      </c>
      <c r="S4" s="3" t="s">
        <v>35</v>
      </c>
      <c r="T4" s="3" t="s">
        <v>35</v>
      </c>
      <c r="U4" s="3" t="s">
        <v>35</v>
      </c>
      <c r="V4" s="3" t="s">
        <v>28</v>
      </c>
      <c r="W4" s="3" t="s">
        <v>28</v>
      </c>
      <c r="X4" s="3" t="s">
        <v>28</v>
      </c>
      <c r="Y4" s="3" t="s">
        <v>28</v>
      </c>
      <c r="Z4" s="3" t="s">
        <v>28</v>
      </c>
      <c r="AA4" s="3" t="s">
        <v>28</v>
      </c>
      <c r="AB4" s="3" t="s">
        <v>28</v>
      </c>
      <c r="AC4" s="3" t="s">
        <v>28</v>
      </c>
      <c r="AD4" s="3" t="s">
        <v>28</v>
      </c>
      <c r="AE4" s="3" t="s">
        <v>28</v>
      </c>
      <c r="AF4" s="3" t="s">
        <v>28</v>
      </c>
      <c r="AG4" s="3" t="s">
        <v>28</v>
      </c>
      <c r="AH4" s="3" t="s">
        <v>28</v>
      </c>
      <c r="AI4" s="3" t="s">
        <v>28</v>
      </c>
      <c r="AJ4" s="3" t="s">
        <v>28</v>
      </c>
      <c r="AK4" s="3" t="s">
        <v>28</v>
      </c>
      <c r="AL4" s="3" t="s">
        <v>28</v>
      </c>
      <c r="AM4" s="3" t="s">
        <v>28</v>
      </c>
      <c r="AN4" s="3" t="s">
        <v>28</v>
      </c>
      <c r="AO4" s="3" t="s">
        <v>28</v>
      </c>
      <c r="AP4" s="3" t="s">
        <v>28</v>
      </c>
      <c r="AQ4" s="3" t="s">
        <v>28</v>
      </c>
    </row>
    <row r="5">
      <c r="A5" s="1" t="s">
        <v>44</v>
      </c>
      <c r="B5" s="1" t="s">
        <v>30</v>
      </c>
      <c r="C5" s="1" t="s">
        <v>45</v>
      </c>
      <c r="D5" s="1" t="s">
        <v>46</v>
      </c>
      <c r="E5" s="1" t="s">
        <v>47</v>
      </c>
      <c r="F5" s="1" t="s">
        <v>33</v>
      </c>
      <c r="G5" s="1" t="s">
        <v>41</v>
      </c>
      <c r="H5" s="1" t="s">
        <v>48</v>
      </c>
      <c r="I5" s="2">
        <v>46314.0</v>
      </c>
      <c r="J5" s="2">
        <v>46339.0</v>
      </c>
      <c r="K5" s="3">
        <f t="shared" si="1"/>
        <v>26</v>
      </c>
      <c r="L5" s="3">
        <f t="shared" si="2"/>
        <v>47</v>
      </c>
      <c r="M5" s="1" t="s">
        <v>29</v>
      </c>
      <c r="N5" s="1" t="s">
        <v>49</v>
      </c>
      <c r="O5" s="1" t="s">
        <v>27</v>
      </c>
      <c r="R5" s="3" t="str">
        <f t="array" ref="R5:AQ5">IF(($I5&lt;=R$1:AQ$1+6)*($J5&gt;=R$1:AQ$1),"■","")</f>
        <v>■</v>
      </c>
      <c r="S5" s="3" t="s">
        <v>35</v>
      </c>
      <c r="T5" s="3" t="s">
        <v>35</v>
      </c>
      <c r="U5" s="3" t="s">
        <v>35</v>
      </c>
      <c r="V5" s="3" t="s">
        <v>28</v>
      </c>
      <c r="W5" s="3" t="s">
        <v>28</v>
      </c>
      <c r="X5" s="3" t="s">
        <v>28</v>
      </c>
      <c r="Y5" s="3" t="s">
        <v>28</v>
      </c>
      <c r="Z5" s="3" t="s">
        <v>28</v>
      </c>
      <c r="AA5" s="3" t="s">
        <v>28</v>
      </c>
      <c r="AB5" s="3" t="s">
        <v>28</v>
      </c>
      <c r="AC5" s="3" t="s">
        <v>28</v>
      </c>
      <c r="AD5" s="3" t="s">
        <v>28</v>
      </c>
      <c r="AE5" s="3" t="s">
        <v>28</v>
      </c>
      <c r="AF5" s="3" t="s">
        <v>28</v>
      </c>
      <c r="AG5" s="3" t="s">
        <v>28</v>
      </c>
      <c r="AH5" s="3" t="s">
        <v>28</v>
      </c>
      <c r="AI5" s="3" t="s">
        <v>28</v>
      </c>
      <c r="AJ5" s="3" t="s">
        <v>28</v>
      </c>
      <c r="AK5" s="3" t="s">
        <v>28</v>
      </c>
      <c r="AL5" s="3" t="s">
        <v>28</v>
      </c>
      <c r="AM5" s="3" t="s">
        <v>28</v>
      </c>
      <c r="AN5" s="3" t="s">
        <v>28</v>
      </c>
      <c r="AO5" s="3" t="s">
        <v>28</v>
      </c>
      <c r="AP5" s="3" t="s">
        <v>28</v>
      </c>
      <c r="AQ5" s="3" t="s">
        <v>28</v>
      </c>
    </row>
    <row r="6">
      <c r="A6" s="1" t="s">
        <v>50</v>
      </c>
      <c r="B6" s="1" t="s">
        <v>51</v>
      </c>
      <c r="C6" s="1" t="s">
        <v>52</v>
      </c>
      <c r="D6" s="1" t="s">
        <v>53</v>
      </c>
      <c r="E6" s="1" t="s">
        <v>21</v>
      </c>
      <c r="F6" s="1" t="s">
        <v>33</v>
      </c>
      <c r="G6" s="1" t="s">
        <v>54</v>
      </c>
      <c r="H6" s="1" t="s">
        <v>55</v>
      </c>
      <c r="I6" s="2">
        <v>46314.0</v>
      </c>
      <c r="J6" s="2">
        <v>46356.0</v>
      </c>
      <c r="K6" s="3">
        <f t="shared" si="1"/>
        <v>43</v>
      </c>
      <c r="L6" s="3">
        <f t="shared" si="2"/>
        <v>64</v>
      </c>
      <c r="M6" s="1" t="s">
        <v>56</v>
      </c>
      <c r="N6" s="1" t="s">
        <v>26</v>
      </c>
      <c r="O6" s="1" t="s">
        <v>27</v>
      </c>
      <c r="P6" s="1" t="s">
        <v>57</v>
      </c>
      <c r="R6" s="3" t="str">
        <f t="array" ref="R6:AQ6">IF(($I6&lt;=R$1:AQ$1+6)*($J6&gt;=R$1:AQ$1),"■","")</f>
        <v>■</v>
      </c>
      <c r="S6" s="3" t="s">
        <v>35</v>
      </c>
      <c r="T6" s="3" t="s">
        <v>35</v>
      </c>
      <c r="U6" s="3" t="s">
        <v>35</v>
      </c>
      <c r="V6" s="3" t="s">
        <v>35</v>
      </c>
      <c r="W6" s="3" t="s">
        <v>35</v>
      </c>
      <c r="X6" s="3" t="s">
        <v>35</v>
      </c>
      <c r="Y6" s="3" t="s">
        <v>28</v>
      </c>
      <c r="Z6" s="3" t="s">
        <v>28</v>
      </c>
      <c r="AA6" s="3" t="s">
        <v>28</v>
      </c>
      <c r="AB6" s="3" t="s">
        <v>28</v>
      </c>
      <c r="AC6" s="3" t="s">
        <v>28</v>
      </c>
      <c r="AD6" s="3" t="s">
        <v>28</v>
      </c>
      <c r="AE6" s="3" t="s">
        <v>28</v>
      </c>
      <c r="AF6" s="3" t="s">
        <v>28</v>
      </c>
      <c r="AG6" s="3" t="s">
        <v>28</v>
      </c>
      <c r="AH6" s="3" t="s">
        <v>28</v>
      </c>
      <c r="AI6" s="3" t="s">
        <v>28</v>
      </c>
      <c r="AJ6" s="3" t="s">
        <v>28</v>
      </c>
      <c r="AK6" s="3" t="s">
        <v>28</v>
      </c>
      <c r="AL6" s="3" t="s">
        <v>28</v>
      </c>
      <c r="AM6" s="3" t="s">
        <v>28</v>
      </c>
      <c r="AN6" s="3" t="s">
        <v>28</v>
      </c>
      <c r="AO6" s="3" t="s">
        <v>28</v>
      </c>
      <c r="AP6" s="3" t="s">
        <v>28</v>
      </c>
      <c r="AQ6" s="3" t="s">
        <v>28</v>
      </c>
    </row>
    <row r="7">
      <c r="A7" s="1" t="s">
        <v>58</v>
      </c>
      <c r="B7" s="1" t="s">
        <v>51</v>
      </c>
      <c r="C7" s="1" t="s">
        <v>59</v>
      </c>
      <c r="D7" s="1" t="s">
        <v>60</v>
      </c>
      <c r="E7" s="1" t="s">
        <v>47</v>
      </c>
      <c r="F7" s="1" t="s">
        <v>33</v>
      </c>
      <c r="G7" s="1" t="s">
        <v>48</v>
      </c>
      <c r="H7" s="1" t="s">
        <v>54</v>
      </c>
      <c r="I7" s="2">
        <v>46314.0</v>
      </c>
      <c r="J7" s="2">
        <v>46387.0</v>
      </c>
      <c r="K7" s="3">
        <f t="shared" si="1"/>
        <v>74</v>
      </c>
      <c r="L7" s="3">
        <f t="shared" si="2"/>
        <v>95</v>
      </c>
      <c r="M7" s="1" t="s">
        <v>50</v>
      </c>
      <c r="N7" s="1" t="s">
        <v>49</v>
      </c>
      <c r="O7" s="1" t="s">
        <v>27</v>
      </c>
      <c r="P7" s="1" t="s">
        <v>61</v>
      </c>
      <c r="R7" s="3" t="str">
        <f t="array" ref="R7:AQ7">IF(($I7&lt;=R$1:AQ$1+6)*($J7&gt;=R$1:AQ$1),"■","")</f>
        <v>■</v>
      </c>
      <c r="S7" s="3" t="s">
        <v>35</v>
      </c>
      <c r="T7" s="3" t="s">
        <v>35</v>
      </c>
      <c r="U7" s="3" t="s">
        <v>35</v>
      </c>
      <c r="V7" s="3" t="s">
        <v>35</v>
      </c>
      <c r="W7" s="3" t="s">
        <v>35</v>
      </c>
      <c r="X7" s="3" t="s">
        <v>35</v>
      </c>
      <c r="Y7" s="3" t="s">
        <v>35</v>
      </c>
      <c r="Z7" s="3" t="s">
        <v>35</v>
      </c>
      <c r="AA7" s="3" t="s">
        <v>35</v>
      </c>
      <c r="AB7" s="3" t="s">
        <v>35</v>
      </c>
      <c r="AC7" s="3" t="s">
        <v>28</v>
      </c>
      <c r="AD7" s="3" t="s">
        <v>28</v>
      </c>
      <c r="AE7" s="3" t="s">
        <v>28</v>
      </c>
      <c r="AF7" s="3" t="s">
        <v>28</v>
      </c>
      <c r="AG7" s="3" t="s">
        <v>28</v>
      </c>
      <c r="AH7" s="3" t="s">
        <v>28</v>
      </c>
      <c r="AI7" s="3" t="s">
        <v>28</v>
      </c>
      <c r="AJ7" s="3" t="s">
        <v>28</v>
      </c>
      <c r="AK7" s="3" t="s">
        <v>28</v>
      </c>
      <c r="AL7" s="3" t="s">
        <v>28</v>
      </c>
      <c r="AM7" s="3" t="s">
        <v>28</v>
      </c>
      <c r="AN7" s="3" t="s">
        <v>28</v>
      </c>
      <c r="AO7" s="3" t="s">
        <v>28</v>
      </c>
      <c r="AP7" s="3" t="s">
        <v>28</v>
      </c>
      <c r="AQ7" s="3" t="s">
        <v>28</v>
      </c>
    </row>
    <row r="8">
      <c r="A8" s="1" t="s">
        <v>62</v>
      </c>
      <c r="B8" s="1" t="s">
        <v>51</v>
      </c>
      <c r="C8" s="1" t="s">
        <v>63</v>
      </c>
      <c r="D8" s="1" t="s">
        <v>64</v>
      </c>
      <c r="E8" s="1" t="s">
        <v>47</v>
      </c>
      <c r="F8" s="1" t="s">
        <v>40</v>
      </c>
      <c r="G8" s="1" t="s">
        <v>54</v>
      </c>
      <c r="H8" s="1" t="s">
        <v>55</v>
      </c>
      <c r="I8" s="2">
        <v>46314.0</v>
      </c>
      <c r="J8" s="2">
        <v>46367.0</v>
      </c>
      <c r="K8" s="3">
        <f t="shared" si="1"/>
        <v>54</v>
      </c>
      <c r="L8" s="3">
        <f t="shared" si="2"/>
        <v>75</v>
      </c>
      <c r="M8" s="1" t="s">
        <v>65</v>
      </c>
      <c r="N8" s="1" t="s">
        <v>49</v>
      </c>
      <c r="O8" s="1" t="s">
        <v>27</v>
      </c>
      <c r="R8" s="3" t="str">
        <f t="array" ref="R8:AQ8">IF(($I8&lt;=R$1:AQ$1+6)*($J8&gt;=R$1:AQ$1),"■","")</f>
        <v>■</v>
      </c>
      <c r="S8" s="3" t="s">
        <v>35</v>
      </c>
      <c r="T8" s="3" t="s">
        <v>35</v>
      </c>
      <c r="U8" s="3" t="s">
        <v>35</v>
      </c>
      <c r="V8" s="3" t="s">
        <v>35</v>
      </c>
      <c r="W8" s="3" t="s">
        <v>35</v>
      </c>
      <c r="X8" s="3" t="s">
        <v>35</v>
      </c>
      <c r="Y8" s="3" t="s">
        <v>35</v>
      </c>
      <c r="Z8" s="3" t="s">
        <v>28</v>
      </c>
      <c r="AA8" s="3" t="s">
        <v>28</v>
      </c>
      <c r="AB8" s="3" t="s">
        <v>28</v>
      </c>
      <c r="AC8" s="3" t="s">
        <v>28</v>
      </c>
      <c r="AD8" s="3" t="s">
        <v>28</v>
      </c>
      <c r="AE8" s="3" t="s">
        <v>28</v>
      </c>
      <c r="AF8" s="3" t="s">
        <v>28</v>
      </c>
      <c r="AG8" s="3" t="s">
        <v>28</v>
      </c>
      <c r="AH8" s="3" t="s">
        <v>28</v>
      </c>
      <c r="AI8" s="3" t="s">
        <v>28</v>
      </c>
      <c r="AJ8" s="3" t="s">
        <v>28</v>
      </c>
      <c r="AK8" s="3" t="s">
        <v>28</v>
      </c>
      <c r="AL8" s="3" t="s">
        <v>28</v>
      </c>
      <c r="AM8" s="3" t="s">
        <v>28</v>
      </c>
      <c r="AN8" s="3" t="s">
        <v>28</v>
      </c>
      <c r="AO8" s="3" t="s">
        <v>28</v>
      </c>
      <c r="AP8" s="3" t="s">
        <v>28</v>
      </c>
      <c r="AQ8" s="3" t="s">
        <v>28</v>
      </c>
    </row>
    <row r="9">
      <c r="A9" s="1" t="s">
        <v>66</v>
      </c>
      <c r="B9" s="1" t="s">
        <v>30</v>
      </c>
      <c r="C9" s="1" t="s">
        <v>67</v>
      </c>
      <c r="D9" s="1" t="s">
        <v>68</v>
      </c>
      <c r="E9" s="1" t="s">
        <v>47</v>
      </c>
      <c r="F9" s="1" t="s">
        <v>33</v>
      </c>
      <c r="G9" s="1" t="s">
        <v>34</v>
      </c>
      <c r="H9" s="1" t="s">
        <v>42</v>
      </c>
      <c r="I9" s="2">
        <v>46314.0</v>
      </c>
      <c r="J9" s="2">
        <v>46339.0</v>
      </c>
      <c r="K9" s="3">
        <f t="shared" si="1"/>
        <v>26</v>
      </c>
      <c r="L9" s="3">
        <f t="shared" si="2"/>
        <v>47</v>
      </c>
      <c r="M9" s="1" t="s">
        <v>69</v>
      </c>
      <c r="N9" s="1" t="s">
        <v>49</v>
      </c>
      <c r="O9" s="1" t="s">
        <v>27</v>
      </c>
      <c r="R9" s="3" t="str">
        <f t="array" ref="R9:AQ9">IF(($I9&lt;=R$1:AQ$1+6)*($J9&gt;=R$1:AQ$1),"■","")</f>
        <v>■</v>
      </c>
      <c r="S9" s="3" t="s">
        <v>35</v>
      </c>
      <c r="T9" s="3" t="s">
        <v>35</v>
      </c>
      <c r="U9" s="3" t="s">
        <v>35</v>
      </c>
      <c r="V9" s="3" t="s">
        <v>28</v>
      </c>
      <c r="W9" s="3" t="s">
        <v>28</v>
      </c>
      <c r="X9" s="3" t="s">
        <v>28</v>
      </c>
      <c r="Y9" s="3" t="s">
        <v>28</v>
      </c>
      <c r="Z9" s="3" t="s">
        <v>28</v>
      </c>
      <c r="AA9" s="3" t="s">
        <v>28</v>
      </c>
      <c r="AB9" s="3" t="s">
        <v>28</v>
      </c>
      <c r="AC9" s="3" t="s">
        <v>28</v>
      </c>
      <c r="AD9" s="3" t="s">
        <v>28</v>
      </c>
      <c r="AE9" s="3" t="s">
        <v>28</v>
      </c>
      <c r="AF9" s="3" t="s">
        <v>28</v>
      </c>
      <c r="AG9" s="3" t="s">
        <v>28</v>
      </c>
      <c r="AH9" s="3" t="s">
        <v>28</v>
      </c>
      <c r="AI9" s="3" t="s">
        <v>28</v>
      </c>
      <c r="AJ9" s="3" t="s">
        <v>28</v>
      </c>
      <c r="AK9" s="3" t="s">
        <v>28</v>
      </c>
      <c r="AL9" s="3" t="s">
        <v>28</v>
      </c>
      <c r="AM9" s="3" t="s">
        <v>28</v>
      </c>
      <c r="AN9" s="3" t="s">
        <v>28</v>
      </c>
      <c r="AO9" s="3" t="s">
        <v>28</v>
      </c>
      <c r="AP9" s="3" t="s">
        <v>28</v>
      </c>
      <c r="AQ9" s="3" t="s">
        <v>28</v>
      </c>
    </row>
    <row r="10">
      <c r="A10" s="1" t="s">
        <v>70</v>
      </c>
      <c r="B10" s="1" t="s">
        <v>30</v>
      </c>
      <c r="C10" s="1" t="s">
        <v>71</v>
      </c>
      <c r="D10" s="1" t="s">
        <v>72</v>
      </c>
      <c r="E10" s="1" t="s">
        <v>21</v>
      </c>
      <c r="F10" s="1" t="s">
        <v>40</v>
      </c>
      <c r="G10" s="1" t="s">
        <v>48</v>
      </c>
      <c r="H10" s="1" t="s">
        <v>23</v>
      </c>
      <c r="I10" s="2">
        <v>46321.0</v>
      </c>
      <c r="J10" s="2">
        <v>46346.0</v>
      </c>
      <c r="K10" s="3">
        <f t="shared" si="1"/>
        <v>26</v>
      </c>
      <c r="L10" s="3">
        <f t="shared" si="2"/>
        <v>54</v>
      </c>
      <c r="M10" s="1" t="s">
        <v>29</v>
      </c>
      <c r="N10" s="1" t="s">
        <v>26</v>
      </c>
      <c r="O10" s="1" t="s">
        <v>27</v>
      </c>
      <c r="R10" s="3" t="str">
        <f t="array" ref="R10:AQ10">IF(($I10&lt;=R$1:AQ$1+6)*($J10&gt;=R$1:AQ$1),"■","")</f>
        <v/>
      </c>
      <c r="S10" s="3" t="s">
        <v>35</v>
      </c>
      <c r="T10" s="3" t="s">
        <v>35</v>
      </c>
      <c r="U10" s="3" t="s">
        <v>35</v>
      </c>
      <c r="V10" s="3" t="s">
        <v>35</v>
      </c>
      <c r="W10" s="3" t="s">
        <v>28</v>
      </c>
      <c r="X10" s="3" t="s">
        <v>28</v>
      </c>
      <c r="Y10" s="3" t="s">
        <v>28</v>
      </c>
      <c r="Z10" s="3" t="s">
        <v>28</v>
      </c>
      <c r="AA10" s="3" t="s">
        <v>28</v>
      </c>
      <c r="AB10" s="3" t="s">
        <v>28</v>
      </c>
      <c r="AC10" s="3" t="s">
        <v>28</v>
      </c>
      <c r="AD10" s="3" t="s">
        <v>28</v>
      </c>
      <c r="AE10" s="3" t="s">
        <v>28</v>
      </c>
      <c r="AF10" s="3" t="s">
        <v>28</v>
      </c>
      <c r="AG10" s="3" t="s">
        <v>28</v>
      </c>
      <c r="AH10" s="3" t="s">
        <v>28</v>
      </c>
      <c r="AI10" s="3" t="s">
        <v>28</v>
      </c>
      <c r="AJ10" s="3" t="s">
        <v>28</v>
      </c>
      <c r="AK10" s="3" t="s">
        <v>28</v>
      </c>
      <c r="AL10" s="3" t="s">
        <v>28</v>
      </c>
      <c r="AM10" s="3" t="s">
        <v>28</v>
      </c>
      <c r="AN10" s="3" t="s">
        <v>28</v>
      </c>
      <c r="AO10" s="3" t="s">
        <v>28</v>
      </c>
      <c r="AP10" s="3" t="s">
        <v>28</v>
      </c>
      <c r="AQ10" s="3" t="s">
        <v>28</v>
      </c>
    </row>
    <row r="11">
      <c r="A11" s="1" t="s">
        <v>73</v>
      </c>
      <c r="B11" s="1" t="s">
        <v>30</v>
      </c>
      <c r="C11" s="1" t="s">
        <v>74</v>
      </c>
      <c r="D11" s="1" t="s">
        <v>75</v>
      </c>
      <c r="E11" s="1" t="s">
        <v>47</v>
      </c>
      <c r="F11" s="1" t="s">
        <v>33</v>
      </c>
      <c r="G11" s="1" t="s">
        <v>23</v>
      </c>
      <c r="H11" s="1" t="s">
        <v>24</v>
      </c>
      <c r="I11" s="2">
        <v>46321.0</v>
      </c>
      <c r="J11" s="2">
        <v>46339.0</v>
      </c>
      <c r="K11" s="3">
        <f t="shared" si="1"/>
        <v>19</v>
      </c>
      <c r="L11" s="3">
        <f t="shared" si="2"/>
        <v>47</v>
      </c>
      <c r="M11" s="1" t="s">
        <v>29</v>
      </c>
      <c r="N11" s="1" t="s">
        <v>49</v>
      </c>
      <c r="O11" s="1" t="s">
        <v>27</v>
      </c>
      <c r="R11" s="3" t="str">
        <f t="array" ref="R11:AQ11">IF(($I11&lt;=R$1:AQ$1+6)*($J11&gt;=R$1:AQ$1),"■","")</f>
        <v/>
      </c>
      <c r="S11" s="3" t="s">
        <v>35</v>
      </c>
      <c r="T11" s="3" t="s">
        <v>35</v>
      </c>
      <c r="U11" s="3" t="s">
        <v>35</v>
      </c>
      <c r="V11" s="3" t="s">
        <v>28</v>
      </c>
      <c r="W11" s="3" t="s">
        <v>28</v>
      </c>
      <c r="X11" s="3" t="s">
        <v>28</v>
      </c>
      <c r="Y11" s="3" t="s">
        <v>28</v>
      </c>
      <c r="Z11" s="3" t="s">
        <v>28</v>
      </c>
      <c r="AA11" s="3" t="s">
        <v>28</v>
      </c>
      <c r="AB11" s="3" t="s">
        <v>28</v>
      </c>
      <c r="AC11" s="3" t="s">
        <v>28</v>
      </c>
      <c r="AD11" s="3" t="s">
        <v>28</v>
      </c>
      <c r="AE11" s="3" t="s">
        <v>28</v>
      </c>
      <c r="AF11" s="3" t="s">
        <v>28</v>
      </c>
      <c r="AG11" s="3" t="s">
        <v>28</v>
      </c>
      <c r="AH11" s="3" t="s">
        <v>28</v>
      </c>
      <c r="AI11" s="3" t="s">
        <v>28</v>
      </c>
      <c r="AJ11" s="3" t="s">
        <v>28</v>
      </c>
      <c r="AK11" s="3" t="s">
        <v>28</v>
      </c>
      <c r="AL11" s="3" t="s">
        <v>28</v>
      </c>
      <c r="AM11" s="3" t="s">
        <v>28</v>
      </c>
      <c r="AN11" s="3" t="s">
        <v>28</v>
      </c>
      <c r="AO11" s="3" t="s">
        <v>28</v>
      </c>
      <c r="AP11" s="3" t="s">
        <v>28</v>
      </c>
      <c r="AQ11" s="3" t="s">
        <v>28</v>
      </c>
    </row>
    <row r="12">
      <c r="A12" s="1" t="s">
        <v>76</v>
      </c>
      <c r="B12" s="1" t="s">
        <v>30</v>
      </c>
      <c r="C12" s="1" t="s">
        <v>77</v>
      </c>
      <c r="D12" s="1" t="s">
        <v>78</v>
      </c>
      <c r="E12" s="1" t="s">
        <v>21</v>
      </c>
      <c r="F12" s="1" t="s">
        <v>40</v>
      </c>
      <c r="G12" s="1" t="s">
        <v>79</v>
      </c>
      <c r="H12" s="1" t="s">
        <v>80</v>
      </c>
      <c r="I12" s="2">
        <v>46321.0</v>
      </c>
      <c r="J12" s="2">
        <v>46351.0</v>
      </c>
      <c r="K12" s="3">
        <f t="shared" si="1"/>
        <v>31</v>
      </c>
      <c r="L12" s="3">
        <f t="shared" si="2"/>
        <v>59</v>
      </c>
      <c r="M12" s="1" t="s">
        <v>29</v>
      </c>
      <c r="N12" s="1" t="s">
        <v>26</v>
      </c>
      <c r="O12" s="1" t="s">
        <v>27</v>
      </c>
      <c r="P12" s="1" t="s">
        <v>81</v>
      </c>
      <c r="R12" s="3" t="str">
        <f t="array" ref="R12:AQ12">IF(($I12&lt;=R$1:AQ$1+6)*($J12&gt;=R$1:AQ$1),"■","")</f>
        <v/>
      </c>
      <c r="S12" s="3" t="s">
        <v>35</v>
      </c>
      <c r="T12" s="3" t="s">
        <v>35</v>
      </c>
      <c r="U12" s="3" t="s">
        <v>35</v>
      </c>
      <c r="V12" s="3" t="s">
        <v>35</v>
      </c>
      <c r="W12" s="3" t="s">
        <v>35</v>
      </c>
      <c r="X12" s="3" t="s">
        <v>28</v>
      </c>
      <c r="Y12" s="3" t="s">
        <v>28</v>
      </c>
      <c r="Z12" s="3" t="s">
        <v>28</v>
      </c>
      <c r="AA12" s="3" t="s">
        <v>28</v>
      </c>
      <c r="AB12" s="3" t="s">
        <v>28</v>
      </c>
      <c r="AC12" s="3" t="s">
        <v>28</v>
      </c>
      <c r="AD12" s="3" t="s">
        <v>28</v>
      </c>
      <c r="AE12" s="3" t="s">
        <v>28</v>
      </c>
      <c r="AF12" s="3" t="s">
        <v>28</v>
      </c>
      <c r="AG12" s="3" t="s">
        <v>28</v>
      </c>
      <c r="AH12" s="3" t="s">
        <v>28</v>
      </c>
      <c r="AI12" s="3" t="s">
        <v>28</v>
      </c>
      <c r="AJ12" s="3" t="s">
        <v>28</v>
      </c>
      <c r="AK12" s="3" t="s">
        <v>28</v>
      </c>
      <c r="AL12" s="3" t="s">
        <v>28</v>
      </c>
      <c r="AM12" s="3" t="s">
        <v>28</v>
      </c>
      <c r="AN12" s="3" t="s">
        <v>28</v>
      </c>
      <c r="AO12" s="3" t="s">
        <v>28</v>
      </c>
      <c r="AP12" s="3" t="s">
        <v>28</v>
      </c>
      <c r="AQ12" s="3" t="s">
        <v>28</v>
      </c>
    </row>
    <row r="13">
      <c r="A13" s="1" t="s">
        <v>82</v>
      </c>
      <c r="B13" s="1" t="s">
        <v>30</v>
      </c>
      <c r="C13" s="1" t="s">
        <v>83</v>
      </c>
      <c r="D13" s="1" t="s">
        <v>84</v>
      </c>
      <c r="E13" s="1" t="s">
        <v>47</v>
      </c>
      <c r="F13" s="1" t="s">
        <v>33</v>
      </c>
      <c r="G13" s="1" t="s">
        <v>23</v>
      </c>
      <c r="H13" s="1" t="s">
        <v>79</v>
      </c>
      <c r="I13" s="2">
        <v>46321.0</v>
      </c>
      <c r="J13" s="2">
        <v>46339.0</v>
      </c>
      <c r="K13" s="3">
        <f t="shared" si="1"/>
        <v>19</v>
      </c>
      <c r="L13" s="3">
        <f t="shared" si="2"/>
        <v>47</v>
      </c>
      <c r="M13" s="1" t="s">
        <v>29</v>
      </c>
      <c r="N13" s="1" t="s">
        <v>49</v>
      </c>
      <c r="O13" s="1" t="s">
        <v>27</v>
      </c>
      <c r="R13" s="3" t="str">
        <f t="array" ref="R13:AQ13">IF(($I13&lt;=R$1:AQ$1+6)*($J13&gt;=R$1:AQ$1),"■","")</f>
        <v/>
      </c>
      <c r="S13" s="3" t="s">
        <v>35</v>
      </c>
      <c r="T13" s="3" t="s">
        <v>35</v>
      </c>
      <c r="U13" s="3" t="s">
        <v>35</v>
      </c>
      <c r="V13" s="3" t="s">
        <v>28</v>
      </c>
      <c r="W13" s="3" t="s">
        <v>28</v>
      </c>
      <c r="X13" s="3" t="s">
        <v>28</v>
      </c>
      <c r="Y13" s="3" t="s">
        <v>28</v>
      </c>
      <c r="Z13" s="3" t="s">
        <v>28</v>
      </c>
      <c r="AA13" s="3" t="s">
        <v>28</v>
      </c>
      <c r="AB13" s="3" t="s">
        <v>28</v>
      </c>
      <c r="AC13" s="3" t="s">
        <v>28</v>
      </c>
      <c r="AD13" s="3" t="s">
        <v>28</v>
      </c>
      <c r="AE13" s="3" t="s">
        <v>28</v>
      </c>
      <c r="AF13" s="3" t="s">
        <v>28</v>
      </c>
      <c r="AG13" s="3" t="s">
        <v>28</v>
      </c>
      <c r="AH13" s="3" t="s">
        <v>28</v>
      </c>
      <c r="AI13" s="3" t="s">
        <v>28</v>
      </c>
      <c r="AJ13" s="3" t="s">
        <v>28</v>
      </c>
      <c r="AK13" s="3" t="s">
        <v>28</v>
      </c>
      <c r="AL13" s="3" t="s">
        <v>28</v>
      </c>
      <c r="AM13" s="3" t="s">
        <v>28</v>
      </c>
      <c r="AN13" s="3" t="s">
        <v>28</v>
      </c>
      <c r="AO13" s="3" t="s">
        <v>28</v>
      </c>
      <c r="AP13" s="3" t="s">
        <v>28</v>
      </c>
      <c r="AQ13" s="3" t="s">
        <v>28</v>
      </c>
    </row>
    <row r="14">
      <c r="A14" s="1" t="s">
        <v>85</v>
      </c>
      <c r="B14" s="1" t="s">
        <v>30</v>
      </c>
      <c r="C14" s="1" t="s">
        <v>86</v>
      </c>
      <c r="D14" s="1" t="s">
        <v>87</v>
      </c>
      <c r="E14" s="1" t="s">
        <v>47</v>
      </c>
      <c r="F14" s="1" t="s">
        <v>33</v>
      </c>
      <c r="G14" s="1" t="s">
        <v>79</v>
      </c>
      <c r="H14" s="1" t="s">
        <v>34</v>
      </c>
      <c r="I14" s="2">
        <v>46321.0</v>
      </c>
      <c r="J14" s="2">
        <v>46339.0</v>
      </c>
      <c r="K14" s="3">
        <f t="shared" si="1"/>
        <v>19</v>
      </c>
      <c r="L14" s="3">
        <f t="shared" si="2"/>
        <v>47</v>
      </c>
      <c r="M14" s="1" t="s">
        <v>29</v>
      </c>
      <c r="N14" s="1" t="s">
        <v>49</v>
      </c>
      <c r="O14" s="1" t="s">
        <v>27</v>
      </c>
      <c r="R14" s="3" t="str">
        <f t="array" ref="R14:AQ14">IF(($I14&lt;=R$1:AQ$1+6)*($J14&gt;=R$1:AQ$1),"■","")</f>
        <v/>
      </c>
      <c r="S14" s="3" t="s">
        <v>35</v>
      </c>
      <c r="T14" s="3" t="s">
        <v>35</v>
      </c>
      <c r="U14" s="3" t="s">
        <v>35</v>
      </c>
      <c r="V14" s="3" t="s">
        <v>28</v>
      </c>
      <c r="W14" s="3" t="s">
        <v>28</v>
      </c>
      <c r="X14" s="3" t="s">
        <v>28</v>
      </c>
      <c r="Y14" s="3" t="s">
        <v>28</v>
      </c>
      <c r="Z14" s="3" t="s">
        <v>28</v>
      </c>
      <c r="AA14" s="3" t="s">
        <v>28</v>
      </c>
      <c r="AB14" s="3" t="s">
        <v>28</v>
      </c>
      <c r="AC14" s="3" t="s">
        <v>28</v>
      </c>
      <c r="AD14" s="3" t="s">
        <v>28</v>
      </c>
      <c r="AE14" s="3" t="s">
        <v>28</v>
      </c>
      <c r="AF14" s="3" t="s">
        <v>28</v>
      </c>
      <c r="AG14" s="3" t="s">
        <v>28</v>
      </c>
      <c r="AH14" s="3" t="s">
        <v>28</v>
      </c>
      <c r="AI14" s="3" t="s">
        <v>28</v>
      </c>
      <c r="AJ14" s="3" t="s">
        <v>28</v>
      </c>
      <c r="AK14" s="3" t="s">
        <v>28</v>
      </c>
      <c r="AL14" s="3" t="s">
        <v>28</v>
      </c>
      <c r="AM14" s="3" t="s">
        <v>28</v>
      </c>
      <c r="AN14" s="3" t="s">
        <v>28</v>
      </c>
      <c r="AO14" s="3" t="s">
        <v>28</v>
      </c>
      <c r="AP14" s="3" t="s">
        <v>28</v>
      </c>
      <c r="AQ14" s="3" t="s">
        <v>28</v>
      </c>
    </row>
    <row r="15">
      <c r="A15" s="1" t="s">
        <v>88</v>
      </c>
      <c r="B15" s="1" t="s">
        <v>30</v>
      </c>
      <c r="C15" s="1" t="s">
        <v>89</v>
      </c>
      <c r="D15" s="1" t="s">
        <v>90</v>
      </c>
      <c r="E15" s="1" t="s">
        <v>47</v>
      </c>
      <c r="F15" s="1" t="s">
        <v>22</v>
      </c>
      <c r="G15" s="1" t="s">
        <v>23</v>
      </c>
      <c r="I15" s="2">
        <v>46321.0</v>
      </c>
      <c r="J15" s="2">
        <v>46339.0</v>
      </c>
      <c r="K15" s="3">
        <f t="shared" si="1"/>
        <v>19</v>
      </c>
      <c r="L15" s="3">
        <f t="shared" si="2"/>
        <v>47</v>
      </c>
      <c r="M15" s="1" t="s">
        <v>29</v>
      </c>
      <c r="N15" s="1" t="s">
        <v>49</v>
      </c>
      <c r="O15" s="1" t="s">
        <v>27</v>
      </c>
      <c r="R15" s="3" t="str">
        <f t="array" ref="R15:AQ15">IF(($I15&lt;=R$1:AQ$1+6)*($J15&gt;=R$1:AQ$1),"■","")</f>
        <v/>
      </c>
      <c r="S15" s="3" t="s">
        <v>35</v>
      </c>
      <c r="T15" s="3" t="s">
        <v>35</v>
      </c>
      <c r="U15" s="3" t="s">
        <v>35</v>
      </c>
      <c r="V15" s="3" t="s">
        <v>28</v>
      </c>
      <c r="W15" s="3" t="s">
        <v>28</v>
      </c>
      <c r="X15" s="3" t="s">
        <v>28</v>
      </c>
      <c r="Y15" s="3" t="s">
        <v>28</v>
      </c>
      <c r="Z15" s="3" t="s">
        <v>28</v>
      </c>
      <c r="AA15" s="3" t="s">
        <v>28</v>
      </c>
      <c r="AB15" s="3" t="s">
        <v>28</v>
      </c>
      <c r="AC15" s="3" t="s">
        <v>28</v>
      </c>
      <c r="AD15" s="3" t="s">
        <v>28</v>
      </c>
      <c r="AE15" s="3" t="s">
        <v>28</v>
      </c>
      <c r="AF15" s="3" t="s">
        <v>28</v>
      </c>
      <c r="AG15" s="3" t="s">
        <v>28</v>
      </c>
      <c r="AH15" s="3" t="s">
        <v>28</v>
      </c>
      <c r="AI15" s="3" t="s">
        <v>28</v>
      </c>
      <c r="AJ15" s="3" t="s">
        <v>28</v>
      </c>
      <c r="AK15" s="3" t="s">
        <v>28</v>
      </c>
      <c r="AL15" s="3" t="s">
        <v>28</v>
      </c>
      <c r="AM15" s="3" t="s">
        <v>28</v>
      </c>
      <c r="AN15" s="3" t="s">
        <v>28</v>
      </c>
      <c r="AO15" s="3" t="s">
        <v>28</v>
      </c>
      <c r="AP15" s="3" t="s">
        <v>28</v>
      </c>
      <c r="AQ15" s="3" t="s">
        <v>28</v>
      </c>
    </row>
    <row r="16">
      <c r="A16" s="1" t="s">
        <v>91</v>
      </c>
      <c r="B16" s="1" t="s">
        <v>92</v>
      </c>
      <c r="C16" s="1" t="s">
        <v>93</v>
      </c>
      <c r="D16" s="1" t="s">
        <v>94</v>
      </c>
      <c r="E16" s="1" t="s">
        <v>21</v>
      </c>
      <c r="F16" s="1" t="s">
        <v>40</v>
      </c>
      <c r="G16" s="1" t="s">
        <v>79</v>
      </c>
      <c r="H16" s="1" t="s">
        <v>23</v>
      </c>
      <c r="I16" s="2">
        <v>46321.0</v>
      </c>
      <c r="J16" s="2">
        <v>46339.0</v>
      </c>
      <c r="K16" s="3">
        <f t="shared" si="1"/>
        <v>19</v>
      </c>
      <c r="L16" s="3">
        <f t="shared" si="2"/>
        <v>47</v>
      </c>
      <c r="M16" s="1" t="s">
        <v>25</v>
      </c>
      <c r="N16" s="1" t="s">
        <v>26</v>
      </c>
      <c r="O16" s="1" t="s">
        <v>27</v>
      </c>
      <c r="R16" s="3" t="str">
        <f t="array" ref="R16:AQ16">IF(($I16&lt;=R$1:AQ$1+6)*($J16&gt;=R$1:AQ$1),"■","")</f>
        <v/>
      </c>
      <c r="S16" s="3" t="s">
        <v>35</v>
      </c>
      <c r="T16" s="3" t="s">
        <v>35</v>
      </c>
      <c r="U16" s="3" t="s">
        <v>35</v>
      </c>
      <c r="V16" s="3" t="s">
        <v>28</v>
      </c>
      <c r="W16" s="3" t="s">
        <v>28</v>
      </c>
      <c r="X16" s="3" t="s">
        <v>28</v>
      </c>
      <c r="Y16" s="3" t="s">
        <v>28</v>
      </c>
      <c r="Z16" s="3" t="s">
        <v>28</v>
      </c>
      <c r="AA16" s="3" t="s">
        <v>28</v>
      </c>
      <c r="AB16" s="3" t="s">
        <v>28</v>
      </c>
      <c r="AC16" s="3" t="s">
        <v>28</v>
      </c>
      <c r="AD16" s="3" t="s">
        <v>28</v>
      </c>
      <c r="AE16" s="3" t="s">
        <v>28</v>
      </c>
      <c r="AF16" s="3" t="s">
        <v>28</v>
      </c>
      <c r="AG16" s="3" t="s">
        <v>28</v>
      </c>
      <c r="AH16" s="3" t="s">
        <v>28</v>
      </c>
      <c r="AI16" s="3" t="s">
        <v>28</v>
      </c>
      <c r="AJ16" s="3" t="s">
        <v>28</v>
      </c>
      <c r="AK16" s="3" t="s">
        <v>28</v>
      </c>
      <c r="AL16" s="3" t="s">
        <v>28</v>
      </c>
      <c r="AM16" s="3" t="s">
        <v>28</v>
      </c>
      <c r="AN16" s="3" t="s">
        <v>28</v>
      </c>
      <c r="AO16" s="3" t="s">
        <v>28</v>
      </c>
      <c r="AP16" s="3" t="s">
        <v>28</v>
      </c>
      <c r="AQ16" s="3" t="s">
        <v>28</v>
      </c>
    </row>
    <row r="17">
      <c r="A17" s="1" t="s">
        <v>95</v>
      </c>
      <c r="B17" s="1" t="s">
        <v>92</v>
      </c>
      <c r="C17" s="1" t="s">
        <v>96</v>
      </c>
      <c r="D17" s="1" t="s">
        <v>97</v>
      </c>
      <c r="E17" s="1" t="s">
        <v>21</v>
      </c>
      <c r="F17" s="1" t="s">
        <v>40</v>
      </c>
      <c r="G17" s="1" t="s">
        <v>79</v>
      </c>
      <c r="H17" s="1" t="s">
        <v>23</v>
      </c>
      <c r="I17" s="2">
        <v>46321.0</v>
      </c>
      <c r="J17" s="2">
        <v>46339.0</v>
      </c>
      <c r="K17" s="3">
        <f t="shared" si="1"/>
        <v>19</v>
      </c>
      <c r="L17" s="3">
        <f t="shared" si="2"/>
        <v>47</v>
      </c>
      <c r="M17" s="1" t="s">
        <v>25</v>
      </c>
      <c r="N17" s="1" t="s">
        <v>26</v>
      </c>
      <c r="O17" s="1" t="s">
        <v>27</v>
      </c>
      <c r="P17" s="1" t="s">
        <v>98</v>
      </c>
      <c r="R17" s="3" t="str">
        <f t="array" ref="R17:AQ17">IF(($I17&lt;=R$1:AQ$1+6)*($J17&gt;=R$1:AQ$1),"■","")</f>
        <v/>
      </c>
      <c r="S17" s="3" t="s">
        <v>35</v>
      </c>
      <c r="T17" s="3" t="s">
        <v>35</v>
      </c>
      <c r="U17" s="3" t="s">
        <v>35</v>
      </c>
      <c r="V17" s="3" t="s">
        <v>28</v>
      </c>
      <c r="W17" s="3" t="s">
        <v>28</v>
      </c>
      <c r="X17" s="3" t="s">
        <v>28</v>
      </c>
      <c r="Y17" s="3" t="s">
        <v>28</v>
      </c>
      <c r="Z17" s="3" t="s">
        <v>28</v>
      </c>
      <c r="AA17" s="3" t="s">
        <v>28</v>
      </c>
      <c r="AB17" s="3" t="s">
        <v>28</v>
      </c>
      <c r="AC17" s="3" t="s">
        <v>28</v>
      </c>
      <c r="AD17" s="3" t="s">
        <v>28</v>
      </c>
      <c r="AE17" s="3" t="s">
        <v>28</v>
      </c>
      <c r="AF17" s="3" t="s">
        <v>28</v>
      </c>
      <c r="AG17" s="3" t="s">
        <v>28</v>
      </c>
      <c r="AH17" s="3" t="s">
        <v>28</v>
      </c>
      <c r="AI17" s="3" t="s">
        <v>28</v>
      </c>
      <c r="AJ17" s="3" t="s">
        <v>28</v>
      </c>
      <c r="AK17" s="3" t="s">
        <v>28</v>
      </c>
      <c r="AL17" s="3" t="s">
        <v>28</v>
      </c>
      <c r="AM17" s="3" t="s">
        <v>28</v>
      </c>
      <c r="AN17" s="3" t="s">
        <v>28</v>
      </c>
      <c r="AO17" s="3" t="s">
        <v>28</v>
      </c>
      <c r="AP17" s="3" t="s">
        <v>28</v>
      </c>
      <c r="AQ17" s="3" t="s">
        <v>28</v>
      </c>
    </row>
    <row r="18">
      <c r="A18" s="1" t="s">
        <v>99</v>
      </c>
      <c r="B18" s="1" t="s">
        <v>92</v>
      </c>
      <c r="C18" s="1" t="s">
        <v>100</v>
      </c>
      <c r="D18" s="1" t="s">
        <v>101</v>
      </c>
      <c r="E18" s="1" t="s">
        <v>21</v>
      </c>
      <c r="F18" s="1" t="s">
        <v>33</v>
      </c>
      <c r="G18" s="1" t="s">
        <v>23</v>
      </c>
      <c r="H18" s="1" t="s">
        <v>102</v>
      </c>
      <c r="I18" s="2">
        <v>46328.0</v>
      </c>
      <c r="J18" s="2">
        <v>46346.0</v>
      </c>
      <c r="K18" s="3">
        <f t="shared" si="1"/>
        <v>19</v>
      </c>
      <c r="L18" s="3">
        <f t="shared" si="2"/>
        <v>54</v>
      </c>
      <c r="M18" s="1" t="s">
        <v>95</v>
      </c>
      <c r="N18" s="1" t="s">
        <v>49</v>
      </c>
      <c r="O18" s="1" t="s">
        <v>27</v>
      </c>
      <c r="P18" s="1" t="s">
        <v>103</v>
      </c>
      <c r="R18" s="3" t="str">
        <f t="array" ref="R18:AQ18">IF(($I18&lt;=R$1:AQ$1+6)*($J18&gt;=R$1:AQ$1),"■","")</f>
        <v/>
      </c>
      <c r="S18" s="3" t="s">
        <v>28</v>
      </c>
      <c r="T18" s="3" t="s">
        <v>35</v>
      </c>
      <c r="U18" s="3" t="s">
        <v>35</v>
      </c>
      <c r="V18" s="3" t="s">
        <v>35</v>
      </c>
      <c r="W18" s="3" t="s">
        <v>28</v>
      </c>
      <c r="X18" s="3" t="s">
        <v>28</v>
      </c>
      <c r="Y18" s="3" t="s">
        <v>28</v>
      </c>
      <c r="Z18" s="3" t="s">
        <v>28</v>
      </c>
      <c r="AA18" s="3" t="s">
        <v>28</v>
      </c>
      <c r="AB18" s="3" t="s">
        <v>28</v>
      </c>
      <c r="AC18" s="3" t="s">
        <v>28</v>
      </c>
      <c r="AD18" s="3" t="s">
        <v>28</v>
      </c>
      <c r="AE18" s="3" t="s">
        <v>28</v>
      </c>
      <c r="AF18" s="3" t="s">
        <v>28</v>
      </c>
      <c r="AG18" s="3" t="s">
        <v>28</v>
      </c>
      <c r="AH18" s="3" t="s">
        <v>28</v>
      </c>
      <c r="AI18" s="3" t="s">
        <v>28</v>
      </c>
      <c r="AJ18" s="3" t="s">
        <v>28</v>
      </c>
      <c r="AK18" s="3" t="s">
        <v>28</v>
      </c>
      <c r="AL18" s="3" t="s">
        <v>28</v>
      </c>
      <c r="AM18" s="3" t="s">
        <v>28</v>
      </c>
      <c r="AN18" s="3" t="s">
        <v>28</v>
      </c>
      <c r="AO18" s="3" t="s">
        <v>28</v>
      </c>
      <c r="AP18" s="3" t="s">
        <v>28</v>
      </c>
      <c r="AQ18" s="3" t="s">
        <v>28</v>
      </c>
    </row>
    <row r="19">
      <c r="A19" s="1" t="s">
        <v>104</v>
      </c>
      <c r="B19" s="1" t="s">
        <v>105</v>
      </c>
      <c r="C19" s="1" t="s">
        <v>106</v>
      </c>
      <c r="D19" s="1" t="s">
        <v>107</v>
      </c>
      <c r="E19" s="1" t="s">
        <v>47</v>
      </c>
      <c r="F19" s="1" t="s">
        <v>33</v>
      </c>
      <c r="G19" s="1" t="s">
        <v>108</v>
      </c>
      <c r="H19" s="1" t="s">
        <v>109</v>
      </c>
      <c r="I19" s="2">
        <v>46328.0</v>
      </c>
      <c r="J19" s="2">
        <v>46351.0</v>
      </c>
      <c r="K19" s="3">
        <f t="shared" si="1"/>
        <v>24</v>
      </c>
      <c r="L19" s="3">
        <f t="shared" si="2"/>
        <v>59</v>
      </c>
      <c r="N19" s="1" t="s">
        <v>49</v>
      </c>
      <c r="O19" s="1" t="s">
        <v>27</v>
      </c>
      <c r="R19" s="3" t="str">
        <f t="array" ref="R19:AQ19">IF(($I19&lt;=R$1:AQ$1+6)*($J19&gt;=R$1:AQ$1),"■","")</f>
        <v/>
      </c>
      <c r="S19" s="3" t="s">
        <v>28</v>
      </c>
      <c r="T19" s="3" t="s">
        <v>35</v>
      </c>
      <c r="U19" s="3" t="s">
        <v>35</v>
      </c>
      <c r="V19" s="3" t="s">
        <v>35</v>
      </c>
      <c r="W19" s="3" t="s">
        <v>35</v>
      </c>
      <c r="X19" s="3" t="s">
        <v>28</v>
      </c>
      <c r="Y19" s="3" t="s">
        <v>28</v>
      </c>
      <c r="Z19" s="3" t="s">
        <v>28</v>
      </c>
      <c r="AA19" s="3" t="s">
        <v>28</v>
      </c>
      <c r="AB19" s="3" t="s">
        <v>28</v>
      </c>
      <c r="AC19" s="3" t="s">
        <v>28</v>
      </c>
      <c r="AD19" s="3" t="s">
        <v>28</v>
      </c>
      <c r="AE19" s="3" t="s">
        <v>28</v>
      </c>
      <c r="AF19" s="3" t="s">
        <v>28</v>
      </c>
      <c r="AG19" s="3" t="s">
        <v>28</v>
      </c>
      <c r="AH19" s="3" t="s">
        <v>28</v>
      </c>
      <c r="AI19" s="3" t="s">
        <v>28</v>
      </c>
      <c r="AJ19" s="3" t="s">
        <v>28</v>
      </c>
      <c r="AK19" s="3" t="s">
        <v>28</v>
      </c>
      <c r="AL19" s="3" t="s">
        <v>28</v>
      </c>
      <c r="AM19" s="3" t="s">
        <v>28</v>
      </c>
      <c r="AN19" s="3" t="s">
        <v>28</v>
      </c>
      <c r="AO19" s="3" t="s">
        <v>28</v>
      </c>
      <c r="AP19" s="3" t="s">
        <v>28</v>
      </c>
      <c r="AQ19" s="3" t="s">
        <v>28</v>
      </c>
    </row>
    <row r="20">
      <c r="A20" s="1" t="s">
        <v>110</v>
      </c>
      <c r="B20" s="1" t="s">
        <v>92</v>
      </c>
      <c r="C20" s="1" t="s">
        <v>111</v>
      </c>
      <c r="D20" s="1" t="s">
        <v>112</v>
      </c>
      <c r="E20" s="1" t="s">
        <v>21</v>
      </c>
      <c r="F20" s="1" t="s">
        <v>33</v>
      </c>
      <c r="G20" s="1" t="s">
        <v>79</v>
      </c>
      <c r="H20" s="1" t="s">
        <v>54</v>
      </c>
      <c r="I20" s="2">
        <v>46328.0</v>
      </c>
      <c r="J20" s="2">
        <v>46351.0</v>
      </c>
      <c r="K20" s="3">
        <f t="shared" si="1"/>
        <v>24</v>
      </c>
      <c r="L20" s="3">
        <f t="shared" si="2"/>
        <v>59</v>
      </c>
      <c r="M20" s="1" t="s">
        <v>25</v>
      </c>
      <c r="N20" s="1" t="s">
        <v>49</v>
      </c>
      <c r="O20" s="1" t="s">
        <v>27</v>
      </c>
      <c r="R20" s="3" t="str">
        <f t="array" ref="R20:AQ20">IF(($I20&lt;=R$1:AQ$1+6)*($J20&gt;=R$1:AQ$1),"■","")</f>
        <v/>
      </c>
      <c r="S20" s="3" t="s">
        <v>28</v>
      </c>
      <c r="T20" s="3" t="s">
        <v>35</v>
      </c>
      <c r="U20" s="3" t="s">
        <v>35</v>
      </c>
      <c r="V20" s="3" t="s">
        <v>35</v>
      </c>
      <c r="W20" s="3" t="s">
        <v>35</v>
      </c>
      <c r="X20" s="3" t="s">
        <v>28</v>
      </c>
      <c r="Y20" s="3" t="s">
        <v>28</v>
      </c>
      <c r="Z20" s="3" t="s">
        <v>28</v>
      </c>
      <c r="AA20" s="3" t="s">
        <v>28</v>
      </c>
      <c r="AB20" s="3" t="s">
        <v>28</v>
      </c>
      <c r="AC20" s="3" t="s">
        <v>28</v>
      </c>
      <c r="AD20" s="3" t="s">
        <v>28</v>
      </c>
      <c r="AE20" s="3" t="s">
        <v>28</v>
      </c>
      <c r="AF20" s="3" t="s">
        <v>28</v>
      </c>
      <c r="AG20" s="3" t="s">
        <v>28</v>
      </c>
      <c r="AH20" s="3" t="s">
        <v>28</v>
      </c>
      <c r="AI20" s="3" t="s">
        <v>28</v>
      </c>
      <c r="AJ20" s="3" t="s">
        <v>28</v>
      </c>
      <c r="AK20" s="3" t="s">
        <v>28</v>
      </c>
      <c r="AL20" s="3" t="s">
        <v>28</v>
      </c>
      <c r="AM20" s="3" t="s">
        <v>28</v>
      </c>
      <c r="AN20" s="3" t="s">
        <v>28</v>
      </c>
      <c r="AO20" s="3" t="s">
        <v>28</v>
      </c>
      <c r="AP20" s="3" t="s">
        <v>28</v>
      </c>
      <c r="AQ20" s="3" t="s">
        <v>28</v>
      </c>
    </row>
    <row r="21">
      <c r="A21" s="1" t="s">
        <v>113</v>
      </c>
      <c r="B21" s="1" t="s">
        <v>92</v>
      </c>
      <c r="C21" s="1" t="s">
        <v>114</v>
      </c>
      <c r="D21" s="1" t="s">
        <v>115</v>
      </c>
      <c r="E21" s="1" t="s">
        <v>116</v>
      </c>
      <c r="F21" s="1" t="s">
        <v>22</v>
      </c>
      <c r="G21" s="1" t="s">
        <v>79</v>
      </c>
      <c r="H21" s="1" t="s">
        <v>34</v>
      </c>
      <c r="I21" s="2">
        <v>46342.0</v>
      </c>
      <c r="J21" s="2">
        <v>46360.0</v>
      </c>
      <c r="K21" s="3">
        <f t="shared" si="1"/>
        <v>19</v>
      </c>
      <c r="L21" s="3">
        <f t="shared" si="2"/>
        <v>68</v>
      </c>
      <c r="N21" s="1" t="s">
        <v>49</v>
      </c>
      <c r="O21" s="1" t="s">
        <v>27</v>
      </c>
      <c r="P21" s="1" t="s">
        <v>117</v>
      </c>
      <c r="R21" s="3" t="str">
        <f t="array" ref="R21:AQ21">IF(($I21&lt;=R$1:AQ$1+6)*($J21&gt;=R$1:AQ$1),"■","")</f>
        <v/>
      </c>
      <c r="S21" s="3" t="s">
        <v>28</v>
      </c>
      <c r="T21" s="3" t="s">
        <v>28</v>
      </c>
      <c r="U21" s="3" t="s">
        <v>28</v>
      </c>
      <c r="V21" s="3" t="s">
        <v>35</v>
      </c>
      <c r="W21" s="3" t="s">
        <v>35</v>
      </c>
      <c r="X21" s="3" t="s">
        <v>35</v>
      </c>
      <c r="Y21" s="3" t="s">
        <v>28</v>
      </c>
      <c r="Z21" s="3" t="s">
        <v>28</v>
      </c>
      <c r="AA21" s="3" t="s">
        <v>28</v>
      </c>
      <c r="AB21" s="3" t="s">
        <v>28</v>
      </c>
      <c r="AC21" s="3" t="s">
        <v>28</v>
      </c>
      <c r="AD21" s="3" t="s">
        <v>28</v>
      </c>
      <c r="AE21" s="3" t="s">
        <v>28</v>
      </c>
      <c r="AF21" s="3" t="s">
        <v>28</v>
      </c>
      <c r="AG21" s="3" t="s">
        <v>28</v>
      </c>
      <c r="AH21" s="3" t="s">
        <v>28</v>
      </c>
      <c r="AI21" s="3" t="s">
        <v>28</v>
      </c>
      <c r="AJ21" s="3" t="s">
        <v>28</v>
      </c>
      <c r="AK21" s="3" t="s">
        <v>28</v>
      </c>
      <c r="AL21" s="3" t="s">
        <v>28</v>
      </c>
      <c r="AM21" s="3" t="s">
        <v>28</v>
      </c>
      <c r="AN21" s="3" t="s">
        <v>28</v>
      </c>
      <c r="AO21" s="3" t="s">
        <v>28</v>
      </c>
      <c r="AP21" s="3" t="s">
        <v>28</v>
      </c>
      <c r="AQ21" s="3" t="s">
        <v>28</v>
      </c>
    </row>
    <row r="22">
      <c r="A22" s="1" t="s">
        <v>118</v>
      </c>
      <c r="B22" s="1" t="s">
        <v>37</v>
      </c>
      <c r="C22" s="1" t="s">
        <v>119</v>
      </c>
      <c r="D22" s="1" t="s">
        <v>120</v>
      </c>
      <c r="E22" s="1" t="s">
        <v>21</v>
      </c>
      <c r="F22" s="1" t="s">
        <v>33</v>
      </c>
      <c r="G22" s="1" t="s">
        <v>34</v>
      </c>
      <c r="H22" s="1" t="s">
        <v>121</v>
      </c>
      <c r="I22" s="2">
        <v>46342.0</v>
      </c>
      <c r="J22" s="2">
        <v>46371.0</v>
      </c>
      <c r="K22" s="3">
        <f t="shared" si="1"/>
        <v>30</v>
      </c>
      <c r="L22" s="3">
        <f t="shared" si="2"/>
        <v>79</v>
      </c>
      <c r="M22" s="1" t="s">
        <v>36</v>
      </c>
      <c r="N22" s="1" t="s">
        <v>26</v>
      </c>
      <c r="O22" s="1" t="s">
        <v>27</v>
      </c>
      <c r="R22" s="3" t="str">
        <f t="array" ref="R22:AQ22">IF(($I22&lt;=R$1:AQ$1+6)*($J22&gt;=R$1:AQ$1),"■","")</f>
        <v/>
      </c>
      <c r="S22" s="3" t="s">
        <v>28</v>
      </c>
      <c r="T22" s="3" t="s">
        <v>28</v>
      </c>
      <c r="U22" s="3" t="s">
        <v>28</v>
      </c>
      <c r="V22" s="3" t="s">
        <v>35</v>
      </c>
      <c r="W22" s="3" t="s">
        <v>35</v>
      </c>
      <c r="X22" s="3" t="s">
        <v>35</v>
      </c>
      <c r="Y22" s="3" t="s">
        <v>35</v>
      </c>
      <c r="Z22" s="3" t="s">
        <v>35</v>
      </c>
      <c r="AA22" s="3" t="s">
        <v>28</v>
      </c>
      <c r="AB22" s="3" t="s">
        <v>28</v>
      </c>
      <c r="AC22" s="3" t="s">
        <v>28</v>
      </c>
      <c r="AD22" s="3" t="s">
        <v>28</v>
      </c>
      <c r="AE22" s="3" t="s">
        <v>28</v>
      </c>
      <c r="AF22" s="3" t="s">
        <v>28</v>
      </c>
      <c r="AG22" s="3" t="s">
        <v>28</v>
      </c>
      <c r="AH22" s="3" t="s">
        <v>28</v>
      </c>
      <c r="AI22" s="3" t="s">
        <v>28</v>
      </c>
      <c r="AJ22" s="3" t="s">
        <v>28</v>
      </c>
      <c r="AK22" s="3" t="s">
        <v>28</v>
      </c>
      <c r="AL22" s="3" t="s">
        <v>28</v>
      </c>
      <c r="AM22" s="3" t="s">
        <v>28</v>
      </c>
      <c r="AN22" s="3" t="s">
        <v>28</v>
      </c>
      <c r="AO22" s="3" t="s">
        <v>28</v>
      </c>
      <c r="AP22" s="3" t="s">
        <v>28</v>
      </c>
      <c r="AQ22" s="3" t="s">
        <v>28</v>
      </c>
    </row>
    <row r="23">
      <c r="A23" s="1" t="s">
        <v>122</v>
      </c>
      <c r="B23" s="1" t="s">
        <v>92</v>
      </c>
      <c r="C23" s="1" t="s">
        <v>123</v>
      </c>
      <c r="D23" s="1" t="s">
        <v>124</v>
      </c>
      <c r="E23" s="1" t="s">
        <v>21</v>
      </c>
      <c r="F23" s="1" t="s">
        <v>33</v>
      </c>
      <c r="G23" s="1" t="s">
        <v>34</v>
      </c>
      <c r="H23" s="1" t="s">
        <v>79</v>
      </c>
      <c r="I23" s="2">
        <v>46342.0</v>
      </c>
      <c r="J23" s="2">
        <v>46367.0</v>
      </c>
      <c r="K23" s="3">
        <f t="shared" si="1"/>
        <v>26</v>
      </c>
      <c r="L23" s="3">
        <f t="shared" si="2"/>
        <v>75</v>
      </c>
      <c r="M23" s="1" t="s">
        <v>91</v>
      </c>
      <c r="N23" s="1" t="s">
        <v>26</v>
      </c>
      <c r="O23" s="1" t="s">
        <v>27</v>
      </c>
      <c r="R23" s="3" t="str">
        <f t="array" ref="R23:AQ23">IF(($I23&lt;=R$1:AQ$1+6)*($J23&gt;=R$1:AQ$1),"■","")</f>
        <v/>
      </c>
      <c r="S23" s="3" t="s">
        <v>28</v>
      </c>
      <c r="T23" s="3" t="s">
        <v>28</v>
      </c>
      <c r="U23" s="3" t="s">
        <v>28</v>
      </c>
      <c r="V23" s="3" t="s">
        <v>35</v>
      </c>
      <c r="W23" s="3" t="s">
        <v>35</v>
      </c>
      <c r="X23" s="3" t="s">
        <v>35</v>
      </c>
      <c r="Y23" s="3" t="s">
        <v>35</v>
      </c>
      <c r="Z23" s="3" t="s">
        <v>28</v>
      </c>
      <c r="AA23" s="3" t="s">
        <v>28</v>
      </c>
      <c r="AB23" s="3" t="s">
        <v>28</v>
      </c>
      <c r="AC23" s="3" t="s">
        <v>28</v>
      </c>
      <c r="AD23" s="3" t="s">
        <v>28</v>
      </c>
      <c r="AE23" s="3" t="s">
        <v>28</v>
      </c>
      <c r="AF23" s="3" t="s">
        <v>28</v>
      </c>
      <c r="AG23" s="3" t="s">
        <v>28</v>
      </c>
      <c r="AH23" s="3" t="s">
        <v>28</v>
      </c>
      <c r="AI23" s="3" t="s">
        <v>28</v>
      </c>
      <c r="AJ23" s="3" t="s">
        <v>28</v>
      </c>
      <c r="AK23" s="3" t="s">
        <v>28</v>
      </c>
      <c r="AL23" s="3" t="s">
        <v>28</v>
      </c>
      <c r="AM23" s="3" t="s">
        <v>28</v>
      </c>
      <c r="AN23" s="3" t="s">
        <v>28</v>
      </c>
      <c r="AO23" s="3" t="s">
        <v>28</v>
      </c>
      <c r="AP23" s="3" t="s">
        <v>28</v>
      </c>
      <c r="AQ23" s="3" t="s">
        <v>28</v>
      </c>
    </row>
    <row r="24">
      <c r="A24" s="1" t="s">
        <v>125</v>
      </c>
      <c r="B24" s="1" t="s">
        <v>92</v>
      </c>
      <c r="C24" s="1" t="s">
        <v>126</v>
      </c>
      <c r="D24" s="1" t="s">
        <v>127</v>
      </c>
      <c r="E24" s="1" t="s">
        <v>21</v>
      </c>
      <c r="F24" s="1" t="s">
        <v>40</v>
      </c>
      <c r="G24" s="1" t="s">
        <v>79</v>
      </c>
      <c r="H24" s="1" t="s">
        <v>128</v>
      </c>
      <c r="I24" s="2">
        <v>46342.0</v>
      </c>
      <c r="J24" s="2">
        <v>46367.0</v>
      </c>
      <c r="K24" s="3">
        <f t="shared" si="1"/>
        <v>26</v>
      </c>
      <c r="L24" s="3">
        <f t="shared" si="2"/>
        <v>75</v>
      </c>
      <c r="M24" s="1" t="s">
        <v>129</v>
      </c>
      <c r="N24" s="1" t="s">
        <v>26</v>
      </c>
      <c r="O24" s="1" t="s">
        <v>27</v>
      </c>
      <c r="R24" s="3" t="str">
        <f t="array" ref="R24:AQ24">IF(($I24&lt;=R$1:AQ$1+6)*($J24&gt;=R$1:AQ$1),"■","")</f>
        <v/>
      </c>
      <c r="S24" s="3" t="s">
        <v>28</v>
      </c>
      <c r="T24" s="3" t="s">
        <v>28</v>
      </c>
      <c r="U24" s="3" t="s">
        <v>28</v>
      </c>
      <c r="V24" s="3" t="s">
        <v>35</v>
      </c>
      <c r="W24" s="3" t="s">
        <v>35</v>
      </c>
      <c r="X24" s="3" t="s">
        <v>35</v>
      </c>
      <c r="Y24" s="3" t="s">
        <v>35</v>
      </c>
      <c r="Z24" s="3" t="s">
        <v>28</v>
      </c>
      <c r="AA24" s="3" t="s">
        <v>28</v>
      </c>
      <c r="AB24" s="3" t="s">
        <v>28</v>
      </c>
      <c r="AC24" s="3" t="s">
        <v>28</v>
      </c>
      <c r="AD24" s="3" t="s">
        <v>28</v>
      </c>
      <c r="AE24" s="3" t="s">
        <v>28</v>
      </c>
      <c r="AF24" s="3" t="s">
        <v>28</v>
      </c>
      <c r="AG24" s="3" t="s">
        <v>28</v>
      </c>
      <c r="AH24" s="3" t="s">
        <v>28</v>
      </c>
      <c r="AI24" s="3" t="s">
        <v>28</v>
      </c>
      <c r="AJ24" s="3" t="s">
        <v>28</v>
      </c>
      <c r="AK24" s="3" t="s">
        <v>28</v>
      </c>
      <c r="AL24" s="3" t="s">
        <v>28</v>
      </c>
      <c r="AM24" s="3" t="s">
        <v>28</v>
      </c>
      <c r="AN24" s="3" t="s">
        <v>28</v>
      </c>
      <c r="AO24" s="3" t="s">
        <v>28</v>
      </c>
      <c r="AP24" s="3" t="s">
        <v>28</v>
      </c>
      <c r="AQ24" s="3" t="s">
        <v>28</v>
      </c>
    </row>
    <row r="25">
      <c r="A25" s="1" t="s">
        <v>130</v>
      </c>
      <c r="B25" s="1" t="s">
        <v>30</v>
      </c>
      <c r="C25" s="1" t="s">
        <v>131</v>
      </c>
      <c r="D25" s="1" t="s">
        <v>132</v>
      </c>
      <c r="E25" s="1" t="s">
        <v>47</v>
      </c>
      <c r="F25" s="1" t="s">
        <v>33</v>
      </c>
      <c r="G25" s="1" t="s">
        <v>34</v>
      </c>
      <c r="H25" s="1" t="s">
        <v>23</v>
      </c>
      <c r="I25" s="2">
        <v>46342.0</v>
      </c>
      <c r="J25" s="2">
        <v>46367.0</v>
      </c>
      <c r="K25" s="3">
        <f t="shared" si="1"/>
        <v>26</v>
      </c>
      <c r="L25" s="3">
        <f t="shared" si="2"/>
        <v>75</v>
      </c>
      <c r="M25" s="1" t="s">
        <v>82</v>
      </c>
      <c r="N25" s="1" t="s">
        <v>49</v>
      </c>
      <c r="O25" s="1" t="s">
        <v>27</v>
      </c>
      <c r="R25" s="3" t="str">
        <f t="array" ref="R25:AQ25">IF(($I25&lt;=R$1:AQ$1+6)*($J25&gt;=R$1:AQ$1),"■","")</f>
        <v/>
      </c>
      <c r="S25" s="3" t="s">
        <v>28</v>
      </c>
      <c r="T25" s="3" t="s">
        <v>28</v>
      </c>
      <c r="U25" s="3" t="s">
        <v>28</v>
      </c>
      <c r="V25" s="3" t="s">
        <v>35</v>
      </c>
      <c r="W25" s="3" t="s">
        <v>35</v>
      </c>
      <c r="X25" s="3" t="s">
        <v>35</v>
      </c>
      <c r="Y25" s="3" t="s">
        <v>35</v>
      </c>
      <c r="Z25" s="3" t="s">
        <v>28</v>
      </c>
      <c r="AA25" s="3" t="s">
        <v>28</v>
      </c>
      <c r="AB25" s="3" t="s">
        <v>28</v>
      </c>
      <c r="AC25" s="3" t="s">
        <v>28</v>
      </c>
      <c r="AD25" s="3" t="s">
        <v>28</v>
      </c>
      <c r="AE25" s="3" t="s">
        <v>28</v>
      </c>
      <c r="AF25" s="3" t="s">
        <v>28</v>
      </c>
      <c r="AG25" s="3" t="s">
        <v>28</v>
      </c>
      <c r="AH25" s="3" t="s">
        <v>28</v>
      </c>
      <c r="AI25" s="3" t="s">
        <v>28</v>
      </c>
      <c r="AJ25" s="3" t="s">
        <v>28</v>
      </c>
      <c r="AK25" s="3" t="s">
        <v>28</v>
      </c>
      <c r="AL25" s="3" t="s">
        <v>28</v>
      </c>
      <c r="AM25" s="3" t="s">
        <v>28</v>
      </c>
      <c r="AN25" s="3" t="s">
        <v>28</v>
      </c>
      <c r="AO25" s="3" t="s">
        <v>28</v>
      </c>
      <c r="AP25" s="3" t="s">
        <v>28</v>
      </c>
      <c r="AQ25" s="3" t="s">
        <v>28</v>
      </c>
    </row>
    <row r="26">
      <c r="A26" s="1" t="s">
        <v>133</v>
      </c>
      <c r="B26" s="1" t="s">
        <v>37</v>
      </c>
      <c r="C26" s="1" t="s">
        <v>134</v>
      </c>
      <c r="D26" s="1" t="s">
        <v>135</v>
      </c>
      <c r="E26" s="1" t="s">
        <v>21</v>
      </c>
      <c r="F26" s="1" t="s">
        <v>33</v>
      </c>
      <c r="G26" s="1" t="s">
        <v>48</v>
      </c>
      <c r="H26" s="1" t="s">
        <v>136</v>
      </c>
      <c r="I26" s="2">
        <v>46342.0</v>
      </c>
      <c r="J26" s="2">
        <v>46374.0</v>
      </c>
      <c r="K26" s="3">
        <f t="shared" si="1"/>
        <v>33</v>
      </c>
      <c r="L26" s="3">
        <f t="shared" si="2"/>
        <v>82</v>
      </c>
      <c r="M26" s="1" t="s">
        <v>137</v>
      </c>
      <c r="N26" s="1" t="s">
        <v>26</v>
      </c>
      <c r="O26" s="1" t="s">
        <v>27</v>
      </c>
      <c r="R26" s="3" t="str">
        <f t="array" ref="R26:AQ26">IF(($I26&lt;=R$1:AQ$1+6)*($J26&gt;=R$1:AQ$1),"■","")</f>
        <v/>
      </c>
      <c r="S26" s="3" t="s">
        <v>28</v>
      </c>
      <c r="T26" s="3" t="s">
        <v>28</v>
      </c>
      <c r="U26" s="3" t="s">
        <v>28</v>
      </c>
      <c r="V26" s="3" t="s">
        <v>35</v>
      </c>
      <c r="W26" s="3" t="s">
        <v>35</v>
      </c>
      <c r="X26" s="3" t="s">
        <v>35</v>
      </c>
      <c r="Y26" s="3" t="s">
        <v>35</v>
      </c>
      <c r="Z26" s="3" t="s">
        <v>35</v>
      </c>
      <c r="AA26" s="3" t="s">
        <v>28</v>
      </c>
      <c r="AB26" s="3" t="s">
        <v>28</v>
      </c>
      <c r="AC26" s="3" t="s">
        <v>28</v>
      </c>
      <c r="AD26" s="3" t="s">
        <v>28</v>
      </c>
      <c r="AE26" s="3" t="s">
        <v>28</v>
      </c>
      <c r="AF26" s="3" t="s">
        <v>28</v>
      </c>
      <c r="AG26" s="3" t="s">
        <v>28</v>
      </c>
      <c r="AH26" s="3" t="s">
        <v>28</v>
      </c>
      <c r="AI26" s="3" t="s">
        <v>28</v>
      </c>
      <c r="AJ26" s="3" t="s">
        <v>28</v>
      </c>
      <c r="AK26" s="3" t="s">
        <v>28</v>
      </c>
      <c r="AL26" s="3" t="s">
        <v>28</v>
      </c>
      <c r="AM26" s="3" t="s">
        <v>28</v>
      </c>
      <c r="AN26" s="3" t="s">
        <v>28</v>
      </c>
      <c r="AO26" s="3" t="s">
        <v>28</v>
      </c>
      <c r="AP26" s="3" t="s">
        <v>28</v>
      </c>
      <c r="AQ26" s="3" t="s">
        <v>28</v>
      </c>
    </row>
    <row r="27">
      <c r="A27" s="1" t="s">
        <v>138</v>
      </c>
      <c r="B27" s="1" t="s">
        <v>105</v>
      </c>
      <c r="C27" s="1" t="s">
        <v>139</v>
      </c>
      <c r="D27" s="1" t="s">
        <v>140</v>
      </c>
      <c r="E27" s="1" t="s">
        <v>47</v>
      </c>
      <c r="F27" s="1" t="s">
        <v>33</v>
      </c>
      <c r="G27" s="1" t="s">
        <v>23</v>
      </c>
      <c r="H27" s="1" t="s">
        <v>141</v>
      </c>
      <c r="I27" s="2">
        <v>46342.0</v>
      </c>
      <c r="J27" s="2">
        <v>46374.0</v>
      </c>
      <c r="K27" s="3">
        <f t="shared" si="1"/>
        <v>33</v>
      </c>
      <c r="L27" s="3">
        <f t="shared" si="2"/>
        <v>82</v>
      </c>
      <c r="N27" s="1" t="s">
        <v>49</v>
      </c>
      <c r="O27" s="1" t="s">
        <v>27</v>
      </c>
      <c r="R27" s="3" t="str">
        <f t="array" ref="R27:AQ27">IF(($I27&lt;=R$1:AQ$1+6)*($J27&gt;=R$1:AQ$1),"■","")</f>
        <v/>
      </c>
      <c r="S27" s="3" t="s">
        <v>28</v>
      </c>
      <c r="T27" s="3" t="s">
        <v>28</v>
      </c>
      <c r="U27" s="3" t="s">
        <v>28</v>
      </c>
      <c r="V27" s="3" t="s">
        <v>35</v>
      </c>
      <c r="W27" s="3" t="s">
        <v>35</v>
      </c>
      <c r="X27" s="3" t="s">
        <v>35</v>
      </c>
      <c r="Y27" s="3" t="s">
        <v>35</v>
      </c>
      <c r="Z27" s="3" t="s">
        <v>35</v>
      </c>
      <c r="AA27" s="3" t="s">
        <v>28</v>
      </c>
      <c r="AB27" s="3" t="s">
        <v>28</v>
      </c>
      <c r="AC27" s="3" t="s">
        <v>28</v>
      </c>
      <c r="AD27" s="3" t="s">
        <v>28</v>
      </c>
      <c r="AE27" s="3" t="s">
        <v>28</v>
      </c>
      <c r="AF27" s="3" t="s">
        <v>28</v>
      </c>
      <c r="AG27" s="3" t="s">
        <v>28</v>
      </c>
      <c r="AH27" s="3" t="s">
        <v>28</v>
      </c>
      <c r="AI27" s="3" t="s">
        <v>28</v>
      </c>
      <c r="AJ27" s="3" t="s">
        <v>28</v>
      </c>
      <c r="AK27" s="3" t="s">
        <v>28</v>
      </c>
      <c r="AL27" s="3" t="s">
        <v>28</v>
      </c>
      <c r="AM27" s="3" t="s">
        <v>28</v>
      </c>
      <c r="AN27" s="3" t="s">
        <v>28</v>
      </c>
      <c r="AO27" s="3" t="s">
        <v>28</v>
      </c>
      <c r="AP27" s="3" t="s">
        <v>28</v>
      </c>
      <c r="AQ27" s="3" t="s">
        <v>28</v>
      </c>
    </row>
    <row r="28">
      <c r="A28" s="1" t="s">
        <v>142</v>
      </c>
      <c r="B28" s="1" t="s">
        <v>92</v>
      </c>
      <c r="C28" s="1" t="s">
        <v>143</v>
      </c>
      <c r="D28" s="1" t="s">
        <v>144</v>
      </c>
      <c r="E28" s="1" t="s">
        <v>116</v>
      </c>
      <c r="F28" s="1" t="s">
        <v>22</v>
      </c>
      <c r="G28" s="1" t="s">
        <v>79</v>
      </c>
      <c r="I28" s="2">
        <v>46349.0</v>
      </c>
      <c r="J28" s="2">
        <v>46367.0</v>
      </c>
      <c r="K28" s="3">
        <f t="shared" si="1"/>
        <v>19</v>
      </c>
      <c r="L28" s="3">
        <f t="shared" si="2"/>
        <v>75</v>
      </c>
      <c r="N28" s="1" t="s">
        <v>49</v>
      </c>
      <c r="O28" s="1" t="s">
        <v>27</v>
      </c>
      <c r="R28" s="3" t="str">
        <f t="array" ref="R28:AQ28">IF(($I28&lt;=R$1:AQ$1+6)*($J28&gt;=R$1:AQ$1),"■","")</f>
        <v/>
      </c>
      <c r="S28" s="3" t="s">
        <v>28</v>
      </c>
      <c r="T28" s="3" t="s">
        <v>28</v>
      </c>
      <c r="U28" s="3" t="s">
        <v>28</v>
      </c>
      <c r="V28" s="3" t="s">
        <v>28</v>
      </c>
      <c r="W28" s="3" t="s">
        <v>35</v>
      </c>
      <c r="X28" s="3" t="s">
        <v>35</v>
      </c>
      <c r="Y28" s="3" t="s">
        <v>35</v>
      </c>
      <c r="Z28" s="3" t="s">
        <v>28</v>
      </c>
      <c r="AA28" s="3" t="s">
        <v>28</v>
      </c>
      <c r="AB28" s="3" t="s">
        <v>28</v>
      </c>
      <c r="AC28" s="3" t="s">
        <v>28</v>
      </c>
      <c r="AD28" s="3" t="s">
        <v>28</v>
      </c>
      <c r="AE28" s="3" t="s">
        <v>28</v>
      </c>
      <c r="AF28" s="3" t="s">
        <v>28</v>
      </c>
      <c r="AG28" s="3" t="s">
        <v>28</v>
      </c>
      <c r="AH28" s="3" t="s">
        <v>28</v>
      </c>
      <c r="AI28" s="3" t="s">
        <v>28</v>
      </c>
      <c r="AJ28" s="3" t="s">
        <v>28</v>
      </c>
      <c r="AK28" s="3" t="s">
        <v>28</v>
      </c>
      <c r="AL28" s="3" t="s">
        <v>28</v>
      </c>
      <c r="AM28" s="3" t="s">
        <v>28</v>
      </c>
      <c r="AN28" s="3" t="s">
        <v>28</v>
      </c>
      <c r="AO28" s="3" t="s">
        <v>28</v>
      </c>
      <c r="AP28" s="3" t="s">
        <v>28</v>
      </c>
      <c r="AQ28" s="3" t="s">
        <v>28</v>
      </c>
    </row>
    <row r="29">
      <c r="A29" s="1" t="s">
        <v>145</v>
      </c>
      <c r="B29" s="1" t="s">
        <v>92</v>
      </c>
      <c r="C29" s="1" t="s">
        <v>146</v>
      </c>
      <c r="D29" s="1" t="s">
        <v>147</v>
      </c>
      <c r="E29" s="1" t="s">
        <v>47</v>
      </c>
      <c r="F29" s="1" t="s">
        <v>22</v>
      </c>
      <c r="G29" s="1" t="s">
        <v>79</v>
      </c>
      <c r="I29" s="2">
        <v>46357.0</v>
      </c>
      <c r="J29" s="2">
        <v>46371.0</v>
      </c>
      <c r="K29" s="3">
        <f t="shared" si="1"/>
        <v>15</v>
      </c>
      <c r="L29" s="3">
        <f t="shared" si="2"/>
        <v>79</v>
      </c>
      <c r="N29" s="1" t="s">
        <v>49</v>
      </c>
      <c r="O29" s="1" t="s">
        <v>27</v>
      </c>
      <c r="P29" s="1" t="s">
        <v>148</v>
      </c>
      <c r="R29" s="3" t="str">
        <f t="array" ref="R29:AQ29">IF(($I29&lt;=R$1:AQ$1+6)*($J29&gt;=R$1:AQ$1),"■","")</f>
        <v/>
      </c>
      <c r="S29" s="3" t="s">
        <v>28</v>
      </c>
      <c r="T29" s="3" t="s">
        <v>28</v>
      </c>
      <c r="U29" s="3" t="s">
        <v>28</v>
      </c>
      <c r="V29" s="3" t="s">
        <v>28</v>
      </c>
      <c r="W29" s="3" t="s">
        <v>28</v>
      </c>
      <c r="X29" s="3" t="s">
        <v>35</v>
      </c>
      <c r="Y29" s="3" t="s">
        <v>35</v>
      </c>
      <c r="Z29" s="3" t="s">
        <v>35</v>
      </c>
      <c r="AA29" s="3" t="s">
        <v>28</v>
      </c>
      <c r="AB29" s="3" t="s">
        <v>28</v>
      </c>
      <c r="AC29" s="3" t="s">
        <v>28</v>
      </c>
      <c r="AD29" s="3" t="s">
        <v>28</v>
      </c>
      <c r="AE29" s="3" t="s">
        <v>28</v>
      </c>
      <c r="AF29" s="3" t="s">
        <v>28</v>
      </c>
      <c r="AG29" s="3" t="s">
        <v>28</v>
      </c>
      <c r="AH29" s="3" t="s">
        <v>28</v>
      </c>
      <c r="AI29" s="3" t="s">
        <v>28</v>
      </c>
      <c r="AJ29" s="3" t="s">
        <v>28</v>
      </c>
      <c r="AK29" s="3" t="s">
        <v>28</v>
      </c>
      <c r="AL29" s="3" t="s">
        <v>28</v>
      </c>
      <c r="AM29" s="3" t="s">
        <v>28</v>
      </c>
      <c r="AN29" s="3" t="s">
        <v>28</v>
      </c>
      <c r="AO29" s="3" t="s">
        <v>28</v>
      </c>
      <c r="AP29" s="3" t="s">
        <v>28</v>
      </c>
      <c r="AQ29" s="3" t="s">
        <v>28</v>
      </c>
    </row>
    <row r="30">
      <c r="A30" s="1" t="s">
        <v>149</v>
      </c>
      <c r="B30" s="1" t="s">
        <v>150</v>
      </c>
      <c r="C30" s="1" t="s">
        <v>151</v>
      </c>
      <c r="D30" s="1" t="s">
        <v>152</v>
      </c>
      <c r="E30" s="1" t="s">
        <v>116</v>
      </c>
      <c r="F30" s="1" t="s">
        <v>22</v>
      </c>
      <c r="G30" s="1" t="s">
        <v>79</v>
      </c>
      <c r="H30" s="1" t="s">
        <v>48</v>
      </c>
      <c r="I30" s="2">
        <v>46357.0</v>
      </c>
      <c r="J30" s="2">
        <v>46374.0</v>
      </c>
      <c r="K30" s="3">
        <f t="shared" si="1"/>
        <v>18</v>
      </c>
      <c r="L30" s="3">
        <f t="shared" si="2"/>
        <v>82</v>
      </c>
      <c r="M30" s="1" t="s">
        <v>133</v>
      </c>
      <c r="N30" s="1" t="s">
        <v>49</v>
      </c>
      <c r="O30" s="1" t="s">
        <v>27</v>
      </c>
      <c r="R30" s="3" t="str">
        <f t="array" ref="R30:AQ30">IF(($I30&lt;=R$1:AQ$1+6)*($J30&gt;=R$1:AQ$1),"■","")</f>
        <v/>
      </c>
      <c r="S30" s="3" t="s">
        <v>28</v>
      </c>
      <c r="T30" s="3" t="s">
        <v>28</v>
      </c>
      <c r="U30" s="3" t="s">
        <v>28</v>
      </c>
      <c r="V30" s="3" t="s">
        <v>28</v>
      </c>
      <c r="W30" s="3" t="s">
        <v>28</v>
      </c>
      <c r="X30" s="3" t="s">
        <v>35</v>
      </c>
      <c r="Y30" s="3" t="s">
        <v>35</v>
      </c>
      <c r="Z30" s="3" t="s">
        <v>35</v>
      </c>
      <c r="AA30" s="3" t="s">
        <v>28</v>
      </c>
      <c r="AB30" s="3" t="s">
        <v>28</v>
      </c>
      <c r="AC30" s="3" t="s">
        <v>28</v>
      </c>
      <c r="AD30" s="3" t="s">
        <v>28</v>
      </c>
      <c r="AE30" s="3" t="s">
        <v>28</v>
      </c>
      <c r="AF30" s="3" t="s">
        <v>28</v>
      </c>
      <c r="AG30" s="3" t="s">
        <v>28</v>
      </c>
      <c r="AH30" s="3" t="s">
        <v>28</v>
      </c>
      <c r="AI30" s="3" t="s">
        <v>28</v>
      </c>
      <c r="AJ30" s="3" t="s">
        <v>28</v>
      </c>
      <c r="AK30" s="3" t="s">
        <v>28</v>
      </c>
      <c r="AL30" s="3" t="s">
        <v>28</v>
      </c>
      <c r="AM30" s="3" t="s">
        <v>28</v>
      </c>
      <c r="AN30" s="3" t="s">
        <v>28</v>
      </c>
      <c r="AO30" s="3" t="s">
        <v>28</v>
      </c>
      <c r="AP30" s="3" t="s">
        <v>28</v>
      </c>
      <c r="AQ30" s="3" t="s">
        <v>28</v>
      </c>
    </row>
    <row r="31">
      <c r="A31" s="1" t="s">
        <v>153</v>
      </c>
      <c r="B31" s="1" t="s">
        <v>105</v>
      </c>
      <c r="C31" s="1" t="s">
        <v>154</v>
      </c>
      <c r="D31" s="1" t="s">
        <v>155</v>
      </c>
      <c r="E31" s="1" t="s">
        <v>47</v>
      </c>
      <c r="F31" s="1" t="s">
        <v>22</v>
      </c>
      <c r="G31" s="1" t="s">
        <v>34</v>
      </c>
      <c r="H31" s="1" t="s">
        <v>54</v>
      </c>
      <c r="I31" s="2">
        <v>46363.0</v>
      </c>
      <c r="J31" s="2">
        <v>46374.0</v>
      </c>
      <c r="K31" s="3">
        <f t="shared" si="1"/>
        <v>12</v>
      </c>
      <c r="L31" s="3">
        <f t="shared" si="2"/>
        <v>82</v>
      </c>
      <c r="N31" s="1" t="s">
        <v>49</v>
      </c>
      <c r="O31" s="1" t="s">
        <v>27</v>
      </c>
      <c r="R31" s="3" t="str">
        <f t="array" ref="R31:AQ31">IF(($I31&lt;=R$1:AQ$1+6)*($J31&gt;=R$1:AQ$1),"■","")</f>
        <v/>
      </c>
      <c r="S31" s="3" t="s">
        <v>28</v>
      </c>
      <c r="T31" s="3" t="s">
        <v>28</v>
      </c>
      <c r="U31" s="3" t="s">
        <v>28</v>
      </c>
      <c r="V31" s="3" t="s">
        <v>28</v>
      </c>
      <c r="W31" s="3" t="s">
        <v>28</v>
      </c>
      <c r="X31" s="3" t="s">
        <v>28</v>
      </c>
      <c r="Y31" s="3" t="s">
        <v>35</v>
      </c>
      <c r="Z31" s="3" t="s">
        <v>35</v>
      </c>
      <c r="AA31" s="3" t="s">
        <v>28</v>
      </c>
      <c r="AB31" s="3" t="s">
        <v>28</v>
      </c>
      <c r="AC31" s="3" t="s">
        <v>28</v>
      </c>
      <c r="AD31" s="3" t="s">
        <v>28</v>
      </c>
      <c r="AE31" s="3" t="s">
        <v>28</v>
      </c>
      <c r="AF31" s="3" t="s">
        <v>28</v>
      </c>
      <c r="AG31" s="3" t="s">
        <v>28</v>
      </c>
      <c r="AH31" s="3" t="s">
        <v>28</v>
      </c>
      <c r="AI31" s="3" t="s">
        <v>28</v>
      </c>
      <c r="AJ31" s="3" t="s">
        <v>28</v>
      </c>
      <c r="AK31" s="3" t="s">
        <v>28</v>
      </c>
      <c r="AL31" s="3" t="s">
        <v>28</v>
      </c>
      <c r="AM31" s="3" t="s">
        <v>28</v>
      </c>
      <c r="AN31" s="3" t="s">
        <v>28</v>
      </c>
      <c r="AO31" s="3" t="s">
        <v>28</v>
      </c>
      <c r="AP31" s="3" t="s">
        <v>28</v>
      </c>
      <c r="AQ31" s="3" t="s">
        <v>28</v>
      </c>
    </row>
    <row r="32">
      <c r="A32" s="1" t="s">
        <v>156</v>
      </c>
      <c r="B32" s="1" t="s">
        <v>157</v>
      </c>
      <c r="C32" s="1" t="s">
        <v>158</v>
      </c>
      <c r="D32" s="1" t="s">
        <v>159</v>
      </c>
      <c r="E32" s="1" t="s">
        <v>21</v>
      </c>
      <c r="F32" s="1" t="s">
        <v>22</v>
      </c>
      <c r="G32" s="1" t="s">
        <v>48</v>
      </c>
      <c r="H32" s="1" t="s">
        <v>79</v>
      </c>
      <c r="I32" s="2">
        <v>46363.0</v>
      </c>
      <c r="J32" s="2">
        <v>46373.0</v>
      </c>
      <c r="K32" s="3">
        <f t="shared" si="1"/>
        <v>11</v>
      </c>
      <c r="L32" s="3">
        <f t="shared" si="2"/>
        <v>81</v>
      </c>
      <c r="N32" s="1" t="s">
        <v>49</v>
      </c>
      <c r="O32" s="1" t="s">
        <v>27</v>
      </c>
      <c r="R32" s="3" t="str">
        <f t="array" ref="R32:AQ32">IF(($I32&lt;=R$1:AQ$1+6)*($J32&gt;=R$1:AQ$1),"■","")</f>
        <v/>
      </c>
      <c r="S32" s="3" t="s">
        <v>28</v>
      </c>
      <c r="T32" s="3" t="s">
        <v>28</v>
      </c>
      <c r="U32" s="3" t="s">
        <v>28</v>
      </c>
      <c r="V32" s="3" t="s">
        <v>28</v>
      </c>
      <c r="W32" s="3" t="s">
        <v>28</v>
      </c>
      <c r="X32" s="3" t="s">
        <v>28</v>
      </c>
      <c r="Y32" s="3" t="s">
        <v>35</v>
      </c>
      <c r="Z32" s="3" t="s">
        <v>35</v>
      </c>
      <c r="AA32" s="3" t="s">
        <v>28</v>
      </c>
      <c r="AB32" s="3" t="s">
        <v>28</v>
      </c>
      <c r="AC32" s="3" t="s">
        <v>28</v>
      </c>
      <c r="AD32" s="3" t="s">
        <v>28</v>
      </c>
      <c r="AE32" s="3" t="s">
        <v>28</v>
      </c>
      <c r="AF32" s="3" t="s">
        <v>28</v>
      </c>
      <c r="AG32" s="3" t="s">
        <v>28</v>
      </c>
      <c r="AH32" s="3" t="s">
        <v>28</v>
      </c>
      <c r="AI32" s="3" t="s">
        <v>28</v>
      </c>
      <c r="AJ32" s="3" t="s">
        <v>28</v>
      </c>
      <c r="AK32" s="3" t="s">
        <v>28</v>
      </c>
      <c r="AL32" s="3" t="s">
        <v>28</v>
      </c>
      <c r="AM32" s="3" t="s">
        <v>28</v>
      </c>
      <c r="AN32" s="3" t="s">
        <v>28</v>
      </c>
      <c r="AO32" s="3" t="s">
        <v>28</v>
      </c>
      <c r="AP32" s="3" t="s">
        <v>28</v>
      </c>
      <c r="AQ32" s="3" t="s">
        <v>28</v>
      </c>
    </row>
    <row r="33">
      <c r="A33" s="1" t="s">
        <v>160</v>
      </c>
      <c r="B33" s="1" t="s">
        <v>157</v>
      </c>
      <c r="C33" s="1" t="s">
        <v>161</v>
      </c>
      <c r="D33" s="1" t="s">
        <v>162</v>
      </c>
      <c r="E33" s="1" t="s">
        <v>47</v>
      </c>
      <c r="F33" s="1" t="s">
        <v>22</v>
      </c>
      <c r="G33" s="1" t="s">
        <v>79</v>
      </c>
      <c r="H33" s="1" t="s">
        <v>41</v>
      </c>
      <c r="I33" s="2">
        <v>46357.0</v>
      </c>
      <c r="J33" s="2">
        <v>46367.0</v>
      </c>
      <c r="K33" s="3">
        <f t="shared" si="1"/>
        <v>11</v>
      </c>
      <c r="L33" s="3">
        <f t="shared" si="2"/>
        <v>75</v>
      </c>
      <c r="N33" s="1" t="s">
        <v>49</v>
      </c>
      <c r="O33" s="1" t="s">
        <v>27</v>
      </c>
      <c r="R33" s="3" t="str">
        <f t="array" ref="R33:AQ33">IF(($I33&lt;=R$1:AQ$1+6)*($J33&gt;=R$1:AQ$1),"■","")</f>
        <v/>
      </c>
      <c r="S33" s="3" t="s">
        <v>28</v>
      </c>
      <c r="T33" s="3" t="s">
        <v>28</v>
      </c>
      <c r="U33" s="3" t="s">
        <v>28</v>
      </c>
      <c r="V33" s="3" t="s">
        <v>28</v>
      </c>
      <c r="W33" s="3" t="s">
        <v>28</v>
      </c>
      <c r="X33" s="3" t="s">
        <v>35</v>
      </c>
      <c r="Y33" s="3" t="s">
        <v>35</v>
      </c>
      <c r="Z33" s="3" t="s">
        <v>28</v>
      </c>
      <c r="AA33" s="3" t="s">
        <v>28</v>
      </c>
      <c r="AB33" s="3" t="s">
        <v>28</v>
      </c>
      <c r="AC33" s="3" t="s">
        <v>28</v>
      </c>
      <c r="AD33" s="3" t="s">
        <v>28</v>
      </c>
      <c r="AE33" s="3" t="s">
        <v>28</v>
      </c>
      <c r="AF33" s="3" t="s">
        <v>28</v>
      </c>
      <c r="AG33" s="3" t="s">
        <v>28</v>
      </c>
      <c r="AH33" s="3" t="s">
        <v>28</v>
      </c>
      <c r="AI33" s="3" t="s">
        <v>28</v>
      </c>
      <c r="AJ33" s="3" t="s">
        <v>28</v>
      </c>
      <c r="AK33" s="3" t="s">
        <v>28</v>
      </c>
      <c r="AL33" s="3" t="s">
        <v>28</v>
      </c>
      <c r="AM33" s="3" t="s">
        <v>28</v>
      </c>
      <c r="AN33" s="3" t="s">
        <v>28</v>
      </c>
      <c r="AO33" s="3" t="s">
        <v>28</v>
      </c>
      <c r="AP33" s="3" t="s">
        <v>28</v>
      </c>
      <c r="AQ33" s="3" t="s">
        <v>28</v>
      </c>
    </row>
    <row r="34">
      <c r="A34" s="1" t="s">
        <v>163</v>
      </c>
      <c r="B34" s="1" t="s">
        <v>150</v>
      </c>
      <c r="C34" s="1" t="s">
        <v>164</v>
      </c>
      <c r="D34" s="1" t="s">
        <v>165</v>
      </c>
      <c r="E34" s="1" t="s">
        <v>21</v>
      </c>
      <c r="F34" s="1" t="s">
        <v>22</v>
      </c>
      <c r="G34" s="1" t="s">
        <v>54</v>
      </c>
      <c r="H34" s="1" t="s">
        <v>79</v>
      </c>
      <c r="I34" s="2">
        <v>46370.0</v>
      </c>
      <c r="J34" s="2">
        <v>46373.0</v>
      </c>
      <c r="K34" s="3">
        <f t="shared" si="1"/>
        <v>4</v>
      </c>
      <c r="L34" s="3">
        <f t="shared" si="2"/>
        <v>81</v>
      </c>
      <c r="M34" s="1" t="s">
        <v>125</v>
      </c>
      <c r="N34" s="1" t="s">
        <v>26</v>
      </c>
      <c r="O34" s="1" t="s">
        <v>27</v>
      </c>
      <c r="P34" s="1" t="s">
        <v>166</v>
      </c>
      <c r="R34" s="3" t="str">
        <f t="array" ref="R34:AQ34">IF(($I34&lt;=R$1:AQ$1+6)*($J34&gt;=R$1:AQ$1),"■","")</f>
        <v/>
      </c>
      <c r="S34" s="3" t="s">
        <v>28</v>
      </c>
      <c r="T34" s="3" t="s">
        <v>28</v>
      </c>
      <c r="U34" s="3" t="s">
        <v>28</v>
      </c>
      <c r="V34" s="3" t="s">
        <v>28</v>
      </c>
      <c r="W34" s="3" t="s">
        <v>28</v>
      </c>
      <c r="X34" s="3" t="s">
        <v>28</v>
      </c>
      <c r="Y34" s="3" t="s">
        <v>28</v>
      </c>
      <c r="Z34" s="3" t="s">
        <v>35</v>
      </c>
      <c r="AA34" s="3" t="s">
        <v>28</v>
      </c>
      <c r="AB34" s="3" t="s">
        <v>28</v>
      </c>
      <c r="AC34" s="3" t="s">
        <v>28</v>
      </c>
      <c r="AD34" s="3" t="s">
        <v>28</v>
      </c>
      <c r="AE34" s="3" t="s">
        <v>28</v>
      </c>
      <c r="AF34" s="3" t="s">
        <v>28</v>
      </c>
      <c r="AG34" s="3" t="s">
        <v>28</v>
      </c>
      <c r="AH34" s="3" t="s">
        <v>28</v>
      </c>
      <c r="AI34" s="3" t="s">
        <v>28</v>
      </c>
      <c r="AJ34" s="3" t="s">
        <v>28</v>
      </c>
      <c r="AK34" s="3" t="s">
        <v>28</v>
      </c>
      <c r="AL34" s="3" t="s">
        <v>28</v>
      </c>
      <c r="AM34" s="3" t="s">
        <v>28</v>
      </c>
      <c r="AN34" s="3" t="s">
        <v>28</v>
      </c>
      <c r="AO34" s="3" t="s">
        <v>28</v>
      </c>
      <c r="AP34" s="3" t="s">
        <v>28</v>
      </c>
      <c r="AQ34" s="3" t="s">
        <v>28</v>
      </c>
    </row>
    <row r="35">
      <c r="A35" s="1" t="s">
        <v>167</v>
      </c>
      <c r="B35" s="1" t="s">
        <v>168</v>
      </c>
      <c r="C35" s="1" t="s">
        <v>169</v>
      </c>
      <c r="D35" s="1" t="s">
        <v>170</v>
      </c>
      <c r="E35" s="1" t="s">
        <v>21</v>
      </c>
      <c r="F35" s="1" t="s">
        <v>33</v>
      </c>
      <c r="G35" s="1" t="s">
        <v>54</v>
      </c>
      <c r="H35" s="1" t="s">
        <v>171</v>
      </c>
      <c r="I35" s="2">
        <v>46374.0</v>
      </c>
      <c r="J35" s="2">
        <v>46374.0</v>
      </c>
      <c r="K35" s="3">
        <f t="shared" si="1"/>
        <v>1</v>
      </c>
      <c r="L35" s="3">
        <f t="shared" si="2"/>
        <v>82</v>
      </c>
      <c r="M35" s="1" t="s">
        <v>172</v>
      </c>
      <c r="N35" s="1" t="s">
        <v>26</v>
      </c>
      <c r="O35" s="1" t="s">
        <v>27</v>
      </c>
      <c r="R35" s="3" t="str">
        <f t="array" ref="R35:AQ35">IF(($I35&lt;=R$1:AQ$1+6)*($J35&gt;=R$1:AQ$1),"■","")</f>
        <v/>
      </c>
      <c r="S35" s="3" t="s">
        <v>28</v>
      </c>
      <c r="T35" s="3" t="s">
        <v>28</v>
      </c>
      <c r="U35" s="3" t="s">
        <v>28</v>
      </c>
      <c r="V35" s="3" t="s">
        <v>28</v>
      </c>
      <c r="W35" s="3" t="s">
        <v>28</v>
      </c>
      <c r="X35" s="3" t="s">
        <v>28</v>
      </c>
      <c r="Y35" s="3" t="s">
        <v>28</v>
      </c>
      <c r="Z35" s="3" t="s">
        <v>35</v>
      </c>
      <c r="AA35" s="3" t="s">
        <v>28</v>
      </c>
      <c r="AB35" s="3" t="s">
        <v>28</v>
      </c>
      <c r="AC35" s="3" t="s">
        <v>28</v>
      </c>
      <c r="AD35" s="3" t="s">
        <v>28</v>
      </c>
      <c r="AE35" s="3" t="s">
        <v>28</v>
      </c>
      <c r="AF35" s="3" t="s">
        <v>28</v>
      </c>
      <c r="AG35" s="3" t="s">
        <v>28</v>
      </c>
      <c r="AH35" s="3" t="s">
        <v>28</v>
      </c>
      <c r="AI35" s="3" t="s">
        <v>28</v>
      </c>
      <c r="AJ35" s="3" t="s">
        <v>28</v>
      </c>
      <c r="AK35" s="3" t="s">
        <v>28</v>
      </c>
      <c r="AL35" s="3" t="s">
        <v>28</v>
      </c>
      <c r="AM35" s="3" t="s">
        <v>28</v>
      </c>
      <c r="AN35" s="3" t="s">
        <v>28</v>
      </c>
      <c r="AO35" s="3" t="s">
        <v>28</v>
      </c>
      <c r="AP35" s="3" t="s">
        <v>28</v>
      </c>
      <c r="AQ35" s="3" t="s">
        <v>28</v>
      </c>
    </row>
    <row r="36">
      <c r="A36" s="1" t="s">
        <v>173</v>
      </c>
      <c r="B36" s="1" t="s">
        <v>157</v>
      </c>
      <c r="C36" s="1" t="s">
        <v>174</v>
      </c>
      <c r="D36" s="1" t="s">
        <v>175</v>
      </c>
      <c r="E36" s="1" t="s">
        <v>47</v>
      </c>
      <c r="F36" s="1" t="s">
        <v>22</v>
      </c>
      <c r="G36" s="1" t="s">
        <v>23</v>
      </c>
      <c r="I36" s="2">
        <v>46374.0</v>
      </c>
      <c r="J36" s="2">
        <v>46401.0</v>
      </c>
      <c r="K36" s="3">
        <f t="shared" si="1"/>
        <v>28</v>
      </c>
      <c r="L36" s="3">
        <f t="shared" si="2"/>
        <v>109</v>
      </c>
      <c r="N36" s="1" t="s">
        <v>49</v>
      </c>
      <c r="O36" s="1" t="s">
        <v>27</v>
      </c>
      <c r="P36" s="1" t="s">
        <v>176</v>
      </c>
      <c r="R36" s="3" t="str">
        <f t="array" ref="R36:AQ36">IF(($I36&lt;=R$1:AQ$1+6)*($J36&gt;=R$1:AQ$1),"■","")</f>
        <v/>
      </c>
      <c r="S36" s="3" t="s">
        <v>28</v>
      </c>
      <c r="T36" s="3" t="s">
        <v>28</v>
      </c>
      <c r="U36" s="3" t="s">
        <v>28</v>
      </c>
      <c r="V36" s="3" t="s">
        <v>28</v>
      </c>
      <c r="W36" s="3" t="s">
        <v>28</v>
      </c>
      <c r="X36" s="3" t="s">
        <v>28</v>
      </c>
      <c r="Y36" s="3" t="s">
        <v>28</v>
      </c>
      <c r="Z36" s="3" t="s">
        <v>35</v>
      </c>
      <c r="AA36" s="3" t="s">
        <v>35</v>
      </c>
      <c r="AB36" s="3" t="s">
        <v>35</v>
      </c>
      <c r="AC36" s="3" t="s">
        <v>35</v>
      </c>
      <c r="AD36" s="3" t="s">
        <v>35</v>
      </c>
      <c r="AE36" s="3" t="s">
        <v>28</v>
      </c>
      <c r="AF36" s="3" t="s">
        <v>28</v>
      </c>
      <c r="AG36" s="3" t="s">
        <v>28</v>
      </c>
      <c r="AH36" s="3" t="s">
        <v>28</v>
      </c>
      <c r="AI36" s="3" t="s">
        <v>28</v>
      </c>
      <c r="AJ36" s="3" t="s">
        <v>28</v>
      </c>
      <c r="AK36" s="3" t="s">
        <v>28</v>
      </c>
      <c r="AL36" s="3" t="s">
        <v>28</v>
      </c>
      <c r="AM36" s="3" t="s">
        <v>28</v>
      </c>
      <c r="AN36" s="3" t="s">
        <v>28</v>
      </c>
      <c r="AO36" s="3" t="s">
        <v>28</v>
      </c>
      <c r="AP36" s="3" t="s">
        <v>28</v>
      </c>
      <c r="AQ36" s="3" t="s">
        <v>28</v>
      </c>
    </row>
    <row r="37">
      <c r="A37" s="1" t="s">
        <v>177</v>
      </c>
      <c r="B37" s="1" t="s">
        <v>168</v>
      </c>
      <c r="C37" s="1" t="s">
        <v>178</v>
      </c>
      <c r="D37" s="1" t="s">
        <v>179</v>
      </c>
      <c r="E37" s="1" t="s">
        <v>21</v>
      </c>
      <c r="F37" s="1" t="s">
        <v>22</v>
      </c>
      <c r="G37" s="1" t="s">
        <v>54</v>
      </c>
      <c r="H37" s="1" t="s">
        <v>55</v>
      </c>
      <c r="I37" s="2">
        <v>46389.0</v>
      </c>
      <c r="J37" s="2">
        <v>46391.0</v>
      </c>
      <c r="K37" s="3">
        <f t="shared" si="1"/>
        <v>3</v>
      </c>
      <c r="L37" s="3">
        <f t="shared" si="2"/>
        <v>99</v>
      </c>
      <c r="M37" s="1" t="s">
        <v>167</v>
      </c>
      <c r="N37" s="1" t="s">
        <v>26</v>
      </c>
      <c r="O37" s="1" t="s">
        <v>27</v>
      </c>
      <c r="R37" s="3" t="str">
        <f t="array" ref="R37:AQ37">IF(($I37&lt;=R$1:AQ$1+6)*($J37&gt;=R$1:AQ$1),"■","")</f>
        <v/>
      </c>
      <c r="S37" s="3" t="s">
        <v>28</v>
      </c>
      <c r="T37" s="3" t="s">
        <v>28</v>
      </c>
      <c r="U37" s="3" t="s">
        <v>28</v>
      </c>
      <c r="V37" s="3" t="s">
        <v>28</v>
      </c>
      <c r="W37" s="3" t="s">
        <v>28</v>
      </c>
      <c r="X37" s="3" t="s">
        <v>28</v>
      </c>
      <c r="Y37" s="3" t="s">
        <v>28</v>
      </c>
      <c r="Z37" s="3" t="s">
        <v>28</v>
      </c>
      <c r="AA37" s="3" t="s">
        <v>28</v>
      </c>
      <c r="AB37" s="3" t="s">
        <v>35</v>
      </c>
      <c r="AC37" s="3" t="s">
        <v>35</v>
      </c>
      <c r="AD37" s="3" t="s">
        <v>28</v>
      </c>
      <c r="AE37" s="3" t="s">
        <v>28</v>
      </c>
      <c r="AF37" s="3" t="s">
        <v>28</v>
      </c>
      <c r="AG37" s="3" t="s">
        <v>28</v>
      </c>
      <c r="AH37" s="3" t="s">
        <v>28</v>
      </c>
      <c r="AI37" s="3" t="s">
        <v>28</v>
      </c>
      <c r="AJ37" s="3" t="s">
        <v>28</v>
      </c>
      <c r="AK37" s="3" t="s">
        <v>28</v>
      </c>
      <c r="AL37" s="3" t="s">
        <v>28</v>
      </c>
      <c r="AM37" s="3" t="s">
        <v>28</v>
      </c>
      <c r="AN37" s="3" t="s">
        <v>28</v>
      </c>
      <c r="AO37" s="3" t="s">
        <v>28</v>
      </c>
      <c r="AP37" s="3" t="s">
        <v>28</v>
      </c>
      <c r="AQ37" s="3" t="s">
        <v>28</v>
      </c>
    </row>
    <row r="38">
      <c r="A38" s="1" t="s">
        <v>180</v>
      </c>
      <c r="B38" s="1" t="s">
        <v>181</v>
      </c>
      <c r="C38" s="1" t="s">
        <v>182</v>
      </c>
      <c r="D38" s="1" t="s">
        <v>183</v>
      </c>
      <c r="E38" s="1" t="s">
        <v>47</v>
      </c>
      <c r="F38" s="1" t="s">
        <v>22</v>
      </c>
      <c r="G38" s="1" t="s">
        <v>79</v>
      </c>
      <c r="H38" s="1" t="s">
        <v>48</v>
      </c>
      <c r="I38" s="2">
        <v>46391.0</v>
      </c>
      <c r="J38" s="2">
        <v>46402.0</v>
      </c>
      <c r="K38" s="3">
        <f t="shared" si="1"/>
        <v>12</v>
      </c>
      <c r="L38" s="3">
        <f t="shared" si="2"/>
        <v>110</v>
      </c>
      <c r="M38" s="1" t="s">
        <v>177</v>
      </c>
      <c r="N38" s="1" t="s">
        <v>49</v>
      </c>
      <c r="O38" s="1" t="s">
        <v>27</v>
      </c>
      <c r="R38" s="3" t="str">
        <f t="array" ref="R38:AQ38">IF(($I38&lt;=R$1:AQ$1+6)*($J38&gt;=R$1:AQ$1),"■","")</f>
        <v/>
      </c>
      <c r="S38" s="3" t="s">
        <v>28</v>
      </c>
      <c r="T38" s="3" t="s">
        <v>28</v>
      </c>
      <c r="U38" s="3" t="s">
        <v>28</v>
      </c>
      <c r="V38" s="3" t="s">
        <v>28</v>
      </c>
      <c r="W38" s="3" t="s">
        <v>28</v>
      </c>
      <c r="X38" s="3" t="s">
        <v>28</v>
      </c>
      <c r="Y38" s="3" t="s">
        <v>28</v>
      </c>
      <c r="Z38" s="3" t="s">
        <v>28</v>
      </c>
      <c r="AA38" s="3" t="s">
        <v>28</v>
      </c>
      <c r="AB38" s="3" t="s">
        <v>28</v>
      </c>
      <c r="AC38" s="3" t="s">
        <v>35</v>
      </c>
      <c r="AD38" s="3" t="s">
        <v>35</v>
      </c>
      <c r="AE38" s="3" t="s">
        <v>28</v>
      </c>
      <c r="AF38" s="3" t="s">
        <v>28</v>
      </c>
      <c r="AG38" s="3" t="s">
        <v>28</v>
      </c>
      <c r="AH38" s="3" t="s">
        <v>28</v>
      </c>
      <c r="AI38" s="3" t="s">
        <v>28</v>
      </c>
      <c r="AJ38" s="3" t="s">
        <v>28</v>
      </c>
      <c r="AK38" s="3" t="s">
        <v>28</v>
      </c>
      <c r="AL38" s="3" t="s">
        <v>28</v>
      </c>
      <c r="AM38" s="3" t="s">
        <v>28</v>
      </c>
      <c r="AN38" s="3" t="s">
        <v>28</v>
      </c>
      <c r="AO38" s="3" t="s">
        <v>28</v>
      </c>
      <c r="AP38" s="3" t="s">
        <v>28</v>
      </c>
      <c r="AQ38" s="3" t="s">
        <v>28</v>
      </c>
    </row>
    <row r="39">
      <c r="A39" s="1" t="s">
        <v>184</v>
      </c>
      <c r="B39" s="1" t="s">
        <v>181</v>
      </c>
      <c r="C39" s="1" t="s">
        <v>185</v>
      </c>
      <c r="D39" s="1" t="s">
        <v>186</v>
      </c>
      <c r="E39" s="1" t="s">
        <v>47</v>
      </c>
      <c r="F39" s="1" t="s">
        <v>22</v>
      </c>
      <c r="G39" s="1" t="s">
        <v>34</v>
      </c>
      <c r="H39" s="1" t="s">
        <v>54</v>
      </c>
      <c r="I39" s="2">
        <v>46391.0</v>
      </c>
      <c r="J39" s="2">
        <v>46402.0</v>
      </c>
      <c r="K39" s="3">
        <f t="shared" si="1"/>
        <v>12</v>
      </c>
      <c r="L39" s="3">
        <f t="shared" si="2"/>
        <v>110</v>
      </c>
      <c r="M39" s="1" t="s">
        <v>177</v>
      </c>
      <c r="N39" s="1" t="s">
        <v>49</v>
      </c>
      <c r="O39" s="1" t="s">
        <v>27</v>
      </c>
      <c r="R39" s="3" t="str">
        <f t="array" ref="R39:AQ39">IF(($I39&lt;=R$1:AQ$1+6)*($J39&gt;=R$1:AQ$1),"■","")</f>
        <v/>
      </c>
      <c r="S39" s="3" t="s">
        <v>28</v>
      </c>
      <c r="T39" s="3" t="s">
        <v>28</v>
      </c>
      <c r="U39" s="3" t="s">
        <v>28</v>
      </c>
      <c r="V39" s="3" t="s">
        <v>28</v>
      </c>
      <c r="W39" s="3" t="s">
        <v>28</v>
      </c>
      <c r="X39" s="3" t="s">
        <v>28</v>
      </c>
      <c r="Y39" s="3" t="s">
        <v>28</v>
      </c>
      <c r="Z39" s="3" t="s">
        <v>28</v>
      </c>
      <c r="AA39" s="3" t="s">
        <v>28</v>
      </c>
      <c r="AB39" s="3" t="s">
        <v>28</v>
      </c>
      <c r="AC39" s="3" t="s">
        <v>35</v>
      </c>
      <c r="AD39" s="3" t="s">
        <v>35</v>
      </c>
      <c r="AE39" s="3" t="s">
        <v>28</v>
      </c>
      <c r="AF39" s="3" t="s">
        <v>28</v>
      </c>
      <c r="AG39" s="3" t="s">
        <v>28</v>
      </c>
      <c r="AH39" s="3" t="s">
        <v>28</v>
      </c>
      <c r="AI39" s="3" t="s">
        <v>28</v>
      </c>
      <c r="AJ39" s="3" t="s">
        <v>28</v>
      </c>
      <c r="AK39" s="3" t="s">
        <v>28</v>
      </c>
      <c r="AL39" s="3" t="s">
        <v>28</v>
      </c>
      <c r="AM39" s="3" t="s">
        <v>28</v>
      </c>
      <c r="AN39" s="3" t="s">
        <v>28</v>
      </c>
      <c r="AO39" s="3" t="s">
        <v>28</v>
      </c>
      <c r="AP39" s="3" t="s">
        <v>28</v>
      </c>
      <c r="AQ39" s="3" t="s">
        <v>28</v>
      </c>
    </row>
    <row r="40">
      <c r="A40" s="1" t="s">
        <v>187</v>
      </c>
      <c r="B40" s="1" t="s">
        <v>181</v>
      </c>
      <c r="C40" s="1" t="s">
        <v>188</v>
      </c>
      <c r="D40" s="1" t="s">
        <v>189</v>
      </c>
      <c r="E40" s="1" t="s">
        <v>116</v>
      </c>
      <c r="F40" s="1" t="s">
        <v>33</v>
      </c>
      <c r="G40" s="1" t="s">
        <v>48</v>
      </c>
      <c r="I40" s="2">
        <v>46391.0</v>
      </c>
      <c r="J40" s="2">
        <v>46477.0</v>
      </c>
      <c r="K40" s="3">
        <f t="shared" si="1"/>
        <v>87</v>
      </c>
      <c r="L40" s="3">
        <f t="shared" si="2"/>
        <v>185</v>
      </c>
      <c r="M40" s="1" t="s">
        <v>177</v>
      </c>
      <c r="N40" s="1" t="s">
        <v>49</v>
      </c>
      <c r="O40" s="1" t="s">
        <v>27</v>
      </c>
      <c r="R40" s="3" t="str">
        <f t="array" ref="R40:AQ40">IF(($I40&lt;=R$1:AQ$1+6)*($J40&gt;=R$1:AQ$1),"■","")</f>
        <v/>
      </c>
      <c r="S40" s="3" t="s">
        <v>28</v>
      </c>
      <c r="T40" s="3" t="s">
        <v>28</v>
      </c>
      <c r="U40" s="3" t="s">
        <v>28</v>
      </c>
      <c r="V40" s="3" t="s">
        <v>28</v>
      </c>
      <c r="W40" s="3" t="s">
        <v>28</v>
      </c>
      <c r="X40" s="3" t="s">
        <v>28</v>
      </c>
      <c r="Y40" s="3" t="s">
        <v>28</v>
      </c>
      <c r="Z40" s="3" t="s">
        <v>28</v>
      </c>
      <c r="AA40" s="3" t="s">
        <v>28</v>
      </c>
      <c r="AB40" s="3" t="s">
        <v>28</v>
      </c>
      <c r="AC40" s="3" t="s">
        <v>35</v>
      </c>
      <c r="AD40" s="3" t="s">
        <v>35</v>
      </c>
      <c r="AE40" s="3" t="s">
        <v>35</v>
      </c>
      <c r="AF40" s="3" t="s">
        <v>35</v>
      </c>
      <c r="AG40" s="3" t="s">
        <v>35</v>
      </c>
      <c r="AH40" s="3" t="s">
        <v>35</v>
      </c>
      <c r="AI40" s="3" t="s">
        <v>35</v>
      </c>
      <c r="AJ40" s="3" t="s">
        <v>35</v>
      </c>
      <c r="AK40" s="3" t="s">
        <v>35</v>
      </c>
      <c r="AL40" s="3" t="s">
        <v>35</v>
      </c>
      <c r="AM40" s="3" t="s">
        <v>35</v>
      </c>
      <c r="AN40" s="3" t="s">
        <v>35</v>
      </c>
      <c r="AO40" s="3" t="s">
        <v>35</v>
      </c>
      <c r="AP40" s="3" t="s">
        <v>28</v>
      </c>
      <c r="AQ40" s="3" t="s">
        <v>28</v>
      </c>
    </row>
    <row r="41">
      <c r="A41" s="1" t="s">
        <v>190</v>
      </c>
      <c r="B41" s="1" t="s">
        <v>181</v>
      </c>
      <c r="C41" s="1" t="s">
        <v>191</v>
      </c>
      <c r="D41" s="1" t="s">
        <v>192</v>
      </c>
      <c r="E41" s="1" t="s">
        <v>116</v>
      </c>
      <c r="F41" s="1" t="s">
        <v>22</v>
      </c>
      <c r="G41" s="1" t="s">
        <v>48</v>
      </c>
      <c r="H41" s="1" t="s">
        <v>41</v>
      </c>
      <c r="I41" s="2">
        <v>46391.0</v>
      </c>
      <c r="J41" s="2">
        <v>46492.0</v>
      </c>
      <c r="K41" s="3">
        <f t="shared" si="1"/>
        <v>102</v>
      </c>
      <c r="L41" s="3">
        <f t="shared" si="2"/>
        <v>200</v>
      </c>
      <c r="M41" s="1" t="s">
        <v>177</v>
      </c>
      <c r="N41" s="1" t="s">
        <v>49</v>
      </c>
      <c r="O41" s="1" t="s">
        <v>27</v>
      </c>
      <c r="R41" s="3" t="str">
        <f t="array" ref="R41:AQ41">IF(($I41&lt;=R$1:AQ$1+6)*($J41&gt;=R$1:AQ$1),"■","")</f>
        <v/>
      </c>
      <c r="S41" s="3" t="s">
        <v>28</v>
      </c>
      <c r="T41" s="3" t="s">
        <v>28</v>
      </c>
      <c r="U41" s="3" t="s">
        <v>28</v>
      </c>
      <c r="V41" s="3" t="s">
        <v>28</v>
      </c>
      <c r="W41" s="3" t="s">
        <v>28</v>
      </c>
      <c r="X41" s="3" t="s">
        <v>28</v>
      </c>
      <c r="Y41" s="3" t="s">
        <v>28</v>
      </c>
      <c r="Z41" s="3" t="s">
        <v>28</v>
      </c>
      <c r="AA41" s="3" t="s">
        <v>28</v>
      </c>
      <c r="AB41" s="3" t="s">
        <v>28</v>
      </c>
      <c r="AC41" s="3" t="s">
        <v>35</v>
      </c>
      <c r="AD41" s="3" t="s">
        <v>35</v>
      </c>
      <c r="AE41" s="3" t="s">
        <v>35</v>
      </c>
      <c r="AF41" s="3" t="s">
        <v>35</v>
      </c>
      <c r="AG41" s="3" t="s">
        <v>35</v>
      </c>
      <c r="AH41" s="3" t="s">
        <v>35</v>
      </c>
      <c r="AI41" s="3" t="s">
        <v>35</v>
      </c>
      <c r="AJ41" s="3" t="s">
        <v>35</v>
      </c>
      <c r="AK41" s="3" t="s">
        <v>35</v>
      </c>
      <c r="AL41" s="3" t="s">
        <v>35</v>
      </c>
      <c r="AM41" s="3" t="s">
        <v>35</v>
      </c>
      <c r="AN41" s="3" t="s">
        <v>35</v>
      </c>
      <c r="AO41" s="3" t="s">
        <v>35</v>
      </c>
      <c r="AP41" s="3" t="s">
        <v>35</v>
      </c>
      <c r="AQ41" s="3" t="s">
        <v>35</v>
      </c>
    </row>
    <row r="42">
      <c r="A42" s="1" t="s">
        <v>193</v>
      </c>
      <c r="B42" s="1" t="s">
        <v>181</v>
      </c>
      <c r="C42" s="1" t="s">
        <v>194</v>
      </c>
      <c r="D42" s="1" t="s">
        <v>195</v>
      </c>
      <c r="E42" s="1" t="s">
        <v>116</v>
      </c>
      <c r="F42" s="1" t="s">
        <v>33</v>
      </c>
      <c r="G42" s="1" t="s">
        <v>108</v>
      </c>
      <c r="H42" s="1" t="s">
        <v>196</v>
      </c>
      <c r="I42" s="2">
        <v>46447.0</v>
      </c>
      <c r="J42" s="2">
        <v>46477.0</v>
      </c>
      <c r="K42" s="3">
        <f t="shared" si="1"/>
        <v>31</v>
      </c>
      <c r="L42" s="3">
        <f t="shared" si="2"/>
        <v>185</v>
      </c>
      <c r="M42" s="1" t="s">
        <v>104</v>
      </c>
      <c r="N42" s="1" t="s">
        <v>49</v>
      </c>
      <c r="O42" s="1" t="s">
        <v>27</v>
      </c>
      <c r="R42" s="3" t="str">
        <f t="array" ref="R42:AQ42">IF(($I42&lt;=R$1:AQ$1+6)*($J42&gt;=R$1:AQ$1),"■","")</f>
        <v/>
      </c>
      <c r="S42" s="3" t="s">
        <v>28</v>
      </c>
      <c r="T42" s="3" t="s">
        <v>28</v>
      </c>
      <c r="U42" s="3" t="s">
        <v>28</v>
      </c>
      <c r="V42" s="3" t="s">
        <v>28</v>
      </c>
      <c r="W42" s="3" t="s">
        <v>28</v>
      </c>
      <c r="X42" s="3" t="s">
        <v>28</v>
      </c>
      <c r="Y42" s="3" t="s">
        <v>28</v>
      </c>
      <c r="Z42" s="3" t="s">
        <v>28</v>
      </c>
      <c r="AA42" s="3" t="s">
        <v>28</v>
      </c>
      <c r="AB42" s="3" t="s">
        <v>28</v>
      </c>
      <c r="AC42" s="3" t="s">
        <v>28</v>
      </c>
      <c r="AD42" s="3" t="s">
        <v>28</v>
      </c>
      <c r="AE42" s="3" t="s">
        <v>28</v>
      </c>
      <c r="AF42" s="3" t="s">
        <v>28</v>
      </c>
      <c r="AG42" s="3" t="s">
        <v>28</v>
      </c>
      <c r="AH42" s="3" t="s">
        <v>28</v>
      </c>
      <c r="AI42" s="3" t="s">
        <v>28</v>
      </c>
      <c r="AJ42" s="3" t="s">
        <v>28</v>
      </c>
      <c r="AK42" s="3" t="s">
        <v>35</v>
      </c>
      <c r="AL42" s="3" t="s">
        <v>35</v>
      </c>
      <c r="AM42" s="3" t="s">
        <v>35</v>
      </c>
      <c r="AN42" s="3" t="s">
        <v>35</v>
      </c>
      <c r="AO42" s="3" t="s">
        <v>35</v>
      </c>
      <c r="AP42" s="3" t="s">
        <v>28</v>
      </c>
      <c r="AQ42" s="3" t="s">
        <v>28</v>
      </c>
    </row>
  </sheetData>
  <drawing r:id="rId1"/>
</worksheet>
</file>