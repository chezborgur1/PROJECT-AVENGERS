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key" sheetId="1" r:id="rId5"/>
  </sheets>
  <definedNames/>
  <calcPr/>
</workbook>
</file>

<file path=xl/sharedStrings.xml><?xml version="1.0" encoding="utf-8"?>
<sst xmlns="http://schemas.openxmlformats.org/spreadsheetml/2006/main" count="102" uniqueCount="55">
  <si>
    <t>AMB Advisory</t>
  </si>
  <si>
    <t>Engagement Time Tracker</t>
  </si>
  <si>
    <t>Time (Minutes)</t>
  </si>
  <si>
    <t>Date</t>
  </si>
  <si>
    <t>Billable?</t>
  </si>
  <si>
    <t>Start Time</t>
  </si>
  <si>
    <t>End Time</t>
  </si>
  <si>
    <t>Consolidate income statements</t>
  </si>
  <si>
    <t>Yes</t>
  </si>
  <si>
    <t>Draft revenue analysis</t>
  </si>
  <si>
    <t>Work on P&amp;L forecast</t>
  </si>
  <si>
    <t>Screen potential financing advisor</t>
  </si>
  <si>
    <t>No</t>
  </si>
  <si>
    <t>Email Client</t>
  </si>
  <si>
    <t>Review P&amp;L model</t>
  </si>
  <si>
    <t>Client meeting</t>
  </si>
  <si>
    <t>Email Ben</t>
  </si>
  <si>
    <t>Deal structure and tax considerations</t>
  </si>
  <si>
    <t>sync call with attorney</t>
  </si>
  <si>
    <t>product demo</t>
  </si>
  <si>
    <t>P&amp;L report</t>
  </si>
  <si>
    <t>P&amp;L overview</t>
  </si>
  <si>
    <t>review model for errors</t>
  </si>
  <si>
    <t>expense section</t>
  </si>
  <si>
    <t>software google sheet</t>
  </si>
  <si>
    <t>initial P&amp;L review meeting</t>
  </si>
  <si>
    <t>Seller discussion materials</t>
  </si>
  <si>
    <t>Tech stack overview</t>
  </si>
  <si>
    <t>Customer data processing</t>
  </si>
  <si>
    <t>Target P&amp;L review session</t>
  </si>
  <si>
    <t>P&amp;L discussion call notes / action items</t>
  </si>
  <si>
    <t>Review new target files</t>
  </si>
  <si>
    <t>software data processing + forecast adjustments</t>
  </si>
  <si>
    <t>employee data processing</t>
  </si>
  <si>
    <t>customer data processing</t>
  </si>
  <si>
    <t>Employee data processing</t>
  </si>
  <si>
    <t>Review/update employee data</t>
  </si>
  <si>
    <t>employee retention data</t>
  </si>
  <si>
    <t>employee charts &amp; edits</t>
  </si>
  <si>
    <t>customer/employee anaylsis</t>
  </si>
  <si>
    <t>finalize report</t>
  </si>
  <si>
    <t>Keystone client discussion</t>
  </si>
  <si>
    <t>legal call with corey</t>
  </si>
  <si>
    <t>keystone stratagy session</t>
  </si>
  <si>
    <t>keystone offer prep</t>
  </si>
  <si>
    <t>client cfo meeting</t>
  </si>
  <si>
    <t>Keystone offer prep</t>
  </si>
  <si>
    <t>Keystone LOI prep</t>
  </si>
  <si>
    <t>Total Hours</t>
  </si>
  <si>
    <t>Billable Hours</t>
  </si>
  <si>
    <t>Rate</t>
  </si>
  <si>
    <t>Total Pay</t>
  </si>
  <si>
    <t>Week One: P&amp;L Analysis</t>
  </si>
  <si>
    <t>Week Two: Iterate P&amp;L Analysis &amp; Process Customer Data</t>
  </si>
  <si>
    <t>Week Three: Process Employee Data &amp; Have 2nd diligence call + internal client call on deal prop for Ben + draft 90% of investor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</si>
</sst>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"/>
    <numFmt numFmtId="166" formatCode="&quot;$&quot;#,##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  <font>
      <color theme="1"/>
      <name val="Arial"/>
    </font>
    <font>
      <i/>
      <color theme="1"/>
      <name val="Arial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3" numFmtId="20" xfId="0" applyAlignment="1" applyFont="1" applyNumberFormat="1">
      <alignment horizontal="right" vertical="bottom"/>
    </xf>
    <xf borderId="0" fillId="0" fontId="3" numFmtId="20" xfId="0" applyAlignment="1" applyFont="1" applyNumberFormat="1">
      <alignment horizontal="right" readingOrder="0" vertical="bottom"/>
    </xf>
    <xf borderId="0" fillId="0" fontId="3" numFmtId="20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6" numFmtId="165" xfId="0" applyFont="1" applyNumberFormat="1"/>
    <xf borderId="0" fillId="0" fontId="1" numFmtId="166" xfId="0" applyAlignment="1" applyFont="1" applyNumberFormat="1">
      <alignment readingOrder="0"/>
    </xf>
    <xf borderId="3" fillId="0" fontId="6" numFmtId="0" xfId="0" applyAlignment="1" applyBorder="1" applyFont="1">
      <alignment readingOrder="0"/>
    </xf>
    <xf borderId="3" fillId="0" fontId="6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27.88"/>
    <col customWidth="1" min="6" max="6" width="1.63"/>
  </cols>
  <sheetData>
    <row r="1">
      <c r="E1" s="1"/>
    </row>
    <row r="2">
      <c r="B2" s="2" t="s">
        <v>0</v>
      </c>
      <c r="C2" s="3"/>
      <c r="D2" s="3"/>
      <c r="E2" s="4"/>
      <c r="F2" s="3"/>
      <c r="G2" s="3"/>
      <c r="H2" s="3"/>
    </row>
    <row r="3">
      <c r="B3" s="5" t="s">
        <v>1</v>
      </c>
      <c r="C3" s="6"/>
      <c r="D3" s="6"/>
      <c r="E3" s="7"/>
      <c r="F3" s="6"/>
      <c r="G3" s="6"/>
      <c r="H3" s="6"/>
    </row>
    <row r="4">
      <c r="B4" s="3"/>
      <c r="C4" s="3"/>
      <c r="D4" s="3"/>
      <c r="E4" s="4"/>
      <c r="F4" s="3"/>
      <c r="G4" s="3"/>
      <c r="H4" s="3"/>
    </row>
    <row r="5">
      <c r="B5" s="3"/>
      <c r="C5" s="8" t="s">
        <v>2</v>
      </c>
      <c r="D5" s="8" t="s">
        <v>3</v>
      </c>
      <c r="E5" s="9" t="s">
        <v>4</v>
      </c>
      <c r="F5" s="3"/>
      <c r="G5" s="8" t="s">
        <v>5</v>
      </c>
      <c r="H5" s="8" t="s">
        <v>6</v>
      </c>
    </row>
    <row r="6">
      <c r="B6" s="10" t="s">
        <v>7</v>
      </c>
      <c r="C6" s="11">
        <v>60.0</v>
      </c>
      <c r="D6" s="12">
        <v>46266.0</v>
      </c>
      <c r="E6" s="13" t="s">
        <v>8</v>
      </c>
      <c r="F6" s="3"/>
      <c r="G6" s="3"/>
      <c r="H6" s="3"/>
    </row>
    <row r="7">
      <c r="B7" s="10" t="s">
        <v>9</v>
      </c>
      <c r="C7" s="11">
        <v>60.0</v>
      </c>
      <c r="D7" s="12">
        <v>46266.0</v>
      </c>
      <c r="E7" s="13" t="s">
        <v>8</v>
      </c>
      <c r="F7" s="3"/>
      <c r="G7" s="3"/>
      <c r="H7" s="3"/>
    </row>
    <row r="8">
      <c r="B8" s="10" t="s">
        <v>10</v>
      </c>
      <c r="C8" s="11">
        <v>180.0</v>
      </c>
      <c r="D8" s="12">
        <v>46266.0</v>
      </c>
      <c r="E8" s="13" t="s">
        <v>8</v>
      </c>
      <c r="F8" s="3"/>
      <c r="G8" s="3"/>
      <c r="H8" s="3"/>
    </row>
    <row r="9">
      <c r="B9" s="10" t="s">
        <v>11</v>
      </c>
      <c r="C9" s="11">
        <v>15.0</v>
      </c>
      <c r="D9" s="12">
        <v>46266.0</v>
      </c>
      <c r="E9" s="14" t="s">
        <v>12</v>
      </c>
      <c r="F9" s="3"/>
      <c r="G9" s="15"/>
      <c r="H9" s="15"/>
    </row>
    <row r="10">
      <c r="B10" s="10" t="s">
        <v>13</v>
      </c>
      <c r="C10" s="11">
        <v>12.0</v>
      </c>
      <c r="D10" s="12">
        <v>46267.0</v>
      </c>
      <c r="E10" s="14" t="s">
        <v>12</v>
      </c>
      <c r="F10" s="3"/>
      <c r="G10" s="16">
        <v>0.4861111111111111</v>
      </c>
      <c r="H10" s="17">
        <v>0.49444444444444446</v>
      </c>
    </row>
    <row r="11">
      <c r="B11" s="10" t="s">
        <v>10</v>
      </c>
      <c r="C11" s="18">
        <v>60.0</v>
      </c>
      <c r="D11" s="12">
        <v>46267.0</v>
      </c>
      <c r="E11" s="13" t="s">
        <v>8</v>
      </c>
      <c r="G11" s="19">
        <v>0.5069444444444444</v>
      </c>
      <c r="H11" s="19">
        <v>0.0625</v>
      </c>
    </row>
    <row r="12">
      <c r="B12" s="10" t="s">
        <v>10</v>
      </c>
      <c r="C12" s="18">
        <v>60.0</v>
      </c>
      <c r="D12" s="12">
        <v>46267.0</v>
      </c>
      <c r="E12" s="13" t="s">
        <v>8</v>
      </c>
      <c r="G12" s="19">
        <v>0.0763888888888889</v>
      </c>
      <c r="H12" s="19">
        <v>0.11805555555555555</v>
      </c>
    </row>
    <row r="13">
      <c r="B13" s="18" t="s">
        <v>14</v>
      </c>
      <c r="C13" s="18">
        <v>15.0</v>
      </c>
      <c r="D13" s="12">
        <v>46267.0</v>
      </c>
      <c r="E13" s="13" t="s">
        <v>8</v>
      </c>
    </row>
    <row r="14">
      <c r="B14" s="18" t="s">
        <v>15</v>
      </c>
      <c r="C14" s="18">
        <v>45.0</v>
      </c>
      <c r="D14" s="12">
        <v>46267.0</v>
      </c>
      <c r="E14" s="14" t="s">
        <v>12</v>
      </c>
    </row>
    <row r="15">
      <c r="B15" s="18" t="s">
        <v>16</v>
      </c>
      <c r="C15" s="18">
        <v>10.0</v>
      </c>
      <c r="D15" s="12">
        <v>46267.0</v>
      </c>
      <c r="E15" s="14" t="s">
        <v>12</v>
      </c>
    </row>
    <row r="16">
      <c r="B16" s="18" t="s">
        <v>17</v>
      </c>
      <c r="C16" s="18">
        <v>60.0</v>
      </c>
      <c r="D16" s="12">
        <v>46267.0</v>
      </c>
      <c r="E16" s="13" t="s">
        <v>8</v>
      </c>
    </row>
    <row r="17">
      <c r="B17" s="10" t="s">
        <v>10</v>
      </c>
      <c r="C17" s="18">
        <v>60.0</v>
      </c>
      <c r="D17" s="20">
        <v>46268.0</v>
      </c>
      <c r="E17" s="13" t="s">
        <v>8</v>
      </c>
    </row>
    <row r="18">
      <c r="B18" s="10" t="s">
        <v>10</v>
      </c>
      <c r="C18" s="18">
        <v>60.0</v>
      </c>
      <c r="D18" s="20">
        <v>46268.0</v>
      </c>
      <c r="E18" s="13" t="s">
        <v>8</v>
      </c>
      <c r="G18" s="19">
        <v>0.5069444444444444</v>
      </c>
    </row>
    <row r="19">
      <c r="B19" s="18" t="s">
        <v>18</v>
      </c>
      <c r="C19" s="18">
        <v>30.0</v>
      </c>
      <c r="D19" s="20">
        <v>46268.0</v>
      </c>
      <c r="E19" s="14" t="s">
        <v>12</v>
      </c>
    </row>
    <row r="20">
      <c r="B20" s="18" t="s">
        <v>19</v>
      </c>
      <c r="C20" s="18">
        <v>120.0</v>
      </c>
      <c r="D20" s="20">
        <v>46268.0</v>
      </c>
      <c r="E20" s="14" t="s">
        <v>12</v>
      </c>
      <c r="G20" s="19">
        <v>0.09375</v>
      </c>
    </row>
    <row r="21">
      <c r="B21" s="18" t="s">
        <v>20</v>
      </c>
      <c r="C21" s="18">
        <v>30.0</v>
      </c>
      <c r="D21" s="20">
        <v>46268.0</v>
      </c>
      <c r="E21" s="13" t="s">
        <v>8</v>
      </c>
    </row>
    <row r="22">
      <c r="B22" s="18" t="s">
        <v>21</v>
      </c>
      <c r="C22" s="18">
        <v>180.0</v>
      </c>
      <c r="D22" s="20">
        <v>46268.0</v>
      </c>
      <c r="E22" s="13" t="s">
        <v>8</v>
      </c>
      <c r="G22" s="19">
        <v>0.3125</v>
      </c>
      <c r="H22" s="19">
        <v>0.4375</v>
      </c>
    </row>
    <row r="23">
      <c r="B23" s="18" t="s">
        <v>22</v>
      </c>
      <c r="C23" s="18">
        <v>60.0</v>
      </c>
      <c r="D23" s="20">
        <v>46268.0</v>
      </c>
      <c r="E23" s="13" t="s">
        <v>8</v>
      </c>
    </row>
    <row r="24">
      <c r="B24" s="18" t="s">
        <v>23</v>
      </c>
      <c r="C24" s="18">
        <v>60.0</v>
      </c>
      <c r="D24" s="20">
        <v>46269.0</v>
      </c>
      <c r="E24" s="13" t="s">
        <v>8</v>
      </c>
      <c r="G24" s="19">
        <v>0.4548611111111111</v>
      </c>
      <c r="H24" s="19">
        <v>0.4909722222222222</v>
      </c>
    </row>
    <row r="25">
      <c r="B25" s="18" t="s">
        <v>24</v>
      </c>
      <c r="C25" s="18">
        <v>20.0</v>
      </c>
      <c r="D25" s="20">
        <v>46269.0</v>
      </c>
      <c r="E25" s="13" t="s">
        <v>8</v>
      </c>
    </row>
    <row r="26">
      <c r="B26" s="18" t="s">
        <v>25</v>
      </c>
      <c r="C26" s="18">
        <v>45.0</v>
      </c>
      <c r="D26" s="20">
        <v>46269.0</v>
      </c>
      <c r="E26" s="14" t="s">
        <v>12</v>
      </c>
    </row>
    <row r="27">
      <c r="B27" s="18" t="s">
        <v>26</v>
      </c>
      <c r="C27" s="18">
        <v>120.0</v>
      </c>
      <c r="D27" s="20">
        <v>46272.0</v>
      </c>
      <c r="E27" s="13" t="s">
        <v>8</v>
      </c>
      <c r="G27" s="19">
        <v>0.5277777777777778</v>
      </c>
      <c r="H27" s="19">
        <v>0.1111111111111111</v>
      </c>
    </row>
    <row r="28">
      <c r="B28" s="18" t="s">
        <v>27</v>
      </c>
      <c r="C28" s="18">
        <v>30.0</v>
      </c>
      <c r="D28" s="20">
        <v>46273.0</v>
      </c>
      <c r="E28" s="13" t="s">
        <v>8</v>
      </c>
    </row>
    <row r="29">
      <c r="B29" s="18" t="s">
        <v>28</v>
      </c>
      <c r="C29" s="18">
        <v>70.0</v>
      </c>
      <c r="D29" s="20">
        <v>46273.0</v>
      </c>
      <c r="E29" s="13" t="s">
        <v>8</v>
      </c>
      <c r="G29" s="19">
        <v>0.4861111111111111</v>
      </c>
      <c r="H29" s="19">
        <v>0.5347222222222222</v>
      </c>
    </row>
    <row r="30">
      <c r="B30" s="18" t="s">
        <v>29</v>
      </c>
      <c r="C30" s="18">
        <v>60.0</v>
      </c>
      <c r="D30" s="20">
        <v>46273.0</v>
      </c>
      <c r="E30" s="13" t="s">
        <v>8</v>
      </c>
    </row>
    <row r="31">
      <c r="B31" s="18" t="s">
        <v>30</v>
      </c>
      <c r="C31" s="18">
        <v>20.0</v>
      </c>
      <c r="D31" s="20">
        <v>46274.0</v>
      </c>
      <c r="E31" s="13" t="s">
        <v>8</v>
      </c>
      <c r="G31" s="19">
        <v>0.4236111111111111</v>
      </c>
    </row>
    <row r="32">
      <c r="B32" s="18" t="s">
        <v>30</v>
      </c>
      <c r="C32" s="18">
        <v>10.0</v>
      </c>
      <c r="D32" s="20">
        <v>46274.0</v>
      </c>
      <c r="E32" s="13" t="s">
        <v>8</v>
      </c>
      <c r="G32" s="19">
        <v>0.4965277777777778</v>
      </c>
    </row>
    <row r="33">
      <c r="B33" s="18" t="s">
        <v>31</v>
      </c>
      <c r="C33" s="18">
        <v>15.0</v>
      </c>
      <c r="D33" s="20">
        <v>46274.0</v>
      </c>
      <c r="E33" s="13" t="s">
        <v>8</v>
      </c>
      <c r="G33" s="19">
        <v>0.5138888888888888</v>
      </c>
      <c r="H33" s="19">
        <v>0.5243055555555556</v>
      </c>
    </row>
    <row r="34">
      <c r="B34" s="18" t="s">
        <v>32</v>
      </c>
      <c r="C34" s="18">
        <v>45.0</v>
      </c>
      <c r="D34" s="20">
        <v>46274.0</v>
      </c>
      <c r="E34" s="13" t="s">
        <v>8</v>
      </c>
      <c r="G34" s="19">
        <v>0.5277777777777778</v>
      </c>
      <c r="H34" s="19">
        <v>0.058333333333333334</v>
      </c>
    </row>
    <row r="35">
      <c r="B35" s="18" t="s">
        <v>33</v>
      </c>
      <c r="C35" s="18">
        <v>80.0</v>
      </c>
      <c r="D35" s="20">
        <v>46274.0</v>
      </c>
      <c r="E35" s="13" t="s">
        <v>8</v>
      </c>
      <c r="G35" s="19">
        <v>0.09027777777777778</v>
      </c>
      <c r="H35" s="19">
        <v>0.14583333333333334</v>
      </c>
    </row>
    <row r="36">
      <c r="B36" s="18" t="s">
        <v>34</v>
      </c>
      <c r="C36" s="21">
        <f>60*6</f>
        <v>360</v>
      </c>
      <c r="D36" s="20">
        <v>46275.0</v>
      </c>
      <c r="E36" s="13" t="s">
        <v>8</v>
      </c>
      <c r="G36" s="19">
        <v>0.4895833333333333</v>
      </c>
    </row>
    <row r="37">
      <c r="B37" s="18" t="s">
        <v>35</v>
      </c>
      <c r="C37" s="18">
        <v>90.0</v>
      </c>
      <c r="D37" s="20">
        <v>46279.0</v>
      </c>
      <c r="E37" s="13" t="s">
        <v>8</v>
      </c>
      <c r="G37" s="19">
        <v>0.4479166666666667</v>
      </c>
      <c r="H37" s="19">
        <v>0.5069444444444444</v>
      </c>
    </row>
    <row r="38">
      <c r="B38" s="18" t="s">
        <v>36</v>
      </c>
      <c r="C38" s="18">
        <v>60.0</v>
      </c>
      <c r="D38" s="20">
        <v>46279.0</v>
      </c>
      <c r="E38" s="13" t="s">
        <v>8</v>
      </c>
      <c r="G38" s="19">
        <v>0.5208333333333334</v>
      </c>
      <c r="H38" s="19">
        <v>0.0625</v>
      </c>
    </row>
    <row r="39">
      <c r="B39" s="18" t="s">
        <v>37</v>
      </c>
      <c r="C39" s="18">
        <v>120.0</v>
      </c>
      <c r="D39" s="20">
        <v>46279.0</v>
      </c>
      <c r="E39" s="13" t="s">
        <v>8</v>
      </c>
      <c r="G39" s="19">
        <v>0.0798611111111111</v>
      </c>
    </row>
    <row r="40">
      <c r="B40" s="18" t="s">
        <v>38</v>
      </c>
      <c r="C40" s="18">
        <v>60.0</v>
      </c>
      <c r="D40" s="20">
        <v>46279.0</v>
      </c>
      <c r="E40" s="13" t="s">
        <v>8</v>
      </c>
      <c r="G40" s="19">
        <v>0.19444444444444445</v>
      </c>
      <c r="H40" s="19">
        <v>0.2361111111111111</v>
      </c>
    </row>
    <row r="41">
      <c r="B41" s="18" t="s">
        <v>39</v>
      </c>
      <c r="C41" s="21">
        <f>60*4</f>
        <v>240</v>
      </c>
      <c r="D41" s="20">
        <v>46280.0</v>
      </c>
      <c r="E41" s="13" t="s">
        <v>8</v>
      </c>
      <c r="G41" s="19">
        <v>0.4305555555555556</v>
      </c>
      <c r="H41" s="19">
        <v>0.11458333333333333</v>
      </c>
    </row>
    <row r="42">
      <c r="B42" s="18" t="s">
        <v>40</v>
      </c>
      <c r="C42" s="18">
        <v>50.0</v>
      </c>
      <c r="D42" s="20">
        <v>46280.0</v>
      </c>
      <c r="E42" s="13" t="s">
        <v>8</v>
      </c>
      <c r="G42" s="19">
        <v>0.13194444444444445</v>
      </c>
      <c r="H42" s="19">
        <v>0.16666666666666666</v>
      </c>
    </row>
    <row r="43">
      <c r="B43" s="18" t="s">
        <v>41</v>
      </c>
      <c r="C43" s="18">
        <v>60.0</v>
      </c>
      <c r="D43" s="20">
        <v>46280.0</v>
      </c>
      <c r="E43" s="14" t="s">
        <v>12</v>
      </c>
    </row>
    <row r="44">
      <c r="B44" s="18" t="s">
        <v>42</v>
      </c>
      <c r="C44" s="18">
        <v>60.0</v>
      </c>
      <c r="D44" s="20">
        <v>46281.0</v>
      </c>
      <c r="E44" s="14" t="s">
        <v>12</v>
      </c>
    </row>
    <row r="45">
      <c r="B45" s="18" t="s">
        <v>43</v>
      </c>
      <c r="C45" s="18">
        <v>60.0</v>
      </c>
      <c r="D45" s="20">
        <v>46282.0</v>
      </c>
      <c r="E45" s="14" t="s">
        <v>12</v>
      </c>
    </row>
    <row r="46">
      <c r="B46" s="18" t="s">
        <v>44</v>
      </c>
      <c r="C46" s="18">
        <v>15.0</v>
      </c>
      <c r="D46" s="20">
        <v>46282.0</v>
      </c>
      <c r="E46" s="14" t="s">
        <v>8</v>
      </c>
    </row>
    <row r="47">
      <c r="B47" s="18" t="s">
        <v>45</v>
      </c>
      <c r="C47" s="18">
        <v>60.0</v>
      </c>
      <c r="D47" s="20">
        <v>46282.0</v>
      </c>
      <c r="E47" s="14" t="s">
        <v>12</v>
      </c>
    </row>
    <row r="48">
      <c r="B48" s="18" t="s">
        <v>46</v>
      </c>
      <c r="C48" s="18">
        <v>60.0</v>
      </c>
      <c r="D48" s="20">
        <v>46286.0</v>
      </c>
      <c r="E48" s="14" t="s">
        <v>8</v>
      </c>
    </row>
    <row r="49">
      <c r="B49" s="18" t="s">
        <v>47</v>
      </c>
      <c r="C49" s="18">
        <v>120.0</v>
      </c>
      <c r="D49" s="20">
        <v>46286.0</v>
      </c>
      <c r="E49" s="14" t="s">
        <v>8</v>
      </c>
    </row>
    <row r="50">
      <c r="E50" s="1"/>
    </row>
    <row r="51">
      <c r="B51" s="22"/>
      <c r="C51" s="23"/>
      <c r="E51" s="1"/>
    </row>
    <row r="52">
      <c r="B52" s="22"/>
      <c r="C52" s="23"/>
      <c r="E52" s="1"/>
    </row>
    <row r="53">
      <c r="B53" s="22"/>
      <c r="C53" s="23"/>
      <c r="E53" s="1"/>
    </row>
    <row r="54">
      <c r="B54" s="22"/>
      <c r="C54" s="23"/>
      <c r="E54" s="1"/>
    </row>
    <row r="55">
      <c r="B55" s="22"/>
      <c r="C55" s="23"/>
      <c r="E55" s="1"/>
    </row>
    <row r="56">
      <c r="B56" s="22"/>
      <c r="C56" s="23"/>
      <c r="E56" s="1"/>
    </row>
    <row r="57">
      <c r="B57" s="22"/>
      <c r="C57" s="23"/>
      <c r="E57" s="1"/>
    </row>
    <row r="58">
      <c r="B58" s="22"/>
      <c r="C58" s="23"/>
      <c r="E58" s="1"/>
    </row>
    <row r="59">
      <c r="B59" s="22"/>
      <c r="C59" s="23"/>
      <c r="E59" s="1"/>
    </row>
    <row r="60">
      <c r="B60" s="22" t="s">
        <v>48</v>
      </c>
      <c r="C60" s="23">
        <f>sum(C6:C50)/60</f>
        <v>51.78333333</v>
      </c>
      <c r="E60" s="1"/>
    </row>
    <row r="61">
      <c r="B61" s="22" t="s">
        <v>49</v>
      </c>
      <c r="C61" s="23">
        <f>SUMIFS(C6:C52,E6:E52,"Yes")/60</f>
        <v>43.16666667</v>
      </c>
      <c r="E61" s="1"/>
    </row>
    <row r="62">
      <c r="B62" s="18" t="s">
        <v>50</v>
      </c>
      <c r="C62" s="24">
        <v>155.0</v>
      </c>
      <c r="E62" s="1"/>
    </row>
    <row r="63">
      <c r="B63" s="25" t="s">
        <v>51</v>
      </c>
      <c r="C63" s="26">
        <f>C61*C62</f>
        <v>6690.833333</v>
      </c>
      <c r="E63" s="1"/>
    </row>
    <row r="64">
      <c r="E64" s="1"/>
    </row>
    <row r="65">
      <c r="B65" s="18" t="s">
        <v>52</v>
      </c>
      <c r="E65" s="1"/>
    </row>
    <row r="66">
      <c r="B66" s="18" t="s">
        <v>53</v>
      </c>
      <c r="E66" s="1"/>
    </row>
    <row r="67">
      <c r="B67" s="18" t="s">
        <v>54</v>
      </c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  <row r="1002">
      <c r="E1002" s="1"/>
    </row>
    <row r="1003">
      <c r="E1003" s="1"/>
    </row>
    <row r="1004">
      <c r="E1004" s="1"/>
    </row>
    <row r="1005">
      <c r="E1005" s="1"/>
    </row>
    <row r="1006">
      <c r="E1006" s="1"/>
    </row>
    <row r="1007">
      <c r="E1007" s="1"/>
    </row>
    <row r="1008">
      <c r="E1008" s="1"/>
    </row>
    <row r="1009">
      <c r="E1009" s="1"/>
    </row>
    <row r="1010">
      <c r="E1010" s="1"/>
    </row>
    <row r="1011">
      <c r="E1011" s="1"/>
    </row>
  </sheetData>
  <drawing r:id="rId1"/>
</worksheet>
</file>