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<sst xmlns="http://schemas.openxmlformats.org/spreadsheetml/2006/main" count="429" uniqueCount="154">
  <si>
    <t>ID</t>
  </si>
  <si>
    <t>Workstream</t>
  </si>
  <si>
    <t>Task</t>
  </si>
  <si>
    <t>Detail / deliverable</t>
  </si>
  <si>
    <t>Priority</t>
  </si>
  <si>
    <t>Difficulty</t>
  </si>
  <si>
    <t>Owner</t>
  </si>
  <si>
    <t>Support</t>
  </si>
  <si>
    <t>Start</t>
  </si>
  <si>
    <t>Due</t>
  </si>
  <si>
    <t>Duration (days)</t>
  </si>
  <si>
    <t>Days to due</t>
  </si>
  <si>
    <t>Depends on</t>
  </si>
  <si>
    <t>Critical path</t>
  </si>
  <si>
    <t>Status</t>
  </si>
  <si>
    <t>Notes / source</t>
  </si>
  <si>
    <t>Week of →</t>
  </si>
  <si>
    <t>PRE-01</t>
  </si>
  <si>
    <t>Diligence prep</t>
  </si>
  <si>
    <t>Request missing Topkey items</t>
  </si>
  <si>
    <t>Founder Voting Agreement, ROFR &amp; Co-Sale Agreement, current 409A report, Thread documents after Aug 26 maturity, Burkland $60M SAFE, FY2025 audit status, Bryan Beshore's role</t>
  </si>
  <si>
    <t>P2 - High</t>
  </si>
  <si>
    <t>Low</t>
  </si>
  <si>
    <t>Frank</t>
  </si>
  <si>
    <t>Jon</t>
  </si>
  <si>
    <t>N</t>
  </si>
  <si>
    <t>Not started</t>
  </si>
  <si>
    <t>Data Room Review §2 / §9 item 9</t>
  </si>
  <si>
    <t>■</t>
  </si>
  <si>
    <t/>
  </si>
  <si>
    <t>PRE-02</t>
  </si>
  <si>
    <t>Financing &amp; consents</t>
  </si>
  <si>
    <t>Confirm Thread Bank line status after Aug 26, 2026 maturity</t>
  </si>
  <si>
    <t>Extended, paid off or in default? Are monthly compliance certificates and the FY2025 audit current? $500K drawn at 8/31</t>
  </si>
  <si>
    <t>P1 - Critical</t>
  </si>
  <si>
    <t>Josh</t>
  </si>
  <si>
    <t>Y</t>
  </si>
  <si>
    <t>LSA §§6.3, 6.8, 7.3, 7.7; Fourth Amendment</t>
  </si>
  <si>
    <t>PRE-03</t>
  </si>
  <si>
    <t>Tax &amp; structure</t>
  </si>
  <si>
    <t>Engage joint tax counsel (NH experience)</t>
  </si>
  <si>
    <t>Engagement letter and scope: F-reorg, Rev. Rul. 99-5, NH BPT, QSBS, §83 repurchase wording, Ben's residency, Form 8594, §754. Agree who pays</t>
  </si>
  <si>
    <t>Medium</t>
  </si>
  <si>
    <t>Frank, Josh</t>
  </si>
  <si>
    <t>Offer Review v3; Structures report §4</t>
  </si>
  <si>
    <t>PRE-04</t>
  </si>
  <si>
    <t>Deal terms</t>
  </si>
  <si>
    <t>Jon decides open terms</t>
  </si>
  <si>
    <t>Series A options doc (14 decisions) and data-room decisions: Reference Valuation, Thread payoff vs consent, consent strategy, equity-protection fallback, cash timing, disclosure scope, board seat</t>
  </si>
  <si>
    <t>Options doc v2; Data Room Review §8</t>
  </si>
  <si>
    <t>PRE-05</t>
  </si>
  <si>
    <t>Brief new Felicis partner and a16z (YC ES20 as backup)</t>
  </si>
  <si>
    <t>Explain partnership, request 55% Requisite Holder consent (§3.3.9, §3.3.8, §3.3.7) and IRA §4.1 ROFO waiver</t>
  </si>
  <si>
    <t>Charter Art. IV.B §3.3; IRA §6.6(b)</t>
  </si>
  <si>
    <t>PRE-06</t>
  </si>
  <si>
    <t>Explore insider bridge SAFE ($1–2M)</t>
  </si>
  <si>
    <t>Felicis/YC bridge signed alongside the deal to restore runway and validate the reference price</t>
  </si>
  <si>
    <t>High</t>
  </si>
  <si>
    <t>Deal assessment – 'what would improve the odds'</t>
  </si>
  <si>
    <t>PRE-07</t>
  </si>
  <si>
    <t>Confirm current 409A and engage appraiser</t>
  </si>
  <si>
    <t>Resolve $0.17 vs $0.22; indicative value of Ben's plain common as of Jan 2, 2027; scope the closing-date update</t>
  </si>
  <si>
    <t>Appraiser</t>
  </si>
  <si>
    <t>Data Room Review §3.2</t>
  </si>
  <si>
    <t>PRE-08</t>
  </si>
  <si>
    <t>Pro forma SAFE-conversion cap table</t>
  </si>
  <si>
    <t>At $50M and $60M reference; include Thread warrants (up to 42,500 sh) and Ben's shares</t>
  </si>
  <si>
    <t>Data Room Review §3.1</t>
  </si>
  <si>
    <t>PRE-09</t>
  </si>
  <si>
    <t>ARR bridge</t>
  </si>
  <si>
    <t>Investor-update SaaS ARR ($3.06M) to GAAP revenue (Aug run-rate $3.14M all-in / $2.55M platform fees)</t>
  </si>
  <si>
    <t>Data Room Review §3.5</t>
  </si>
  <si>
    <t>PRE-10</t>
  </si>
  <si>
    <t>Fix Kindergarten SAFE cap wording; confirm Burkland SAFE</t>
  </si>
  <si>
    <t>Correct 'Pre-Money Valuation Cap'; confirm whether the $60M SAFE has closed and falls within the 2025 authorization ($2.5M)</t>
  </si>
  <si>
    <t>Corey</t>
  </si>
  <si>
    <t>SAFE Summary items 1–2; 2025 consent</t>
  </si>
  <si>
    <t>PRE-11</t>
  </si>
  <si>
    <t>Thread decision and next action</t>
  </si>
  <si>
    <t>Recommended: request payoff letter (LSA §2.6) and wind-down timeline. Alternative: written consent + §6.10 carve-out for Keystone</t>
  </si>
  <si>
    <t>Josh, Corey</t>
  </si>
  <si>
    <t>Data Room Review Decision 1</t>
  </si>
  <si>
    <t>PRE-12</t>
  </si>
  <si>
    <t>Seller</t>
  </si>
  <si>
    <t>Walk-through call with Ben</t>
  </si>
  <si>
    <t>Verbal offer: 70/30, $650K cash, plain common at reference valuation, preference stack, tax framing, timeline, consents</t>
  </si>
  <si>
    <t>Jon plans mid-week call</t>
  </si>
  <si>
    <t>PRE-13</t>
  </si>
  <si>
    <t>Send Ben tax questions and document request</t>
  </si>
  <si>
    <t>Offer Review v3 §8 questions; 1120-S, NH-1120/DP-80, 1040 Sch. D/E, S-election acceptance letter</t>
  </si>
  <si>
    <t>Tax counsel</t>
  </si>
  <si>
    <t>Offer Review v3 §8</t>
  </si>
  <si>
    <t>PRE-14</t>
  </si>
  <si>
    <t>Confirm Ben's residency plan</t>
  </si>
  <si>
    <t>NH vs Europe through 2027 and at exit; drives the whole tax analysis</t>
  </si>
  <si>
    <t>Ben</t>
  </si>
  <si>
    <t>Tax counsel, Jon</t>
  </si>
  <si>
    <t>Structures report §4</t>
  </si>
  <si>
    <t>PRE-15</t>
  </si>
  <si>
    <t>Commercial</t>
  </si>
  <si>
    <t>Amanda / partner bookkeeping firm transition plan</t>
  </si>
  <si>
    <t>Reconcile Keystone exclusivity with the existing partner firm and Quantum SOW</t>
  </si>
  <si>
    <t>Darren</t>
  </si>
  <si>
    <t>Investor update (Bookkeeping)</t>
  </si>
  <si>
    <t>PRE-16</t>
  </si>
  <si>
    <t>Governance</t>
  </si>
  <si>
    <t>Inform co-founder Bryan Beshore</t>
  </si>
  <si>
    <t>24.5% FD holder and Key Holder; not required to consent but should hear it from Jon</t>
  </si>
  <si>
    <t>P3 - Medium</t>
  </si>
  <si>
    <t>Voting Agreement §3.2</t>
  </si>
  <si>
    <t>PRE-17</t>
  </si>
  <si>
    <t>Draft omnibus stockholder consent</t>
  </si>
  <si>
    <t>Template: 7/1/25 SAFE consent. Covers §3.3.9 non-wholly-owned subsidiary, §3.3.8 related-party arrangements with Ben, §3.3.7 any deferred payment, ROFO waiver, $60M SAFE ratification if needed</t>
  </si>
  <si>
    <t>Data Room Review §5</t>
  </si>
  <si>
    <t>PRE-18</t>
  </si>
  <si>
    <t>Confirm board authority</t>
  </si>
  <si>
    <t>Can a single sitting director approve? Fill the vacant Common Director seat if needed; resolution authorizing LOI</t>
  </si>
  <si>
    <t>Voting Agreement §1.2; bylaws</t>
  </si>
  <si>
    <t>PRE-19</t>
  </si>
  <si>
    <t>Documents</t>
  </si>
  <si>
    <t>Update LOI v14 and Offer v16</t>
  </si>
  <si>
    <t>Apply Jon's decisions and data-room changes (closing conditions, consents, disclosure package, credit-support clause, $50M reference)</t>
  </si>
  <si>
    <t>Data Room Review §6–7</t>
  </si>
  <si>
    <t>PRE-20</t>
  </si>
  <si>
    <t>Re-run scenario model</t>
  </si>
  <si>
    <t>12–15 month runway, $50M reference, 409A range for Ben's closing tax, 15–25% Series A dilution, after-tax rows</t>
  </si>
  <si>
    <t>Data Room Review §9 item 10</t>
  </si>
  <si>
    <t>PRE-21</t>
  </si>
  <si>
    <t>Counsel review of LOI v14 / Offer v16 and Exhibit A</t>
  </si>
  <si>
    <t>Corey sign-off before release; include operating agreement term sheet</t>
  </si>
  <si>
    <t>PRE-22</t>
  </si>
  <si>
    <t>Topkey disclosure package for Ben</t>
  </si>
  <si>
    <t>Financials through 8/31/26, cap table, charter, SAFE and warrant schedule, Thread summary, ARR bridge; confirm NDA coverage</t>
  </si>
  <si>
    <t>Data Room Review Decision 6</t>
  </si>
  <si>
    <t>PRE-23</t>
  </si>
  <si>
    <t>Accredited-investor questionnaire ready</t>
  </si>
  <si>
    <t>Rule 506(b) private placement to Ben</t>
  </si>
  <si>
    <t>PRE-24</t>
  </si>
  <si>
    <t>Stockholder consent executed (or LOI made conditional)</t>
  </si>
  <si>
    <t>Felicis + a16z (or YC) signatures; ROFO waiver</t>
  </si>
  <si>
    <t>Felicis, a16z</t>
  </si>
  <si>
    <t>PRE-25</t>
  </si>
  <si>
    <t>Send LOI and Offer to Ben</t>
  </si>
  <si>
    <t>With disclosure package or a date for it</t>
  </si>
  <si>
    <t>PRE-26</t>
  </si>
  <si>
    <t>Ben and his advisors review; negotiate LOI</t>
  </si>
  <si>
    <t>Expect pushback on stock value (409A gap) and cash after tax</t>
  </si>
  <si>
    <t>Jon, Frank</t>
  </si>
  <si>
    <t>Deal assessment – concern #3</t>
  </si>
  <si>
    <t>PRE-27</t>
  </si>
  <si>
    <t>Milestone</t>
  </si>
  <si>
    <t>LOI SIGNED</t>
  </si>
  <si>
    <t>Exclusivity (90 days) starts; target Friday Oct 16</t>
  </si>
  <si>
    <t>PRE-24, PRE-26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</si>
</sst>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75"/>
    <col customWidth="1" min="4" max="4" width="1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v>46286.0</v>
      </c>
      <c r="S1" s="2">
        <v>46293.0</v>
      </c>
      <c r="T1" s="2">
        <v>46300.0</v>
      </c>
      <c r="U1" s="2">
        <v>46307.0</v>
      </c>
      <c r="V1" s="2">
        <v>46314.0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46290.0</v>
      </c>
      <c r="J2" s="2">
        <v>46294.0</v>
      </c>
      <c r="K2" s="3">
        <f t="shared" ref="K2:K28" si="1">J2-I2+1</f>
        <v>5</v>
      </c>
      <c r="L2" s="3">
        <f t="shared" ref="L2:L28" si="2">IF(O2="Done","",J2-TODAY())</f>
        <v>2</v>
      </c>
      <c r="N2" s="1" t="s">
        <v>25</v>
      </c>
      <c r="O2" s="1" t="s">
        <v>26</v>
      </c>
      <c r="P2" s="1" t="s">
        <v>27</v>
      </c>
      <c r="R2" s="3" t="str">
        <f t="array" ref="R2:V2">IF(($I2&lt;=R$1:V$1+6)*($J2&gt;=R$1:V$1),"■","")</f>
        <v>■</v>
      </c>
      <c r="S2" s="3" t="s">
        <v>28</v>
      </c>
      <c r="T2" s="3" t="s">
        <v>29</v>
      </c>
      <c r="U2" s="3" t="s">
        <v>29</v>
      </c>
      <c r="V2" s="3" t="s">
        <v>29</v>
      </c>
    </row>
    <row r="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22</v>
      </c>
      <c r="G3" s="1" t="s">
        <v>24</v>
      </c>
      <c r="H3" s="1" t="s">
        <v>35</v>
      </c>
      <c r="I3" s="2">
        <v>46290.0</v>
      </c>
      <c r="J3" s="2">
        <v>46294.0</v>
      </c>
      <c r="K3" s="3">
        <f t="shared" si="1"/>
        <v>5</v>
      </c>
      <c r="L3" s="3">
        <f t="shared" si="2"/>
        <v>2</v>
      </c>
      <c r="N3" s="1" t="s">
        <v>36</v>
      </c>
      <c r="O3" s="1" t="s">
        <v>26</v>
      </c>
      <c r="P3" s="1" t="s">
        <v>37</v>
      </c>
      <c r="R3" s="3" t="str">
        <f t="array" ref="R3:V3">IF(($I3&lt;=R$1:V$1+6)*($J3&gt;=R$1:V$1),"■","")</f>
        <v>■</v>
      </c>
      <c r="S3" s="3" t="s">
        <v>28</v>
      </c>
      <c r="T3" s="3" t="s">
        <v>29</v>
      </c>
      <c r="U3" s="3" t="s">
        <v>29</v>
      </c>
      <c r="V3" s="3" t="s">
        <v>29</v>
      </c>
    </row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34</v>
      </c>
      <c r="F4" s="1" t="s">
        <v>42</v>
      </c>
      <c r="G4" s="1" t="s">
        <v>24</v>
      </c>
      <c r="H4" s="1" t="s">
        <v>43</v>
      </c>
      <c r="I4" s="2">
        <v>46290.0</v>
      </c>
      <c r="J4" s="2">
        <v>46297.0</v>
      </c>
      <c r="K4" s="3">
        <f t="shared" si="1"/>
        <v>8</v>
      </c>
      <c r="L4" s="3">
        <f t="shared" si="2"/>
        <v>5</v>
      </c>
      <c r="N4" s="1" t="s">
        <v>36</v>
      </c>
      <c r="O4" s="1" t="s">
        <v>26</v>
      </c>
      <c r="P4" s="1" t="s">
        <v>44</v>
      </c>
      <c r="R4" s="3" t="str">
        <f t="array" ref="R4:V4">IF(($I4&lt;=R$1:V$1+6)*($J4&gt;=R$1:V$1),"■","")</f>
        <v>■</v>
      </c>
      <c r="S4" s="3" t="s">
        <v>28</v>
      </c>
      <c r="T4" s="3" t="s">
        <v>29</v>
      </c>
      <c r="U4" s="3" t="s">
        <v>29</v>
      </c>
      <c r="V4" s="3" t="s">
        <v>29</v>
      </c>
    </row>
    <row r="5">
      <c r="A5" s="1" t="s">
        <v>45</v>
      </c>
      <c r="B5" s="1" t="s">
        <v>46</v>
      </c>
      <c r="C5" s="1" t="s">
        <v>47</v>
      </c>
      <c r="D5" s="1" t="s">
        <v>48</v>
      </c>
      <c r="E5" s="1" t="s">
        <v>34</v>
      </c>
      <c r="F5" s="1" t="s">
        <v>42</v>
      </c>
      <c r="G5" s="1" t="s">
        <v>24</v>
      </c>
      <c r="H5" s="1" t="s">
        <v>23</v>
      </c>
      <c r="I5" s="2">
        <v>46293.0</v>
      </c>
      <c r="J5" s="2">
        <v>46297.0</v>
      </c>
      <c r="K5" s="3">
        <f t="shared" si="1"/>
        <v>5</v>
      </c>
      <c r="L5" s="3">
        <f t="shared" si="2"/>
        <v>5</v>
      </c>
      <c r="M5" s="1" t="s">
        <v>30</v>
      </c>
      <c r="N5" s="1" t="s">
        <v>36</v>
      </c>
      <c r="O5" s="1" t="s">
        <v>26</v>
      </c>
      <c r="P5" s="1" t="s">
        <v>49</v>
      </c>
      <c r="R5" s="3" t="str">
        <f t="array" ref="R5:V5">IF(($I5&lt;=R$1:V$1+6)*($J5&gt;=R$1:V$1),"■","")</f>
        <v/>
      </c>
      <c r="S5" s="3" t="s">
        <v>28</v>
      </c>
      <c r="T5" s="3" t="s">
        <v>29</v>
      </c>
      <c r="U5" s="3" t="s">
        <v>29</v>
      </c>
      <c r="V5" s="3" t="s">
        <v>29</v>
      </c>
    </row>
    <row r="6">
      <c r="A6" s="1" t="s">
        <v>50</v>
      </c>
      <c r="B6" s="1" t="s">
        <v>31</v>
      </c>
      <c r="C6" s="1" t="s">
        <v>51</v>
      </c>
      <c r="D6" s="1" t="s">
        <v>52</v>
      </c>
      <c r="E6" s="1" t="s">
        <v>34</v>
      </c>
      <c r="F6" s="1" t="s">
        <v>42</v>
      </c>
      <c r="G6" s="1" t="s">
        <v>24</v>
      </c>
      <c r="H6" s="1" t="s">
        <v>23</v>
      </c>
      <c r="I6" s="2">
        <v>46293.0</v>
      </c>
      <c r="J6" s="2">
        <v>46302.0</v>
      </c>
      <c r="K6" s="3">
        <f t="shared" si="1"/>
        <v>10</v>
      </c>
      <c r="L6" s="3">
        <f t="shared" si="2"/>
        <v>10</v>
      </c>
      <c r="N6" s="1" t="s">
        <v>36</v>
      </c>
      <c r="O6" s="1" t="s">
        <v>26</v>
      </c>
      <c r="P6" s="1" t="s">
        <v>53</v>
      </c>
      <c r="R6" s="3" t="str">
        <f t="array" ref="R6:V6">IF(($I6&lt;=R$1:V$1+6)*($J6&gt;=R$1:V$1),"■","")</f>
        <v/>
      </c>
      <c r="S6" s="3" t="s">
        <v>28</v>
      </c>
      <c r="T6" s="3" t="s">
        <v>28</v>
      </c>
      <c r="U6" s="3" t="s">
        <v>29</v>
      </c>
      <c r="V6" s="3" t="s">
        <v>29</v>
      </c>
    </row>
    <row r="7">
      <c r="A7" s="1" t="s">
        <v>54</v>
      </c>
      <c r="B7" s="1" t="s">
        <v>31</v>
      </c>
      <c r="C7" s="1" t="s">
        <v>55</v>
      </c>
      <c r="D7" s="1" t="s">
        <v>56</v>
      </c>
      <c r="E7" s="1" t="s">
        <v>21</v>
      </c>
      <c r="F7" s="1" t="s">
        <v>57</v>
      </c>
      <c r="G7" s="1" t="s">
        <v>24</v>
      </c>
      <c r="H7" s="1" t="s">
        <v>35</v>
      </c>
      <c r="I7" s="2">
        <v>46293.0</v>
      </c>
      <c r="J7" s="2">
        <v>46311.0</v>
      </c>
      <c r="K7" s="3">
        <f t="shared" si="1"/>
        <v>19</v>
      </c>
      <c r="L7" s="3">
        <f t="shared" si="2"/>
        <v>19</v>
      </c>
      <c r="M7" s="1" t="s">
        <v>50</v>
      </c>
      <c r="N7" s="1" t="s">
        <v>25</v>
      </c>
      <c r="O7" s="1" t="s">
        <v>26</v>
      </c>
      <c r="P7" s="1" t="s">
        <v>58</v>
      </c>
      <c r="R7" s="3" t="str">
        <f t="array" ref="R7:V7">IF(($I7&lt;=R$1:V$1+6)*($J7&gt;=R$1:V$1),"■","")</f>
        <v/>
      </c>
      <c r="S7" s="3" t="s">
        <v>28</v>
      </c>
      <c r="T7" s="3" t="s">
        <v>28</v>
      </c>
      <c r="U7" s="3" t="s">
        <v>28</v>
      </c>
      <c r="V7" s="3" t="s">
        <v>29</v>
      </c>
    </row>
    <row r="8">
      <c r="A8" s="1" t="s">
        <v>59</v>
      </c>
      <c r="B8" s="1" t="s">
        <v>39</v>
      </c>
      <c r="C8" s="1" t="s">
        <v>60</v>
      </c>
      <c r="D8" s="1" t="s">
        <v>61</v>
      </c>
      <c r="E8" s="1" t="s">
        <v>34</v>
      </c>
      <c r="F8" s="1" t="s">
        <v>42</v>
      </c>
      <c r="G8" s="1" t="s">
        <v>35</v>
      </c>
      <c r="H8" s="1" t="s">
        <v>62</v>
      </c>
      <c r="I8" s="2">
        <v>46293.0</v>
      </c>
      <c r="J8" s="2">
        <v>46304.0</v>
      </c>
      <c r="K8" s="3">
        <f t="shared" si="1"/>
        <v>12</v>
      </c>
      <c r="L8" s="3">
        <f t="shared" si="2"/>
        <v>12</v>
      </c>
      <c r="N8" s="1" t="s">
        <v>36</v>
      </c>
      <c r="O8" s="1" t="s">
        <v>26</v>
      </c>
      <c r="P8" s="1" t="s">
        <v>63</v>
      </c>
      <c r="R8" s="3" t="str">
        <f t="array" ref="R8:V8">IF(($I8&lt;=R$1:V$1+6)*($J8&gt;=R$1:V$1),"■","")</f>
        <v/>
      </c>
      <c r="S8" s="3" t="s">
        <v>28</v>
      </c>
      <c r="T8" s="3" t="s">
        <v>28</v>
      </c>
      <c r="U8" s="3" t="s">
        <v>29</v>
      </c>
      <c r="V8" s="3" t="s">
        <v>29</v>
      </c>
    </row>
    <row r="9">
      <c r="A9" s="1" t="s">
        <v>64</v>
      </c>
      <c r="B9" s="1" t="s">
        <v>18</v>
      </c>
      <c r="C9" s="1" t="s">
        <v>65</v>
      </c>
      <c r="D9" s="1" t="s">
        <v>66</v>
      </c>
      <c r="E9" s="1" t="s">
        <v>21</v>
      </c>
      <c r="F9" s="1" t="s">
        <v>22</v>
      </c>
      <c r="G9" s="1" t="s">
        <v>35</v>
      </c>
      <c r="H9" s="1" t="s">
        <v>23</v>
      </c>
      <c r="I9" s="2">
        <v>46293.0</v>
      </c>
      <c r="J9" s="2">
        <v>46300.0</v>
      </c>
      <c r="K9" s="3">
        <f t="shared" si="1"/>
        <v>8</v>
      </c>
      <c r="L9" s="3">
        <f t="shared" si="2"/>
        <v>8</v>
      </c>
      <c r="N9" s="1" t="s">
        <v>25</v>
      </c>
      <c r="O9" s="1" t="s">
        <v>26</v>
      </c>
      <c r="P9" s="1" t="s">
        <v>67</v>
      </c>
      <c r="R9" s="3" t="str">
        <f t="array" ref="R9:V9">IF(($I9&lt;=R$1:V$1+6)*($J9&gt;=R$1:V$1),"■","")</f>
        <v/>
      </c>
      <c r="S9" s="3" t="s">
        <v>28</v>
      </c>
      <c r="T9" s="3" t="s">
        <v>28</v>
      </c>
      <c r="U9" s="3" t="s">
        <v>29</v>
      </c>
      <c r="V9" s="3" t="s">
        <v>29</v>
      </c>
    </row>
    <row r="10">
      <c r="A10" s="1" t="s">
        <v>68</v>
      </c>
      <c r="B10" s="1" t="s">
        <v>18</v>
      </c>
      <c r="C10" s="1" t="s">
        <v>69</v>
      </c>
      <c r="D10" s="1" t="s">
        <v>70</v>
      </c>
      <c r="E10" s="1" t="s">
        <v>21</v>
      </c>
      <c r="F10" s="1" t="s">
        <v>42</v>
      </c>
      <c r="G10" s="1" t="s">
        <v>35</v>
      </c>
      <c r="H10" s="1" t="s">
        <v>23</v>
      </c>
      <c r="I10" s="2">
        <v>46293.0</v>
      </c>
      <c r="J10" s="2">
        <v>46302.0</v>
      </c>
      <c r="K10" s="3">
        <f t="shared" si="1"/>
        <v>10</v>
      </c>
      <c r="L10" s="3">
        <f t="shared" si="2"/>
        <v>10</v>
      </c>
      <c r="N10" s="1" t="s">
        <v>25</v>
      </c>
      <c r="O10" s="1" t="s">
        <v>26</v>
      </c>
      <c r="P10" s="1" t="s">
        <v>71</v>
      </c>
      <c r="R10" s="3" t="str">
        <f t="array" ref="R10:V10">IF(($I10&lt;=R$1:V$1+6)*($J10&gt;=R$1:V$1),"■","")</f>
        <v/>
      </c>
      <c r="S10" s="3" t="s">
        <v>28</v>
      </c>
      <c r="T10" s="3" t="s">
        <v>28</v>
      </c>
      <c r="U10" s="3" t="s">
        <v>29</v>
      </c>
      <c r="V10" s="3" t="s">
        <v>29</v>
      </c>
    </row>
    <row r="11">
      <c r="A11" s="1" t="s">
        <v>72</v>
      </c>
      <c r="B11" s="1" t="s">
        <v>31</v>
      </c>
      <c r="C11" s="1" t="s">
        <v>73</v>
      </c>
      <c r="D11" s="1" t="s">
        <v>74</v>
      </c>
      <c r="E11" s="1" t="s">
        <v>21</v>
      </c>
      <c r="F11" s="1" t="s">
        <v>22</v>
      </c>
      <c r="G11" s="1" t="s">
        <v>75</v>
      </c>
      <c r="H11" s="1" t="s">
        <v>35</v>
      </c>
      <c r="I11" s="2">
        <v>46293.0</v>
      </c>
      <c r="J11" s="2">
        <v>46302.0</v>
      </c>
      <c r="K11" s="3">
        <f t="shared" si="1"/>
        <v>10</v>
      </c>
      <c r="L11" s="3">
        <f t="shared" si="2"/>
        <v>10</v>
      </c>
      <c r="N11" s="1" t="s">
        <v>25</v>
      </c>
      <c r="O11" s="1" t="s">
        <v>26</v>
      </c>
      <c r="P11" s="1" t="s">
        <v>76</v>
      </c>
      <c r="R11" s="3" t="str">
        <f t="array" ref="R11:V11">IF(($I11&lt;=R$1:V$1+6)*($J11&gt;=R$1:V$1),"■","")</f>
        <v/>
      </c>
      <c r="S11" s="3" t="s">
        <v>28</v>
      </c>
      <c r="T11" s="3" t="s">
        <v>28</v>
      </c>
      <c r="U11" s="3" t="s">
        <v>29</v>
      </c>
      <c r="V11" s="3" t="s">
        <v>29</v>
      </c>
    </row>
    <row r="12">
      <c r="A12" s="1" t="s">
        <v>77</v>
      </c>
      <c r="B12" s="1" t="s">
        <v>31</v>
      </c>
      <c r="C12" s="1" t="s">
        <v>78</v>
      </c>
      <c r="D12" s="1" t="s">
        <v>79</v>
      </c>
      <c r="E12" s="1" t="s">
        <v>34</v>
      </c>
      <c r="F12" s="1" t="s">
        <v>42</v>
      </c>
      <c r="G12" s="1" t="s">
        <v>24</v>
      </c>
      <c r="H12" s="1" t="s">
        <v>80</v>
      </c>
      <c r="I12" s="2">
        <v>46294.0</v>
      </c>
      <c r="J12" s="2">
        <v>46304.0</v>
      </c>
      <c r="K12" s="3">
        <f t="shared" si="1"/>
        <v>11</v>
      </c>
      <c r="L12" s="3">
        <f t="shared" si="2"/>
        <v>12</v>
      </c>
      <c r="M12" s="1" t="s">
        <v>30</v>
      </c>
      <c r="N12" s="1" t="s">
        <v>36</v>
      </c>
      <c r="O12" s="1" t="s">
        <v>26</v>
      </c>
      <c r="P12" s="1" t="s">
        <v>81</v>
      </c>
      <c r="R12" s="3" t="str">
        <f t="array" ref="R12:V12">IF(($I12&lt;=R$1:V$1+6)*($J12&gt;=R$1:V$1),"■","")</f>
        <v/>
      </c>
      <c r="S12" s="3" t="s">
        <v>28</v>
      </c>
      <c r="T12" s="3" t="s">
        <v>28</v>
      </c>
      <c r="U12" s="3" t="s">
        <v>29</v>
      </c>
      <c r="V12" s="3" t="s">
        <v>29</v>
      </c>
    </row>
    <row r="13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34</v>
      </c>
      <c r="F13" s="1" t="s">
        <v>42</v>
      </c>
      <c r="G13" s="1" t="s">
        <v>24</v>
      </c>
      <c r="H13" s="1" t="s">
        <v>23</v>
      </c>
      <c r="I13" s="2">
        <v>46295.0</v>
      </c>
      <c r="J13" s="2">
        <v>46297.0</v>
      </c>
      <c r="K13" s="3">
        <f t="shared" si="1"/>
        <v>3</v>
      </c>
      <c r="L13" s="3">
        <f t="shared" si="2"/>
        <v>5</v>
      </c>
      <c r="M13" s="1" t="s">
        <v>45</v>
      </c>
      <c r="N13" s="1" t="s">
        <v>36</v>
      </c>
      <c r="O13" s="1" t="s">
        <v>26</v>
      </c>
      <c r="P13" s="1" t="s">
        <v>86</v>
      </c>
      <c r="R13" s="3" t="str">
        <f t="array" ref="R13:V13">IF(($I13&lt;=R$1:V$1+6)*($J13&gt;=R$1:V$1),"■","")</f>
        <v/>
      </c>
      <c r="S13" s="3" t="s">
        <v>28</v>
      </c>
      <c r="T13" s="3" t="s">
        <v>29</v>
      </c>
      <c r="U13" s="3" t="s">
        <v>29</v>
      </c>
      <c r="V13" s="3" t="s">
        <v>29</v>
      </c>
    </row>
    <row r="14">
      <c r="A14" s="1" t="s">
        <v>87</v>
      </c>
      <c r="B14" s="1" t="s">
        <v>83</v>
      </c>
      <c r="C14" s="1" t="s">
        <v>88</v>
      </c>
      <c r="D14" s="1" t="s">
        <v>89</v>
      </c>
      <c r="E14" s="1" t="s">
        <v>21</v>
      </c>
      <c r="F14" s="1" t="s">
        <v>22</v>
      </c>
      <c r="G14" s="1" t="s">
        <v>23</v>
      </c>
      <c r="H14" s="1" t="s">
        <v>90</v>
      </c>
      <c r="I14" s="2">
        <v>46295.0</v>
      </c>
      <c r="J14" s="2">
        <v>46297.0</v>
      </c>
      <c r="K14" s="3">
        <f t="shared" si="1"/>
        <v>3</v>
      </c>
      <c r="L14" s="3">
        <f t="shared" si="2"/>
        <v>5</v>
      </c>
      <c r="M14" s="1" t="s">
        <v>38</v>
      </c>
      <c r="N14" s="1" t="s">
        <v>25</v>
      </c>
      <c r="O14" s="1" t="s">
        <v>26</v>
      </c>
      <c r="P14" s="1" t="s">
        <v>91</v>
      </c>
      <c r="R14" s="3" t="str">
        <f t="array" ref="R14:V14">IF(($I14&lt;=R$1:V$1+6)*($J14&gt;=R$1:V$1),"■","")</f>
        <v/>
      </c>
      <c r="S14" s="3" t="s">
        <v>28</v>
      </c>
      <c r="T14" s="3" t="s">
        <v>29</v>
      </c>
      <c r="U14" s="3" t="s">
        <v>29</v>
      </c>
      <c r="V14" s="3" t="s">
        <v>29</v>
      </c>
    </row>
    <row r="15">
      <c r="A15" s="1" t="s">
        <v>92</v>
      </c>
      <c r="B15" s="1" t="s">
        <v>39</v>
      </c>
      <c r="C15" s="1" t="s">
        <v>93</v>
      </c>
      <c r="D15" s="1" t="s">
        <v>94</v>
      </c>
      <c r="E15" s="1" t="s">
        <v>34</v>
      </c>
      <c r="F15" s="1" t="s">
        <v>22</v>
      </c>
      <c r="G15" s="1" t="s">
        <v>95</v>
      </c>
      <c r="H15" s="1" t="s">
        <v>96</v>
      </c>
      <c r="I15" s="2">
        <v>46296.0</v>
      </c>
      <c r="J15" s="2">
        <v>46304.0</v>
      </c>
      <c r="K15" s="3">
        <f t="shared" si="1"/>
        <v>9</v>
      </c>
      <c r="L15" s="3">
        <f t="shared" si="2"/>
        <v>12</v>
      </c>
      <c r="M15" s="1" t="s">
        <v>82</v>
      </c>
      <c r="N15" s="1" t="s">
        <v>25</v>
      </c>
      <c r="O15" s="1" t="s">
        <v>26</v>
      </c>
      <c r="P15" s="1" t="s">
        <v>97</v>
      </c>
      <c r="R15" s="3" t="str">
        <f t="array" ref="R15:V15">IF(($I15&lt;=R$1:V$1+6)*($J15&gt;=R$1:V$1),"■","")</f>
        <v/>
      </c>
      <c r="S15" s="3" t="s">
        <v>28</v>
      </c>
      <c r="T15" s="3" t="s">
        <v>28</v>
      </c>
      <c r="U15" s="3" t="s">
        <v>29</v>
      </c>
      <c r="V15" s="3" t="s">
        <v>29</v>
      </c>
    </row>
    <row r="16">
      <c r="A16" s="1" t="s">
        <v>98</v>
      </c>
      <c r="B16" s="1" t="s">
        <v>99</v>
      </c>
      <c r="C16" s="1" t="s">
        <v>100</v>
      </c>
      <c r="D16" s="1" t="s">
        <v>101</v>
      </c>
      <c r="E16" s="1" t="s">
        <v>21</v>
      </c>
      <c r="F16" s="1" t="s">
        <v>42</v>
      </c>
      <c r="G16" s="1" t="s">
        <v>102</v>
      </c>
      <c r="H16" s="1" t="s">
        <v>24</v>
      </c>
      <c r="I16" s="2">
        <v>46293.0</v>
      </c>
      <c r="J16" s="2">
        <v>46304.0</v>
      </c>
      <c r="K16" s="3">
        <f t="shared" si="1"/>
        <v>12</v>
      </c>
      <c r="L16" s="3">
        <f t="shared" si="2"/>
        <v>12</v>
      </c>
      <c r="N16" s="1" t="s">
        <v>25</v>
      </c>
      <c r="O16" s="1" t="s">
        <v>26</v>
      </c>
      <c r="P16" s="1" t="s">
        <v>103</v>
      </c>
      <c r="R16" s="3" t="str">
        <f t="array" ref="R16:V16">IF(($I16&lt;=R$1:V$1+6)*($J16&gt;=R$1:V$1),"■","")</f>
        <v/>
      </c>
      <c r="S16" s="3" t="s">
        <v>28</v>
      </c>
      <c r="T16" s="3" t="s">
        <v>28</v>
      </c>
      <c r="U16" s="3" t="s">
        <v>29</v>
      </c>
      <c r="V16" s="3" t="s">
        <v>29</v>
      </c>
    </row>
    <row r="17">
      <c r="A17" s="1" t="s">
        <v>104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22</v>
      </c>
      <c r="G17" s="1" t="s">
        <v>24</v>
      </c>
      <c r="I17" s="2">
        <v>46296.0</v>
      </c>
      <c r="J17" s="2">
        <v>46304.0</v>
      </c>
      <c r="K17" s="3">
        <f t="shared" si="1"/>
        <v>9</v>
      </c>
      <c r="L17" s="3">
        <f t="shared" si="2"/>
        <v>12</v>
      </c>
      <c r="N17" s="1" t="s">
        <v>25</v>
      </c>
      <c r="O17" s="1" t="s">
        <v>26</v>
      </c>
      <c r="P17" s="1" t="s">
        <v>109</v>
      </c>
      <c r="R17" s="3" t="str">
        <f t="array" ref="R17:V17">IF(($I17&lt;=R$1:V$1+6)*($J17&gt;=R$1:V$1),"■","")</f>
        <v/>
      </c>
      <c r="S17" s="3" t="s">
        <v>28</v>
      </c>
      <c r="T17" s="3" t="s">
        <v>28</v>
      </c>
      <c r="U17" s="3" t="s">
        <v>29</v>
      </c>
      <c r="V17" s="3" t="s">
        <v>29</v>
      </c>
    </row>
    <row r="18">
      <c r="A18" s="1" t="s">
        <v>110</v>
      </c>
      <c r="B18" s="1" t="s">
        <v>31</v>
      </c>
      <c r="C18" s="1" t="s">
        <v>111</v>
      </c>
      <c r="D18" s="1" t="s">
        <v>112</v>
      </c>
      <c r="E18" s="1" t="s">
        <v>34</v>
      </c>
      <c r="F18" s="1" t="s">
        <v>42</v>
      </c>
      <c r="G18" s="1" t="s">
        <v>75</v>
      </c>
      <c r="H18" s="1" t="s">
        <v>23</v>
      </c>
      <c r="I18" s="2">
        <v>46296.0</v>
      </c>
      <c r="J18" s="2">
        <v>46304.0</v>
      </c>
      <c r="K18" s="3">
        <f t="shared" si="1"/>
        <v>9</v>
      </c>
      <c r="L18" s="3">
        <f t="shared" si="2"/>
        <v>12</v>
      </c>
      <c r="M18" s="1" t="s">
        <v>50</v>
      </c>
      <c r="N18" s="1" t="s">
        <v>36</v>
      </c>
      <c r="O18" s="1" t="s">
        <v>26</v>
      </c>
      <c r="P18" s="1" t="s">
        <v>113</v>
      </c>
      <c r="R18" s="3" t="str">
        <f t="array" ref="R18:V18">IF(($I18&lt;=R$1:V$1+6)*($J18&gt;=R$1:V$1),"■","")</f>
        <v/>
      </c>
      <c r="S18" s="3" t="s">
        <v>28</v>
      </c>
      <c r="T18" s="3" t="s">
        <v>28</v>
      </c>
      <c r="U18" s="3" t="s">
        <v>29</v>
      </c>
      <c r="V18" s="3" t="s">
        <v>29</v>
      </c>
    </row>
    <row r="19">
      <c r="A19" s="1" t="s">
        <v>114</v>
      </c>
      <c r="B19" s="1" t="s">
        <v>105</v>
      </c>
      <c r="C19" s="1" t="s">
        <v>115</v>
      </c>
      <c r="D19" s="1" t="s">
        <v>116</v>
      </c>
      <c r="E19" s="1" t="s">
        <v>21</v>
      </c>
      <c r="F19" s="1" t="s">
        <v>22</v>
      </c>
      <c r="G19" s="1" t="s">
        <v>75</v>
      </c>
      <c r="H19" s="1" t="s">
        <v>24</v>
      </c>
      <c r="I19" s="2">
        <v>46296.0</v>
      </c>
      <c r="J19" s="2">
        <v>46304.0</v>
      </c>
      <c r="K19" s="3">
        <f t="shared" si="1"/>
        <v>9</v>
      </c>
      <c r="L19" s="3">
        <f t="shared" si="2"/>
        <v>12</v>
      </c>
      <c r="N19" s="1" t="s">
        <v>25</v>
      </c>
      <c r="O19" s="1" t="s">
        <v>26</v>
      </c>
      <c r="P19" s="1" t="s">
        <v>117</v>
      </c>
      <c r="R19" s="3" t="str">
        <f t="array" ref="R19:V19">IF(($I19&lt;=R$1:V$1+6)*($J19&gt;=R$1:V$1),"■","")</f>
        <v/>
      </c>
      <c r="S19" s="3" t="s">
        <v>28</v>
      </c>
      <c r="T19" s="3" t="s">
        <v>28</v>
      </c>
      <c r="U19" s="3" t="s">
        <v>29</v>
      </c>
      <c r="V19" s="3" t="s">
        <v>29</v>
      </c>
    </row>
    <row r="20">
      <c r="A20" s="1" t="s">
        <v>118</v>
      </c>
      <c r="B20" s="1" t="s">
        <v>119</v>
      </c>
      <c r="C20" s="1" t="s">
        <v>120</v>
      </c>
      <c r="D20" s="1" t="s">
        <v>121</v>
      </c>
      <c r="E20" s="1" t="s">
        <v>34</v>
      </c>
      <c r="F20" s="1" t="s">
        <v>22</v>
      </c>
      <c r="G20" s="1" t="s">
        <v>23</v>
      </c>
      <c r="I20" s="2">
        <v>46297.0</v>
      </c>
      <c r="J20" s="2">
        <v>46301.0</v>
      </c>
      <c r="K20" s="3">
        <f t="shared" si="1"/>
        <v>5</v>
      </c>
      <c r="L20" s="3">
        <f t="shared" si="2"/>
        <v>9</v>
      </c>
      <c r="M20" s="1" t="s">
        <v>45</v>
      </c>
      <c r="N20" s="1" t="s">
        <v>36</v>
      </c>
      <c r="O20" s="1" t="s">
        <v>26</v>
      </c>
      <c r="P20" s="1" t="s">
        <v>122</v>
      </c>
      <c r="R20" s="3" t="str">
        <f t="array" ref="R20:V20">IF(($I20&lt;=R$1:V$1+6)*($J20&gt;=R$1:V$1),"■","")</f>
        <v/>
      </c>
      <c r="S20" s="3" t="s">
        <v>28</v>
      </c>
      <c r="T20" s="3" t="s">
        <v>28</v>
      </c>
      <c r="U20" s="3" t="s">
        <v>29</v>
      </c>
      <c r="V20" s="3" t="s">
        <v>29</v>
      </c>
    </row>
    <row r="21">
      <c r="A21" s="1" t="s">
        <v>123</v>
      </c>
      <c r="B21" s="1" t="s">
        <v>46</v>
      </c>
      <c r="C21" s="1" t="s">
        <v>124</v>
      </c>
      <c r="D21" s="1" t="s">
        <v>125</v>
      </c>
      <c r="E21" s="1" t="s">
        <v>21</v>
      </c>
      <c r="F21" s="1" t="s">
        <v>42</v>
      </c>
      <c r="G21" s="1" t="s">
        <v>23</v>
      </c>
      <c r="H21" s="1" t="s">
        <v>35</v>
      </c>
      <c r="I21" s="2">
        <v>46297.0</v>
      </c>
      <c r="J21" s="2">
        <v>46303.0</v>
      </c>
      <c r="K21" s="3">
        <f t="shared" si="1"/>
        <v>7</v>
      </c>
      <c r="L21" s="3">
        <f t="shared" si="2"/>
        <v>11</v>
      </c>
      <c r="M21" s="1" t="s">
        <v>59</v>
      </c>
      <c r="N21" s="1" t="s">
        <v>25</v>
      </c>
      <c r="O21" s="1" t="s">
        <v>26</v>
      </c>
      <c r="P21" s="1" t="s">
        <v>126</v>
      </c>
      <c r="R21" s="3" t="str">
        <f t="array" ref="R21:V21">IF(($I21&lt;=R$1:V$1+6)*($J21&gt;=R$1:V$1),"■","")</f>
        <v/>
      </c>
      <c r="S21" s="3" t="s">
        <v>28</v>
      </c>
      <c r="T21" s="3" t="s">
        <v>28</v>
      </c>
      <c r="U21" s="3" t="s">
        <v>29</v>
      </c>
      <c r="V21" s="3" t="s">
        <v>29</v>
      </c>
    </row>
    <row r="22">
      <c r="A22" s="1" t="s">
        <v>127</v>
      </c>
      <c r="B22" s="1" t="s">
        <v>119</v>
      </c>
      <c r="C22" s="1" t="s">
        <v>128</v>
      </c>
      <c r="D22" s="1" t="s">
        <v>129</v>
      </c>
      <c r="E22" s="1" t="s">
        <v>34</v>
      </c>
      <c r="F22" s="1" t="s">
        <v>42</v>
      </c>
      <c r="G22" s="1" t="s">
        <v>75</v>
      </c>
      <c r="H22" s="1" t="s">
        <v>23</v>
      </c>
      <c r="I22" s="2">
        <v>46301.0</v>
      </c>
      <c r="J22" s="2">
        <v>46304.0</v>
      </c>
      <c r="K22" s="3">
        <f t="shared" si="1"/>
        <v>4</v>
      </c>
      <c r="L22" s="3">
        <f t="shared" si="2"/>
        <v>12</v>
      </c>
      <c r="M22" s="1" t="s">
        <v>118</v>
      </c>
      <c r="N22" s="1" t="s">
        <v>36</v>
      </c>
      <c r="O22" s="1" t="s">
        <v>26</v>
      </c>
      <c r="R22" s="3" t="str">
        <f t="array" ref="R22:V22">IF(($I22&lt;=R$1:V$1+6)*($J22&gt;=R$1:V$1),"■","")</f>
        <v/>
      </c>
      <c r="S22" s="3" t="s">
        <v>29</v>
      </c>
      <c r="T22" s="3" t="s">
        <v>28</v>
      </c>
      <c r="U22" s="3" t="s">
        <v>29</v>
      </c>
      <c r="V22" s="3" t="s">
        <v>29</v>
      </c>
    </row>
    <row r="23">
      <c r="A23" s="1" t="s">
        <v>130</v>
      </c>
      <c r="B23" s="1" t="s">
        <v>83</v>
      </c>
      <c r="C23" s="1" t="s">
        <v>131</v>
      </c>
      <c r="D23" s="1" t="s">
        <v>132</v>
      </c>
      <c r="E23" s="1" t="s">
        <v>21</v>
      </c>
      <c r="F23" s="1" t="s">
        <v>42</v>
      </c>
      <c r="G23" s="1" t="s">
        <v>35</v>
      </c>
      <c r="H23" s="1" t="s">
        <v>23</v>
      </c>
      <c r="I23" s="2">
        <v>46300.0</v>
      </c>
      <c r="J23" s="2">
        <v>46307.0</v>
      </c>
      <c r="K23" s="3">
        <f t="shared" si="1"/>
        <v>8</v>
      </c>
      <c r="L23" s="3">
        <f t="shared" si="2"/>
        <v>15</v>
      </c>
      <c r="M23" s="1" t="s">
        <v>68</v>
      </c>
      <c r="N23" s="1" t="s">
        <v>25</v>
      </c>
      <c r="O23" s="1" t="s">
        <v>26</v>
      </c>
      <c r="P23" s="1" t="s">
        <v>133</v>
      </c>
      <c r="R23" s="3" t="str">
        <f t="array" ref="R23:V23">IF(($I23&lt;=R$1:V$1+6)*($J23&gt;=R$1:V$1),"■","")</f>
        <v/>
      </c>
      <c r="S23" s="3" t="s">
        <v>29</v>
      </c>
      <c r="T23" s="3" t="s">
        <v>28</v>
      </c>
      <c r="U23" s="3" t="s">
        <v>28</v>
      </c>
      <c r="V23" s="3" t="s">
        <v>29</v>
      </c>
    </row>
    <row r="24">
      <c r="A24" s="1" t="s">
        <v>134</v>
      </c>
      <c r="B24" s="1" t="s">
        <v>119</v>
      </c>
      <c r="C24" s="1" t="s">
        <v>135</v>
      </c>
      <c r="D24" s="1" t="s">
        <v>136</v>
      </c>
      <c r="E24" s="1" t="s">
        <v>108</v>
      </c>
      <c r="F24" s="1" t="s">
        <v>22</v>
      </c>
      <c r="G24" s="1" t="s">
        <v>75</v>
      </c>
      <c r="I24" s="2">
        <v>46300.0</v>
      </c>
      <c r="J24" s="2">
        <v>46307.0</v>
      </c>
      <c r="K24" s="3">
        <f t="shared" si="1"/>
        <v>8</v>
      </c>
      <c r="L24" s="3">
        <f t="shared" si="2"/>
        <v>15</v>
      </c>
      <c r="N24" s="1" t="s">
        <v>25</v>
      </c>
      <c r="O24" s="1" t="s">
        <v>26</v>
      </c>
      <c r="R24" s="3" t="str">
        <f t="array" ref="R24:V24">IF(($I24&lt;=R$1:V$1+6)*($J24&gt;=R$1:V$1),"■","")</f>
        <v/>
      </c>
      <c r="S24" s="3" t="s">
        <v>29</v>
      </c>
      <c r="T24" s="3" t="s">
        <v>28</v>
      </c>
      <c r="U24" s="3" t="s">
        <v>28</v>
      </c>
      <c r="V24" s="3" t="s">
        <v>29</v>
      </c>
    </row>
    <row r="25">
      <c r="A25" s="1" t="s">
        <v>137</v>
      </c>
      <c r="B25" s="1" t="s">
        <v>31</v>
      </c>
      <c r="C25" s="1" t="s">
        <v>138</v>
      </c>
      <c r="D25" s="1" t="s">
        <v>139</v>
      </c>
      <c r="E25" s="1" t="s">
        <v>34</v>
      </c>
      <c r="F25" s="1" t="s">
        <v>57</v>
      </c>
      <c r="G25" s="1" t="s">
        <v>24</v>
      </c>
      <c r="H25" s="1" t="s">
        <v>140</v>
      </c>
      <c r="I25" s="2">
        <v>46304.0</v>
      </c>
      <c r="J25" s="2">
        <v>46311.0</v>
      </c>
      <c r="K25" s="3">
        <f t="shared" si="1"/>
        <v>8</v>
      </c>
      <c r="L25" s="3">
        <f t="shared" si="2"/>
        <v>19</v>
      </c>
      <c r="M25" s="1" t="s">
        <v>110</v>
      </c>
      <c r="N25" s="1" t="s">
        <v>36</v>
      </c>
      <c r="O25" s="1" t="s">
        <v>26</v>
      </c>
      <c r="R25" s="3" t="str">
        <f t="array" ref="R25:V25">IF(($I25&lt;=R$1:V$1+6)*($J25&gt;=R$1:V$1),"■","")</f>
        <v/>
      </c>
      <c r="S25" s="3" t="s">
        <v>29</v>
      </c>
      <c r="T25" s="3" t="s">
        <v>28</v>
      </c>
      <c r="U25" s="3" t="s">
        <v>28</v>
      </c>
      <c r="V25" s="3" t="s">
        <v>29</v>
      </c>
    </row>
    <row r="26">
      <c r="A26" s="1" t="s">
        <v>141</v>
      </c>
      <c r="B26" s="1" t="s">
        <v>119</v>
      </c>
      <c r="C26" s="1" t="s">
        <v>142</v>
      </c>
      <c r="D26" s="1" t="s">
        <v>143</v>
      </c>
      <c r="E26" s="1" t="s">
        <v>34</v>
      </c>
      <c r="F26" s="1" t="s">
        <v>22</v>
      </c>
      <c r="G26" s="1" t="s">
        <v>24</v>
      </c>
      <c r="H26" s="1" t="s">
        <v>23</v>
      </c>
      <c r="I26" s="2">
        <v>46304.0</v>
      </c>
      <c r="J26" s="2">
        <v>46304.0</v>
      </c>
      <c r="K26" s="3">
        <f t="shared" si="1"/>
        <v>1</v>
      </c>
      <c r="L26" s="3">
        <f t="shared" si="2"/>
        <v>12</v>
      </c>
      <c r="M26" s="1" t="s">
        <v>127</v>
      </c>
      <c r="N26" s="1" t="s">
        <v>36</v>
      </c>
      <c r="O26" s="1" t="s">
        <v>26</v>
      </c>
      <c r="R26" s="3" t="str">
        <f t="array" ref="R26:V26">IF(($I26&lt;=R$1:V$1+6)*($J26&gt;=R$1:V$1),"■","")</f>
        <v/>
      </c>
      <c r="S26" s="3" t="s">
        <v>29</v>
      </c>
      <c r="T26" s="3" t="s">
        <v>28</v>
      </c>
      <c r="U26" s="3" t="s">
        <v>29</v>
      </c>
      <c r="V26" s="3" t="s">
        <v>29</v>
      </c>
    </row>
    <row r="27">
      <c r="A27" s="1" t="s">
        <v>144</v>
      </c>
      <c r="B27" s="1" t="s">
        <v>83</v>
      </c>
      <c r="C27" s="1" t="s">
        <v>145</v>
      </c>
      <c r="D27" s="1" t="s">
        <v>146</v>
      </c>
      <c r="E27" s="1" t="s">
        <v>34</v>
      </c>
      <c r="F27" s="1" t="s">
        <v>57</v>
      </c>
      <c r="G27" s="1" t="s">
        <v>95</v>
      </c>
      <c r="H27" s="1" t="s">
        <v>147</v>
      </c>
      <c r="I27" s="2">
        <v>46304.0</v>
      </c>
      <c r="J27" s="2">
        <v>46311.0</v>
      </c>
      <c r="K27" s="3">
        <f t="shared" si="1"/>
        <v>8</v>
      </c>
      <c r="L27" s="3">
        <f t="shared" si="2"/>
        <v>19</v>
      </c>
      <c r="M27" s="1" t="s">
        <v>141</v>
      </c>
      <c r="N27" s="1" t="s">
        <v>36</v>
      </c>
      <c r="O27" s="1" t="s">
        <v>26</v>
      </c>
      <c r="P27" s="1" t="s">
        <v>148</v>
      </c>
      <c r="R27" s="3" t="str">
        <f t="array" ref="R27:V27">IF(($I27&lt;=R$1:V$1+6)*($J27&gt;=R$1:V$1),"■","")</f>
        <v/>
      </c>
      <c r="S27" s="3" t="s">
        <v>29</v>
      </c>
      <c r="T27" s="3" t="s">
        <v>28</v>
      </c>
      <c r="U27" s="3" t="s">
        <v>28</v>
      </c>
      <c r="V27" s="3" t="s">
        <v>29</v>
      </c>
    </row>
    <row r="28">
      <c r="A28" s="1" t="s">
        <v>149</v>
      </c>
      <c r="B28" s="1" t="s">
        <v>150</v>
      </c>
      <c r="C28" s="1" t="s">
        <v>151</v>
      </c>
      <c r="D28" s="1" t="s">
        <v>152</v>
      </c>
      <c r="E28" s="1" t="s">
        <v>34</v>
      </c>
      <c r="F28" s="1" t="s">
        <v>42</v>
      </c>
      <c r="G28" s="1" t="s">
        <v>24</v>
      </c>
      <c r="H28" s="1" t="s">
        <v>95</v>
      </c>
      <c r="I28" s="2">
        <v>46311.0</v>
      </c>
      <c r="J28" s="2">
        <v>46311.0</v>
      </c>
      <c r="K28" s="3">
        <f t="shared" si="1"/>
        <v>1</v>
      </c>
      <c r="L28" s="3">
        <f t="shared" si="2"/>
        <v>19</v>
      </c>
      <c r="M28" s="1" t="s">
        <v>153</v>
      </c>
      <c r="N28" s="1" t="s">
        <v>36</v>
      </c>
      <c r="O28" s="1" t="s">
        <v>26</v>
      </c>
      <c r="R28" s="3" t="str">
        <f t="array" ref="R28:V28">IF(($I28&lt;=R$1:V$1+6)*($J28&gt;=R$1:V$1),"■","")</f>
        <v/>
      </c>
      <c r="S28" s="3" t="s">
        <v>29</v>
      </c>
      <c r="T28" s="3" t="s">
        <v>29</v>
      </c>
      <c r="U28" s="3" t="s">
        <v>28</v>
      </c>
      <c r="V28" s="3" t="s">
        <v>29</v>
      </c>
    </row>
  </sheetData>
  <drawing r:id="rId1"/>
</worksheet>
</file>