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ent Roll" sheetId="2" state="visible" r:id="rId4"/>
    <sheet name="NOI Bridg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<sst xmlns="http://schemas.openxmlformats.org/spreadsheetml/2006/main" count="81" uniqueCount="69">
  <si>
    <t xml:space="preserve">Corsair Plaza — Key Assumptions</t>
  </si>
  <si>
    <t xml:space="preserve">5400 Dogwood Dr / 6416 Park Ave NW, Milton, FL  |  Yellow cells are illustrative placeholders — replace with actual figures as leases and reserve requirements firm up.</t>
  </si>
  <si>
    <t xml:space="preserve">Assumption</t>
  </si>
  <si>
    <t xml:space="preserve">Value</t>
  </si>
  <si>
    <t xml:space="preserve">Notes</t>
  </si>
  <si>
    <t xml:space="preserve">Vacancy &amp; Credit Loss (% of Gross Rent)</t>
  </si>
  <si>
    <t xml:space="preserve">Applied against gross rent even at full current occupancy, per typical lender underwriting convention</t>
  </si>
  <si>
    <t xml:space="preserve">Property Management Fee (% of EGI)</t>
  </si>
  <si>
    <t xml:space="preserve">Standard market range 4%–8%; typically NOT reimbursable by tenants even under a NNN structure</t>
  </si>
  <si>
    <t xml:space="preserve">Capital Reserves ($ / sq ft / yr — NNN units)</t>
  </si>
  <si>
    <t xml:space="preserve">Roof, HVAC, parking lot resurfacing; ServisFirst will likely require an underwritten reserve</t>
  </si>
  <si>
    <t xml:space="preserve">TI / Leasing Commission Reserve ($ / sq ft / yr — NNN units)</t>
  </si>
  <si>
    <t xml:space="preserve">Reserve for future re-leasing risk across the 4 NNN suites</t>
  </si>
  <si>
    <t xml:space="preserve">Non-Reimbursed Owner Insurance ($ / yr)</t>
  </si>
  <si>
    <t xml:space="preserve">Umbrella / excess liability carried by landlord beyond tenant-billed premium</t>
  </si>
  <si>
    <t xml:space="preserve">Entity-Level Legal &amp; Accounting ($ / yr)</t>
  </si>
  <si>
    <t xml:space="preserve">Corsair Plaza LLC bookkeeping/tax prep — not billable to tenants</t>
  </si>
  <si>
    <t xml:space="preserve">CAM / Tax / Insurance Gross-Up or Cap Shortfall ($ / yr)</t>
  </si>
  <si>
    <t xml:space="preserve">Set &gt; 0 if executed leases include a CAM cap; landlord absorbs any overage above the cap</t>
  </si>
  <si>
    <t xml:space="preserve">Corsair Plaza — Rent Roll</t>
  </si>
  <si>
    <t xml:space="preserve">ILLUSTRATIVE PLACEHOLDER FIGURES — no leases are executed yet. Replace blue cells with actual terms as each NNN lease is signed.</t>
  </si>
  <si>
    <t xml:space="preserve">Suite / Tenant</t>
  </si>
  <si>
    <t xml:space="preserve">Type</t>
  </si>
  <si>
    <t xml:space="preserve">Sq Ft</t>
  </si>
  <si>
    <t xml:space="preserve">Annual Base Rent</t>
  </si>
  <si>
    <t xml:space="preserve">Taxes Reimb.</t>
  </si>
  <si>
    <t xml:space="preserve">Insurance Reimb.</t>
  </si>
  <si>
    <t xml:space="preserve">CAM Reimb.</t>
  </si>
  <si>
    <t xml:space="preserve">Total NNN Reimb.</t>
  </si>
  <si>
    <t xml:space="preserve">Total Annual Rent</t>
  </si>
  <si>
    <t xml:space="preserve">Lease Status</t>
  </si>
  <si>
    <t xml:space="preserve">Tenant 1 (Suite ___)</t>
  </si>
  <si>
    <t xml:space="preserve">NNN Tenant</t>
  </si>
  <si>
    <t xml:space="preserve">Not Executed</t>
  </si>
  <si>
    <t xml:space="preserve">Tenant 2 (Suite ___)</t>
  </si>
  <si>
    <t xml:space="preserve">Tenant 3 (Suite ___)</t>
  </si>
  <si>
    <t xml:space="preserve">Tenant 4 (Suite ___)</t>
  </si>
  <si>
    <t xml:space="preserve">Laundromat (Quik Wash CL LLC)</t>
  </si>
  <si>
    <t xml:space="preserve">Owner-Operated</t>
  </si>
  <si>
    <t xml:space="preserve">N/A — see NOI Bridge tab (Schedule C / SDE basis)</t>
  </si>
  <si>
    <t xml:space="preserve">TOTAL — NNN Units Only (Tenants 1–4)</t>
  </si>
  <si>
    <t xml:space="preserve">TOTAL GLA — All 5 Units (incl. Laundromat)</t>
  </si>
  <si>
    <t xml:space="preserve">Legend: Blue text on yellow fill = fill in with actual lease terms. Black text = calculated automatically.</t>
  </si>
  <si>
    <t xml:space="preserve">Corsair Plaza — Rent Roll to NOI Bridge</t>
  </si>
  <si>
    <t xml:space="preserve">All figures flow from the Rent Roll and Assumptions tabs — update those, not the numbers here.</t>
  </si>
  <si>
    <t xml:space="preserve">SECTION 1 — NNN UNITS (Tenants 1–4)</t>
  </si>
  <si>
    <t xml:space="preserve">Total Scheduled Rent (Base + NNN Reimbursements)</t>
  </si>
  <si>
    <t xml:space="preserve">Less: Vacancy &amp; Credit Loss</t>
  </si>
  <si>
    <t xml:space="preserve">→ Effective Gross Income (EGI)</t>
  </si>
  <si>
    <t xml:space="preserve">Less: Operating Expenses Not Recoverable from Tenants</t>
  </si>
  <si>
    <t xml:space="preserve">      Property Management Fee</t>
  </si>
  <si>
    <t xml:space="preserve">      Non-Reimbursed Owner Insurance</t>
  </si>
  <si>
    <t xml:space="preserve">      Entity-Level Legal &amp; Accounting</t>
  </si>
  <si>
    <t xml:space="preserve">      CAM / Tax / Insurance Gross-Up Shortfall</t>
  </si>
  <si>
    <t xml:space="preserve">→ NOI — NNN Units (Before Reserves)</t>
  </si>
  <si>
    <t xml:space="preserve">Less: Capital Reserves</t>
  </si>
  <si>
    <t xml:space="preserve">Less: TI / Leasing Commission Reserves</t>
  </si>
  <si>
    <t xml:space="preserve">→ Cash Flow Before Debt Service — NNN Units</t>
  </si>
  <si>
    <t xml:space="preserve">SECTION 2 — LAUNDROMAT (OWNER-OPERATED UNIT)</t>
  </si>
  <si>
    <t xml:space="preserve">Not a NNN tenant — no lease, no rent roll income. Its economics run through the business's own Schedule C, so it should be valued on a Seller's Discretionary Earnings (SDE) basis, not blended into the NNN units' cap-rate-based NOI. Confirm the Schedule C insurance-expense anomaly before relying on this figure.</t>
  </si>
  <si>
    <t xml:space="preserve">Laundromat Sq Ft</t>
  </si>
  <si>
    <t xml:space="preserve">Reported Schedule C Net Income</t>
  </si>
  <si>
    <t xml:space="preserve">+ Owner Addbacks (D&amp;A, Owner Comp, One-Time Items)</t>
  </si>
  <si>
    <t xml:space="preserve">→ Seller's Discretionary Earnings (SDE) — Laundromat</t>
  </si>
  <si>
    <t xml:space="preserve">SECTION 3 — COMBINED PROPERTY-LEVEL SUMMARY</t>
  </si>
  <si>
    <t xml:space="preserve">NOI — NNN Units (Before Reserves)</t>
  </si>
  <si>
    <t xml:space="preserve">Cash Flow Before Debt Service — NNN Units</t>
  </si>
  <si>
    <t xml:space="preserve">Laundromat SDE (Separate Valuation Track)</t>
  </si>
  <si>
    <t xml:space="preserve">Do not sum these onto one blended NOI and apply a single cap rate. Value the CRE (NNN units) at a market cap rate and the laundromat business separately at an SDE multiple, then combine the two resulting values — or confirm with Monica how Sunshine Commercial Investments wants the combined deal structured.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</si>
</sst>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$#,##0;&quot;($&quot;#,##0\);\-"/>
    <numFmt numFmtId="167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C2523"/>
      <name val="Arial"/>
      <family val="0"/>
      <charset val="1"/>
    </font>
    <font>
      <i val="true"/>
      <sz val="10"/>
      <color rgb="FF7A706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C2523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A706D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C2523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8C4A43"/>
        <bgColor rgb="FF993366"/>
      </patternFill>
    </fill>
    <fill>
      <patternFill patternType="solid">
        <fgColor rgb="FFFFFF00"/>
        <bgColor rgb="FFFFFF00"/>
      </patternFill>
    </fill>
    <fill>
      <patternFill patternType="solid">
        <fgColor rgb="FFF5EDEC"/>
        <bgColor rgb="FFEAE6E4"/>
      </patternFill>
    </fill>
    <fill>
      <patternFill patternType="solid">
        <fgColor rgb="FFEAE6E4"/>
        <bgColor rgb="FFF5EDEC"/>
      </patternFill>
    </fill>
    <fill>
      <patternFill patternType="solid">
        <fgColor rgb="FF5B312B"/>
        <bgColor rgb="FF2C252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2BAB8"/>
      </left>
      <right style="thin">
        <color rgb="FFC2BAB8"/>
      </right>
      <top style="thin">
        <color rgb="FFC2BAB8"/>
      </top>
      <bottom style="thin">
        <color rgb="FFC2BA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2BAB8"/>
      <rgbColor rgb="FF7A706D"/>
      <rgbColor rgb="FF9999FF"/>
      <rgbColor rgb="FF8C4A43"/>
      <rgbColor rgb="FFF5ED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E6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5B312B"/>
      <rgbColor rgb="FF993300"/>
      <rgbColor rgb="FF993366"/>
      <rgbColor rgb="FF333399"/>
      <rgbColor rgb="FF2C25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30" hidden="false" customHeight="true" outlineLevel="0" collapsed="false">
      <c r="A5" s="4" t="s">
        <v>5</v>
      </c>
      <c r="B5" s="5" t="n">
        <v>0.05</v>
      </c>
      <c r="C5" s="6" t="s">
        <v>6</v>
      </c>
    </row>
    <row r="6" customFormat="false" ht="30" hidden="false" customHeight="true" outlineLevel="0" collapsed="false">
      <c r="A6" s="4" t="s">
        <v>7</v>
      </c>
      <c r="B6" s="5" t="n">
        <v>0.06</v>
      </c>
      <c r="C6" s="6" t="s">
        <v>8</v>
      </c>
    </row>
    <row r="7" customFormat="false" ht="30" hidden="false" customHeight="true" outlineLevel="0" collapsed="false">
      <c r="A7" s="4" t="s">
        <v>9</v>
      </c>
      <c r="B7" s="5" t="n">
        <v>0.2</v>
      </c>
      <c r="C7" s="6" t="s">
        <v>10</v>
      </c>
    </row>
    <row r="8" customFormat="false" ht="30" hidden="false" customHeight="true" outlineLevel="0" collapsed="false">
      <c r="A8" s="4" t="s">
        <v>11</v>
      </c>
      <c r="B8" s="5" t="n">
        <v>0.15</v>
      </c>
      <c r="C8" s="6" t="s">
        <v>12</v>
      </c>
    </row>
    <row r="9" customFormat="false" ht="30" hidden="false" customHeight="true" outlineLevel="0" collapsed="false">
      <c r="A9" s="4" t="s">
        <v>13</v>
      </c>
      <c r="B9" s="7" t="n">
        <v>2500</v>
      </c>
      <c r="C9" s="6" t="s">
        <v>14</v>
      </c>
    </row>
    <row r="10" customFormat="false" ht="30" hidden="false" customHeight="true" outlineLevel="0" collapsed="false">
      <c r="A10" s="4" t="s">
        <v>15</v>
      </c>
      <c r="B10" s="7" t="n">
        <v>3500</v>
      </c>
      <c r="C10" s="6" t="s">
        <v>16</v>
      </c>
    </row>
    <row r="11" customFormat="false" ht="30" hidden="false" customHeight="true" outlineLevel="0" collapsed="false">
      <c r="A11" s="4" t="s">
        <v>17</v>
      </c>
      <c r="B11" s="7" t="n">
        <v>0</v>
      </c>
      <c r="C11" s="6" t="s">
        <v>18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20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8" t="s">
        <v>21</v>
      </c>
      <c r="B4" s="8" t="s">
        <v>22</v>
      </c>
      <c r="C4" s="8" t="s">
        <v>23</v>
      </c>
      <c r="D4" s="8" t="s">
        <v>24</v>
      </c>
      <c r="E4" s="8" t="s">
        <v>25</v>
      </c>
      <c r="F4" s="8" t="s">
        <v>26</v>
      </c>
      <c r="G4" s="8" t="s">
        <v>27</v>
      </c>
      <c r="H4" s="8" t="s">
        <v>28</v>
      </c>
      <c r="I4" s="8" t="s">
        <v>29</v>
      </c>
      <c r="J4" s="8" t="s">
        <v>30</v>
      </c>
    </row>
    <row r="5" customFormat="false" ht="15" hidden="false" customHeight="false" outlineLevel="0" collapsed="false">
      <c r="A5" s="9" t="s">
        <v>31</v>
      </c>
      <c r="B5" s="10" t="s">
        <v>32</v>
      </c>
      <c r="C5" s="11" t="n">
        <v>1200</v>
      </c>
      <c r="D5" s="7" t="n">
        <v>18000</v>
      </c>
      <c r="E5" s="7" t="n">
        <v>2400</v>
      </c>
      <c r="F5" s="7" t="n">
        <v>1200</v>
      </c>
      <c r="G5" s="7" t="n">
        <v>3600</v>
      </c>
      <c r="H5" s="12" t="n">
        <f aca="false">SUM(E5:G5)</f>
        <v>7200</v>
      </c>
      <c r="I5" s="12" t="n">
        <f aca="false">D5+H5</f>
        <v>25200</v>
      </c>
      <c r="J5" s="9" t="s">
        <v>33</v>
      </c>
    </row>
    <row r="6" customFormat="false" ht="15" hidden="false" customHeight="false" outlineLevel="0" collapsed="false">
      <c r="A6" s="9" t="s">
        <v>34</v>
      </c>
      <c r="B6" s="10" t="s">
        <v>32</v>
      </c>
      <c r="C6" s="11" t="n">
        <v>1000</v>
      </c>
      <c r="D6" s="7" t="n">
        <v>15000</v>
      </c>
      <c r="E6" s="7" t="n">
        <v>2000</v>
      </c>
      <c r="F6" s="7" t="n">
        <v>1000</v>
      </c>
      <c r="G6" s="7" t="n">
        <v>3000</v>
      </c>
      <c r="H6" s="12" t="n">
        <f aca="false">SUM(E6:G6)</f>
        <v>6000</v>
      </c>
      <c r="I6" s="12" t="n">
        <f aca="false">D6+H6</f>
        <v>21000</v>
      </c>
      <c r="J6" s="9" t="s">
        <v>33</v>
      </c>
    </row>
    <row r="7" customFormat="false" ht="15" hidden="false" customHeight="false" outlineLevel="0" collapsed="false">
      <c r="A7" s="9" t="s">
        <v>35</v>
      </c>
      <c r="B7" s="10" t="s">
        <v>32</v>
      </c>
      <c r="C7" s="11" t="n">
        <v>900</v>
      </c>
      <c r="D7" s="7" t="n">
        <v>13500</v>
      </c>
      <c r="E7" s="7" t="n">
        <v>1800</v>
      </c>
      <c r="F7" s="7" t="n">
        <v>900</v>
      </c>
      <c r="G7" s="7" t="n">
        <v>2700</v>
      </c>
      <c r="H7" s="12" t="n">
        <f aca="false">SUM(E7:G7)</f>
        <v>5400</v>
      </c>
      <c r="I7" s="12" t="n">
        <f aca="false">D7+H7</f>
        <v>18900</v>
      </c>
      <c r="J7" s="9" t="s">
        <v>33</v>
      </c>
    </row>
    <row r="8" customFormat="false" ht="15" hidden="false" customHeight="false" outlineLevel="0" collapsed="false">
      <c r="A8" s="9" t="s">
        <v>36</v>
      </c>
      <c r="B8" s="10" t="s">
        <v>32</v>
      </c>
      <c r="C8" s="11" t="n">
        <v>1100</v>
      </c>
      <c r="D8" s="7" t="n">
        <v>16500</v>
      </c>
      <c r="E8" s="7" t="n">
        <v>2200</v>
      </c>
      <c r="F8" s="7" t="n">
        <v>1100</v>
      </c>
      <c r="G8" s="7" t="n">
        <v>3300</v>
      </c>
      <c r="H8" s="12" t="n">
        <f aca="false">SUM(E8:G8)</f>
        <v>6600</v>
      </c>
      <c r="I8" s="12" t="n">
        <f aca="false">D8+H8</f>
        <v>23100</v>
      </c>
      <c r="J8" s="9" t="s">
        <v>33</v>
      </c>
    </row>
    <row r="9" customFormat="false" ht="15" hidden="false" customHeight="false" outlineLevel="0" collapsed="false">
      <c r="A9" s="13" t="s">
        <v>37</v>
      </c>
      <c r="B9" s="14" t="s">
        <v>38</v>
      </c>
      <c r="C9" s="15" t="n">
        <v>2800</v>
      </c>
      <c r="D9" s="16" t="s">
        <v>39</v>
      </c>
      <c r="E9" s="16" t="s">
        <v>39</v>
      </c>
      <c r="F9" s="16" t="s">
        <v>39</v>
      </c>
      <c r="G9" s="16" t="s">
        <v>39</v>
      </c>
      <c r="H9" s="16" t="s">
        <v>39</v>
      </c>
      <c r="I9" s="16" t="s">
        <v>39</v>
      </c>
      <c r="J9" s="13" t="s">
        <v>38</v>
      </c>
    </row>
    <row r="11" customFormat="false" ht="15" hidden="false" customHeight="false" outlineLevel="0" collapsed="false">
      <c r="A11" s="17" t="s">
        <v>40</v>
      </c>
      <c r="B11" s="18"/>
      <c r="C11" s="19" t="n">
        <f aca="false">SUM(C5:C8)</f>
        <v>4200</v>
      </c>
      <c r="D11" s="20" t="n">
        <f aca="false">SUM(D5:D8)</f>
        <v>63000</v>
      </c>
      <c r="E11" s="20" t="n">
        <f aca="false">SUM(E5:E8)</f>
        <v>8400</v>
      </c>
      <c r="F11" s="20" t="n">
        <f aca="false">SUM(F5:F8)</f>
        <v>4200</v>
      </c>
      <c r="G11" s="20" t="n">
        <f aca="false">SUM(G5:G8)</f>
        <v>12600</v>
      </c>
      <c r="H11" s="20" t="n">
        <f aca="false">SUM(H5:H8)</f>
        <v>25200</v>
      </c>
      <c r="I11" s="20" t="n">
        <f aca="false">SUM(I5:I8)</f>
        <v>88200</v>
      </c>
      <c r="J11" s="18"/>
    </row>
    <row r="12" customFormat="false" ht="15" hidden="false" customHeight="false" outlineLevel="0" collapsed="false">
      <c r="A12" s="17" t="s">
        <v>41</v>
      </c>
      <c r="B12" s="18"/>
      <c r="C12" s="19" t="n">
        <f aca="false">C11+C9</f>
        <v>7000</v>
      </c>
      <c r="D12" s="18"/>
      <c r="E12" s="18"/>
      <c r="F12" s="18"/>
      <c r="G12" s="18"/>
      <c r="H12" s="18"/>
      <c r="I12" s="18"/>
      <c r="J12" s="18"/>
    </row>
    <row r="14" customFormat="false" ht="15" hidden="false" customHeight="false" outlineLevel="0" collapsed="false">
      <c r="A14" s="21" t="s">
        <v>42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43</v>
      </c>
      <c r="B1" s="1"/>
      <c r="C1" s="1"/>
    </row>
    <row r="2" customFormat="false" ht="21.75" hidden="false" customHeight="true" outlineLevel="0" collapsed="false">
      <c r="A2" s="2" t="s">
        <v>44</v>
      </c>
      <c r="B2" s="2"/>
      <c r="C2" s="2"/>
    </row>
    <row r="4" customFormat="false" ht="15" hidden="false" customHeight="false" outlineLevel="0" collapsed="false">
      <c r="A4" s="22" t="s">
        <v>45</v>
      </c>
      <c r="B4" s="22"/>
      <c r="C4" s="22"/>
    </row>
    <row r="5" customFormat="false" ht="15" hidden="false" customHeight="false" outlineLevel="0" collapsed="false">
      <c r="A5" s="23" t="s">
        <v>46</v>
      </c>
      <c r="B5" s="24" t="n">
        <f aca="false">'Rent Roll'!I11</f>
        <v>88200</v>
      </c>
    </row>
    <row r="6" customFormat="false" ht="15" hidden="false" customHeight="false" outlineLevel="0" collapsed="false">
      <c r="A6" s="23" t="s">
        <v>47</v>
      </c>
      <c r="B6" s="24" t="n">
        <f aca="false">-B5*Assumptions!$B$5</f>
        <v>-4410</v>
      </c>
    </row>
    <row r="7" customFormat="false" ht="15" hidden="false" customHeight="false" outlineLevel="0" collapsed="false">
      <c r="A7" s="25" t="s">
        <v>48</v>
      </c>
      <c r="B7" s="26" t="n">
        <f aca="false">B5+B6</f>
        <v>83790</v>
      </c>
    </row>
    <row r="9" customFormat="false" ht="15" hidden="false" customHeight="false" outlineLevel="0" collapsed="false">
      <c r="A9" s="27" t="s">
        <v>49</v>
      </c>
    </row>
    <row r="10" customFormat="false" ht="15" hidden="false" customHeight="false" outlineLevel="0" collapsed="false">
      <c r="A10" s="23" t="s">
        <v>50</v>
      </c>
      <c r="B10" s="24" t="n">
        <f aca="false">-B7*Assumptions!$B$6</f>
        <v>-5027.4</v>
      </c>
    </row>
    <row r="11" customFormat="false" ht="15" hidden="false" customHeight="false" outlineLevel="0" collapsed="false">
      <c r="A11" s="23" t="s">
        <v>51</v>
      </c>
      <c r="B11" s="24" t="n">
        <f aca="false">-Assumptions!$B$9</f>
        <v>-2500</v>
      </c>
    </row>
    <row r="12" customFormat="false" ht="15" hidden="false" customHeight="false" outlineLevel="0" collapsed="false">
      <c r="A12" s="23" t="s">
        <v>52</v>
      </c>
      <c r="B12" s="24" t="n">
        <f aca="false">-Assumptions!$B$10</f>
        <v>-3500</v>
      </c>
    </row>
    <row r="13" customFormat="false" ht="15" hidden="false" customHeight="false" outlineLevel="0" collapsed="false">
      <c r="A13" s="23" t="s">
        <v>53</v>
      </c>
      <c r="B13" s="24" t="n">
        <f aca="false">-Assumptions!$B$11</f>
        <v>-0</v>
      </c>
    </row>
    <row r="14" customFormat="false" ht="15" hidden="false" customHeight="false" outlineLevel="0" collapsed="false">
      <c r="A14" s="25" t="s">
        <v>54</v>
      </c>
      <c r="B14" s="26" t="n">
        <f aca="false">B7+B10+B11+B12+B13</f>
        <v>72762.6</v>
      </c>
    </row>
    <row r="16" customFormat="false" ht="15" hidden="false" customHeight="false" outlineLevel="0" collapsed="false">
      <c r="A16" s="23" t="s">
        <v>55</v>
      </c>
      <c r="B16" s="24" t="n">
        <f aca="false">-'Rent Roll'!C11*Assumptions!$B$7</f>
        <v>-840</v>
      </c>
    </row>
    <row r="17" customFormat="false" ht="15" hidden="false" customHeight="false" outlineLevel="0" collapsed="false">
      <c r="A17" s="23" t="s">
        <v>56</v>
      </c>
      <c r="B17" s="24" t="n">
        <f aca="false">-'Rent Roll'!C11*Assumptions!$B$8</f>
        <v>-630</v>
      </c>
    </row>
    <row r="18" customFormat="false" ht="15" hidden="false" customHeight="false" outlineLevel="0" collapsed="false">
      <c r="A18" s="25" t="s">
        <v>57</v>
      </c>
      <c r="B18" s="26" t="n">
        <f aca="false">B14+B16+B17</f>
        <v>71292.6</v>
      </c>
    </row>
    <row r="20" customFormat="false" ht="15" hidden="false" customHeight="false" outlineLevel="0" collapsed="false">
      <c r="A20" s="22" t="s">
        <v>58</v>
      </c>
      <c r="B20" s="22"/>
      <c r="C20" s="22"/>
    </row>
    <row r="21" customFormat="false" ht="42" hidden="false" customHeight="true" outlineLevel="0" collapsed="false">
      <c r="A21" s="28" t="s">
        <v>59</v>
      </c>
      <c r="B21" s="28"/>
      <c r="C21" s="28"/>
    </row>
    <row r="22" customFormat="false" ht="15" hidden="false" customHeight="false" outlineLevel="0" collapsed="false">
      <c r="A22" s="23" t="s">
        <v>60</v>
      </c>
      <c r="B22" s="29" t="n">
        <f aca="false">'Rent Roll'!C9</f>
        <v>2800</v>
      </c>
    </row>
    <row r="23" customFormat="false" ht="15" hidden="false" customHeight="false" outlineLevel="0" collapsed="false">
      <c r="A23" s="23" t="s">
        <v>61</v>
      </c>
      <c r="B23" s="30" t="n">
        <v>45000</v>
      </c>
    </row>
    <row r="24" customFormat="false" ht="15" hidden="false" customHeight="false" outlineLevel="0" collapsed="false">
      <c r="A24" s="23" t="s">
        <v>62</v>
      </c>
      <c r="B24" s="30" t="n">
        <v>18000</v>
      </c>
    </row>
    <row r="25" customFormat="false" ht="15" hidden="false" customHeight="false" outlineLevel="0" collapsed="false">
      <c r="A25" s="25" t="s">
        <v>63</v>
      </c>
      <c r="B25" s="26" t="n">
        <f aca="false">B23+B24</f>
        <v>63000</v>
      </c>
    </row>
    <row r="27" customFormat="false" ht="15" hidden="false" customHeight="false" outlineLevel="0" collapsed="false">
      <c r="A27" s="22" t="s">
        <v>64</v>
      </c>
      <c r="B27" s="22"/>
      <c r="C27" s="22"/>
    </row>
    <row r="28" customFormat="false" ht="15" hidden="false" customHeight="false" outlineLevel="0" collapsed="false">
      <c r="A28" s="23" t="s">
        <v>65</v>
      </c>
      <c r="B28" s="24" t="n">
        <f aca="false">B14</f>
        <v>72762.6</v>
      </c>
    </row>
    <row r="29" customFormat="false" ht="15" hidden="false" customHeight="false" outlineLevel="0" collapsed="false">
      <c r="A29" s="23" t="s">
        <v>66</v>
      </c>
      <c r="B29" s="24" t="n">
        <f aca="false">B18</f>
        <v>71292.6</v>
      </c>
    </row>
    <row r="30" customFormat="false" ht="15" hidden="false" customHeight="false" outlineLevel="0" collapsed="false">
      <c r="A30" s="23" t="s">
        <v>67</v>
      </c>
      <c r="B30" s="24" t="n">
        <f aca="false">B25</f>
        <v>63000</v>
      </c>
    </row>
    <row r="32" customFormat="false" ht="42" hidden="false" customHeight="true" outlineLevel="0" collapsed="false">
      <c r="A32" s="28" t="s">
        <v>68</v>
      </c>
      <c r="B32" s="28"/>
      <c r="C32" s="28"/>
    </row>
  </sheetData>
  <mergeCells count="7">
    <mergeCell ref="A1:C1"/>
    <mergeCell ref="A2:C2"/>
    <mergeCell ref="A4:C4"/>
    <mergeCell ref="A20:C20"/>
    <mergeCell ref="A21:C21"/>
    <mergeCell ref="A27:C27"/>
    <mergeCell ref="A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2026-08-11T15:32:00Z</dcterms:created>
  <dc:creator>openpyxl</dc:creator>
  <dc:description/>
  <dc:language>en-US</dc:language>
  <cp:lastModifiedBy/>
  <dcterms:modified xsi:type="dcterms:W3CDTF">2026-08-11T15:32:00Z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