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4.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5.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4000" windowHeight="14000" firstSheet="0" activeTab="0"/>
  </bookViews>
  <sheets>
    <sheet sheetId="1" name="Cover" state="visible" r:id="rId4"/>
    <sheet sheetId="2" name="Contents" state="visible" r:id="rId5"/>
    <sheet sheetId="3" name="Summary" state="visible" r:id="rId6"/>
    <sheet sheetId="4" name="Assumptions" state="visible" r:id="rId7"/>
    <sheet sheetId="5" name="P&amp;L Summary" state="visible" r:id="rId8"/>
    <sheet sheetId="6" name="Adj. EBITDA" state="visible" r:id="rId9"/>
    <sheet sheetId="7" name="Adjustments" state="visible" r:id="rId10"/>
    <sheet sheetId="8" name="Revenue Detail" state="visible" r:id="rId11"/>
    <sheet sheetId="9" name="Revenue Charts" state="visible" r:id="rId12"/>
    <sheet sheetId="10" name="Expense Detail" state="visible" r:id="rId13"/>
    <sheet sheetId="11" name="Expense Charts" state="visible" r:id="rId14"/>
    <sheet sheetId="12" name="Customer Overview" state="visible" r:id="rId15"/>
    <sheet sheetId="13" name="Customer Retention" state="visible" r:id="rId16"/>
    <sheet sheetId="14" name="Retention Charts" state="visible" r:id="rId17"/>
    <sheet sheetId="15" name="Concentration" state="visible" r:id="rId18"/>
    <sheet sheetId="16" name="Cohorts" state="visible" r:id="rId19"/>
    <sheet sheetId="17" name="Headcount" state="visible" r:id="rId20"/>
    <sheet sheetId="18" name="Headcount Charts" state="visible" r:id="rId21"/>
    <sheet sheetId="19" name="Balance Sheet" state="visible" r:id="rId22"/>
    <sheet sheetId="20" name="NWC" state="visible" r:id="rId23"/>
    <sheet sheetId="21" name="Debt-Like Items" state="visible" r:id="rId24"/>
    <sheet sheetId="22" name="Cash Flow" state="visible" r:id="rId25"/>
    <sheet sheetId="23" name="Proof of Cash" state="visible" r:id="rId26"/>
    <sheet sheetId="24" name="Projections" state="visible" r:id="rId27"/>
    <sheet sheetId="25" name="Opportunities" state="visible" r:id="rId28"/>
    <sheet sheetId="26" name="Valuation" state="visible" r:id="rId29"/>
    <sheet sheetId="27" name="Deal Structure" state="visible" r:id="rId30"/>
    <sheet sheetId="28" name="Sensitivities" state="visible" r:id="rId31"/>
    <sheet sheetId="29" name="Checks" state="visible" r:id="rId32"/>
    <sheet sheetId="30" name="Data --&gt;" state="visible" r:id="rId33"/>
    <sheet sheetId="31" name="Monthly P&amp;L" state="visible" r:id="rId34"/>
    <sheet sheetId="32" name="Databook" state="visible" r:id="rId35"/>
    <sheet sheetId="33" name="Mapping" state="visible" r:id="rId36"/>
    <sheet sheetId="34" name="Raw - P&amp;L" state="visible" r:id="rId37"/>
    <sheet sheetId="35" name="Raw - BS" state="visible" r:id="rId38"/>
    <sheet sheetId="36" name="Raw - Bank" state="visible" r:id="rId39"/>
    <sheet sheetId="37" name="Raw - Customers" state="visible" r:id="rId40"/>
    <sheet sheetId="38" name="Raw - Payroll" state="visible" r:id="rId41"/>
  </sheets>
  <definedNames>
    <definedName name="PrintMode">Contents!$I$18</definedName>
    <definedName name="MasterCheck">Contents!$I$19</definedName>
    <definedName name="AsOfDate">Assumptions!$C$9</definedName>
    <definedName name="FYEMonth">Assumptions!$C$14</definedName>
    <definedName name="MainStreetMode">Assumptions!$C$18</definedName>
    <definedName name="DealForm">Assumptions!$C$20</definedName>
    <definedName name="LOIDate">Assumptions!$C$71</definedName>
    <definedName name="SigningDate">Assumptions!$C$73</definedName>
    <definedName name="EffectiveDate">Assumptions!$C$74</definedName>
    <definedName name="Rev_FY">'P&amp;L Summary'!$C$14:$E$14</definedName>
    <definedName name="GP_FY">'P&amp;L Summary'!$C$18:$E$18</definedName>
    <definedName name="RepEBITDA_FY">'P&amp;L Summary'!$C$32:$E$32</definedName>
    <definedName name="Rev_LTM">'P&amp;L Summary'!$K$14</definedName>
    <definedName name="GP_LTM">'P&amp;L Summary'!$K$18</definedName>
    <definedName name="RepEBITDA_LTM">'P&amp;L Summary'!$K$32</definedName>
    <definedName name="Rev_PF">'P&amp;L Summary'!$L$14</definedName>
    <definedName name="SDE_FY">'Adj. EBITDA'!$C$24:$E$24</definedName>
    <definedName name="AdjEBITDA_FY">'Adj. EBITDA'!$C$28:$E$28</definedName>
    <definedName name="SDE_LTM">'Adj. EBITDA'!$K$24</definedName>
    <definedName name="AdjEBITDA_LTM">'Adj. EBITDA'!$K$28</definedName>
    <definedName name="PFAdjEBITDA">'Adj. EBITDA'!$L$32</definedName>
    <definedName name="ChartStart">'Revenue Charts'!$C$45</definedName>
    <definedName name="ChartEnd">'Revenue Charts'!$AL$45</definedName>
    <definedName name="Customers_Latest">'Customer Overview'!$C$20</definedName>
    <definedName name="GDR_LTM">'Customer Retention'!$E$29</definedName>
    <definedName name="NDR_LTM">'Customer Retention'!$E$30</definedName>
    <definedName name="Top10Share_LTM">Concentration!$D$34</definedName>
    <definedName name="Headcount_Latest">Headcount!$C$12</definedName>
    <definedName name="NWC_Latest">NWC!$H$20</definedName>
    <definedName name="NWC_Peg">NWC!$G$20</definedName>
    <definedName name="NWC_vsPeg">NWC!$I$20</definedName>
    <definedName name="DefRev_Latest">NWC!$H$15</definedName>
    <definedName name="Offer_Reference">'Deal Structure'!$C$5</definedName>
    <definedName name="Offer_Count">'Deal Structure'!$C$28</definedName>
    <definedName name="Offer_Headline_1">'Deal Structure'!$C$22</definedName>
    <definedName name="Offer_CashAtClose_1">'Deal Structure'!$C$23</definedName>
    <definedName name="Monthly_Revenue">'Monthly P&amp;L'!$Q$14:$AZ$14</definedName>
    <definedName name="Monthly_GrossProfit">'Monthly P&amp;L'!$Q$18:$AZ$18</definedName>
    <definedName name="Monthly_RepEBITDA">'Monthly P&amp;L'!$Q$32:$AZ$32</definedName>
    <definedName name="Monthly_SDE">'Monthly P&amp;L'!$Q$51:$AZ$51</definedName>
    <definedName name="Monthly_AdjEBITDA">'Monthly P&amp;L'!$Q$55:$AZ$55</definedName>
    <definedName name="_xlnm.Print_Area" localSheetId="0">'Cover'!$B$2:$Q$39</definedName>
    <definedName name="_xlnm.Print_Area" localSheetId="1">'Contents'!$B$2:$I$46</definedName>
    <definedName name="_xlnm.Print_Area" localSheetId="2">'Summary'!$B$2:$K$65</definedName>
    <definedName name="_xlnm.Print_Titles" localSheetId="2">'Summary'!$5:$6</definedName>
    <definedName name="_xlnm.Print_Area" localSheetId="3">'Assumptions'!$B$2:$J$123</definedName>
    <definedName name="_xlnm.Print_Titles" localSheetId="3">'Assumptions'!$5:$6</definedName>
    <definedName name="_xlnm.Print_Area" localSheetId="4">'P&amp;L Summary'!$B$2:$O$56,'P&amp;L Summary'!$Q$7:$Q$44</definedName>
    <definedName name="_xlnm.Print_Titles" localSheetId="4">'P&amp;L Summary'!$B:$B,'P&amp;L Summary'!$2:$6</definedName>
    <definedName name="_xlnm.Print_Area" localSheetId="5">'Adj. EBITDA'!$B$2:$O$55</definedName>
    <definedName name="_xlnm.Print_Titles" localSheetId="5">'Adj. EBITDA'!$2:$6</definedName>
    <definedName name="_xlnm.Print_Area" localSheetId="6">'Adjustments'!$B$2:$L$26,'Adjustments'!$N$28:$W$54</definedName>
    <definedName name="_xlnm.Print_Titles" localSheetId="6">'Adjustments'!$B:$C,'Adjustments'!$2:$6</definedName>
    <definedName name="_xlnm.Print_Area" localSheetId="7">'Revenue Detail'!$B$2:$O$36,'Revenue Detail'!$Q$2:$AG$31</definedName>
    <definedName name="_xlnm.Print_Titles" localSheetId="7">'Revenue Detail'!$B:$B,'Revenue Detail'!$2:$6</definedName>
    <definedName name="_xlnm.Print_Area" localSheetId="8">'Revenue Charts'!$B$2:$M$41</definedName>
    <definedName name="_xlnm.Print_Titles" localSheetId="8">'Revenue Charts'!$2:$3</definedName>
    <definedName name="_xlnm.Print_Area" localSheetId="9">'Expense Detail'!$B$2:$O$42,'Expense Detail'!$Q$2:$AG$37</definedName>
    <definedName name="_xlnm.Print_Titles" localSheetId="9">'Expense Detail'!$B:$B,'Expense Detail'!$2:$6</definedName>
    <definedName name="_xlnm.Print_Area" localSheetId="10">'Expense Charts'!$B$2:$M$41</definedName>
    <definedName name="_xlnm.Print_Titles" localSheetId="10">'Expense Charts'!$2:$3</definedName>
    <definedName name="_xlnm.Print_Area" localSheetId="11">'Customer Overview'!$B$2:$G$25</definedName>
    <definedName name="_xlnm.Print_Titles" localSheetId="11">'Customer Overview'!$5:$6</definedName>
    <definedName name="_xlnm.Print_Area" localSheetId="12">'Customer Retention'!$B$2:$K$35,'Customer Retention'!$N$2:$Y$18</definedName>
    <definedName name="_xlnm.Print_Titles" localSheetId="12">'Customer Retention'!$B:$B,'Customer Retention'!$2:$6</definedName>
    <definedName name="_xlnm.Print_Area" localSheetId="13">'Retention Charts'!$B$2:$M$61</definedName>
    <definedName name="_xlnm.Print_Titles" localSheetId="13">'Retention Charts'!$2:$3</definedName>
    <definedName name="_xlnm.Print_Area" localSheetId="14">'Concentration'!$B$2:$G$36</definedName>
    <definedName name="_xlnm.Print_Titles" localSheetId="14">'Concentration'!$5:$6</definedName>
    <definedName name="_xlnm.Print_Area" localSheetId="15">'Cohorts'!$B$2:$F$36</definedName>
    <definedName name="_xlnm.Print_Titles" localSheetId="15">'Cohorts'!$5:$6</definedName>
    <definedName name="_xlnm.Print_Area" localSheetId="16">'Headcount'!$B$2:$H$45</definedName>
    <definedName name="_xlnm.Print_Titles" localSheetId="16">'Headcount'!$5:$6</definedName>
    <definedName name="_xlnm.Print_Area" localSheetId="17">'Headcount Charts'!$B$2:$M$80</definedName>
    <definedName name="_xlnm.Print_Titles" localSheetId="17">'Headcount Charts'!$2:$3</definedName>
    <definedName name="_xlnm.Print_Area" localSheetId="18">'Balance Sheet'!$B$2:$E$39</definedName>
    <definedName name="_xlnm.Print_Titles" localSheetId="18">'Balance Sheet'!$5:$6</definedName>
    <definedName name="_xlnm.Print_Area" localSheetId="19">'NWC'!$B$2:$K$34</definedName>
    <definedName name="_xlnm.Print_Titles" localSheetId="19">'NWC'!$5:$6</definedName>
    <definedName name="_xlnm.Print_Area" localSheetId="20">'Debt-Like Items'!$B$2:$I$35</definedName>
    <definedName name="_xlnm.Print_Titles" localSheetId="20">'Debt-Like Items'!$5:$6</definedName>
    <definedName name="_xlnm.Print_Area" localSheetId="21">'Cash Flow'!$B$2:$D$29</definedName>
    <definedName name="_xlnm.Print_Titles" localSheetId="21">'Cash Flow'!$5:$6</definedName>
    <definedName name="_xlnm.Print_Area" localSheetId="22">'Proof of Cash'!$B$2:$I$25</definedName>
    <definedName name="_xlnm.Print_Titles" localSheetId="22">'Proof of Cash'!$5:$6</definedName>
    <definedName name="_xlnm.Print_Area" localSheetId="23">'Projections'!$B$2:$I$61</definedName>
    <definedName name="_xlnm.Print_Titles" localSheetId="23">'Projections'!$5:$6</definedName>
    <definedName name="_xlnm.Print_Area" localSheetId="24">'Opportunities'!$B$2:$K$15</definedName>
    <definedName name="_xlnm.Print_Titles" localSheetId="24">'Opportunities'!$5:$6</definedName>
    <definedName name="_xlnm.Print_Area" localSheetId="25">'Valuation'!$B$2:$H$62</definedName>
    <definedName name="_xlnm.Print_Titles" localSheetId="25">'Valuation'!$5:$6</definedName>
    <definedName name="_xlnm.Print_Area" localSheetId="26">'Deal Structure'!$B$2:$J$82</definedName>
    <definedName name="_xlnm.Print_Titles" localSheetId="26">'Deal Structure'!$5:$6</definedName>
    <definedName name="_xlnm.Print_Area" localSheetId="27">'Sensitivities'!$B$2:$L$66</definedName>
    <definedName name="_xlnm.Print_Titles" localSheetId="27">'Sensitivities'!$2:$4</definedName>
    <definedName name="_xlnm.Print_Area" localSheetId="28">'Checks'!$B$2:$I$52</definedName>
    <definedName name="_xlnm.Print_Titles" localSheetId="28">'Checks'!$5:$6</definedName>
    <definedName name="_xlnm.Print_Area" localSheetId="30">'Monthly P&amp;L'!$B$2:$AZ$59</definedName>
    <definedName name="_xlnm.Print_Titles" localSheetId="30">'Monthly P&amp;L'!$B:$B,'Monthly P&amp;L'!$5:$6</definedName>
    <definedName name="_xlnm.Print_Area" localSheetId="31">'Databook'!$B$2:$BE$85</definedName>
    <definedName name="_xlnm.Print_Titles" localSheetId="31">'Databook'!$B:$B,'Databook'!$5:$6</definedName>
    <definedName name="_xlnm.Print_Area" localSheetId="32">'Mapping'!$B$2:$H$58</definedName>
    <definedName name="_xlnm.Print_Titles" localSheetId="32">'Mapping'!$5:$6</definedName>
    <definedName name="_xlnm.Print_Area" localSheetId="33">'Raw - P&amp;L'!$A$1:$AM$41</definedName>
    <definedName name="_xlnm.Print_Titles" localSheetId="33">'Raw - P&amp;L'!$3:$3</definedName>
    <definedName name="_xlnm.Print_Area" localSheetId="34">'Raw - BS'!$A$1:$E$40</definedName>
    <definedName name="_xlnm.Print_Titles" localSheetId="34">'Raw - BS'!$3:$3</definedName>
    <definedName name="_xlnm.Print_Area" localSheetId="35">'Raw - Bank'!$A$1:$D$874</definedName>
    <definedName name="_xlnm.Print_Titles" localSheetId="35">'Raw - Bank'!$3:$3</definedName>
    <definedName name="_xlnm.Print_Area" localSheetId="36">'Raw - Customers'!$A$1:$K$66</definedName>
    <definedName name="_xlnm.Print_Titles" localSheetId="36">'Raw - Customers'!$3:$3</definedName>
    <definedName name="_xlnm.Print_Area" localSheetId="37">'Raw - Payroll'!$A$1:$Q$32</definedName>
    <definedName name="_xlnm.Print_Titles" localSheetId="37">'Raw - Payroll'!$3:$3</definedName>
  </definedNames>
  <calcPr calcId="171027" fullCalcOnLoad="1"/>
</workbook>
</file>

<file path=xl/sharedStrings.xml><?xml version="1.0" encoding="utf-8"?>
<sst xmlns="http://schemas.openxmlformats.org/spreadsheetml/2006/main" count="5586" uniqueCount="1688">
  <si>
    <t>Ridgeline Comfort Services LLC</t>
  </si>
  <si>
    <t>Financial Model</t>
  </si>
  <si>
    <t>Prepared by AMB Advisory Services LLC for Ridgeline Comfort Services LLC | September 29, 2026 | Confidential</t>
  </si>
  <si>
    <t>Contents</t>
  </si>
  <si>
    <t>#</t>
  </si>
  <si>
    <t>Tab</t>
  </si>
  <si>
    <t>Purpose</t>
  </si>
  <si>
    <t>Units</t>
  </si>
  <si>
    <t>Check</t>
  </si>
  <si>
    <t>Model information</t>
  </si>
  <si>
    <t>Cover</t>
  </si>
  <si>
    <t/>
  </si>
  <si>
    <t>–</t>
  </si>
  <si>
    <t>Business name</t>
  </si>
  <si>
    <t>Index, model information, Print switch, master check, log</t>
  </si>
  <si>
    <t>Code name</t>
  </si>
  <si>
    <t>Project Ridgeline</t>
  </si>
  <si>
    <t>Key lines, condensed ladder, KPIs and valuation range</t>
  </si>
  <si>
    <t>$000s</t>
  </si>
  <si>
    <t>Prepared by</t>
  </si>
  <si>
    <t>AMB Advisory Services</t>
  </si>
  <si>
    <t>Every input, blue, with its source</t>
  </si>
  <si>
    <t>$</t>
  </si>
  <si>
    <t>As-of date</t>
  </si>
  <si>
    <t>Historical P&amp;L by period with KPI block</t>
  </si>
  <si>
    <t>LTM period</t>
  </si>
  <si>
    <t>LTM Dec-25 (equals FY2025)</t>
  </si>
  <si>
    <t>Reported EBITDA to SDE, Adj. and PF Adj. EBITDA, with refs</t>
  </si>
  <si>
    <t>Fiscal year-end</t>
  </si>
  <si>
    <t>December</t>
  </si>
  <si>
    <t>The schedule: tier, category, basis, evidence, status</t>
  </si>
  <si>
    <t>Mode</t>
  </si>
  <si>
    <t>Main Street: PF Adj. EBITDA before the reserve $453K vs. $1.0M</t>
  </si>
  <si>
    <t>Revenue by line: $, % of total, % growth; LTM strip</t>
  </si>
  <si>
    <t>Deal form</t>
  </si>
  <si>
    <t>Asset purchase</t>
  </si>
  <si>
    <t>Monthly revenue and revenue by line (MC-R1, MC-R2)</t>
  </si>
  <si>
    <t>#, $000s</t>
  </si>
  <si>
    <t>Source, FY2023</t>
  </si>
  <si>
    <t>P&amp;L and balance sheet: QuickBooks export</t>
  </si>
  <si>
    <t>Cost and expense buckets: $, % of revenue, growth; LTM strip</t>
  </si>
  <si>
    <t>Source, FY2024</t>
  </si>
  <si>
    <t>Monthly payroll and largest expense, with % of revenue</t>
  </si>
  <si>
    <t>Source, FY2025</t>
  </si>
  <si>
    <t>Mix by type: count, revenue, average revenue</t>
  </si>
  <si>
    <t>#, $</t>
  </si>
  <si>
    <t>Version</t>
  </si>
  <si>
    <t>v01</t>
  </si>
  <si>
    <t>Count and dollar roll-forwards, churn, GDR, NDR; monthly strip</t>
  </si>
  <si>
    <t>Print mode (1 = black fonts)</t>
  </si>
  <si>
    <t>Monthly wins and losses, by churn type and by segment</t>
  </si>
  <si>
    <t>Master check</t>
  </si>
  <si>
    <t>Top 20 customers, coded, cumulative share, tenure</t>
  </si>
  <si>
    <t>Count and revenue cohort triangles</t>
  </si>
  <si>
    <t>By department; roll-forward; tenure at departure</t>
  </si>
  <si>
    <t>Monthly hires and departures; tenure at departure</t>
  </si>
  <si>
    <t>Condensed balance sheet at every statement date</t>
  </si>
  <si>
    <t>Net working capital by date, peg basis, ratios, transfers</t>
  </si>
  <si>
    <t>Debt and debt-like items: treatment and status</t>
  </si>
  <si>
    <t>Historical indirect cash flow, capex, free cash flow</t>
  </si>
  <si>
    <t>Monthly revenue vs bank deposits</t>
  </si>
  <si>
    <t>Five-year driver-based income statement, BS and cash flow</t>
  </si>
  <si>
    <t>One sizing grid per growth lever</t>
  </si>
  <si>
    <t>Valuation range, multiples, financing, DSCR (internal)</t>
  </si>
  <si>
    <t>Terms, sources and uses, seller proceeds, debt service</t>
  </si>
  <si>
    <t>Two-way grids centred on the base case</t>
  </si>
  <si>
    <t>Every check with difference, tolerance and status</t>
  </si>
  <si>
    <t>Data tabs follow</t>
  </si>
  <si>
    <t>Category × month grid every period column reads</t>
  </si>
  <si>
    <t>Account × period with mapping and the tie to raw exports</t>
  </si>
  <si>
    <t>Account to AMB category and summary line</t>
  </si>
  <si>
    <t>P&amp;L as exported</t>
  </si>
  <si>
    <t>Balance sheet as exported</t>
  </si>
  <si>
    <t>Bank transactions as exported, classified</t>
  </si>
  <si>
    <t>Customer list with names (never leaves this tab)</t>
  </si>
  <si>
    <t>Payroll register with names (never leaves this tab)</t>
  </si>
  <si>
    <t>Date</t>
  </si>
  <si>
    <t>Change</t>
  </si>
  <si>
    <t>First draft generated by the AMB material bot from the sources listed above</t>
  </si>
  <si>
    <t>Summary ($000s)</t>
  </si>
  <si>
    <t>Print</t>
  </si>
  <si>
    <t>Full Year</t>
  </si>
  <si>
    <t>LTM</t>
  </si>
  <si>
    <t>PF</t>
  </si>
  <si>
    <t>Notes</t>
  </si>
  <si>
    <t>Key figures</t>
  </si>
  <si>
    <t>Income statement</t>
  </si>
  <si>
    <t>Total Revenue</t>
  </si>
  <si>
    <t>% Growth</t>
  </si>
  <si>
    <t>Gross Profit</t>
  </si>
  <si>
    <t>% Margin</t>
  </si>
  <si>
    <t>Reported EBITDA</t>
  </si>
  <si>
    <t>Net Income</t>
  </si>
  <si>
    <t>Adjusted EBITDA ladder (condensed)</t>
  </si>
  <si>
    <t>(+) / (-) Normalization Adjustments</t>
  </si>
  <si>
    <t>Seller's Discretionary Earnings (SDE)</t>
  </si>
  <si>
    <t>Adj. EBITDA</t>
  </si>
  <si>
    <t>(+) / (-) Pro Forma Adjustments</t>
  </si>
  <si>
    <t>PF Adj. EBITDA</t>
  </si>
  <si>
    <t>Key performance indicators</t>
  </si>
  <si>
    <t>Customers, active at period end (#)</t>
  </si>
  <si>
    <t>Employees, non-owner FTE at period end (#)</t>
  </si>
  <si>
    <t>Revenue per employee ($)</t>
  </si>
  <si>
    <t>Labor cost, % of revenue (excludes owner)</t>
  </si>
  <si>
    <t>Recurring revenue, % of total</t>
  </si>
  <si>
    <t>At the as-of date (12/31/25)</t>
  </si>
  <si>
    <t>Top 10 customers, % of revenue</t>
  </si>
  <si>
    <t>Adjusted NWC, latest</t>
  </si>
  <si>
    <t>No peg: year-end balance sheets only</t>
  </si>
  <si>
    <t>Funded debt, latest</t>
  </si>
  <si>
    <t>Seller's; paid from proceeds at close</t>
  </si>
  <si>
    <t>$453K PF Adj. EBITDA vs. $1.0M threshold</t>
  </si>
  <si>
    <t>Operating facts per management (1)</t>
  </si>
  <si>
    <t>Active maintenance-agreement members (#)</t>
  </si>
  <si>
    <t>As of 09/21/26. Members with an active agreement: two tune-ups a year, priority scheduling, 15% repair discount</t>
  </si>
  <si>
    <t>Maintenance-agreement renewal rate</t>
  </si>
  <si>
    <t>As of 09/21/26</t>
  </si>
  <si>
    <t>Service calls on which an agreement is offered</t>
  </si>
  <si>
    <t>Google rating</t>
  </si>
  <si>
    <t>Google reviews (#)</t>
  </si>
  <si>
    <t>As of 09/21/26. Stated as 900+</t>
  </si>
  <si>
    <t>Service vans (#)</t>
  </si>
  <si>
    <t>Install trucks (#)</t>
  </si>
  <si>
    <t>Service radius (miles)</t>
  </si>
  <si>
    <t>Shop and office (sq ft)</t>
  </si>
  <si>
    <t>Owner hours per week (hours)</t>
  </si>
  <si>
    <t>Indicative valuation range (internal; never in the CIM)</t>
  </si>
  <si>
    <t>SDE × multiple</t>
  </si>
  <si>
    <t>Low</t>
  </si>
  <si>
    <t>Mid</t>
  </si>
  <si>
    <t>High</t>
  </si>
  <si>
    <t>Total Investment</t>
  </si>
  <si>
    <t>Implied SDE Multiple (x)</t>
  </si>
  <si>
    <t>Implied Adj. EBITDA Multiple (x)</t>
  </si>
  <si>
    <t>DSCR, SBA loan only (x)</t>
  </si>
  <si>
    <t>DSCR, Reference structure (x)</t>
  </si>
  <si>
    <t>n.a.</t>
  </si>
  <si>
    <t>Note: LTM Dec-25 equals FY2025. Reported EBITDA is net income plus interest, taxes and D&amp;A, so it carries other income; a normalization row removes what is non-operating. (1) Per management; not independently verified.</t>
  </si>
  <si>
    <t>Assumptions and Inputs ($ unless stated)</t>
  </si>
  <si>
    <t>Inputs</t>
  </si>
  <si>
    <t>Source</t>
  </si>
  <si>
    <t>Assumption</t>
  </si>
  <si>
    <t>Value</t>
  </si>
  <si>
    <t>As-of date (last full month of data)</t>
  </si>
  <si>
    <t>Monthly P&amp;L to 2025-12; fixed by the bot, never TODAY()</t>
  </si>
  <si>
    <t>First data month</t>
  </si>
  <si>
    <t>First month of the Monthly P&amp;L grid</t>
  </si>
  <si>
    <t>Source granularity</t>
  </si>
  <si>
    <t>Monthly</t>
  </si>
  <si>
    <t>Monthly when the books give 12 or more contiguous months</t>
  </si>
  <si>
    <t>Books basis</t>
  </si>
  <si>
    <t>Accrual</t>
  </si>
  <si>
    <t>Per the source report basis</t>
  </si>
  <si>
    <t>LTM end month</t>
  </si>
  <si>
    <t>Derived: EOMONTH(AsOfDate, 0)</t>
  </si>
  <si>
    <t>Fiscal year-end month (1-12)</t>
  </si>
  <si>
    <t>Request list fiscal_year_end</t>
  </si>
  <si>
    <t>Latest full fiscal year</t>
  </si>
  <si>
    <t>Derived from the as-of date and fiscal year-end</t>
  </si>
  <si>
    <t>Units on analysis tabs</t>
  </si>
  <si>
    <t>Databook divides raw dollars by 1,000</t>
  </si>
  <si>
    <t>Customer term</t>
  </si>
  <si>
    <t>Customer</t>
  </si>
  <si>
    <t>One term per deal, on every tab and in the CIM</t>
  </si>
  <si>
    <t>Main Street mode (1 = yes)</t>
  </si>
  <si>
    <t>Rule: PF Adj. EBITDA before the capital reserve $452,525 (PF Dec-25) &lt; $1,000,000 (AMB threshold)</t>
  </si>
  <si>
    <t>Main Street threshold (PF Adj. EBITDA before reserve)</t>
  </si>
  <si>
    <t>Reference: below $1.0M the bot sets Main Street mode above (SDE in the CIM, capital reserve deducted); change the mode cell to override</t>
  </si>
  <si>
    <t>Intake notes: the owner prefers an asset sale; the Main Street default agrees</t>
  </si>
  <si>
    <t>Owner compensation and capital reserve</t>
  </si>
  <si>
    <t>Owner replacement salary</t>
  </si>
  <si>
    <t>Request list owner_replacement_salary ($95,000); intake notes: $95,000</t>
  </si>
  <si>
    <t>Payroll taxes and benefits burden</t>
  </si>
  <si>
    <t>AMB default 15% for payroll taxes and benefits; confirm with the Seller</t>
  </si>
  <si>
    <t>Market replacement compensation [S2]</t>
  </si>
  <si>
    <t>Salary × (1 + burden); deducted below SDE</t>
  </si>
  <si>
    <t>Capital reserve (maintenance capex) [S3]</t>
  </si>
  <si>
    <t>Three-year average of depreciation expense, FY2023–FY2025</t>
  </si>
  <si>
    <t>Capital reserve basis</t>
  </si>
  <si>
    <t>D&amp;A proxy</t>
  </si>
  <si>
    <t>Form 4562 equipment placed in service, else the three-year average of D&amp;A flagged as a proxy</t>
  </si>
  <si>
    <t>Projection drivers</t>
  </si>
  <si>
    <t>Driver</t>
  </si>
  <si>
    <t>FY2026E</t>
  </si>
  <si>
    <t>FY2027E</t>
  </si>
  <si>
    <t>FY2028E</t>
  </si>
  <si>
    <t>FY2029E</t>
  </si>
  <si>
    <t>FY2030E</t>
  </si>
  <si>
    <t>Revenue growth</t>
  </si>
  <si>
    <t>FY2023–FY2025 revenue CAGR of 12.4% (capped 0–15%), fading to 3% by year 5. Illustrative; replace with seller guidance.</t>
  </si>
  <si>
    <t>Cost of goods sold, % of revenue</t>
  </si>
  <si>
    <t>FY2025 % of revenue (latest-year run-rate); see P&amp;L Summary for the trend.</t>
  </si>
  <si>
    <t>Salaries, wages and benefits, % of revenue</t>
  </si>
  <si>
    <t>Owner / officer compensation ($)</t>
  </si>
  <si>
    <t>Held at FY2025 level; the ladder normalises it to the replacement cost.</t>
  </si>
  <si>
    <t>Rent and occupancy, % of revenue</t>
  </si>
  <si>
    <t>FY2025 % of revenue (latest-year run-rate); see P&amp;L Summary for the trend. Check the lease for scheduled escalations.</t>
  </si>
  <si>
    <t>Advertising and marketing, % of revenue</t>
  </si>
  <si>
    <t>Other operating expenses, % of revenue</t>
  </si>
  <si>
    <t>Depreciation and amortization, % of revenue</t>
  </si>
  <si>
    <t>Capital expenditures, % of revenue</t>
  </si>
  <si>
    <t>Set equal to D&amp;A (maintenance capex). Raise for growth capex or a fleet refresh.</t>
  </si>
  <si>
    <t>Receivable days (DSO)</t>
  </si>
  <si>
    <t>FY2025 receivables ÷ revenue × 365, per Balance Sheet.</t>
  </si>
  <si>
    <t>Inventory days (DIO)</t>
  </si>
  <si>
    <t>FY2025 inventory ÷ COGS × 365, per Balance Sheet.</t>
  </si>
  <si>
    <t>Payable days (DPO)</t>
  </si>
  <si>
    <t>FY2025 payables ÷ COGS × 365, per Balance Sheet.</t>
  </si>
  <si>
    <t>Interest rate on opening debt</t>
  </si>
  <si>
    <t>FY2025 interest ÷ year-end debt (bounded 3–15%), applied to opening debt each year.</t>
  </si>
  <si>
    <t>Scheduled debt repayment ($)</t>
  </si>
  <si>
    <t>FY2025 debt of $279,400 repaid straight-line over 5 years. Replace with the amortisation schedule.</t>
  </si>
  <si>
    <t>Entity income tax rate</t>
  </si>
  <si>
    <t>S-Corp: pass-through, so no entity-level income tax. Taxes are paid by the owners.</t>
  </si>
  <si>
    <t>Owner distributions, % of net income</t>
  </si>
  <si>
    <t>Owner distributions as % of net income. 0% lets cash build (deals are cash-free, debt-free).</t>
  </si>
  <si>
    <t>Valuation multiples</t>
  </si>
  <si>
    <t>Multiple</t>
  </si>
  <si>
    <t>SDE multiple (x)</t>
  </si>
  <si>
    <t>AMB placeholder range for Main Street services businesses; replace with the licensed comps source before relying on it.</t>
  </si>
  <si>
    <t>Adj. EBITDA multiple (x)</t>
  </si>
  <si>
    <t>Deal terms (Structure 1)</t>
  </si>
  <si>
    <t>Structure preset</t>
  </si>
  <si>
    <t>Traditional</t>
  </si>
  <si>
    <t>Reference: Traditional is cash plus a seller note; the preset filled the defaults below when the bot ran</t>
  </si>
  <si>
    <t>Cash at close, % of price</t>
  </si>
  <si>
    <t>AMB default: 70-80% cash at close, per recent AMB offers</t>
  </si>
  <si>
    <t>Seller note, % of price</t>
  </si>
  <si>
    <t>Per recent AMB offers; subordinated to senior debt only</t>
  </si>
  <si>
    <t>Seller note term (months)</t>
  </si>
  <si>
    <t>Per recent AMB offers: 18-month term, quarterly payments</t>
  </si>
  <si>
    <t>Seller note interest rate</t>
  </si>
  <si>
    <t>Per recent AMB offers: 9.0%; a recent buy-side model used 6.5% as the low case</t>
  </si>
  <si>
    <t>Indemnity escrow, % of cash at close</t>
  </si>
  <si>
    <t>LOI12 §7(h); market 5-10% for 12-18 months (TAX)</t>
  </si>
  <si>
    <t>Indemnity escrow held (months)</t>
  </si>
  <si>
    <t>LOI12 §7(h): 15 months</t>
  </si>
  <si>
    <t>Buyer equity injection, % of uses</t>
  </si>
  <si>
    <t>SBA 7(a) minimum 10%; a recent AMB deal used 15%</t>
  </si>
  <si>
    <t>Senior / SBA loan term (years)</t>
  </si>
  <si>
    <t>SBA 7(a) business acquisition: 10 years</t>
  </si>
  <si>
    <t>Senior / SBA loan interest rate</t>
  </si>
  <si>
    <t>Placeholder until a lender quotes; replace before relying on DSCR</t>
  </si>
  <si>
    <t>Buyer transaction fees ($)</t>
  </si>
  <si>
    <t>No AMB default; buyer one-time costs on a $3.0M deal run $110-300K (BL)</t>
  </si>
  <si>
    <t>Reconciliation holdback (months of payroll)</t>
  </si>
  <si>
    <t>Per recent AMB offers: one month of payroll on an asset purchase; zero on an equity purchase</t>
  </si>
  <si>
    <t>Deferred capex / renovation ($)</t>
  </si>
  <si>
    <t>Enter known deferred maintenance; adds to Total Investment</t>
  </si>
  <si>
    <t>True-up settlement</t>
  </si>
  <si>
    <t>Cash</t>
  </si>
  <si>
    <t>Cash / Stock / Share-adjusting escrow; Stock when buyer stock is meant to be tax-deferred</t>
  </si>
  <si>
    <t>Stock consideration intended tax-deferred? (Y/N)</t>
  </si>
  <si>
    <t>N</t>
  </si>
  <si>
    <t>Y turns on the boot flag on Deal Structure</t>
  </si>
  <si>
    <t>Deferred revenue and customer deposits</t>
  </si>
  <si>
    <t>NWC (operating liability)</t>
  </si>
  <si>
    <t>AMB default: NWC (operating liability); Debt-like is an override that needs a note</t>
  </si>
  <si>
    <t>Premises arrangement</t>
  </si>
  <si>
    <t>Leased from third party</t>
  </si>
  <si>
    <t>Intake: locations</t>
  </si>
  <si>
    <t>LOI date</t>
  </si>
  <si>
    <t>Enter when the LOI is signed (check C36)</t>
  </si>
  <si>
    <t>Exclusivity (days)</t>
  </si>
  <si>
    <t>LOI12 Agreement §1: 90 days plus one automatic 30-day extension</t>
  </si>
  <si>
    <t>Target signing date</t>
  </si>
  <si>
    <t>LOI + 9-11 weeks (OUTL)</t>
  </si>
  <si>
    <t>Target effective date</t>
  </si>
  <si>
    <t>Signing + 0-15 days; first business day of the next tax year near year-end (RECS #8)</t>
  </si>
  <si>
    <t>Sensitivity settings</t>
  </si>
  <si>
    <t>Multiple axis step (x)</t>
  </si>
  <si>
    <t>Per AMB; axes centre on the base case</t>
  </si>
  <si>
    <t>Earnings axis step (% of base)</t>
  </si>
  <si>
    <t>Per AMB</t>
  </si>
  <si>
    <t>Purchase price axis step (% of base)</t>
  </si>
  <si>
    <t>Interest rate axis step</t>
  </si>
  <si>
    <t>Cash at close axis step</t>
  </si>
  <si>
    <t>Rounding, $ tables (digits at $000s)</t>
  </si>
  <si>
    <t>0 = nearest $1K on the $000s grids</t>
  </si>
  <si>
    <t>Gradient bands (#)</t>
  </si>
  <si>
    <t>Heat-map bands above the hurdle</t>
  </si>
  <si>
    <t>DSCR hurdle (x)</t>
  </si>
  <si>
    <t>SBA lenders underwrite to 1.25x</t>
  </si>
  <si>
    <t>Pro forma scenarios (Main Street mode; base LTM Dec-25)</t>
  </si>
  <si>
    <t>Basis</t>
  </si>
  <si>
    <t>Revenue growth (%)</t>
  </si>
  <si>
    <t>Per AMB, by case</t>
  </si>
  <si>
    <t>Mid is the base case; Low and High must differ from Mid on growth and one operating driver (check C29)</t>
  </si>
  <si>
    <t>Cost of goods sold method</t>
  </si>
  <si>
    <t>% of sales, latest year</t>
  </si>
  <si>
    <t>Latest year</t>
  </si>
  <si>
    <t>Fixed method list (5.5)</t>
  </si>
  <si>
    <t>3-year average, Latest year or % of sales; Latest year reads LTM Dec-25</t>
  </si>
  <si>
    <t>Salaries, wages and benefits method</t>
  </si>
  <si>
    <t>Rent and occupancy method</t>
  </si>
  <si>
    <t>Advertising and marketing method</t>
  </si>
  <si>
    <t>Other operating expenses method</t>
  </si>
  <si>
    <t>Owner replacement salary ($)</t>
  </si>
  <si>
    <t>Base input above</t>
  </si>
  <si>
    <t>Base input above; type over a case to vary it</t>
  </si>
  <si>
    <t>Capital reserve ($)</t>
  </si>
  <si>
    <t>Equity injection (%)</t>
  </si>
  <si>
    <t>Loan term (years)</t>
  </si>
  <si>
    <t>Interest rate (%)</t>
  </si>
  <si>
    <t>Valuation multiple (x SDE)</t>
  </si>
  <si>
    <t>Valuation multiples above</t>
  </si>
  <si>
    <t>Employer payroll taxes on the owner's salary ([S4], federal statutory rates)</t>
  </si>
  <si>
    <t>Social Security rate</t>
  </si>
  <si>
    <t>Employer share, federal statute</t>
  </si>
  <si>
    <t>Medicare rate</t>
  </si>
  <si>
    <t>Employer share, on all wages</t>
  </si>
  <si>
    <t>Federal unemployment (FUTA) rate</t>
  </si>
  <si>
    <t>Net of the state credit</t>
  </si>
  <si>
    <t>FUTA wage base</t>
  </si>
  <si>
    <t>First $7,000 of wages</t>
  </si>
  <si>
    <t>Social Security wage base, FY2023</t>
  </si>
  <si>
    <t>Calendar 2023 wage base</t>
  </si>
  <si>
    <t>Social Security wage base, FY2024</t>
  </si>
  <si>
    <t>Calendar 2024 wage base</t>
  </si>
  <si>
    <t>Social Security wage base, FY2025</t>
  </si>
  <si>
    <t>Calendar 2025 wage base</t>
  </si>
  <si>
    <t>Operating facts (per management)</t>
  </si>
  <si>
    <t>Per management, as of 09/21/26. Members with an active agreement: two tune-ups a year, priority scheduling, 15% repair discount</t>
  </si>
  <si>
    <t>Per management, as of 09/21/26</t>
  </si>
  <si>
    <t>Per management, as of 09/21/26. Stated as 900+</t>
  </si>
  <si>
    <t>Note: blue cells are inputs; black cells are derived. Every period label, window and ladder rung in the workbook reads these cells.</t>
  </si>
  <si>
    <t>Historical P&amp;L Summary ($000s)</t>
  </si>
  <si>
    <t>YTD</t>
  </si>
  <si>
    <t>PF vs. LTM</t>
  </si>
  <si>
    <t>Income Statement</t>
  </si>
  <si>
    <t>($)</t>
  </si>
  <si>
    <t>(%)</t>
  </si>
  <si>
    <t>Basis / notes</t>
  </si>
  <si>
    <t>Revenue</t>
  </si>
  <si>
    <t>Residential service and replacement</t>
  </si>
  <si>
    <t>Account: Service Revenue - Residential</t>
  </si>
  <si>
    <t>Commercial service</t>
  </si>
  <si>
    <t>Account: Service Revenue - Commercial</t>
  </si>
  <si>
    <t>Maintenance agreements</t>
  </si>
  <si>
    <t>Account: Maintenance Agreements</t>
  </si>
  <si>
    <t>Less: discounts and refunds</t>
  </si>
  <si>
    <t>Account: Discounts Given</t>
  </si>
  <si>
    <t>Sum of the revenue lines</t>
  </si>
  <si>
    <t>Against the same window a year earlier</t>
  </si>
  <si>
    <t>Cost of Revenue</t>
  </si>
  <si>
    <t>Accounts: Equipment &amp; Materials and 1 more (Databook)</t>
  </si>
  <si>
    <t>Total revenue less cost of revenue</t>
  </si>
  <si>
    <t>Of total revenue</t>
  </si>
  <si>
    <t>Operating Expenses</t>
  </si>
  <si>
    <t>Salaries, Wages and Benefits</t>
  </si>
  <si>
    <t>Accounts: Technician Wages, Office Wages and 2 more (Databook)</t>
  </si>
  <si>
    <t>Owner / Officer Compensation</t>
  </si>
  <si>
    <t>Account: Officer Compensation</t>
  </si>
  <si>
    <t>Rent and Occupancy</t>
  </si>
  <si>
    <t>Account: Rent - Shop &amp; Office</t>
  </si>
  <si>
    <t>Advertising and Marketing</t>
  </si>
  <si>
    <t>Account: Advertising &amp; Marketing</t>
  </si>
  <si>
    <t>Other Operating Expenses</t>
  </si>
  <si>
    <t>Accounts: Charitable Contributions, Fuel and 8 more (Databook)</t>
  </si>
  <si>
    <t>Total Operating Expenses</t>
  </si>
  <si>
    <t>Sum of the operating expense lines</t>
  </si>
  <si>
    <t>Other Income</t>
  </si>
  <si>
    <t>Account: Interest Income</t>
  </si>
  <si>
    <t>Other Expense (non-operating)</t>
  </si>
  <si>
    <t>Gross profit less opex, plus other income less other expense</t>
  </si>
  <si>
    <t>Depreciation and Amortization</t>
  </si>
  <si>
    <t>Account: Depreciation Expense</t>
  </si>
  <si>
    <t>EBIT</t>
  </si>
  <si>
    <t>Reported EBITDA less depreciation and amortization</t>
  </si>
  <si>
    <t>Interest Expense</t>
  </si>
  <si>
    <t>Account: Interest Expense</t>
  </si>
  <si>
    <t>Pre-Tax Income</t>
  </si>
  <si>
    <t>EBIT less interest expense</t>
  </si>
  <si>
    <t>Income Taxes</t>
  </si>
  <si>
    <t>Pre-tax income less income taxes (C04 ties it to the grid)</t>
  </si>
  <si>
    <t>Key Performance Indicators</t>
  </si>
  <si>
    <t>Revenue per listed customer ($)</t>
  </si>
  <si>
    <t>Check: Net Income less Monthly P&amp;L</t>
  </si>
  <si>
    <t>Check: every line less its grid months</t>
  </si>
  <si>
    <t>Note: every period column is a SUMIFS over the Monthly P&amp;L grid for the window in the helper rows below. Margins divide by total revenue.</t>
  </si>
  <si>
    <t>Period start</t>
  </si>
  <si>
    <t>Period end</t>
  </si>
  <si>
    <t>Share of FY2023 in the window (listed customers)</t>
  </si>
  <si>
    <t>Share of FY2024 in the window (listed customers)</t>
  </si>
  <si>
    <t>Share of FY2025 in the window (listed customers)</t>
  </si>
  <si>
    <t>C03 helper: each line less the grid's months to its window end, less those before its start</t>
  </si>
  <si>
    <t>C03: Residential service and replacement</t>
  </si>
  <si>
    <t>C03: Commercial service</t>
  </si>
  <si>
    <t>C03: Maintenance agreements</t>
  </si>
  <si>
    <t>C03: Less: discounts and refunds</t>
  </si>
  <si>
    <t>C03: Total Revenue</t>
  </si>
  <si>
    <t>C03: Cost of Revenue</t>
  </si>
  <si>
    <t>C03: Gross Profit</t>
  </si>
  <si>
    <t>C03: Salaries, Wages and Benefits</t>
  </si>
  <si>
    <t>C03: Owner / Officer Compensation</t>
  </si>
  <si>
    <t>C03: Rent and Occupancy</t>
  </si>
  <si>
    <t>C03: Advertising and Marketing</t>
  </si>
  <si>
    <t>C03: Other Operating Expenses</t>
  </si>
  <si>
    <t>C03: Total Operating Expenses</t>
  </si>
  <si>
    <t>C03: Other Income</t>
  </si>
  <si>
    <t>C03: Other Expense (non-operating)</t>
  </si>
  <si>
    <t>C03: Reported EBITDA</t>
  </si>
  <si>
    <t>C03: Depreciation and Amortization</t>
  </si>
  <si>
    <t>C03: EBIT</t>
  </si>
  <si>
    <t>C03: Interest Expense</t>
  </si>
  <si>
    <t>C03: Pre-Tax Income</t>
  </si>
  <si>
    <t>C03: Income Taxes</t>
  </si>
  <si>
    <t>C03: Net Income</t>
  </si>
  <si>
    <t>Adjusted EBITDA and SDE ($000s)</t>
  </si>
  <si>
    <t>Definitional Adjustments</t>
  </si>
  <si>
    <t>Normalization Adjustments</t>
  </si>
  <si>
    <t>Total Normalization Adjustments</t>
  </si>
  <si>
    <t>Owner Compensation</t>
  </si>
  <si>
    <t>Pro Forma Adjustments</t>
  </si>
  <si>
    <t>Total Pro Forma Adjustments</t>
  </si>
  <si>
    <t>Memo: Other Considerations (not included above)</t>
  </si>
  <si>
    <t>Check: Reported EBITDA less (Net Income + D1:D3)</t>
  </si>
  <si>
    <t>Check: Adjustments schedule less ladder, by tier</t>
  </si>
  <si>
    <t>Note: margins divide by total revenue. Main Street mode: SDE is the headline; the capital reserve [S3] is deducted below SDE. The PF column starts from LTM net income and adds the accepted pro forma rows below Adj. EBITDA. Each line links to its schedule row, so a row inserted on the Adjustments tab renumbers the refs here.</t>
  </si>
  <si>
    <t>Basis of each adjustment (linked from the Adjustments schedule)</t>
  </si>
  <si>
    <t>Recast and Adjustments Schedule ($000s)</t>
  </si>
  <si>
    <t>Schedule</t>
  </si>
  <si>
    <t>Monthly ($000s)</t>
  </si>
  <si>
    <t>Ref</t>
  </si>
  <si>
    <t>Adjustment</t>
  </si>
  <si>
    <t>Tier</t>
  </si>
  <si>
    <t>Category</t>
  </si>
  <si>
    <t>Source document</t>
  </si>
  <si>
    <t>Evidence</t>
  </si>
  <si>
    <t>Status</t>
  </si>
  <si>
    <t>In CIM</t>
  </si>
  <si>
    <t>P&amp;L line</t>
  </si>
  <si>
    <t>PF method</t>
  </si>
  <si>
    <t>Interest expense</t>
  </si>
  <si>
    <t>Definitional</t>
  </si>
  <si>
    <t>Interest</t>
  </si>
  <si>
    <t>Adds back interest on the Company's debt, $14.3K in FY2025, per the P&amp;L Interest Expense account.</t>
  </si>
  <si>
    <t>P&amp;L, account Interest Expense</t>
  </si>
  <si>
    <t>Documented</t>
  </si>
  <si>
    <t>Accepted</t>
  </si>
  <si>
    <t>Income taxes</t>
  </si>
  <si>
    <t>Taxes</t>
  </si>
  <si>
    <t>None: the Company is a pass-through entity, so income tax is paid by the owner and the ladder shows a dash.</t>
  </si>
  <si>
    <t>P&amp;L (no such account)</t>
  </si>
  <si>
    <t>Depreciation and amortization</t>
  </si>
  <si>
    <t>D&amp;A</t>
  </si>
  <si>
    <t>Adds back depreciation and amortization, $72.4K in FY2025, per the P&amp;L Depreciation Expense account.</t>
  </si>
  <si>
    <t>P&amp;L, account Depreciation Expense</t>
  </si>
  <si>
    <t>Owner's personal vehicle</t>
  </si>
  <si>
    <t>Normalization</t>
  </si>
  <si>
    <t>Personal / discretionary</t>
  </si>
  <si>
    <t>Removes the owner's personal vehicle costs coded to Vehicle Expenses, $18.0K in FY2025, per the seller's add-back list.</t>
  </si>
  <si>
    <t>Seller add-back list; P&amp;L account Vehicle Expenses</t>
  </si>
  <si>
    <t>Management representation</t>
  </si>
  <si>
    <t>Legal fees: settled customer dispute</t>
  </si>
  <si>
    <t>Non-recurring</t>
  </si>
  <si>
    <t>Removes the one-time cost of settling a customer dispute, $24.0K in FY2024, visible as the spike in Legal &amp; Professional Fees ($38.9K against $16.4K and $17.2K in the adjacent years).</t>
  </si>
  <si>
    <t>Seller add-back list; settlement agreement; P&amp;L account Legal &amp; Professional Fees</t>
  </si>
  <si>
    <t>Owner family phones and meals</t>
  </si>
  <si>
    <t>Removes family phone lines and personal meals expensed through the Company, $6.0K in FY2025, per the seller's add-back list.</t>
  </si>
  <si>
    <t>Seller add-back list</t>
  </si>
  <si>
    <t>Charitable contributions</t>
  </si>
  <si>
    <t>Removes discretionary charitable giving, $7.5K in FY2025, equal to the P&amp;L Charitable Contributions account.</t>
  </si>
  <si>
    <t>Seller add-back list; P&amp;L account Charitable Contributions</t>
  </si>
  <si>
    <t>Interest income (non-operating)</t>
  </si>
  <si>
    <t>Non-operating</t>
  </si>
  <si>
    <t>Removes interest income, $3.1K in FY2025, which is non-operating income, per the P&amp;L Interest Income account.</t>
  </si>
  <si>
    <t>P&amp;L, account Interest Income</t>
  </si>
  <si>
    <t>Vehicle expenses (for review)</t>
  </si>
  <si>
    <t>Flagged for review: Vehicle costs may include the owner's personal use beyond the $51.0K already listed (FY2023, FY2024, FY2025). Account total $101.2K in FY2025. Amount 0 until an advisor enters it.</t>
  </si>
  <si>
    <t>P&amp;L account Vehicle Expenses</t>
  </si>
  <si>
    <t>To be requested</t>
  </si>
  <si>
    <t>Proposed</t>
  </si>
  <si>
    <t>Fuel (for review)</t>
  </si>
  <si>
    <t>Flagged for review: Vehicle costs may include the owner's personal use. Account total $58.8K in FY2025. Amount 0 until an advisor enters it.</t>
  </si>
  <si>
    <t>P&amp;L account Fuel</t>
  </si>
  <si>
    <t>Legal &amp; professional fees (for review)</t>
  </si>
  <si>
    <t>Flagged for review: Check for one-time legal or consulting work beyond the $24.0K already listed (FY2024). Account total $17.2K in FY2025. Amount 0 until an advisor enters it.</t>
  </si>
  <si>
    <t>P&amp;L account Legal &amp; Professional Fees</t>
  </si>
  <si>
    <t>Meals &amp; entertainment (for review)</t>
  </si>
  <si>
    <t>Flagged for review: Meals &amp; entertainment are often partly personal. Account total $12.6K in FY2025. Amount 0 until an advisor enters it.</t>
  </si>
  <si>
    <t>P&amp;L account Meals &amp; Entertainment</t>
  </si>
  <si>
    <t>Owner compensation</t>
  </si>
  <si>
    <t>Adds back the owner's salary as paid, $200.0K in FY2025, per the P&amp;L Officer Compensation account.</t>
  </si>
  <si>
    <t>P&amp;L, account Payroll Expenses : Officer Compensation</t>
  </si>
  <si>
    <t>Market replacement compensation</t>
  </si>
  <si>
    <t>Replacement cost</t>
  </si>
  <si>
    <t>Deducts a general manager at the $95,000 market salary, plus payroll taxes and benefits at 15% of salary, $109,250 a year.</t>
  </si>
  <si>
    <t>Request list owner_replacement_salary ($95,000); intake notes: $95,000; AMB default 15% for payroll taxes and benefits; confirm with the Seller</t>
  </si>
  <si>
    <t>Capital reserve (maintenance capex)</t>
  </si>
  <si>
    <t>Capital reserve</t>
  </si>
  <si>
    <t>Deducts a reserve for equipment replacement of $66,800 a year, equal to the three-year average of depreciation expense, FY2023–FY2025.</t>
  </si>
  <si>
    <t>P&amp;L, account Depreciation Expense, FY2023–FY2025</t>
  </si>
  <si>
    <t>Payroll taxes and benefits on owner compensation</t>
  </si>
  <si>
    <t>Adds back employer payroll taxes on Mark Delaney's salary at statutory rates, $13.9K in FY2025 (Social Security to the $176,100 wage base, Medicare, federal unemployment); the P&amp;L carries them in payroll. Owner benefits and state unemployment are not included.</t>
  </si>
  <si>
    <t>Statutory rates on the P&amp;L Payroll Expenses : Officer Compensation account; payroll register employer detail to be requested</t>
  </si>
  <si>
    <t>After-hours emergency plumbing</t>
  </si>
  <si>
    <t>Memo</t>
  </si>
  <si>
    <t>Other consideration</t>
  </si>
  <si>
    <t>Calls after 7 pm are turned away today; no revenue from an after-hours service is included in any figure above, per management.</t>
  </si>
  <si>
    <t>intake-notes.md (intake call; request received 2026-09-21)</t>
  </si>
  <si>
    <t>Note: a positive amount increases EBITDA. Refs number by tier in row order (insert a row and every ref renumbers). Status is an input: the ladder on Adj. EBITDA lists the rows accepted when the bot wrote the workbook (rerun the bot after changing a status to add a rung); a row set to Proposed, Supported or Excluded here drops out of every total at once. Rows with months carry each fiscal year by the named account's monthly shape (a one-time item in the months the account ran above its median, typed as inputs), so YTD and LTM take those months; rows without months are prorated by fiscal-year months in the window.</t>
  </si>
  <si>
    <t>Figures by period</t>
  </si>
  <si>
    <t>Ladder totals by tier (accepted rows)</t>
  </si>
  <si>
    <t>Definitional [D]</t>
  </si>
  <si>
    <t>Normalization [N]</t>
  </si>
  <si>
    <t>Owner compensation [S1]</t>
  </si>
  <si>
    <t>Capital reserve [S3]</t>
  </si>
  <si>
    <t>Pro forma [PF]</t>
  </si>
  <si>
    <t>Memo (listed, never added) [M]</t>
  </si>
  <si>
    <t>Revenue by Line ($000s)</t>
  </si>
  <si>
    <t>LTM Monthly Revenue</t>
  </si>
  <si>
    <t>Revenue ($000s)</t>
  </si>
  <si>
    <t>Total Recurring Revenue</t>
  </si>
  <si>
    <t>Revenue % Total Revenue</t>
  </si>
  <si>
    <t>Revenue % Growth</t>
  </si>
  <si>
    <t>Revenue Growth</t>
  </si>
  <si>
    <t>Check: strip less Monthly P&amp;L (C34)</t>
  </si>
  <si>
    <t>Check: strip months to as-of date (C35)</t>
  </si>
  <si>
    <t>Note: strip cells link to Monthly P&amp;L; growth is year over year in the summary block and month over month in the strip (n.a. where there is no denominator). The LTM and PF columns at the head of the strip link to the summary block; the hidden column left of the strip holds the month before the LTM start so the first month's growth has a denominator.</t>
  </si>
  <si>
    <t>Revenue Charts ($000s)</t>
  </si>
  <si>
    <t>Total revenue by month, net of discounts and refunds. Source: Monthly P&amp;L.</t>
  </si>
  <si>
    <t>Each revenue line, discounts and refunds below the axis; each bar stacks to total revenue. Source: Monthly P&amp;L.</t>
  </si>
  <si>
    <t>Chart Data</t>
  </si>
  <si>
    <t>Chart Total</t>
  </si>
  <si>
    <t>Source Total</t>
  </si>
  <si>
    <t>Diff</t>
  </si>
  <si>
    <t>Month</t>
  </si>
  <si>
    <t>Axis Label</t>
  </si>
  <si>
    <t>MC-R1: Monthly Total Revenue</t>
  </si>
  <si>
    <t>MC-R2: Monthly Revenue by Line</t>
  </si>
  <si>
    <t>Discounts and refunds</t>
  </si>
  <si>
    <t>Cost of Revenue and Operating Expenses ($000s)</t>
  </si>
  <si>
    <t>LTM Monthly Expenses</t>
  </si>
  <si>
    <t>Expenses</t>
  </si>
  <si>
    <t>Expenses ($000s)</t>
  </si>
  <si>
    <t>Expenses % Total Revenue</t>
  </si>
  <si>
    <t>Expenses % Growth</t>
  </si>
  <si>
    <t>Total Expense Growth</t>
  </si>
  <si>
    <t>Expense Charts ($000s, %)</t>
  </si>
  <si>
    <t>Salaries, wages and benefits, excluding owner compensation. Ratio panel: payroll ÷ total revenue, same months. Source: Monthly P&amp;L.</t>
  </si>
  <si>
    <t>The largest operating expense account outside payroll over the last twelve months. Ratio panel: vehicle expenses ÷ total revenue, same months. Source: Databook.</t>
  </si>
  <si>
    <t>MC-E1: Monthly Payroll</t>
  </si>
  <si>
    <t>Payroll % of Revenue</t>
  </si>
  <si>
    <t>MC-E4: Monthly Vehicle Expenses</t>
  </si>
  <si>
    <t>Vehicle Expenses</t>
  </si>
  <si>
    <t>% of Revenue</t>
  </si>
  <si>
    <t>Customer Overview: Mix by Type, FY2025 (#, $)</t>
  </si>
  <si>
    <t>Mix by type (FY2025)</t>
  </si>
  <si>
    <t>Type</t>
  </si>
  <si>
    <t>Customers (#)</t>
  </si>
  <si>
    <t>% of Count</t>
  </si>
  <si>
    <t>Revenue ($)</t>
  </si>
  <si>
    <t>Avg. Revenue ($)</t>
  </si>
  <si>
    <t>Property manager</t>
  </si>
  <si>
    <t>Restaurant group</t>
  </si>
  <si>
    <t>Office building</t>
  </si>
  <si>
    <t>Retail</t>
  </si>
  <si>
    <t>Medical office</t>
  </si>
  <si>
    <t>Church or nonprofit</t>
  </si>
  <si>
    <t>School or daycare</t>
  </si>
  <si>
    <t>Residential landlord</t>
  </si>
  <si>
    <t>Residential households and maintenance-agreement members (not listed individually)</t>
  </si>
  <si>
    <t>Total</t>
  </si>
  <si>
    <t>Tie-out and facts</t>
  </si>
  <si>
    <t>Customers active at the as-of date (#)</t>
  </si>
  <si>
    <t>Customer list revenue FY2025 incl. residual ($)</t>
  </si>
  <si>
    <t>P&amp;L revenue FY2025 ($)</t>
  </si>
  <si>
    <t>Check: variance (flag above 2%)</t>
  </si>
  <si>
    <t>Note: mix measured over FY2025; a customer counts when it had revenue in the window or is active at the as-of date. Revenue by fiscal year is prorated into the window by the helper shares below the print area when the window is not a fiscal year. Households and members not listed individually sit in the residual line so the total ties to the P&amp;L (check C12).</t>
  </si>
  <si>
    <t>Helper: window share of each fiscal year</t>
  </si>
  <si>
    <t>FY2023</t>
  </si>
  <si>
    <t>FY2024</t>
  </si>
  <si>
    <t>FY2025</t>
  </si>
  <si>
    <t>Helper: coded customers in the mix (#)</t>
  </si>
  <si>
    <t>Customer Retention: Count and Dollar Roll-Forwards (#, $)</t>
  </si>
  <si>
    <t>LTM Monthly Customers</t>
  </si>
  <si>
    <t>Customer Count</t>
  </si>
  <si>
    <t>Customer count roll-forward</t>
  </si>
  <si>
    <t>Starting Count</t>
  </si>
  <si>
    <t>(+) New Customers</t>
  </si>
  <si>
    <t>(-) Regrettable Losses</t>
  </si>
  <si>
    <t>(-) Non-Regrettable Losses</t>
  </si>
  <si>
    <t>(-) Unclassified Losses</t>
  </si>
  <si>
    <t>(-) Total Customer Losses</t>
  </si>
  <si>
    <t>Ending Count</t>
  </si>
  <si>
    <t>Avg. Customers</t>
  </si>
  <si>
    <t>New Customer Growth</t>
  </si>
  <si>
    <t>Customer Churn</t>
  </si>
  <si>
    <t>Dollar roll-forward, listed customers ($, fiscal years)</t>
  </si>
  <si>
    <t>Starting Revenue (customers active at year start)</t>
  </si>
  <si>
    <t>(-) Churn</t>
  </si>
  <si>
    <t>(-) Downsell</t>
  </si>
  <si>
    <t>(+) Upsell</t>
  </si>
  <si>
    <t>(+) New</t>
  </si>
  <si>
    <t>Ending Revenue (customers active at year end)</t>
  </si>
  <si>
    <t>(+) In-year revenue of customers lost in the year</t>
  </si>
  <si>
    <t>Listed customer revenue</t>
  </si>
  <si>
    <t>Gross Dollar Retention</t>
  </si>
  <si>
    <t>Net Dollar Retention</t>
  </si>
  <si>
    <t>Check: listed revenue less Raw - Customers</t>
  </si>
  <si>
    <t>Median tenure of active customers (years)</t>
  </si>
  <si>
    <t>Note: counts are COUNTIFS over the raw customer list by start and end date; a customer is active from its start date until the day before its end date, the day its loss is booked. Churn = losses ÷ average customers. The dollar roll-forward compares each customer's revenue with the prior fiscal year (helper block below the print area); GDR excludes upsell, NDR includes it. Strip months end at the as-of date.</t>
  </si>
  <si>
    <t>Helper: dollar roll-forward by customer (grey; outside the print area)</t>
  </si>
  <si>
    <t>Code</t>
  </si>
  <si>
    <t>Start</t>
  </si>
  <si>
    <t>End</t>
  </si>
  <si>
    <t>Tenure (yrs)</t>
  </si>
  <si>
    <t>FY2023 Prev rev</t>
  </si>
  <si>
    <t>FY2023 Cur rev</t>
  </si>
  <si>
    <t>FY2023 Active at start</t>
  </si>
  <si>
    <t>FY2023 Lost in year</t>
  </si>
  <si>
    <t>FY2023 Started in year</t>
  </si>
  <si>
    <t>FY2023 Starting</t>
  </si>
  <si>
    <t>FY2023 Churn</t>
  </si>
  <si>
    <t>FY2023 Downsell</t>
  </si>
  <si>
    <t>FY2023 Upsell</t>
  </si>
  <si>
    <t>FY2024 Prev rev</t>
  </si>
  <si>
    <t>FY2024 Cur rev</t>
  </si>
  <si>
    <t>FY2024 Active at start</t>
  </si>
  <si>
    <t>FY2024 Lost in year</t>
  </si>
  <si>
    <t>FY2024 Started in year</t>
  </si>
  <si>
    <t>FY2024 Starting</t>
  </si>
  <si>
    <t>FY2024 Churn</t>
  </si>
  <si>
    <t>FY2024 Downsell</t>
  </si>
  <si>
    <t>FY2024 Upsell</t>
  </si>
  <si>
    <t>FY2025 Prev rev</t>
  </si>
  <si>
    <t>FY2025 Cur rev</t>
  </si>
  <si>
    <t>FY2025 Active at start</t>
  </si>
  <si>
    <t>FY2025 Lost in year</t>
  </si>
  <si>
    <t>FY2025 Started in year</t>
  </si>
  <si>
    <t>FY2025 Starting</t>
  </si>
  <si>
    <t>FY2025 Churn</t>
  </si>
  <si>
    <t>FY2025 Downsell</t>
  </si>
  <si>
    <t>FY2025 Upsell</t>
  </si>
  <si>
    <t>C-001</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</si>
  <si>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</si>
  <si>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</si>
  <si>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</si>
  <si>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</si>
  <si>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</si>
  <si>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</si>
  <si>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</si>
  <si>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</si>
  <si>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</si>
  <si>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</si>
  <si>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</si>
  <si>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</si>
  <si>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</si>
  <si>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</si>
  <si>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</si>
  <si>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</si>
  <si>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</si>
  <si>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</si>
  <si>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</si>
  <si>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</si>
  <si>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</si>
  <si>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</si>
  <si>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</si>
  <si>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</si>
  <si>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</si>
  <si>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</si>
  <si>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</si>
  <si>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</si>
  <si>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</si>
  <si>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</si>
  <si>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</si>
  <si>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</si>
  <si>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</si>
  <si>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</si>
  <si>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</si>
  <si>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</si>
  <si>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</si>
  <si>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</si>
  <si>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</si>
  <si>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</si>
  <si>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</si>
  <si>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</si>
  <si>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</si>
  <si>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</si>
  <si>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</si>
  <si>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</si>
  <si>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</si>
  <si>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</si>
  <si>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</si>
  <si>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</si>
  <si>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</si>
  <si>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</si>
  <si>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</si>
  <si>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</si>
  <si>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</si>
  <si>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</si>
  <si>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</si>
  <si>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</si>
  <si>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</si>
  <si>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</si>
  <si>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</si>
  <si>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Retention Charts (#)</t>
  </si>
  <si>
    <t>Wins start in the month (first invoice or contract start); losses end in it, shown below the axis. Source: Raw - Customers.</t>
  </si>
  <si>
    <t>Losses by the reason coded on the customer list; regrettable losses sit against the axis. Source: Raw - Customers.</t>
  </si>
  <si>
    <t>Customers coded "Office building" on the customer list (20% or more of accounts). Source: Raw - Customers.</t>
  </si>
  <si>
    <t>MC-C1: Monthly Customer Wins and Losses</t>
  </si>
  <si>
    <t>New Customers</t>
  </si>
  <si>
    <t>Lost Customers</t>
  </si>
  <si>
    <t>MC-C2: Monthly Customer Losses by Churn Type</t>
  </si>
  <si>
    <t>Regrettable Losses</t>
  </si>
  <si>
    <t>Non-regrettable Losses</t>
  </si>
  <si>
    <t>Unclassified Losses</t>
  </si>
  <si>
    <t>MC-C4: Monthly Office Building Wins and Losses</t>
  </si>
  <si>
    <t>Customer Concentration: Top 20, FY2025 ($)</t>
  </si>
  <si>
    <t>Top 20 Customers (FY2025)</t>
  </si>
  <si>
    <t>% of Total</t>
  </si>
  <si>
    <t>Cumulative %</t>
  </si>
  <si>
    <t>Tenure (Yrs.)</t>
  </si>
  <si>
    <t>Top 20</t>
  </si>
  <si>
    <t>(+) Remaining</t>
  </si>
  <si>
    <t>Shares</t>
  </si>
  <si>
    <t>Largest customer, % of revenue</t>
  </si>
  <si>
    <t>Note: customers are coded C-001 onward in order of revenue; names stay on the raw tab. Tenure is measured from the start date to the as-of date and is never negative. The total is the customer list plus the residual bucket, which ties to P&amp;L revenue (check C12).</t>
  </si>
  <si>
    <t>Customer Cohorts by Start Fiscal Year (#, $)</t>
  </si>
  <si>
    <t>Cohort</t>
  </si>
  <si>
    <t>Active at fiscal year-end (#)</t>
  </si>
  <si>
    <t>Start (fiscal year)</t>
  </si>
  <si>
    <t>Size (#)</t>
  </si>
  <si>
    <t>Before 2021</t>
  </si>
  <si>
    <t>Total active at year-end</t>
  </si>
  <si>
    <t>Check: active customers less cohorts</t>
  </si>
  <si>
    <t>Retention (% of cohort size)</t>
  </si>
  <si>
    <t>Revenue by cohort ($)</t>
  </si>
  <si>
    <t>Year 1 ($)</t>
  </si>
  <si>
    <t>Check: listed revenue less cohorts</t>
  </si>
  <si>
    <t>Note: a cohort is the fiscal year of the customer's start date; retained means active at that fiscal year-end. Starts before FY2021 share the first row. Every dated customer sits in one row, so each year's total equals the active count on Customer Retention and the listed revenue (residual excluded); the check rows prove it. Year 1 is the cohort's revenue in its first fiscal year inside the history.</t>
  </si>
  <si>
    <t>Headcount by Department at 12/31/25, Compensation FY2025 (#, $)</t>
  </si>
  <si>
    <t>By department</t>
  </si>
  <si>
    <t>Department</t>
  </si>
  <si>
    <t>Count (#)</t>
  </si>
  <si>
    <t>Total Comp ($)</t>
  </si>
  <si>
    <t>Avg. Comp ($)</t>
  </si>
  <si>
    <t>Avg. Tenure (Yrs.)</t>
  </si>
  <si>
    <t>Field?</t>
  </si>
  <si>
    <t>Field service</t>
  </si>
  <si>
    <t>Yes</t>
  </si>
  <si>
    <t>Installation</t>
  </si>
  <si>
    <t>Office</t>
  </si>
  <si>
    <t>No</t>
  </si>
  <si>
    <t>Management</t>
  </si>
  <si>
    <t>Total (non-owner)</t>
  </si>
  <si>
    <t>Load ratios (LTM Dec-25 revenue; headcount at 12/31/25)</t>
  </si>
  <si>
    <t>Field employees (#)</t>
  </si>
  <si>
    <t>Revenue per field employee ($)</t>
  </si>
  <si>
    <t>Employee roll-forward (non-owner, #)</t>
  </si>
  <si>
    <t>Roll-forward</t>
  </si>
  <si>
    <t>(+) Hires</t>
  </si>
  <si>
    <t>(-) Resignations</t>
  </si>
  <si>
    <t>(-) Terminations</t>
  </si>
  <si>
    <t>(-) Unclassified Departures</t>
  </si>
  <si>
    <t>Tenure at departure (non-owner, #)</t>
  </si>
  <si>
    <t>First 3 Months</t>
  </si>
  <si>
    <t>3 - 6 Months</t>
  </si>
  <si>
    <t>6 - 12 Months</t>
  </si>
  <si>
    <t>1 - 2 Years</t>
  </si>
  <si>
    <t>Over 2 Years</t>
  </si>
  <si>
    <t>Total Departures</t>
  </si>
  <si>
    <t>Payroll tie-out and employer costs, FY2025</t>
  </si>
  <si>
    <t>Payroll register: staff wages ($)</t>
  </si>
  <si>
    <t>P&amp;L wage accounts ($)</t>
  </si>
  <si>
    <t>Check: variance, % of P&amp;L wages (flag &gt; 5%)</t>
  </si>
  <si>
    <t>P&amp;L payroll taxes and benefits ($)</t>
  </si>
  <si>
    <t>(-) Owner's employer payroll taxes [S4] ($)</t>
  </si>
  <si>
    <t>Staff employer costs, pro rata to wages ($)</t>
  </si>
  <si>
    <t>Note: counts are non-owner FTE on payroll at the as-of date (hired on or before it, not terminated on or before it). Compensation is the fiscal year's wages plus employer taxes and benefits (the P&amp;L's, less the owner's, allocated pro rata to wages in the block above); the average divides it by the year's average FTE, so leavers count for the months they were paid. Names stay on Raw - Payroll; management names reach the CIM only through the intake notes.</t>
  </si>
  <si>
    <t>Helper: tenure by employee (outside the print area)</t>
  </si>
  <si>
    <t>ID</t>
  </si>
  <si>
    <t>Owner?</t>
  </si>
  <si>
    <t>Hire date</t>
  </si>
  <si>
    <t>Termination date</t>
  </si>
  <si>
    <t>FTE</t>
  </si>
  <si>
    <t>Tenure at as-of (yrs)</t>
  </si>
  <si>
    <t>Months at departure</t>
  </si>
  <si>
    <t>FTE-years in FY2025</t>
  </si>
  <si>
    <t>E-01</t>
  </si>
  <si>
    <t>E-02</t>
  </si>
  <si>
    <t>E-03</t>
  </si>
  <si>
    <t>E-04</t>
  </si>
  <si>
    <t>E-05</t>
  </si>
  <si>
    <t>E-06</t>
  </si>
  <si>
    <t>E-07</t>
  </si>
  <si>
    <t>E-08</t>
  </si>
  <si>
    <t>E-09</t>
  </si>
  <si>
    <t>E-10</t>
  </si>
  <si>
    <t>E-11</t>
  </si>
  <si>
    <t>E-12</t>
  </si>
  <si>
    <t>E-13</t>
  </si>
  <si>
    <t>E-14</t>
  </si>
  <si>
    <t>E-15</t>
  </si>
  <si>
    <t>E-16</t>
  </si>
  <si>
    <t>E-17</t>
  </si>
  <si>
    <t>E-18</t>
  </si>
  <si>
    <t>E-19</t>
  </si>
  <si>
    <t>E-20</t>
  </si>
  <si>
    <t>E-21</t>
  </si>
  <si>
    <t>E-22</t>
  </si>
  <si>
    <t>E-23</t>
  </si>
  <si>
    <t>E-24</t>
  </si>
  <si>
    <t>E-25</t>
  </si>
  <si>
    <t>E-26</t>
  </si>
  <si>
    <t>E-27</t>
  </si>
  <si>
    <t>E-28</t>
  </si>
  <si>
    <t>E-29</t>
  </si>
  <si>
    <t>Headcount Charts (#)</t>
  </si>
  <si>
    <t>Non-owner employees by hire and termination date; departures below the axis. Source: Raw - Payroll.</t>
  </si>
  <si>
    <t>Departures by the termination type on the register; resignations sit against the axis. Source: Raw - Payroll.</t>
  </si>
  <si>
    <t>Non-owner employees in field service (20% or more of headcount at the as-of date). Source: Raw - Payroll.</t>
  </si>
  <si>
    <t>Tenure at Departure (#)</t>
  </si>
  <si>
    <t>Non-owner leavers over the whole register, by months from hire to termination. Source: Headcount.</t>
  </si>
  <si>
    <t>MC-H1: Monthly Hires and Departures</t>
  </si>
  <si>
    <t>Hires</t>
  </si>
  <si>
    <t>Departures</t>
  </si>
  <si>
    <t>MC-H2: Monthly Departures by Type</t>
  </si>
  <si>
    <t>Resignations</t>
  </si>
  <si>
    <t>Terminations</t>
  </si>
  <si>
    <t>MC-H3: Monthly Field Service Hires and Departures</t>
  </si>
  <si>
    <t>MC-H5: Tenure at Departure</t>
  </si>
  <si>
    <t>Balance Sheet ($000s)</t>
  </si>
  <si>
    <t>At statement date</t>
  </si>
  <si>
    <t>Balance Sheet</t>
  </si>
  <si>
    <t>Cash and Equivalents</t>
  </si>
  <si>
    <t>Accounts Receivable</t>
  </si>
  <si>
    <t>Inventory</t>
  </si>
  <si>
    <t>Prepaid and Other Current Assets</t>
  </si>
  <si>
    <t>Total Current Assets</t>
  </si>
  <si>
    <t>Fixed Assets, Net</t>
  </si>
  <si>
    <t>Other Long-Term Assets</t>
  </si>
  <si>
    <t>Total Assets</t>
  </si>
  <si>
    <t>Accounts Payable</t>
  </si>
  <si>
    <t>Accrued and Other Current Liabilities</t>
  </si>
  <si>
    <t>Total Current Liabilities</t>
  </si>
  <si>
    <t>Debt (incl. credit cards and current portion)</t>
  </si>
  <si>
    <t>Total Liabilities</t>
  </si>
  <si>
    <t>Total Equity</t>
  </si>
  <si>
    <t>Total Liabilities and Equity</t>
  </si>
  <si>
    <t>Check: Assets less Liabilities and Equity</t>
  </si>
  <si>
    <t>Detail within the categories above ($000s)</t>
  </si>
  <si>
    <t>Unbilled / WIP (in other current assets)</t>
  </si>
  <si>
    <t>Prepaid expenses (in other current assets)</t>
  </si>
  <si>
    <t>Accrued liabilities (in accrued and other)</t>
  </si>
  <si>
    <t>Deferred revenue (in accrued and other)</t>
  </si>
  <si>
    <t>Customer deposits (in accrued and other)</t>
  </si>
  <si>
    <t>Credit-card balances (in debt)</t>
  </si>
  <si>
    <t>Current portion of debt (in debt)</t>
  </si>
  <si>
    <t>Related-party payables (in accrued and other)</t>
  </si>
  <si>
    <t>Accrued interest (in accrued and other)</t>
  </si>
  <si>
    <t>Income taxes payable (in accrued and other)</t>
  </si>
  <si>
    <t>Accrued bonuses and payroll taxes (in accrued and other)</t>
  </si>
  <si>
    <t>Related-party receivables (in other current assets)</t>
  </si>
  <si>
    <t>Note: categories are SUMIFS of the Databook balance-sheet accounts at each statement date. Detail lines sum the Databook accounts the data layer classes into each line and feed the NWC tab; a line the source does not carry prints n.a., never zero. The check row must equal zero.</t>
  </si>
  <si>
    <t>Net Working Capital, Asset Purchase ($000s)</t>
  </si>
  <si>
    <t>Peg</t>
  </si>
  <si>
    <t>Transfers</t>
  </si>
  <si>
    <t>NWC</t>
  </si>
  <si>
    <t>Peg (n.a.)</t>
  </si>
  <si>
    <t>Latest</t>
  </si>
  <si>
    <t>Latest vs. Peg</t>
  </si>
  <si>
    <t>Treatment</t>
  </si>
  <si>
    <t>Retained by Seller</t>
  </si>
  <si>
    <t>Unbilled / WIP</t>
  </si>
  <si>
    <t>Total Current Assets (ex. Cash)</t>
  </si>
  <si>
    <t>Accrued Liabilities</t>
  </si>
  <si>
    <t>Deferred Revenue</t>
  </si>
  <si>
    <t>Assumed only if listed</t>
  </si>
  <si>
    <t>Customer Deposits</t>
  </si>
  <si>
    <t>Total Current Liabilities (ex. Debt)</t>
  </si>
  <si>
    <t>Reported NWC</t>
  </si>
  <si>
    <t>(-) / (+) Adjustments</t>
  </si>
  <si>
    <t>Adjusted NWC</t>
  </si>
  <si>
    <t>% of LTM Revenue</t>
  </si>
  <si>
    <t>Deferred Revenue % of LTM Revenue</t>
  </si>
  <si>
    <t>DSO (days)</t>
  </si>
  <si>
    <t>DIO (days)</t>
  </si>
  <si>
    <t>DPO (days)</t>
  </si>
  <si>
    <t>LTM revenue at date ($000s)</t>
  </si>
  <si>
    <t>LTM cost of revenue at date ($000s)</t>
  </si>
  <si>
    <t>Check: NWC lines less Balance Sheet (C08)</t>
  </si>
  <si>
    <t>Transferring NWC (inventory less customer deposits)</t>
  </si>
  <si>
    <t>Memo: seller-retained NWC (AR + unbilled + prepaids - AP - accrued)</t>
  </si>
  <si>
    <t>Note: Year-end balance sheets only: no peg (monthly balance sheets required, check C20). Deferred revenue and customer deposits are operating liabilities inside NWC (AMB default); adjustments remove the debt-like balances (related-party balances, accrued interest, income taxes, accrued bonuses and payroll taxes), which Debt-Like Items deducts instead (check C19). Books basis: accrual.</t>
  </si>
  <si>
    <t>Debt and Debt-Like Items at 12/31/25 ($000s)</t>
  </si>
  <si>
    <t>Debt-like items</t>
  </si>
  <si>
    <t>Item</t>
  </si>
  <si>
    <t>Balance ($000s)</t>
  </si>
  <si>
    <t>Payoff letter</t>
  </si>
  <si>
    <t>Note</t>
  </si>
  <si>
    <t>Vehicle loans</t>
  </si>
  <si>
    <t>Debt</t>
  </si>
  <si>
    <t>Balance sheet, Long-Term Liabilities : Vehicle Loans</t>
  </si>
  <si>
    <t>Confirmed</t>
  </si>
  <si>
    <t>Requested</t>
  </si>
  <si>
    <t>Retained by Seller; paid from proceeds at close</t>
  </si>
  <si>
    <t>SBA loan</t>
  </si>
  <si>
    <t>Balance sheet, Long-Term Liabilities : SBA Loan</t>
  </si>
  <si>
    <t>Business credit card</t>
  </si>
  <si>
    <t>Balance sheet, Current Liabilities : Credit Cards : Business Credit Card</t>
  </si>
  <si>
    <t>Repaid at or before closing</t>
  </si>
  <si>
    <t>Accrued payroll</t>
  </si>
  <si>
    <t>Balance sheet, Current Liabilities : Other Current Liabilities : Accrued Payroll</t>
  </si>
  <si>
    <t>In NWC (AMB default)</t>
  </si>
  <si>
    <t>Sales tax payable</t>
  </si>
  <si>
    <t>Balance sheet, Current Liabilities : Other Current Liabilities : Sales Tax Payable</t>
  </si>
  <si>
    <t>Customer deposits</t>
  </si>
  <si>
    <t>Balance sheet, Current Liabilities : Other Current Liabilities : Customer Deposits</t>
  </si>
  <si>
    <t>Funded debt (repaid at or before closing)</t>
  </si>
  <si>
    <t>Debt-like items (deducted from enterprise value)</t>
  </si>
  <si>
    <t>Memo: balances kept in NWC (AMB default)</t>
  </si>
  <si>
    <t>Memo: credit card balances within funded debt (unsecured)</t>
  </si>
  <si>
    <t>Standard list: not in the sources (open until diligence clears them)</t>
  </si>
  <si>
    <t>Lines of credit and revolvers</t>
  </si>
  <si>
    <t>Debt-like</t>
  </si>
  <si>
    <t>Not in the sources</t>
  </si>
  <si>
    <t>Open</t>
  </si>
  <si>
    <t>Confirm none outstanding at close (open-questions.md)</t>
  </si>
  <si>
    <t>PPP or EIDL balances</t>
  </si>
  <si>
    <t>Capital leases</t>
  </si>
  <si>
    <t>Shareholder loans</t>
  </si>
  <si>
    <t>Accrued interest</t>
  </si>
  <si>
    <t>Unpaid bonuses and payroll taxes</t>
  </si>
  <si>
    <t>Accrued income taxes</t>
  </si>
  <si>
    <t>Tax liens</t>
  </si>
  <si>
    <t>Deferred capex</t>
  </si>
  <si>
    <t>Aged payables over 90 days</t>
  </si>
  <si>
    <t>Related-party payables</t>
  </si>
  <si>
    <t>Known litigation</t>
  </si>
  <si>
    <t>Personal guarantees</t>
  </si>
  <si>
    <t>Memo only: never deducted; confirm with the seller</t>
  </si>
  <si>
    <t>Note: deferred revenue and customer deposits stay in NWC under the AMB default and appear here only as a memo (check C19). On an asset purchase every debt item is retained by the Seller and settled from proceeds at close with a written payoff letter.</t>
  </si>
  <si>
    <t>Historical Cash Flow, Indirect Method ($000s)</t>
  </si>
  <si>
    <t>Cash Flow</t>
  </si>
  <si>
    <t>(+) Depreciation and Amortization</t>
  </si>
  <si>
    <t>(Increase) / Decrease in Receivables</t>
  </si>
  <si>
    <t>(Increase) / Decrease in Inventory</t>
  </si>
  <si>
    <t>(Increase) / Decrease in Other Current Assets</t>
  </si>
  <si>
    <t>Increase / (Decrease) in Payables</t>
  </si>
  <si>
    <t>Increase / (Decrease) in Accrued and Other</t>
  </si>
  <si>
    <t>Cash from Operations</t>
  </si>
  <si>
    <t>Capital Expenditures (derived)</t>
  </si>
  <si>
    <t>Cash from Investing</t>
  </si>
  <si>
    <t>Net Borrowing / (Repayment)</t>
  </si>
  <si>
    <t>Owner Distributions (derived)</t>
  </si>
  <si>
    <t>Cash from Financing</t>
  </si>
  <si>
    <t>Net Change in Cash</t>
  </si>
  <si>
    <t>Beginning Cash</t>
  </si>
  <si>
    <t>Ending Cash</t>
  </si>
  <si>
    <t>Cash per Balance Sheet</t>
  </si>
  <si>
    <t>Check: Ending Cash less Balance Sheet Cash</t>
  </si>
  <si>
    <t>Free Cash Flow (CFO less Capex)</t>
  </si>
  <si>
    <t>Cash Conversion (FCF ÷ Reported EBITDA)</t>
  </si>
  <si>
    <t>Note: capex is derived from the change in net fixed assets plus depreciation; owner distributions are the change in equity not explained by net income. Both are estimates until the fixed-asset and equity roll-forwards are supplied.</t>
  </si>
  <si>
    <t>Proof of Cash: P&amp;L Revenue vs. Bank Deposits ($000s)</t>
  </si>
  <si>
    <t>Proof of cash</t>
  </si>
  <si>
    <t>P&amp;L Revenue</t>
  </si>
  <si>
    <t>Bank Deposits</t>
  </si>
  <si>
    <t>Variance ($)</t>
  </si>
  <si>
    <t>Variance (%)</t>
  </si>
  <si>
    <t>Flag (above the threshold)</t>
  </si>
  <si>
    <t>Check: deposits less revenue, % (flag above the threshold)</t>
  </si>
  <si>
    <t>Flag threshold (Checks tab, C14 tolerance)</t>
  </si>
  <si>
    <t>Note: deposits are the Operating lines of Raw - Bank, whose Classification column (an input) marks transfers, loan proceeds, owner contributions and reversals. A variance inside the threshold (5%, the C14 tolerance on the Checks tab) is consistent with timing of collections and sales tax; a larger one needs an explanation before the revenue figure is relied on.</t>
  </si>
  <si>
    <t>Projections: Driver-Based Income Statement, Balance Sheet and Cash Flow ($000s)</t>
  </si>
  <si>
    <t>Opening</t>
  </si>
  <si>
    <t>Projection</t>
  </si>
  <si>
    <t>Projections</t>
  </si>
  <si>
    <t>Other Income / (Expense), Net</t>
  </si>
  <si>
    <t>Capital Expenditures</t>
  </si>
  <si>
    <t>Debt Repayment</t>
  </si>
  <si>
    <t>Owner Distributions</t>
  </si>
  <si>
    <t>Note: driver-based defaults from the company's own history (growth fading to 3%, latest-year cost ratios, working-capital days from the balance sheet); replace the blue drivers on Assumptions with seller guidance. The opening balance sheet is the latest actual.</t>
  </si>
  <si>
    <t>Growth Opportunities: One Sizing Grid per Lever ($000s)</t>
  </si>
  <si>
    <t>Opportunity (seller-achievable levers only)</t>
  </si>
  <si>
    <t>Sizing ($000s)</t>
  </si>
  <si>
    <t>Lever</t>
  </si>
  <si>
    <t>Baseline (per notes)</t>
  </si>
  <si>
    <t>Target or benchmark</t>
  </si>
  <si>
    <t>Mechanism</t>
  </si>
  <si>
    <t>Proof point</t>
  </si>
  <si>
    <t>Revenue uplift</t>
  </si>
  <si>
    <t>Margin (%)</t>
  </si>
  <si>
    <t>EBITDA effect</t>
  </si>
  <si>
    <t>Raise maintenance-agreement penetration</t>
  </si>
  <si>
    <t>Agreements are offered on about 35% of service calls</t>
  </si>
  <si>
    <t>[Confirm: benchmark or management target]</t>
  </si>
  <si>
    <t>Offer the agreement on every service call; each new member adds two tune-ups a year and priority-scheduled repair work</t>
  </si>
  <si>
    <t>Add after-hours emergency plumbing</t>
  </si>
  <si>
    <t>Calls after 7 pm are turned away today</t>
  </si>
  <si>
    <t>Staff an on-call rotation so after-hours calls are served rather than turned away</t>
  </si>
  <si>
    <t>Expand commercial preventive-maintenance contracts</t>
  </si>
  <si>
    <t>Two property managers have asked for quotes on additional buildings</t>
  </si>
  <si>
    <t>Quote and sign the buildings already requested by existing property-manager customers</t>
  </si>
  <si>
    <t>Paid digital marketing</t>
  </si>
  <si>
    <t>Little paid digital marketing today; most leads are referrals and Google reviews</t>
  </si>
  <si>
    <t>Add paid search and local service ads on top of the referral and review base</t>
  </si>
  <si>
    <t>Second location in the Dayton market</t>
  </si>
  <si>
    <t>Discussed but never pursued</t>
  </si>
  <si>
    <t>Open a second dispatch base to serve the Dayton market</t>
  </si>
  <si>
    <t>Note: the revenue uplift is a blue input the advisor sizes with the seller (baseline × lever, or benchmark gap × penetration ramp); it is zero until entered and never reaches the CIM as a projection. The contribution margin defaults to the latest gross margin.</t>
  </si>
  <si>
    <t>Valuation and Financing, Internal ($000s)</t>
  </si>
  <si>
    <t>Case</t>
  </si>
  <si>
    <t>Basis / source</t>
  </si>
  <si>
    <t>Valuation</t>
  </si>
  <si>
    <t>Earnings basis</t>
  </si>
  <si>
    <t>LTM Dec-25</t>
  </si>
  <si>
    <t>Ladder figures at PF Dec-25 (pro forma)</t>
  </si>
  <si>
    <t>P&amp;L Summary</t>
  </si>
  <si>
    <t>Adj. EBITDA ladder</t>
  </si>
  <si>
    <t>SDE</t>
  </si>
  <si>
    <t>Pro forma earnings by case (LTM Dec-25, scenario block)</t>
  </si>
  <si>
    <t>LTM Dec-25 × (1 + revenue growth)</t>
  </si>
  <si>
    <t>By the case's method on Assumptions</t>
  </si>
  <si>
    <t>(+) / (-) Change in EBITDA vs. LTM Dec-25</t>
  </si>
  <si>
    <t>Other lines and the schedule held at the base window</t>
  </si>
  <si>
    <t>SDE (pro forma case)</t>
  </si>
  <si>
    <t>LTM Dec-25 SDE from the ladder plus the change</t>
  </si>
  <si>
    <t>Business valuation</t>
  </si>
  <si>
    <t>Pro forma case above</t>
  </si>
  <si>
    <t>(x) Valuation Multiple</t>
  </si>
  <si>
    <t>Business Valuation</t>
  </si>
  <si>
    <t>(+) Deferred Capex / Renovation</t>
  </si>
  <si>
    <t>Assumptions, scenario block</t>
  </si>
  <si>
    <t>Rounded to the nearest $10</t>
  </si>
  <si>
    <t>Implied SDE Multiple</t>
  </si>
  <si>
    <t>Implied Adj. EBITDA Multiple</t>
  </si>
  <si>
    <t>Financing: SBA-only illustration</t>
  </si>
  <si>
    <t>Purchase Price</t>
  </si>
  <si>
    <t>= Total Investment</t>
  </si>
  <si>
    <t>(-) Equity Injection</t>
  </si>
  <si>
    <t>Assumptions, scenario block: SBA 7(a) minimum 10%</t>
  </si>
  <si>
    <t>Loan Principal</t>
  </si>
  <si>
    <t>Never below zero (check C28)</t>
  </si>
  <si>
    <t>Term (Years)</t>
  </si>
  <si>
    <t>Interest Rate</t>
  </si>
  <si>
    <t>Annual Debt Service</t>
  </si>
  <si>
    <t>= -PMT(rate/12, term × 12, principal) × 12</t>
  </si>
  <si>
    <t>(-) Market Replacement Compensation</t>
  </si>
  <si>
    <t>Ladder [S2] at the case's replacement salary</t>
  </si>
  <si>
    <t>(-) Capital Reserve</t>
  </si>
  <si>
    <t>Ladder [S3] at the case's reserve</t>
  </si>
  <si>
    <t>Cash Flow Available for Debt Service</t>
  </si>
  <si>
    <t>The case's SDE less the two deductions above</t>
  </si>
  <si>
    <t>DSCR (SBA loan only)</t>
  </si>
  <si>
    <t>DSCR, Reference structure (with seller note)</t>
  </si>
  <si>
    <t>Implied multiples (Total Investment ÷ measure)</t>
  </si>
  <si>
    <t>x Reported EBITDA</t>
  </si>
  <si>
    <t>x Adj. EBITDA</t>
  </si>
  <si>
    <t>x PF Adj. EBITDA</t>
  </si>
  <si>
    <t>x SDE</t>
  </si>
  <si>
    <t>x LTM Revenue</t>
  </si>
  <si>
    <t>Enterprise value to equity value</t>
  </si>
  <si>
    <t>Enterprise Value</t>
  </si>
  <si>
    <t>(-) Funded Debt</t>
  </si>
  <si>
    <t>Debt-Like Items, at Dec-25</t>
  </si>
  <si>
    <t>(-) Debt-Like Items</t>
  </si>
  <si>
    <t>Asset purchase: retained by the Seller</t>
  </si>
  <si>
    <t>(+) Cash (if delivered)</t>
  </si>
  <si>
    <t>Asset purchase: the Seller keeps its cash outside the price</t>
  </si>
  <si>
    <t>(+) / (-) NWC Delivered vs. Peg</t>
  </si>
  <si>
    <t>Asset purchase: no peg; the Seller keeps receivables and payables</t>
  </si>
  <si>
    <t>Equity Value to Seller</t>
  </si>
  <si>
    <t>Note: Main Street mode: SDE × multiple (IBBA basis SBA lenders underwrite). Multiples are placeholders until the licensed comps source is applied (Assumptions). A DSCR below the hurdle on Assumptions is flagged in the basis column, never coloured. Nothing on this tab enters the CIM.</t>
  </si>
  <si>
    <t>Deal Structure: Structure 1, Traditional, Asset Purchase ($000s)</t>
  </si>
  <si>
    <t>Structure 1</t>
  </si>
  <si>
    <t>Term</t>
  </si>
  <si>
    <t>Reference</t>
  </si>
  <si>
    <t>Structure summary</t>
  </si>
  <si>
    <t>Total Valuation</t>
  </si>
  <si>
    <t>Cash at Close</t>
  </si>
  <si>
    <t>Seller Note</t>
  </si>
  <si>
    <t>Seller Note Contingencies</t>
  </si>
  <si>
    <t>None</t>
  </si>
  <si>
    <t>Earnout (if applicable)</t>
  </si>
  <si>
    <t>Escrow</t>
  </si>
  <si>
    <t>Retention Holdback</t>
  </si>
  <si>
    <t>Assets purchased free and clear; the Seller retains cash, receivables and payables</t>
  </si>
  <si>
    <t>Working Capital</t>
  </si>
  <si>
    <t>Asset vs. Stock Sale</t>
  </si>
  <si>
    <t>Target Timing</t>
  </si>
  <si>
    <t>Inputs (from Assumptions)</t>
  </si>
  <si>
    <t>Purchase Price (Valuation Mid)</t>
  </si>
  <si>
    <t>Valuation tab, Mid case</t>
  </si>
  <si>
    <t>Indemnity Escrow</t>
  </si>
  <si>
    <t>10% of cash at close, held 15 months (LOI12 §7(h))</t>
  </si>
  <si>
    <t>Reconciliation Holdback</t>
  </si>
  <si>
    <t>One month of LTM payroll, per recent AMB offers</t>
  </si>
  <si>
    <t>Buyer Transaction Fees</t>
  </si>
  <si>
    <t>Structure Columns (#)</t>
  </si>
  <si>
    <t>Offer Comparison builds at two or more</t>
  </si>
  <si>
    <t>Buyer Equity Injection (% of uses)</t>
  </si>
  <si>
    <t>Sources and uses</t>
  </si>
  <si>
    <t>Uses</t>
  </si>
  <si>
    <t>% Total</t>
  </si>
  <si>
    <t>Purchase Price (EV)</t>
  </si>
  <si>
    <t>of which: funded to reconciliation escrow</t>
  </si>
  <si>
    <t>Memo: inside the Purchase Price; not added to Total Uses</t>
  </si>
  <si>
    <t>Transaction Fees</t>
  </si>
  <si>
    <t>Working Capital Funding</t>
  </si>
  <si>
    <t>Total Uses</t>
  </si>
  <si>
    <t>Sources</t>
  </si>
  <si>
    <t>Senior / SBA Loan</t>
  </si>
  <si>
    <t>Rollover Equity</t>
  </si>
  <si>
    <t>Buyer Equity</t>
  </si>
  <si>
    <t>Total Sources</t>
  </si>
  <si>
    <t>Check: Sources less Uses</t>
  </si>
  <si>
    <t>Seller proceeds (asset purchase)</t>
  </si>
  <si>
    <t>(-) Liens and Secured Debt Paid at Close</t>
  </si>
  <si>
    <t>Written payoff letters and lien releases at close</t>
  </si>
  <si>
    <t>(-) Credit Card Balances Paid at Close</t>
  </si>
  <si>
    <t>Unsecured; repaid from proceeds at close (LOI12)</t>
  </si>
  <si>
    <t>(-) Reconciliation Holdback</t>
  </si>
  <si>
    <t>One month of payroll</t>
  </si>
  <si>
    <t>(-) Transaction Expenses</t>
  </si>
  <si>
    <t>Seller's advisors; enter when known</t>
  </si>
  <si>
    <t>(-) Indemnity Escrow (funded at close)</t>
  </si>
  <si>
    <t>(-) Seller Note (deferred)</t>
  </si>
  <si>
    <t>Closing Cash to Seller</t>
  </si>
  <si>
    <t>(+) Holdback Released (expected)</t>
  </si>
  <si>
    <t>(+) Escrow Released (expected)</t>
  </si>
  <si>
    <t>(+) Seller Note Principal</t>
  </si>
  <si>
    <t>Total Consideration</t>
  </si>
  <si>
    <t>Memo: seller-retained cash</t>
  </si>
  <si>
    <t>Balance Sheet cash at Dec-25</t>
  </si>
  <si>
    <t>NWC tab, latest balance sheet</t>
  </si>
  <si>
    <t>Memo: seller-retained cash and NWC</t>
  </si>
  <si>
    <t>Purchase price allocation (Form 8594; internal, never in the CIM)</t>
  </si>
  <si>
    <t>Land</t>
  </si>
  <si>
    <t>Premises leased from third party: no land transfers</t>
  </si>
  <si>
    <t>Building</t>
  </si>
  <si>
    <t>Premises leased from third party: no building transfers</t>
  </si>
  <si>
    <t>FF&amp;E / Equipment</t>
  </si>
  <si>
    <t>Net book value at 12/31/25; an equipment appraisal or agreed schedule replaces it</t>
  </si>
  <si>
    <t>At cost; counted at close</t>
  </si>
  <si>
    <t>Non-Compete</t>
  </si>
  <si>
    <t>Agree with tax counsel: ordinary income to the Seller</t>
  </si>
  <si>
    <t>Goodwill (residual)</t>
  </si>
  <si>
    <t>Purchase Price less the classes above</t>
  </si>
  <si>
    <t>Total (equals the Purchase Price)</t>
  </si>
  <si>
    <t>Tax flag: stock consideration</t>
  </si>
  <si>
    <t>Buyer debt service</t>
  </si>
  <si>
    <t>Senior / SBA Loan: Annual Debt Service</t>
  </si>
  <si>
    <t>Seller Note: Year-One Service (quarterly)</t>
  </si>
  <si>
    <t>Level quarterly amortisation over the note term</t>
  </si>
  <si>
    <t>Total Annual Debt Service</t>
  </si>
  <si>
    <t>Valuation, Mid case: SDE less market replacement compensation and the capital reserve</t>
  </si>
  <si>
    <t>DSCR</t>
  </si>
  <si>
    <t>Note: one structure column by default (Traditional: cash plus a seller note); add columns for competing LOIs and the Offer Comparison tab builds when two or more exist. Escrow and holdback are formulas on the price, never typed. The indemnity escrow is kept separate from any retention holdback.</t>
  </si>
  <si>
    <t>Sensitivities: Two-Way Grids Centred on the Base Case ($000s)</t>
  </si>
  <si>
    <t>Helper: unrounded grid values (grey; outside the print area)</t>
  </si>
  <si>
    <t>Business Valuation Based on SDE Multiple &amp; SDE</t>
  </si>
  <si>
    <t>SDE Multiple (x)</t>
  </si>
  <si>
    <t>SDE ($000s)</t>
  </si>
  <si>
    <t>Note: Business Valuation = SDE × multiple, before deferred capex; the centre cell equals the Valuation tab's Mid case. Base case at the centre (bold, boxed). Shading deepens by band above the Low case (settings below).</t>
  </si>
  <si>
    <t>DSCR (SBA Loan Only) Based on Purchase Price &amp; Interest Rate</t>
  </si>
  <si>
    <t>Interest Rate (%)</t>
  </si>
  <si>
    <t>Purchase Price ($000s)</t>
  </si>
  <si>
    <t>Note: DSCR = cash flow available for debt service ÷ annual debt service on an SBA loan of 90% of the price over 10 years, no seller note (Deal Structure shows the Reference structure). Base case at the centre (bold, boxed). Cells inside the box clear the 1.25x DSCR hurdle.</t>
  </si>
  <si>
    <t>Closing Cash to Seller Based on Purchase Price &amp; Cash at Close %</t>
  </si>
  <si>
    <t>Cash at Close (% of price)</t>
  </si>
  <si>
    <t>Note: Closing cash = cash at close less the indemnity escrow, liens paid at close and the reconciliation holdback; the balance of the price is the seller note. Base case at the centre (bold, boxed).</t>
  </si>
  <si>
    <t>Sensitivity Assumptions</t>
  </si>
  <si>
    <t>Rationale</t>
  </si>
  <si>
    <t>SDE — Midpoint</t>
  </si>
  <si>
    <t>Valuation, Mid case</t>
  </si>
  <si>
    <t>SDE — Step</t>
  </si>
  <si>
    <t>Per AMB; 5% of the base</t>
  </si>
  <si>
    <t>Multiple — Midpoint</t>
  </si>
  <si>
    <t>Assumptions, Mid</t>
  </si>
  <si>
    <t>Multiple — Step</t>
  </si>
  <si>
    <t>Purchase Price — Midpoint</t>
  </si>
  <si>
    <t>Deal Structure</t>
  </si>
  <si>
    <t>Purchase Price — Step</t>
  </si>
  <si>
    <t>Interest Rate — Midpoint</t>
  </si>
  <si>
    <t>Assumptions</t>
  </si>
  <si>
    <t>Interest Rate — Step</t>
  </si>
  <si>
    <t>Cash at Close % — Midpoint</t>
  </si>
  <si>
    <t>Cash at Close % — Step</t>
  </si>
  <si>
    <t>Deductions from Cash at Close</t>
  </si>
  <si>
    <t>Liens, holdback and expenses paid at close (Deal Structure)</t>
  </si>
  <si>
    <t>Rounding — $ Tables (Digits)</t>
  </si>
  <si>
    <t>0 = nearest $1K at $000s</t>
  </si>
  <si>
    <t>Gradient Bands (#)</t>
  </si>
  <si>
    <t>Shading bands above the hurdle</t>
  </si>
  <si>
    <t>Hurdle ($ table)</t>
  </si>
  <si>
    <t>Low case business valuation</t>
  </si>
  <si>
    <t>Band Width</t>
  </si>
  <si>
    <t>(MAX of the unrounded $ grid less the hurdle) ÷ bands</t>
  </si>
  <si>
    <t>DSCR Hurdle (x)</t>
  </si>
  <si>
    <t>Tie Out — Business Valuation</t>
  </si>
  <si>
    <t>Must equal zero (C30)</t>
  </si>
  <si>
    <t>Tie Out — DSCR</t>
  </si>
  <si>
    <t>Tie Out — Closing Cash to Seller</t>
  </si>
  <si>
    <t>Model Checks (tab units; tolerance $0.001 at $000s unless stated)</t>
  </si>
  <si>
    <t>Checks</t>
  </si>
  <si>
    <t>Difference</t>
  </si>
  <si>
    <t>Tolerance</t>
  </si>
  <si>
    <t>Data, statements and the ladder</t>
  </si>
  <si>
    <t>C01</t>
  </si>
  <si>
    <t>Databook ties to each raw export, every subtotal and period</t>
  </si>
  <si>
    <t>Databook</t>
  </si>
  <si>
    <t>C02</t>
  </si>
  <si>
    <t>Monthly P&amp;L category totals equal Databook, every month</t>
  </si>
  <si>
    <t>Monthly P&amp;L</t>
  </si>
  <si>
    <t>C03</t>
  </si>
  <si>
    <t>Every P&amp;L Summary line equals the grid's months in its window, recomputed as months to its end less months before its start</t>
  </si>
  <si>
    <t>Each line's SUMIFS against two SUMIFs of the grid that bound the same window</t>
  </si>
  <si>
    <t>C04</t>
  </si>
  <si>
    <t>P&amp;L Summary Net Income equals Monthly P&amp;L Net Income</t>
  </si>
  <si>
    <t>C05</t>
  </si>
  <si>
    <t>Reported EBITDA equals Net Income + D1:D3</t>
  </si>
  <si>
    <t>C06</t>
  </si>
  <si>
    <t>Adjustments schedule totals by tier equal the ladder</t>
  </si>
  <si>
    <t>C07</t>
  </si>
  <si>
    <t>Balance sheet balances (A = L + E), every period</t>
  </si>
  <si>
    <t>C08</t>
  </si>
  <si>
    <t>NWC lines tie to the balance sheet</t>
  </si>
  <si>
    <t>C09</t>
  </si>
  <si>
    <t>Cash flow ending cash equals balance-sheet cash</t>
  </si>
  <si>
    <t>C10</t>
  </si>
  <si>
    <t>Projection balance sheet balances; projection cash ties</t>
  </si>
  <si>
    <t>Tie-outs to the sources, formula integrity and working capital</t>
  </si>
  <si>
    <t>C11</t>
  </si>
  <si>
    <t>Sources equal Uses</t>
  </si>
  <si>
    <t>C12</t>
  </si>
  <si>
    <t>Customer revenue total vs P&amp;L revenue (flag if variance &gt; 2%)</t>
  </si>
  <si>
    <t>Customer Overview</t>
  </si>
  <si>
    <t>Difference is the variance as a share of P&amp;L revenue</t>
  </si>
  <si>
    <t>C13</t>
  </si>
  <si>
    <t>Payroll register total vs P&amp;L payroll (flag &gt; 5%)</t>
  </si>
  <si>
    <t>Headcount</t>
  </si>
  <si>
    <t>Register staff wages against the P&amp;L wage accounts, as a share of the accounts</t>
  </si>
  <si>
    <t>C14</t>
  </si>
  <si>
    <t>Revenue vs bank deposits (flag &gt; 5%)</t>
  </si>
  <si>
    <t>Proof of Cash</t>
  </si>
  <si>
    <t>Deposits less revenue for the months with bank data, % of revenue</t>
  </si>
  <si>
    <t>C15</t>
  </si>
  <si>
    <t>No error values on any output tab</t>
  </si>
  <si>
    <t>SUMPRODUCT(--ISERROR()) over every output tab</t>
  </si>
  <si>
    <t>C16</t>
  </si>
  <si>
    <t>Every period label equals its derived value</t>
  </si>
  <si>
    <t>Every period label is a formula on Assumptions</t>
  </si>
  <si>
    <t>C17</t>
  </si>
  <si>
    <t>No volatile functions (TODAY, NOW, OFFSET, INDIRECT) anywhere</t>
  </si>
  <si>
    <t>Writer-side lint: verifyWorkbook scans every formula</t>
  </si>
  <si>
    <t>C18</t>
  </si>
  <si>
    <t>No hard-coded number inside a formula grid</t>
  </si>
  <si>
    <t>Writer-side lint: verifyWorkbook scans every formula grid</t>
  </si>
  <si>
    <t>C19</t>
  </si>
  <si>
    <t>Every debt-like balance is removed from NWC, and only those: none counted twice (deferred revenue and deposits included)</t>
  </si>
  <si>
    <t>Debt-Like Items</t>
  </si>
  <si>
    <t>Debt-like items less the balances NWC removes at the latest date</t>
  </si>
  <si>
    <t>C20</t>
  </si>
  <si>
    <t>NWC peg built from &gt;= 12 month-ends</t>
  </si>
  <si>
    <t>Year-end balance sheets only: monthly balance sheets required for a peg</t>
  </si>
  <si>
    <t>Charts, offers, scenarios and sensitivities</t>
  </si>
  <si>
    <t>C21</t>
  </si>
  <si>
    <t>Every chart-data row equals its source row for the same months</t>
  </si>
  <si>
    <t>Revenue Charts</t>
  </si>
  <si>
    <t>Chart-data rows link their source by month; mixes sum to total revenue</t>
  </si>
  <si>
    <t>C22</t>
  </si>
  <si>
    <t>Chart lint: ranges, names, colours, axes</t>
  </si>
  <si>
    <t>Writer-side lint: verifyWorkbook reads every chart part</t>
  </si>
  <si>
    <t>C23</t>
  </si>
  <si>
    <t>Tie Out: Consideration vs. Deal Structure, per Offer Comparison column</t>
  </si>
  <si>
    <t>Offer Comparison</t>
  </si>
  <si>
    <t>Offer Comparison needs two or more structure columns</t>
  </si>
  <si>
    <t>C24</t>
  </si>
  <si>
    <t>Tie Out: value by source vs. offer equals zero per column</t>
  </si>
  <si>
    <t>C25</t>
  </si>
  <si>
    <t>Every shared-assumption row on Offer Comparison has Variance = 0</t>
  </si>
  <si>
    <t>C26</t>
  </si>
  <si>
    <t>Every IRR helper strip has a negative and a positive flow</t>
  </si>
  <si>
    <t>C27</t>
  </si>
  <si>
    <t>Annual mode: Total Expenses is a sum; Net Income ties to the return</t>
  </si>
  <si>
    <t>Monthly mode</t>
  </si>
  <si>
    <t>C28</t>
  </si>
  <si>
    <t>Loan principal &gt;= 0, every loan and scenario</t>
  </si>
  <si>
    <t>Difference is the most negative principal, if any</t>
  </si>
  <si>
    <t>C29</t>
  </si>
  <si>
    <t>Low, Mid and High differ on revenue growth and at least one operating driver</t>
  </si>
  <si>
    <t>C30</t>
  </si>
  <si>
    <t>Each sensitivity grid's centre cell equals the model's base case</t>
  </si>
  <si>
    <t>Sensitivities</t>
  </si>
  <si>
    <t>Centre cell of each grid less the model's base case</t>
  </si>
  <si>
    <t>Real estate, LTM strips, deal terms and the render check</t>
  </si>
  <si>
    <t>C31</t>
  </si>
  <si>
    <t>Rent roll sq. ft. equals GLA</t>
  </si>
  <si>
    <t>Real Estate</t>
  </si>
  <si>
    <t>No Real Estate tab (premises leased from a third party)</t>
  </si>
  <si>
    <t>C32</t>
  </si>
  <si>
    <t>In-place rent equals the P&amp;L rent line for the owner-occupied suite</t>
  </si>
  <si>
    <t>C33</t>
  </si>
  <si>
    <t>Consolidated value equals Business + Real Estate; no typed constants</t>
  </si>
  <si>
    <t>C34</t>
  </si>
  <si>
    <t>Every LTM-strip month equals the Monthly P&amp;L cell for that category and month</t>
  </si>
  <si>
    <t>Revenue Detail</t>
  </si>
  <si>
    <t>Strip cells are links to Monthly P&amp;L</t>
  </si>
  <si>
    <t>C35</t>
  </si>
  <si>
    <t>Strip first visible month = EOMONTH(AsOfDate,-12)+1 and last = EOMONTH(AsOfDate,-1)+1</t>
  </si>
  <si>
    <t>Strip headers chain from AsOfDate</t>
  </si>
  <si>
    <t>C36</t>
  </si>
  <si>
    <t>EffectiveDate &lt;= LOIDate + ExclusivityDays; business day; every term string non-empty</t>
  </si>
  <si>
    <t>LOI date not set</t>
  </si>
  <si>
    <t>C37</t>
  </si>
  <si>
    <t>Render check: print scale floors, no page cut at the margin</t>
  </si>
  <si>
    <t>QA</t>
  </si>
  <si>
    <t>31 tabs rendered; smallest body text 7.2 pt; nothing past the margin, cut at a cell edge or overlapping; no empty or widow page, no block split at a break; no stretched row</t>
  </si>
  <si>
    <t>Note: C17, C18 and C22 are writer-side lints that verifyWorkbook enforces on every formula and chart part before the file is delivered; C37 is the render check the pipeline runs on the written file (pending until it has run). Percentage checks (C12-C14) show the variance as a share of the P&amp;L line.</t>
  </si>
  <si>
    <t>C15: error cells on Summary</t>
  </si>
  <si>
    <t>C15: error cells on Assumptions</t>
  </si>
  <si>
    <t>C15: error cells on P&amp;L Summary</t>
  </si>
  <si>
    <t>C15: error cells on Adj. EBITDA</t>
  </si>
  <si>
    <t>C15: error cells on Adjustments</t>
  </si>
  <si>
    <t>C15: error cells on Revenue Detail</t>
  </si>
  <si>
    <t>C15: error cells on Revenue Charts</t>
  </si>
  <si>
    <t>C15: error cells on Expense Detail</t>
  </si>
  <si>
    <t>C15: error cells on Expense Charts</t>
  </si>
  <si>
    <t>C15: error cells on Customer Overview</t>
  </si>
  <si>
    <t>C15: error cells on Customer Retention</t>
  </si>
  <si>
    <t>C15: error cells on Retention Charts</t>
  </si>
  <si>
    <t>C15: error cells on Concentration</t>
  </si>
  <si>
    <t>C15: error cells on Cohorts</t>
  </si>
  <si>
    <t>C15: error cells on Headcount</t>
  </si>
  <si>
    <t>C15: error cells on Headcount Charts</t>
  </si>
  <si>
    <t>C15: error cells on Balance Sheet</t>
  </si>
  <si>
    <t>C15: error cells on NWC</t>
  </si>
  <si>
    <t>C15: error cells on Debt-Like Items</t>
  </si>
  <si>
    <t>C15: error cells on Cash Flow</t>
  </si>
  <si>
    <t>C15: error cells on Proof of Cash</t>
  </si>
  <si>
    <t>C15: error cells on Projections</t>
  </si>
  <si>
    <t>C15: error cells on Opportunities</t>
  </si>
  <si>
    <t>C15: error cells on Valuation</t>
  </si>
  <si>
    <t>C15: error cells on Deal Structure</t>
  </si>
  <si>
    <t>C15: error cells on Sensitivities</t>
  </si>
  <si>
    <t>C15: error cells on Monthly P&amp;L</t>
  </si>
  <si>
    <t>C15: error cells on Databook</t>
  </si>
  <si>
    <t>C15: error cells on Mapping</t>
  </si>
  <si>
    <t>Monthly P&amp;L ($000s)</t>
  </si>
  <si>
    <t>Monthly: FY2023 ($000s)</t>
  </si>
  <si>
    <t>Monthly: FY2024 ($000s)</t>
  </si>
  <si>
    <t>Monthly: FY2025 ($000s)</t>
  </si>
  <si>
    <t>Adj. EBITDA Ladder (accepted adjustments)</t>
  </si>
  <si>
    <t>(+) Definitional Adjustments [D]</t>
  </si>
  <si>
    <t>(+) / (-) Normalization Adjustments [N]</t>
  </si>
  <si>
    <t>(+) Owner Compensation [S1]</t>
  </si>
  <si>
    <t>(-) Market Replacement Compensation [S2]</t>
  </si>
  <si>
    <t>(-) Capital Reserve [S3]</t>
  </si>
  <si>
    <t>(+) / (-) Pro Forma Adjustments [PF]</t>
  </si>
  <si>
    <t>Tie Out: Net Income less Databook</t>
  </si>
  <si>
    <t>Note: category rows are SUMIFS of the Databook by AMB category; revenue lines by account; ladder rungs read the Adjustments tier totals by month. Tie Out must equal zero.</t>
  </si>
  <si>
    <t>Databook: Account × Period ($)</t>
  </si>
  <si>
    <t>Mapping</t>
  </si>
  <si>
    <t>Monthly: FY2023 ($)</t>
  </si>
  <si>
    <t>Monthly: FY2024 ($)</t>
  </si>
  <si>
    <t>Monthly: FY2025 ($)</t>
  </si>
  <si>
    <t>Tie to raw export ($)</t>
  </si>
  <si>
    <t>Account (as exported)</t>
  </si>
  <si>
    <t>AMB Category</t>
  </si>
  <si>
    <t>Summary Line</t>
  </si>
  <si>
    <t>Personal?</t>
  </si>
  <si>
    <t>Adjustment Ref</t>
  </si>
  <si>
    <t>Latest: Databook</t>
  </si>
  <si>
    <t>Latest: raw</t>
  </si>
  <si>
    <t>Diff, all periods</t>
  </si>
  <si>
    <t>Section (as exported)</t>
  </si>
  <si>
    <t>Maintenance Agreements</t>
  </si>
  <si>
    <t>QuickBooks export</t>
  </si>
  <si>
    <t>revenue</t>
  </si>
  <si>
    <t>Income</t>
  </si>
  <si>
    <t>Service Revenue - Commercial</t>
  </si>
  <si>
    <t>Service Revenue - Residential</t>
  </si>
  <si>
    <t>Discounts Given</t>
  </si>
  <si>
    <t>Discounts given</t>
  </si>
  <si>
    <t>Equipment &amp; Materials</t>
  </si>
  <si>
    <t>cogs</t>
  </si>
  <si>
    <t>Cost of goods sold</t>
  </si>
  <si>
    <t>Cost of Goods Sold</t>
  </si>
  <si>
    <t>Subcontractors</t>
  </si>
  <si>
    <t>Advertising &amp; Marketing</t>
  </si>
  <si>
    <t>marketing</t>
  </si>
  <si>
    <t>Advertising &amp; marketing</t>
  </si>
  <si>
    <t>Charitable Contributions</t>
  </si>
  <si>
    <t>other_opex</t>
  </si>
  <si>
    <t>Other operating expenses</t>
  </si>
  <si>
    <t>(+) Charitable contributions [N4]</t>
  </si>
  <si>
    <t>[N4]</t>
  </si>
  <si>
    <t>Depreciation Expense</t>
  </si>
  <si>
    <t>depreciation_amortization</t>
  </si>
  <si>
    <t>Depreciation &amp; amortization</t>
  </si>
  <si>
    <t>[D3] [S3]</t>
  </si>
  <si>
    <t>Fuel</t>
  </si>
  <si>
    <t>(+) Fuel [N7]</t>
  </si>
  <si>
    <t>[N7]</t>
  </si>
  <si>
    <t>Insurance</t>
  </si>
  <si>
    <t>Legal &amp; Professional Fees</t>
  </si>
  <si>
    <t>[N2] [N8]</t>
  </si>
  <si>
    <t>Meals &amp; Entertainment</t>
  </si>
  <si>
    <t>(+) Meals &amp; entertainment [N9]</t>
  </si>
  <si>
    <t>[N9]</t>
  </si>
  <si>
    <t>Office Supplies</t>
  </si>
  <si>
    <t>Payroll Expenses : Officer Compensation</t>
  </si>
  <si>
    <t>owner_comp</t>
  </si>
  <si>
    <t>Owner / officer compensation</t>
  </si>
  <si>
    <t>[S1] [S4]</t>
  </si>
  <si>
    <t>Payroll Expenses : Technician Wages</t>
  </si>
  <si>
    <t>payroll</t>
  </si>
  <si>
    <t>Salaries, wages &amp; benefits</t>
  </si>
  <si>
    <t>Payroll Expenses : Office Wages</t>
  </si>
  <si>
    <t>Payroll Expenses : Taxes</t>
  </si>
  <si>
    <t>Payroll Expenses : Health Insurance</t>
  </si>
  <si>
    <t>Rent - Shop &amp; Office</t>
  </si>
  <si>
    <t>rent</t>
  </si>
  <si>
    <t>Rent &amp; occupancy</t>
  </si>
  <si>
    <t>Repairs &amp; Maintenance</t>
  </si>
  <si>
    <t>Software &amp; Subscriptions</t>
  </si>
  <si>
    <t>Utilities</t>
  </si>
  <si>
    <t>(+) Vehicle expenses [N1] [N6]</t>
  </si>
  <si>
    <t>[N1] [N6]</t>
  </si>
  <si>
    <t>Interest Income</t>
  </si>
  <si>
    <t>other_income</t>
  </si>
  <si>
    <t>Other income</t>
  </si>
  <si>
    <t>[N5]</t>
  </si>
  <si>
    <t>interest_expense</t>
  </si>
  <si>
    <t>[D1]</t>
  </si>
  <si>
    <t>Other Expenses</t>
  </si>
  <si>
    <t>P&amp;L totals as the export prints them ($)</t>
  </si>
  <si>
    <t>Total Income</t>
  </si>
  <si>
    <t>Export total</t>
  </si>
  <si>
    <t>Total Cost of Goods Sold</t>
  </si>
  <si>
    <t>Income less Cost of Goods Sold</t>
  </si>
  <si>
    <t>Total Payroll Expenses</t>
  </si>
  <si>
    <t>Expenses &gt; Payroll Expenses</t>
  </si>
  <si>
    <t>Total Expenses</t>
  </si>
  <si>
    <t>Net Operating Income</t>
  </si>
  <si>
    <t>Income less Cost of Goods Sold less Expenses</t>
  </si>
  <si>
    <t>Total Other Income</t>
  </si>
  <si>
    <t>Total Other Expenses</t>
  </si>
  <si>
    <t>Net Other Income</t>
  </si>
  <si>
    <t>Other Income less Other Expenses</t>
  </si>
  <si>
    <t>Net income per the model</t>
  </si>
  <si>
    <t>Balance sheet accounts ($)</t>
  </si>
  <si>
    <t>Current Assets : Bank Accounts : Business Checking</t>
  </si>
  <si>
    <t>cash</t>
  </si>
  <si>
    <t>ASSETS &gt; Current Assets &gt; Bank Accounts</t>
  </si>
  <si>
    <t>Current Assets : Bank Accounts : Business Savings</t>
  </si>
  <si>
    <t>Current Assets : Accounts Receivable : Accounts Receivable (A/R)</t>
  </si>
  <si>
    <t>accounts_receivable</t>
  </si>
  <si>
    <t>ASSETS &gt; Current Assets &gt; Accounts Receivable</t>
  </si>
  <si>
    <t>Current Assets : Other Current Assets : Inventory Asset</t>
  </si>
  <si>
    <t>inventory</t>
  </si>
  <si>
    <t>ASSETS &gt; Current Assets &gt; Other Current Assets</t>
  </si>
  <si>
    <t>Current Assets : Other Current Assets : Prepaid Expenses</t>
  </si>
  <si>
    <t>other_current_assets</t>
  </si>
  <si>
    <t>Fixed Assets : Vehicles</t>
  </si>
  <si>
    <t>fixed_assets_net</t>
  </si>
  <si>
    <t>ASSETS &gt; Fixed Assets</t>
  </si>
  <si>
    <t>Fixed Assets : Equipment</t>
  </si>
  <si>
    <t>Fixed Assets : Accumulated Depreciation</t>
  </si>
  <si>
    <t>Other Assets : Security Deposit</t>
  </si>
  <si>
    <t>other_assets</t>
  </si>
  <si>
    <t>ASSETS &gt; Other Assets</t>
  </si>
  <si>
    <t>Current Liabilities : Accounts Payable : Accounts Payable (A/P)</t>
  </si>
  <si>
    <t>accounts_payable</t>
  </si>
  <si>
    <t>Liabilities &gt; Current Liabilities &gt; Accounts Payable</t>
  </si>
  <si>
    <t>Current Liabilities : Credit Cards : Business Credit Card</t>
  </si>
  <si>
    <t>debt</t>
  </si>
  <si>
    <t>Liabilities &gt; Current Liabilities &gt; Credit Cards</t>
  </si>
  <si>
    <t>Current Liabilities : Other Current Liabilities : Accrued Payroll</t>
  </si>
  <si>
    <t>other_current_liabilities</t>
  </si>
  <si>
    <t>Liabilities &gt; Current Liabilities &gt; Other Current Liabilities</t>
  </si>
  <si>
    <t>Current Liabilities : Other Current Liabilities : Sales Tax Payable</t>
  </si>
  <si>
    <t>Current Liabilities : Other Current Liabilities : Customer Deposits</t>
  </si>
  <si>
    <t>Long-Term Liabilities : Vehicle Loans</t>
  </si>
  <si>
    <t>Liabilities &gt; Long-Term Liabilities</t>
  </si>
  <si>
    <t>Long-Term Liabilities : SBA Loan</t>
  </si>
  <si>
    <t>Common Stock</t>
  </si>
  <si>
    <t>equity</t>
  </si>
  <si>
    <t>Equity</t>
  </si>
  <si>
    <t>Retained Earnings</t>
  </si>
  <si>
    <t>Shareholder Distributions</t>
  </si>
  <si>
    <t>Balance sheet totals as the export prints them ($)</t>
  </si>
  <si>
    <t>Total Bank Accounts</t>
  </si>
  <si>
    <t>Accounts under Bank Accounts</t>
  </si>
  <si>
    <t>Total Accounts Receivable</t>
  </si>
  <si>
    <t>Accounts under Accounts Receivable</t>
  </si>
  <si>
    <t>Total Other Current Assets</t>
  </si>
  <si>
    <t>Accounts under Other Current Assets</t>
  </si>
  <si>
    <t>Accounts under Current Assets</t>
  </si>
  <si>
    <t>Total Fixed Assets</t>
  </si>
  <si>
    <t>Accounts under Fixed Assets</t>
  </si>
  <si>
    <t>Total Other Assets</t>
  </si>
  <si>
    <t>Accounts under Other Assets</t>
  </si>
  <si>
    <t>TOTAL ASSETS</t>
  </si>
  <si>
    <t>Accounts under ASSETS</t>
  </si>
  <si>
    <t>Total Accounts Payable</t>
  </si>
  <si>
    <t>Accounts under Accounts Payable</t>
  </si>
  <si>
    <t>Total Credit Cards</t>
  </si>
  <si>
    <t>Accounts under Credit Cards</t>
  </si>
  <si>
    <t>Total Other Current Liabilities</t>
  </si>
  <si>
    <t>Accounts under Other Current Liabilities</t>
  </si>
  <si>
    <t>Accounts under Current Liabilities</t>
  </si>
  <si>
    <t>Total Long-Term Liabilities</t>
  </si>
  <si>
    <t>Accounts under Long-Term Liabilities</t>
  </si>
  <si>
    <t>Accounts under Liabilities</t>
  </si>
  <si>
    <t>Accounts under Equity</t>
  </si>
  <si>
    <t>TOTAL LIABILITIES AND EQUITY</t>
  </si>
  <si>
    <t>Accounts under LIABILITIES plus accounts under EQUITY</t>
  </si>
  <si>
    <t>Account Mapping: Exported Account to AMB Category and Summary Line</t>
  </si>
  <si>
    <t>Section</t>
  </si>
  <si>
    <t>Adj. Ref</t>
  </si>
  <si>
    <t>Mapped by</t>
  </si>
  <si>
    <t>P&amp;L: QuickBooks Profit and Loss FY23-FY25 (monthly).csv (QuickBooks export)</t>
  </si>
  <si>
    <t>rule</t>
  </si>
  <si>
    <t>Override</t>
  </si>
  <si>
    <t>Balance sheet: QuickBooks Balance Sheet FY23-FY25.csv (QuickBooks export)</t>
  </si>
  <si>
    <t>Note: rows mapped by default (no rule matched) are shaded; confirm them in mapping-overrides.csv, where an Override row comes from.</t>
  </si>
  <si>
    <t>Raw - P&amp;L as exported</t>
  </si>
  <si>
    <t>QuickBooks export: QuickBooks Profit and Loss FY23-FY25 (monthly).csv</t>
  </si>
  <si>
    <t>Account</t>
  </si>
  <si>
    <t>Totals as exported</t>
  </si>
  <si>
    <t>Raw - Balance sheet as exported</t>
  </si>
  <si>
    <t>QuickBooks export: QuickBooks Balance Sheet FY23-FY25.csv</t>
  </si>
  <si>
    <t>ASSETS &gt; Current Assets</t>
  </si>
  <si>
    <t>ASSETS</t>
  </si>
  <si>
    <t>Liabilities &gt; Current Liabilities</t>
  </si>
  <si>
    <t>Liabilities</t>
  </si>
  <si>
    <t>LIABILITIES AND EQUITY</t>
  </si>
  <si>
    <t>Raw - Bank transactions as exported</t>
  </si>
  <si>
    <t>Bank transactions 2025 (checking).csv; Classification added: only Operating deposits count as revenue collected</t>
  </si>
  <si>
    <t>Description</t>
  </si>
  <si>
    <t>Amount</t>
  </si>
  <si>
    <t>Classification</t>
  </si>
  <si>
    <t>ACH credit - customer payment</t>
  </si>
  <si>
    <t>Operating</t>
  </si>
  <si>
    <t>Ally auto loan pmt</t>
  </si>
  <si>
    <t>Withdrawal</t>
  </si>
  <si>
    <t>Ferguson HVAC supply</t>
  </si>
  <si>
    <t>Fuel - WEX</t>
  </si>
  <si>
    <t>Card settlement - ServiceTitan Pay</t>
  </si>
  <si>
    <t>Mobile deposit</t>
  </si>
  <si>
    <t>Remote deposit capture</t>
  </si>
  <si>
    <t>Stripe payout</t>
  </si>
  <si>
    <t>Johnstone Supply</t>
  </si>
  <si>
    <t>Payroll - Gusto</t>
  </si>
  <si>
    <t>Rent - Maple Ave LLC</t>
  </si>
  <si>
    <t>Online transfer from savings xxxx4471</t>
  </si>
  <si>
    <t>Transfer</t>
  </si>
  <si>
    <t>Raw - Customer list as exported</t>
  </si>
  <si>
    <t>customers.csv; codes added. Names stay on this tab only.</t>
  </si>
  <si>
    <t>Name</t>
  </si>
  <si>
    <t>Segment</t>
  </si>
  <si>
    <t>Start date</t>
  </si>
  <si>
    <t>End date</t>
  </si>
  <si>
    <t>Loss reason</t>
  </si>
  <si>
    <t>Contract basis</t>
  </si>
  <si>
    <t>FY2023 revenue</t>
  </si>
  <si>
    <t>FY2024 revenue</t>
  </si>
  <si>
    <t>FY2025 revenue</t>
  </si>
  <si>
    <t>Scioto Property Management</t>
  </si>
  <si>
    <t>contract</t>
  </si>
  <si>
    <t>Olentangy Hospitality Group</t>
  </si>
  <si>
    <t>maintenance_agreement</t>
  </si>
  <si>
    <t>Buckeye Property Management</t>
  </si>
  <si>
    <t>Capital City Office Park</t>
  </si>
  <si>
    <t>time_and_materials</t>
  </si>
  <si>
    <t>Polaris Hospitality Group</t>
  </si>
  <si>
    <t>Easton Realty Group</t>
  </si>
  <si>
    <t>Grandview Family Dental</t>
  </si>
  <si>
    <t>Worthington Realty Group</t>
  </si>
  <si>
    <t>Dublin Hospitality Group</t>
  </si>
  <si>
    <t>Westerville Shopping Center</t>
  </si>
  <si>
    <t>New Albany Shopping Center</t>
  </si>
  <si>
    <t>Capital City Community Church</t>
  </si>
  <si>
    <t>Delaware Realty Group</t>
  </si>
  <si>
    <t>Upper Arlington Office Park</t>
  </si>
  <si>
    <t>Plain City Professional Building</t>
  </si>
  <si>
    <t>Delaware Learning Center</t>
  </si>
  <si>
    <t>Canal Winchester Shopping Center</t>
  </si>
  <si>
    <t>Hilliard Hospitality Group</t>
  </si>
  <si>
    <t>Heath Plaza</t>
  </si>
  <si>
    <t>Easton Medical Group</t>
  </si>
  <si>
    <t>regrettable</t>
  </si>
  <si>
    <t>Worthington Rentals LLC</t>
  </si>
  <si>
    <t>Bexley Family Dental</t>
  </si>
  <si>
    <t>Westerville Realty Group</t>
  </si>
  <si>
    <t>Polaris Community Church</t>
  </si>
  <si>
    <t>Grove City Commons</t>
  </si>
  <si>
    <t>Hilliard Plaza</t>
  </si>
  <si>
    <t>New Albany Realty Group</t>
  </si>
  <si>
    <t>Short North Professional Building</t>
  </si>
  <si>
    <t>Granville Learning Center</t>
  </si>
  <si>
    <t>Upper Arlington Learning Center</t>
  </si>
  <si>
    <t>Grove City Office Park</t>
  </si>
  <si>
    <t>Lewis Center Professional Building</t>
  </si>
  <si>
    <t>Newark Family Dental</t>
  </si>
  <si>
    <t>Newark Office Park</t>
  </si>
  <si>
    <t>Powell Community Church</t>
  </si>
  <si>
    <t>Clintonville Learning Center</t>
  </si>
  <si>
    <t>Grandview Community Church</t>
  </si>
  <si>
    <t>Powell Office Park</t>
  </si>
  <si>
    <t>Short North Commons</t>
  </si>
  <si>
    <t>Lewis Center Property Management</t>
  </si>
  <si>
    <t>Scioto Rentals LLC</t>
  </si>
  <si>
    <t>Pickerington Office Park</t>
  </si>
  <si>
    <t>Marysville Office Park</t>
  </si>
  <si>
    <t>Pataskala Realty Group</t>
  </si>
  <si>
    <t>non_regrettable</t>
  </si>
  <si>
    <t>Pickerington Realty Group</t>
  </si>
  <si>
    <t>Dublin Professional Building</t>
  </si>
  <si>
    <t>German Village Medical Group</t>
  </si>
  <si>
    <t>Sunbury Shopping Center</t>
  </si>
  <si>
    <t>Buckeye Plaza</t>
  </si>
  <si>
    <t>Gahanna Professional Building</t>
  </si>
  <si>
    <t>Heath Office Park</t>
  </si>
  <si>
    <t>Reynoldsburg Commons</t>
  </si>
  <si>
    <t>Reynoldsburg Professional Building</t>
  </si>
  <si>
    <t>Clintonville Shopping Center</t>
  </si>
  <si>
    <t>Pataskala Professional Building</t>
  </si>
  <si>
    <t>Gahanna Commons</t>
  </si>
  <si>
    <t>Olentangy Community Church</t>
  </si>
  <si>
    <t>unclassified</t>
  </si>
  <si>
    <t>Canal Winchester Commons</t>
  </si>
  <si>
    <t>German Village Realty Group</t>
  </si>
  <si>
    <t>Sunbury Medical Group</t>
  </si>
  <si>
    <t>Granville Realty Group</t>
  </si>
  <si>
    <t>Bexley Rentals LLC</t>
  </si>
  <si>
    <t>Residual</t>
  </si>
  <si>
    <t>Raw - Payroll register as exported</t>
  </si>
  <si>
    <t>payroll.csv; the four columns after the gap are added for the formulas. Names stay on this tab only.</t>
  </si>
  <si>
    <t>Employee</t>
  </si>
  <si>
    <t>Role</t>
  </si>
  <si>
    <t>Termination type</t>
  </si>
  <si>
    <t>Pay basis</t>
  </si>
  <si>
    <t>Owner</t>
  </si>
  <si>
    <t>Wages FY2023</t>
  </si>
  <si>
    <t>Wages FY2024</t>
  </si>
  <si>
    <t>Wages FY2025</t>
  </si>
  <si>
    <t>ID (added)</t>
  </si>
  <si>
    <t>Owner? (added)</t>
  </si>
  <si>
    <t>Departure type (added)</t>
  </si>
  <si>
    <t>FTE (added)</t>
  </si>
  <si>
    <t>Mark Delaney</t>
  </si>
  <si>
    <t>Owner / general manager</t>
  </si>
  <si>
    <t>Salary</t>
  </si>
  <si>
    <t>yes</t>
  </si>
  <si>
    <t>Alex Nguyen</t>
  </si>
  <si>
    <t>Service technician</t>
  </si>
  <si>
    <t>Hourly + commission</t>
  </si>
  <si>
    <t>Jordan Ramirez</t>
  </si>
  <si>
    <t>Chris Underwood</t>
  </si>
  <si>
    <t>Sam Xu</t>
  </si>
  <si>
    <t>Taylor Abbott</t>
  </si>
  <si>
    <t>Morgan Dunn</t>
  </si>
  <si>
    <t>Casey Garza</t>
  </si>
  <si>
    <t>Drew Jensen</t>
  </si>
  <si>
    <t>Resignation</t>
  </si>
  <si>
    <t>resignation</t>
  </si>
  <si>
    <t>Jamie Mendes</t>
  </si>
  <si>
    <t>Riley Price</t>
  </si>
  <si>
    <t>Devin Petrov</t>
  </si>
  <si>
    <t>Kai Takahashi</t>
  </si>
  <si>
    <t>Termination</t>
  </si>
  <si>
    <t>termination</t>
  </si>
  <si>
    <t>Reese Walsh</t>
  </si>
  <si>
    <t>Install technician</t>
  </si>
  <si>
    <t>Hourly</t>
  </si>
  <si>
    <t>Quinn Zimmerman</t>
  </si>
  <si>
    <t>Avery Cortez</t>
  </si>
  <si>
    <t>Blake Fischer</t>
  </si>
  <si>
    <t>Customer service / dispatch</t>
  </si>
  <si>
    <t>Cameron Ibrahim</t>
  </si>
  <si>
    <t>Dakota Lindqvist</t>
  </si>
  <si>
    <t>Bookkeeper</t>
  </si>
  <si>
    <t>Lisa Tran</t>
  </si>
  <si>
    <t>Operations manager</t>
  </si>
  <si>
    <t>Emerson Osei</t>
  </si>
  <si>
    <t>Finley Okafor</t>
  </si>
  <si>
    <t>Harper Schmidt</t>
  </si>
  <si>
    <t>Jesse Vasquez</t>
  </si>
  <si>
    <t>Logan Young</t>
  </si>
  <si>
    <t>Micah Barnes</t>
  </si>
  <si>
    <t>Parker Ellis</t>
  </si>
  <si>
    <t>Rowan Holt</t>
  </si>
  <si>
    <t>Sawyer Kowalski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</si>
</sst>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164" formatCode="mm/dd/yy"/>
    <numFmt numFmtId="165" formatCode="[$$]#,##0;\([$$]#,##0\);&quot;–&quot;;@"/>
    <numFmt numFmtId="166" formatCode="#,##0%;\(#,##0%\);&quot;–&quot;;@"/>
    <numFmt numFmtId="167" formatCode="#,##0.0%;\(#,##0.0%\);&quot;–&quot;;@"/>
    <numFmt numFmtId="168" formatCode="#,##0;\(#,##0\);&quot;–&quot;;@"/>
    <numFmt numFmtId="169" formatCode="#,##0.0;\(#,##0.0\);&quot;–&quot;;@"/>
    <numFmt numFmtId="170" formatCode="0.0\x;\(0.0\x\);&quot;–&quot;"/>
    <numFmt numFmtId="171" formatCode="0.00\x;\(0.00\x\);&quot;–&quot;"/>
    <numFmt numFmtId="172" formatCode="[$-409]mmm-yy;@"/>
    <numFmt numFmtId="173" formatCode="0.00%;\(0.00%\);&quot;–&quot;"/>
    <numFmt numFmtId="174" formatCode="#,##0.000;\(#,##0.000\);&quot;–&quot;"/>
    <numFmt numFmtId="175" formatCode="_(* #,##0.00_);_(* \(#,##0.00\);_(* &quot;-&quot;??_);_(@_)"/>
    <numFmt numFmtId="176" formatCode="_(* #,##0_);_(* \(#,##0\);_(* &quot;-&quot;??_);_(@_)"/>
  </numFmts>
  <fonts count="25" x14ac:knownFonts="1">
    <font>
      <sz val="10"/>
      <name val="Arial"/>
      <family val="2"/>
    </font>
    <font>
      <sz val="9"/>
      <color rgb="FF000000"/>
      <name val="Arial"/>
    </font>
    <font>
      <b/>
      <sz val="26"/>
      <color rgb="FF000000"/>
      <name val="Arial"/>
    </font>
    <font>
      <b/>
      <i/>
      <sz val="20"/>
      <color rgb="FF000000"/>
      <name val="Arial"/>
    </font>
    <font>
      <i/>
      <sz val="18"/>
      <color rgb="FF000000"/>
      <name val="Arial"/>
    </font>
    <font>
      <i/>
      <sz val="9"/>
      <color rgb="FF000000"/>
      <name val="Arial"/>
    </font>
    <font>
      <b/>
      <sz val="13"/>
      <color rgb="FF008000"/>
      <name val="Arial"/>
    </font>
    <font>
      <b/>
      <sz val="9"/>
      <color rgb="FFFFFFFF"/>
      <name val="Arial"/>
    </font>
    <font>
      <u/>
      <sz val="9"/>
      <color rgb="FF000000"/>
      <name val="Arial"/>
    </font>
    <font>
      <b/>
      <sz val="9"/>
      <color rgb="FF000000"/>
      <name val="Arial"/>
    </font>
    <font>
      <sz val="9"/>
      <color rgb="FF008000"/>
      <name val="Arial"/>
    </font>
    <font>
      <sz val="9"/>
      <color rgb="FF0000FF"/>
      <name val="Arial"/>
    </font>
    <font>
      <b/>
      <sz val="9"/>
      <color rgb="FF008000"/>
      <name val="Arial"/>
    </font>
    <font>
      <i/>
      <sz val="9"/>
      <color rgb="FF008000"/>
      <name val="Arial"/>
    </font>
    <font>
      <b/>
      <i/>
      <sz val="9"/>
      <color rgb="FF000000"/>
      <name val="Arial"/>
    </font>
    <font>
      <b/>
      <i/>
      <sz val="9"/>
      <color rgb="FF008000"/>
      <name val="Arial"/>
    </font>
    <font>
      <sz val="9"/>
      <color rgb="FF808080"/>
      <name val="Arial"/>
    </font>
    <font>
      <sz val="9"/>
      <color rgb="FFFF0000"/>
      <name val="Arial"/>
    </font>
    <font>
      <sz val="9"/>
      <color rgb="FF800080"/>
      <name val="Arial"/>
    </font>
    <font>
      <i/>
      <sz val="9"/>
      <color rgb="FFFF0000"/>
      <name val="Arial"/>
    </font>
    <font>
      <sz val="8"/>
      <color rgb="FF808080"/>
      <name val="Arial"/>
    </font>
    <font>
      <b/>
      <sz val="9"/>
      <color rgb="FF800080"/>
      <name val="Arial"/>
    </font>
    <font>
      <i/>
      <sz val="9"/>
      <color rgb="FF800080"/>
      <name val="Arial"/>
    </font>
    <font>
      <b/>
      <u/>
      <sz val="9"/>
      <color rgb="FF000000"/>
      <name val="Arial"/>
    </font>
    <font>
      <b/>
      <sz val="11"/>
      <color rgb="FF000000"/>
      <name val="Arial"/>
    </font>
  </fonts>
  <fills count="7">
    <fill>
      <patternFill patternType="none"/>
    </fill>
    <fill>
      <patternFill patternType="gray125"/>
    </fill>
    <fill>
      <patternFill patternType="solid">
        <fgColor rgb="FF9E0A20"/>
      </patternFill>
    </fill>
    <fill>
      <patternFill patternType="solid">
        <fgColor rgb="FF7B0000"/>
      </patternFill>
    </fill>
    <fill>
      <patternFill patternType="solid">
        <fgColor rgb="FFFFE1E1"/>
      </patternFill>
    </fill>
    <fill>
      <patternFill patternType="solid">
        <fgColor rgb="FFFFFFCC"/>
      </patternFill>
    </fill>
    <fill>
      <patternFill patternType="solid">
        <fgColor rgb="FFD9D9D9"/>
      </patternFill>
    </fill>
  </fills>
  <borders count="16">
    <border>
      <left/>
      <right/>
      <top/>
      <bottom/>
      <diagonal/>
    </border>
    <border>
      <left/>
      <right/>
      <top style="medium">
        <color rgb="FF000000"/>
      </top>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double">
        <color rgb="FF000000"/>
      </bottom>
      <diagonal/>
    </border>
    <border>
      <left style="thin">
        <color rgb="FF7B0000"/>
      </left>
      <right style="thin">
        <color rgb="FF7B0000"/>
      </right>
      <top style="thin">
        <color rgb="FF7B0000"/>
      </top>
      <bottom style="thin">
        <color rgb="FF7B0000"/>
      </bottom>
      <diagonal/>
    </border>
  </borders>
  <cellStyleXfs count="1">
    <xf numFmtId="0" fontId="0" fillId="0" borderId="0"/>
  </cellStyleXfs>
  <cellXfs count="318">
    <xf numFmtId="0" fontId="0" fillId="0" borderId="0" xfId="0"/>
    <xf numFmtId="0" fontId="1" fillId="2" borderId="0" xfId="0" applyFont="1" applyFill="1"/>
    <xf numFmtId="0" fontId="1" fillId="0" borderId="1" xfId="0" applyFont="1" applyBorder="1"/>
    <xf numFmtId="0" fontId="1" fillId="0" borderId="2" xfId="0" applyFont="1" applyBorder="1"/>
    <xf numFmtId="0" fontId="2" fillId="0" borderId="0" xfId="0" applyFont="1" applyAlignment="1">
      <alignment horizontal="centerContinuous"/>
    </xf>
    <xf numFmtId="0" fontId="1" fillId="0" borderId="0" xfId="0" applyFont="1" applyAlignment="1">
      <alignment horizontal="centerContinuous"/>
    </xf>
    <xf numFmtId="0" fontId="3" fillId="0" borderId="0" xfId="0" applyFont="1" applyAlignment="1">
      <alignment horizontal="centerContinuous"/>
    </xf>
    <xf numFmtId="0" fontId="4" fillId="0" borderId="0" xfId="0" applyFont="1" applyAlignment="1">
      <alignment horizontal="centerContinuous"/>
    </xf>
    <xf numFmtId="0" fontId="5" fillId="0" borderId="0" xfId="0" applyFont="1" applyAlignment="1">
      <alignment horizontal="centerContinuous"/>
    </xf>
    <xf numFmtId="0" fontId="6" fillId="0" borderId="0" xfId="0" applyFont="1" applyAlignment="1">
      <alignment horizontal="left"/>
    </xf>
    <xf numFmtId="0" fontId="5" fillId="0" borderId="3" xfId="0" applyFont="1" applyBorder="1" applyAlignment="1">
      <alignment horizontal="left"/>
    </xf>
    <xf numFmtId="0" fontId="1" fillId="0" borderId="3" xfId="0" applyFont="1" applyBorder="1"/>
    <xf numFmtId="0" fontId="7" fillId="3" borderId="0" xfId="0" applyFont="1" applyFill="1" applyAlignment="1">
      <alignment horizontal="center"/>
    </xf>
    <xf numFmtId="0" fontId="7" fillId="3" borderId="0" xfId="0" applyFont="1" applyFill="1" applyAlignment="1">
      <alignment horizontal="left"/>
    </xf>
    <xf numFmtId="1" fontId="1" fillId="0" borderId="0" xfId="0" applyNumberFormat="1" applyFont="1" applyAlignment="1">
      <alignment horizontal="center"/>
    </xf>
    <xf numFmtId="0" fontId="8" fillId="0" borderId="0" xfId="0" applyFont="1"/>
    <xf numFmtId="0" fontId="1" fillId="0" borderId="0" xfId="0" applyFont="1"/>
    <xf numFmtId="0" fontId="1" fillId="0" borderId="0" xfId="0" applyFont="1" applyAlignment="1">
      <alignment horizontal="center"/>
    </xf>
    <xf numFmtId="0" fontId="9" fillId="0" borderId="0" xfId="0" applyFont="1"/>
    <xf numFmtId="0" fontId="1" fillId="0" borderId="0" xfId="0" applyFont="1" applyAlignment="1">
      <alignment horizontal="left"/>
    </xf>
    <xf numFmtId="0" fontId="10" fillId="0" borderId="0" xfId="0" applyFont="1" applyAlignment="1">
      <alignment horizontal="center"/>
    </xf>
    <xf numFmtId="164" fontId="10" fillId="0" borderId="0" xfId="0" applyNumberFormat="1" applyFont="1" applyAlignment="1">
      <alignment horizontal="left"/>
    </xf>
    <xf numFmtId="1" fontId="1" fillId="0" borderId="0" xfId="0" applyNumberFormat="1" applyFont="1" applyAlignment="1">
      <alignment horizontal="center" vertical="top"/>
    </xf>
    <xf numFmtId="0" fontId="8" fillId="0" borderId="0" xfId="0" applyFont="1" applyAlignment="1">
      <alignment vertical="top"/>
    </xf>
    <xf numFmtId="0" fontId="1" fillId="0" borderId="0" xfId="0" applyFont="1" applyAlignment="1">
      <alignment vertical="top" wrapText="1"/>
    </xf>
    <xf numFmtId="0" fontId="1" fillId="0" borderId="0" xfId="0" applyFont="1" applyAlignment="1">
      <alignment horizontal="center" vertical="top"/>
    </xf>
    <xf numFmtId="0" fontId="10" fillId="0" borderId="0" xfId="0" applyFont="1" applyAlignment="1">
      <alignment horizontal="center" vertical="top"/>
    </xf>
    <xf numFmtId="0" fontId="9" fillId="0" borderId="0" xfId="0" applyFont="1" applyAlignment="1">
      <alignment vertical="top"/>
    </xf>
    <xf numFmtId="0" fontId="1" fillId="0" borderId="0" xfId="0" applyFont="1" applyAlignment="1">
      <alignment horizontal="left" vertical="top"/>
    </xf>
    <xf numFmtId="0" fontId="1" fillId="0" borderId="0" xfId="0" applyFont="1" applyAlignment="1">
      <alignment vertical="top"/>
    </xf>
    <xf numFmtId="0" fontId="1" fillId="0" borderId="0" xfId="0" applyFont="1" applyAlignment="1">
      <alignment horizontal="left" vertical="top" wrapText="1"/>
    </xf>
    <xf numFmtId="1" fontId="11" fillId="0" borderId="4" xfId="0" applyNumberFormat="1" applyFont="1" applyBorder="1" applyAlignment="1">
      <alignment horizontal="center" vertical="top"/>
    </xf>
    <xf numFmtId="0" fontId="12" fillId="0" borderId="0" xfId="0" applyFont="1" applyAlignment="1">
      <alignment horizontal="left"/>
    </xf>
    <xf numFmtId="164" fontId="1" fillId="0" borderId="0" xfId="0" applyNumberFormat="1" applyFont="1" applyAlignment="1">
      <alignment horizontal="left"/>
    </xf>
    <xf numFmtId="0" fontId="1" fillId="0" borderId="3" xfId="0" applyFont="1" applyBorder="1" applyAlignment="1">
      <alignment horizontal="right"/>
    </xf>
    <xf numFmtId="1" fontId="10" fillId="0" borderId="4" xfId="0" applyNumberFormat="1" applyFont="1" applyBorder="1" applyAlignment="1">
      <alignment horizontal="center"/>
    </xf>
    <xf numFmtId="0" fontId="7" fillId="3" borderId="0" xfId="0" applyFont="1" applyFill="1" applyAlignment="1">
      <alignment horizontal="centerContinuous"/>
    </xf>
    <xf numFmtId="0" fontId="9" fillId="4" borderId="0" xfId="0" applyFont="1" applyFill="1" applyAlignment="1">
      <alignment horizontal="left"/>
    </xf>
    <xf numFmtId="165" fontId="1" fillId="0" borderId="0" xfId="0" applyNumberFormat="1" applyFont="1" applyAlignment="1">
      <alignment indent="1"/>
    </xf>
    <xf numFmtId="165" fontId="10" fillId="0" borderId="0" xfId="0" applyNumberFormat="1" applyFont="1" applyAlignment="1">
      <alignment indent="1"/>
    </xf>
    <xf numFmtId="166" fontId="5" fillId="0" borderId="0" xfId="0" applyNumberFormat="1" applyFont="1" applyAlignment="1">
      <alignment horizontal="left" indent="1"/>
    </xf>
    <xf numFmtId="166" fontId="13" fillId="0" borderId="0" xfId="0" applyNumberFormat="1" applyFont="1" applyAlignment="1">
      <alignment horizontal="right"/>
    </xf>
    <xf numFmtId="165" fontId="9" fillId="5" borderId="5" xfId="0" applyNumberFormat="1" applyFont="1" applyFill="1" applyBorder="1"/>
    <xf numFmtId="165" fontId="12" fillId="5" borderId="6" xfId="0" applyNumberFormat="1" applyFont="1" applyFill="1" applyBorder="1"/>
    <xf numFmtId="165" fontId="12" fillId="5" borderId="2" xfId="0" applyNumberFormat="1" applyFont="1" applyFill="1" applyBorder="1"/>
    <xf numFmtId="165" fontId="12" fillId="5" borderId="7" xfId="0" applyNumberFormat="1" applyFont="1" applyFill="1" applyBorder="1"/>
    <xf numFmtId="165" fontId="12" fillId="5" borderId="5" xfId="0" applyNumberFormat="1" applyFont="1" applyFill="1" applyBorder="1"/>
    <xf numFmtId="167" fontId="14" fillId="5" borderId="8" xfId="0" applyNumberFormat="1" applyFont="1" applyFill="1" applyBorder="1" applyAlignment="1">
      <alignment horizontal="left" indent="1"/>
    </xf>
    <xf numFmtId="167" fontId="15" fillId="5" borderId="9" xfId="0" applyNumberFormat="1" applyFont="1" applyFill="1" applyBorder="1" applyAlignment="1">
      <alignment horizontal="right"/>
    </xf>
    <xf numFmtId="167" fontId="15" fillId="5" borderId="3" xfId="0" applyNumberFormat="1" applyFont="1" applyFill="1" applyBorder="1" applyAlignment="1">
      <alignment horizontal="right"/>
    </xf>
    <xf numFmtId="167" fontId="15" fillId="5" borderId="10" xfId="0" applyNumberFormat="1" applyFont="1" applyFill="1" applyBorder="1" applyAlignment="1">
      <alignment horizontal="right"/>
    </xf>
    <xf numFmtId="167" fontId="15" fillId="5" borderId="8" xfId="0" applyNumberFormat="1" applyFont="1" applyFill="1" applyBorder="1" applyAlignment="1">
      <alignment horizontal="right"/>
    </xf>
    <xf numFmtId="168" fontId="1" fillId="0" borderId="0" xfId="0" applyNumberFormat="1" applyFont="1" applyAlignment="1">
      <alignment indent="1"/>
    </xf>
    <xf numFmtId="168" fontId="10" fillId="0" borderId="0" xfId="0" applyNumberFormat="1" applyFont="1" applyAlignment="1">
      <alignment indent="1"/>
    </xf>
    <xf numFmtId="168" fontId="10" fillId="0" borderId="0" xfId="0" applyNumberFormat="1" applyFont="1" applyAlignment="1">
      <alignment wrapText="1" indent="1"/>
    </xf>
    <xf numFmtId="169" fontId="10" fillId="0" borderId="0" xfId="0" applyNumberFormat="1" applyFont="1" applyAlignment="1">
      <alignment indent="1"/>
    </xf>
    <xf numFmtId="167" fontId="13" fillId="0" borderId="0" xfId="0" applyNumberFormat="1" applyFont="1" applyAlignment="1">
      <alignment horizontal="right"/>
    </xf>
    <xf numFmtId="167" fontId="10" fillId="0" borderId="0" xfId="0" applyNumberFormat="1" applyFont="1" applyAlignment="1">
      <alignment horizontal="right" indent="1"/>
    </xf>
    <xf numFmtId="168" fontId="1" fillId="0" borderId="0" xfId="0" applyNumberFormat="1" applyFont="1" applyAlignment="1">
      <alignment vertical="top" indent="1"/>
    </xf>
    <xf numFmtId="165" fontId="10" fillId="0" borderId="0" xfId="0" applyNumberFormat="1" applyFont="1" applyAlignment="1">
      <alignment horizontal="right" vertical="top" indent="1"/>
    </xf>
    <xf numFmtId="0" fontId="5" fillId="0" borderId="0" xfId="0" applyFont="1" applyAlignment="1">
      <alignment horizontal="left" vertical="top" wrapText="1"/>
    </xf>
    <xf numFmtId="165" fontId="10" fillId="0" borderId="0" xfId="0" applyNumberFormat="1" applyFont="1" applyAlignment="1">
      <alignment horizontal="right" indent="1"/>
    </xf>
    <xf numFmtId="168" fontId="10" fillId="0" borderId="0" xfId="0" applyNumberFormat="1" applyFont="1" applyAlignment="1">
      <alignment horizontal="left" vertical="top" indent="1"/>
    </xf>
    <xf numFmtId="168" fontId="10" fillId="0" borderId="0" xfId="0" applyNumberFormat="1" applyFont="1" applyAlignment="1">
      <alignment horizontal="left" indent="1"/>
    </xf>
    <xf numFmtId="168" fontId="10" fillId="0" borderId="0" xfId="0" applyNumberFormat="1" applyFont="1" applyAlignment="1">
      <alignment horizontal="right" vertical="top"/>
    </xf>
    <xf numFmtId="166" fontId="10" fillId="0" borderId="0" xfId="0" applyNumberFormat="1" applyFont="1" applyAlignment="1">
      <alignment horizontal="right"/>
    </xf>
    <xf numFmtId="168" fontId="1" fillId="0" borderId="0" xfId="0" applyNumberFormat="1" applyFont="1" applyAlignment="1">
      <alignment wrapText="1" indent="1"/>
    </xf>
    <xf numFmtId="169" fontId="10" fillId="0" borderId="0" xfId="0" applyNumberFormat="1" applyFont="1" applyAlignment="1">
      <alignment horizontal="right"/>
    </xf>
    <xf numFmtId="168" fontId="10" fillId="0" borderId="0" xfId="0" applyNumberFormat="1" applyFont="1" applyAlignment="1">
      <alignment horizontal="right"/>
    </xf>
    <xf numFmtId="170" fontId="10" fillId="0" borderId="0" xfId="0" applyNumberFormat="1" applyFont="1" applyAlignment="1">
      <alignment indent="1"/>
    </xf>
    <xf numFmtId="171" fontId="10" fillId="0" borderId="0" xfId="0" applyNumberFormat="1" applyFont="1" applyAlignment="1">
      <alignment vertical="top" indent="1"/>
    </xf>
    <xf numFmtId="0" fontId="13" fillId="0" borderId="0" xfId="0" applyFont="1" applyAlignment="1">
      <alignment horizontal="left" vertical="top" wrapText="1"/>
    </xf>
    <xf numFmtId="168" fontId="1" fillId="6" borderId="0" xfId="0" applyNumberFormat="1" applyFont="1" applyFill="1" applyAlignment="1">
      <alignment horizontal="right" vertical="top" indent="1"/>
    </xf>
    <xf numFmtId="0" fontId="1" fillId="0" borderId="0" xfId="0" applyFont="1" applyAlignment="1">
      <alignment vertical="top" indent="1"/>
    </xf>
    <xf numFmtId="164" fontId="11" fillId="0" borderId="0" xfId="0" applyNumberFormat="1" applyFont="1" applyAlignment="1">
      <alignment vertical="top"/>
    </xf>
    <xf numFmtId="0" fontId="1" fillId="0" borderId="0" xfId="0" applyFont="1" applyAlignment="1">
      <alignment indent="1"/>
    </xf>
    <xf numFmtId="164" fontId="11" fillId="0" borderId="0" xfId="0" applyNumberFormat="1" applyFont="1"/>
    <xf numFmtId="0" fontId="11" fillId="0" borderId="0" xfId="0" applyFont="1" applyAlignment="1">
      <alignment horizontal="right" vertical="top"/>
    </xf>
    <xf numFmtId="0" fontId="11" fillId="0" borderId="0" xfId="0" applyFont="1" applyAlignment="1">
      <alignment horizontal="right"/>
    </xf>
    <xf numFmtId="172" fontId="1" fillId="0" borderId="0" xfId="0" applyNumberFormat="1" applyFont="1"/>
    <xf numFmtId="1" fontId="11" fillId="0" borderId="0" xfId="0" applyNumberFormat="1" applyFont="1"/>
    <xf numFmtId="1" fontId="1" fillId="0" borderId="0" xfId="0" applyNumberFormat="1" applyFont="1"/>
    <xf numFmtId="1" fontId="11" fillId="0" borderId="0" xfId="0" applyNumberFormat="1" applyFont="1" applyAlignment="1">
      <alignment vertical="top"/>
    </xf>
    <xf numFmtId="165" fontId="16" fillId="0" borderId="0" xfId="0" applyNumberFormat="1" applyFont="1" applyAlignment="1">
      <alignment vertical="top"/>
    </xf>
    <xf numFmtId="0" fontId="11" fillId="0" borderId="0" xfId="0" applyFont="1" applyAlignment="1">
      <alignment horizontal="left" vertical="top"/>
    </xf>
    <xf numFmtId="165" fontId="11" fillId="0" borderId="0" xfId="0" applyNumberFormat="1" applyFont="1" applyAlignment="1">
      <alignment vertical="top"/>
    </xf>
    <xf numFmtId="167" fontId="11" fillId="0" borderId="0" xfId="0" applyNumberFormat="1" applyFont="1" applyAlignment="1">
      <alignment vertical="top"/>
    </xf>
    <xf numFmtId="165" fontId="1" fillId="0" borderId="0" xfId="0" applyNumberFormat="1" applyFont="1"/>
    <xf numFmtId="0" fontId="9" fillId="0" borderId="3" xfId="0" applyFont="1" applyBorder="1"/>
    <xf numFmtId="0" fontId="9" fillId="0" borderId="3" xfId="0" applyFont="1" applyBorder="1" applyAlignment="1">
      <alignment horizontal="right"/>
    </xf>
    <xf numFmtId="168" fontId="11" fillId="0" borderId="0" xfId="0" applyNumberFormat="1" applyFont="1" applyAlignment="1">
      <alignment vertical="top"/>
    </xf>
    <xf numFmtId="173" fontId="11" fillId="0" borderId="0" xfId="0" applyNumberFormat="1" applyFont="1" applyAlignment="1">
      <alignment vertical="top"/>
    </xf>
    <xf numFmtId="170" fontId="11" fillId="0" borderId="0" xfId="0" applyNumberFormat="1" applyFont="1" applyAlignment="1">
      <alignment vertical="top"/>
    </xf>
    <xf numFmtId="0" fontId="16" fillId="0" borderId="0" xfId="0" applyFont="1" applyAlignment="1">
      <alignment horizontal="right" vertical="top"/>
    </xf>
    <xf numFmtId="166" fontId="11" fillId="0" borderId="0" xfId="0" applyNumberFormat="1" applyFont="1" applyAlignment="1">
      <alignment vertical="top"/>
    </xf>
    <xf numFmtId="173" fontId="17" fillId="0" borderId="0" xfId="0" applyNumberFormat="1" applyFont="1" applyAlignment="1">
      <alignment vertical="top"/>
    </xf>
    <xf numFmtId="169" fontId="11" fillId="0" borderId="0" xfId="0" applyNumberFormat="1" applyFont="1" applyAlignment="1">
      <alignment vertical="top"/>
    </xf>
    <xf numFmtId="0" fontId="11" fillId="0" borderId="0" xfId="0" applyFont="1" applyAlignment="1">
      <alignment horizontal="left"/>
    </xf>
    <xf numFmtId="164" fontId="11" fillId="0" borderId="0" xfId="0" applyNumberFormat="1" applyFont="1" applyAlignment="1">
      <alignment horizontal="right"/>
    </xf>
    <xf numFmtId="164" fontId="11" fillId="0" borderId="0" xfId="0" applyNumberFormat="1" applyFont="1" applyAlignment="1">
      <alignment horizontal="right" vertical="top"/>
    </xf>
    <xf numFmtId="171" fontId="11" fillId="0" borderId="0" xfId="0" applyNumberFormat="1" applyFont="1"/>
    <xf numFmtId="166" fontId="11" fillId="0" borderId="0" xfId="0" applyNumberFormat="1" applyFont="1"/>
    <xf numFmtId="173" fontId="11" fillId="0" borderId="0" xfId="0" applyNumberFormat="1" applyFont="1"/>
    <xf numFmtId="0" fontId="9" fillId="0" borderId="3" xfId="0" applyFont="1" applyBorder="1" applyAlignment="1">
      <alignment horizontal="left" indent="1"/>
    </xf>
    <xf numFmtId="0" fontId="1" fillId="0" borderId="0" xfId="0" applyFont="1" applyAlignment="1">
      <alignment horizontal="left" vertical="top" indent="1"/>
    </xf>
    <xf numFmtId="0" fontId="11" fillId="0" borderId="0" xfId="0" applyFont="1" applyAlignment="1">
      <alignment horizontal="right" vertical="top" wrapText="1"/>
    </xf>
    <xf numFmtId="165" fontId="18" fillId="0" borderId="0" xfId="0" applyNumberFormat="1" applyFont="1"/>
    <xf numFmtId="0" fontId="1" fillId="0" borderId="0" xfId="0" applyFont="1" applyAlignment="1">
      <alignment horizontal="left" indent="1"/>
    </xf>
    <xf numFmtId="166" fontId="18" fillId="0" borderId="0" xfId="0" applyNumberFormat="1" applyFont="1"/>
    <xf numFmtId="1" fontId="18" fillId="0" borderId="0" xfId="0" applyNumberFormat="1" applyFont="1"/>
    <xf numFmtId="173" fontId="18" fillId="0" borderId="0" xfId="0" applyNumberFormat="1" applyFont="1"/>
    <xf numFmtId="170" fontId="18" fillId="0" borderId="0" xfId="0" applyNumberFormat="1" applyFont="1"/>
    <xf numFmtId="165" fontId="11" fillId="0" borderId="0" xfId="0" applyNumberFormat="1" applyFont="1"/>
    <xf numFmtId="169" fontId="11" fillId="0" borderId="0" xfId="0" applyNumberFormat="1" applyFont="1"/>
    <xf numFmtId="168" fontId="11" fillId="0" borderId="0" xfId="0" applyNumberFormat="1" applyFont="1"/>
    <xf numFmtId="166" fontId="5" fillId="0" borderId="0" xfId="0" applyNumberFormat="1" applyFont="1" applyAlignment="1">
      <alignment horizontal="right"/>
    </xf>
    <xf numFmtId="165" fontId="9" fillId="0" borderId="2" xfId="0" applyNumberFormat="1" applyFont="1" applyBorder="1"/>
    <xf numFmtId="166" fontId="14" fillId="0" borderId="2" xfId="0" applyNumberFormat="1" applyFont="1" applyBorder="1" applyAlignment="1">
      <alignment horizontal="right"/>
    </xf>
    <xf numFmtId="166" fontId="5" fillId="6" borderId="0" xfId="0" applyNumberFormat="1" applyFont="1" applyFill="1" applyAlignment="1">
      <alignment horizontal="right"/>
    </xf>
    <xf numFmtId="165" fontId="9" fillId="5" borderId="6" xfId="0" applyNumberFormat="1" applyFont="1" applyFill="1" applyBorder="1"/>
    <xf numFmtId="165" fontId="9" fillId="5" borderId="2" xfId="0" applyNumberFormat="1" applyFont="1" applyFill="1" applyBorder="1"/>
    <xf numFmtId="165" fontId="9" fillId="5" borderId="7" xfId="0" applyNumberFormat="1" applyFont="1" applyFill="1" applyBorder="1"/>
    <xf numFmtId="166" fontId="14" fillId="5" borderId="7" xfId="0" applyNumberFormat="1" applyFont="1" applyFill="1" applyBorder="1" applyAlignment="1">
      <alignment horizontal="right"/>
    </xf>
    <xf numFmtId="167" fontId="14" fillId="5" borderId="9" xfId="0" applyNumberFormat="1" applyFont="1" applyFill="1" applyBorder="1" applyAlignment="1">
      <alignment horizontal="right"/>
    </xf>
    <xf numFmtId="167" fontId="14" fillId="5" borderId="3" xfId="0" applyNumberFormat="1" applyFont="1" applyFill="1" applyBorder="1" applyAlignment="1">
      <alignment horizontal="right"/>
    </xf>
    <xf numFmtId="167" fontId="14" fillId="5" borderId="10" xfId="0" applyNumberFormat="1" applyFont="1" applyFill="1" applyBorder="1" applyAlignment="1">
      <alignment horizontal="right"/>
    </xf>
    <xf numFmtId="167" fontId="14" fillId="5" borderId="8" xfId="0" applyNumberFormat="1" applyFont="1" applyFill="1" applyBorder="1" applyAlignment="1">
      <alignment horizontal="right"/>
    </xf>
    <xf numFmtId="0" fontId="1" fillId="5" borderId="9" xfId="0" applyFont="1" applyFill="1" applyBorder="1"/>
    <xf numFmtId="0" fontId="1" fillId="5" borderId="10" xfId="0" applyFont="1" applyFill="1" applyBorder="1"/>
    <xf numFmtId="167" fontId="5" fillId="0" borderId="0" xfId="0" applyNumberFormat="1" applyFont="1" applyAlignment="1">
      <alignment horizontal="right"/>
    </xf>
    <xf numFmtId="174" fontId="19" fillId="0" borderId="0" xfId="0" applyNumberFormat="1" applyFont="1"/>
    <xf numFmtId="0" fontId="20" fillId="0" borderId="0" xfId="0" applyFont="1"/>
    <xf numFmtId="164" fontId="20" fillId="0" borderId="0" xfId="0" applyNumberFormat="1" applyFont="1"/>
    <xf numFmtId="167" fontId="20" fillId="0" borderId="0" xfId="0" applyNumberFormat="1" applyFont="1"/>
    <xf numFmtId="174" fontId="20" fillId="0" borderId="0" xfId="0" applyNumberFormat="1" applyFont="1"/>
    <xf numFmtId="165" fontId="12" fillId="0" borderId="2" xfId="0" applyNumberFormat="1" applyFont="1" applyBorder="1"/>
    <xf numFmtId="0" fontId="8" fillId="0" borderId="0" xfId="0" applyFont="1" applyAlignment="1">
      <alignment horizontal="left"/>
    </xf>
    <xf numFmtId="168" fontId="10" fillId="0" borderId="0" xfId="0" applyNumberFormat="1" applyFont="1" applyAlignment="1">
      <alignment vertical="top" wrapText="1"/>
    </xf>
    <xf numFmtId="172" fontId="7" fillId="3" borderId="0" xfId="0" applyNumberFormat="1" applyFont="1" applyFill="1" applyAlignment="1">
      <alignment horizontal="center"/>
    </xf>
    <xf numFmtId="0" fontId="11" fillId="0" borderId="0" xfId="0" applyFont="1" applyAlignment="1">
      <alignment vertical="top" wrapText="1"/>
    </xf>
    <xf numFmtId="0" fontId="11" fillId="0" borderId="0" xfId="0" applyFont="1" applyAlignment="1">
      <alignment horizontal="center" vertical="top"/>
    </xf>
    <xf numFmtId="0" fontId="1" fillId="0" borderId="2" xfId="0" applyFont="1" applyBorder="1" applyAlignment="1">
      <alignment horizontal="left" vertical="top"/>
    </xf>
    <xf numFmtId="0" fontId="1" fillId="0" borderId="2" xfId="0" applyFont="1" applyBorder="1" applyAlignment="1">
      <alignment vertical="top" wrapText="1"/>
    </xf>
    <xf numFmtId="0" fontId="11" fillId="0" borderId="2" xfId="0" applyFont="1" applyBorder="1" applyAlignment="1">
      <alignment vertical="top" wrapText="1"/>
    </xf>
    <xf numFmtId="0" fontId="11" fillId="0" borderId="2" xfId="0" applyFont="1" applyBorder="1" applyAlignment="1">
      <alignment horizontal="center" vertical="top"/>
    </xf>
    <xf numFmtId="0" fontId="1" fillId="0" borderId="2" xfId="0" applyFont="1" applyBorder="1" applyAlignment="1">
      <alignment horizontal="center" vertical="top"/>
    </xf>
    <xf numFmtId="0" fontId="18" fillId="0" borderId="0" xfId="0" applyFont="1" applyAlignment="1">
      <alignment horizontal="left"/>
    </xf>
    <xf numFmtId="0" fontId="18" fillId="0" borderId="0" xfId="0" applyFont="1" applyAlignment="1">
      <alignment horizontal="left" wrapText="1"/>
    </xf>
    <xf numFmtId="0" fontId="18" fillId="0" borderId="0" xfId="0" applyFont="1"/>
    <xf numFmtId="0" fontId="18" fillId="0" borderId="0" xfId="0" applyFont="1" applyAlignment="1">
      <alignment horizontal="center"/>
    </xf>
    <xf numFmtId="168" fontId="1" fillId="0" borderId="0" xfId="0" applyNumberFormat="1" applyFont="1"/>
    <xf numFmtId="168" fontId="10" fillId="0" borderId="0" xfId="0" applyNumberFormat="1" applyFont="1"/>
    <xf numFmtId="0" fontId="18" fillId="0" borderId="2" xfId="0" applyFont="1" applyBorder="1" applyAlignment="1">
      <alignment horizontal="left"/>
    </xf>
    <xf numFmtId="0" fontId="18" fillId="0" borderId="2" xfId="0" applyFont="1" applyBorder="1" applyAlignment="1">
      <alignment horizontal="left" wrapText="1"/>
    </xf>
    <xf numFmtId="168" fontId="11" fillId="0" borderId="2" xfId="0" applyNumberFormat="1" applyFont="1" applyBorder="1"/>
    <xf numFmtId="168" fontId="1" fillId="0" borderId="2" xfId="0" applyNumberFormat="1" applyFont="1" applyBorder="1"/>
    <xf numFmtId="168" fontId="10" fillId="0" borderId="2" xfId="0" applyNumberFormat="1" applyFont="1" applyBorder="1"/>
    <xf numFmtId="0" fontId="18" fillId="0" borderId="0" xfId="0" applyFont="1" applyAlignment="1">
      <alignment horizontal="left" vertical="top"/>
    </xf>
    <xf numFmtId="0" fontId="18" fillId="0" borderId="0" xfId="0" applyFont="1" applyAlignment="1">
      <alignment horizontal="left" vertical="top" wrapText="1"/>
    </xf>
    <xf numFmtId="0" fontId="18" fillId="0" borderId="0" xfId="0" applyFont="1" applyAlignment="1">
      <alignment vertical="top"/>
    </xf>
    <xf numFmtId="0" fontId="18" fillId="0" borderId="0" xfId="0" applyFont="1" applyAlignment="1">
      <alignment horizontal="center" vertical="top"/>
    </xf>
    <xf numFmtId="168" fontId="10" fillId="0" borderId="0" xfId="0" applyNumberFormat="1" applyFont="1" applyAlignment="1">
      <alignment vertical="top"/>
    </xf>
    <xf numFmtId="168" fontId="1" fillId="0" borderId="0" xfId="0" applyNumberFormat="1" applyFont="1" applyAlignment="1">
      <alignment vertical="top"/>
    </xf>
    <xf numFmtId="165" fontId="1" fillId="0" borderId="0" xfId="0" applyNumberFormat="1" applyFont="1" applyAlignment="1">
      <alignment horizontal="left" indent="1"/>
    </xf>
    <xf numFmtId="168" fontId="1" fillId="0" borderId="0" xfId="0" applyNumberFormat="1" applyFont="1" applyAlignment="1">
      <alignment horizontal="left" indent="1"/>
    </xf>
    <xf numFmtId="165" fontId="9" fillId="5" borderId="4" xfId="0" applyNumberFormat="1" applyFont="1" applyFill="1" applyBorder="1" applyAlignment="1">
      <alignment horizontal="left" indent="1"/>
    </xf>
    <xf numFmtId="165" fontId="12" fillId="5" borderId="11" xfId="0" applyNumberFormat="1" applyFont="1" applyFill="1" applyBorder="1"/>
    <xf numFmtId="165" fontId="12" fillId="5" borderId="12" xfId="0" applyNumberFormat="1" applyFont="1" applyFill="1" applyBorder="1"/>
    <xf numFmtId="165" fontId="12" fillId="5" borderId="13" xfId="0" applyNumberFormat="1" applyFont="1" applyFill="1" applyBorder="1"/>
    <xf numFmtId="165" fontId="12" fillId="5" borderId="4" xfId="0" applyNumberFormat="1" applyFont="1" applyFill="1" applyBorder="1"/>
    <xf numFmtId="165" fontId="9" fillId="5" borderId="11" xfId="0" applyNumberFormat="1" applyFont="1" applyFill="1" applyBorder="1"/>
    <xf numFmtId="166" fontId="14" fillId="5" borderId="13" xfId="0" applyNumberFormat="1" applyFont="1" applyFill="1" applyBorder="1" applyAlignment="1">
      <alignment horizontal="right"/>
    </xf>
    <xf numFmtId="165" fontId="12" fillId="5" borderId="0" xfId="0" applyNumberFormat="1" applyFont="1" applyFill="1"/>
    <xf numFmtId="165" fontId="21" fillId="5" borderId="11" xfId="0" applyNumberFormat="1" applyFont="1" applyFill="1" applyBorder="1"/>
    <xf numFmtId="165" fontId="21" fillId="5" borderId="12" xfId="0" applyNumberFormat="1" applyFont="1" applyFill="1" applyBorder="1"/>
    <xf numFmtId="165" fontId="21" fillId="5" borderId="13" xfId="0" applyNumberFormat="1" applyFont="1" applyFill="1" applyBorder="1"/>
    <xf numFmtId="165" fontId="21" fillId="5" borderId="4" xfId="0" applyNumberFormat="1" applyFont="1" applyFill="1" applyBorder="1"/>
    <xf numFmtId="165" fontId="21" fillId="5" borderId="0" xfId="0" applyNumberFormat="1" applyFont="1" applyFill="1"/>
    <xf numFmtId="165" fontId="9" fillId="5" borderId="4" xfId="0" applyNumberFormat="1" applyFont="1" applyFill="1" applyBorder="1" applyAlignment="1">
      <alignment horizontal="left"/>
    </xf>
    <xf numFmtId="166" fontId="9" fillId="6" borderId="11" xfId="0" applyNumberFormat="1" applyFont="1" applyFill="1" applyBorder="1" applyAlignment="1">
      <alignment horizontal="right"/>
    </xf>
    <xf numFmtId="166" fontId="9" fillId="5" borderId="12" xfId="0" applyNumberFormat="1" applyFont="1" applyFill="1" applyBorder="1"/>
    <xf numFmtId="166" fontId="9" fillId="5" borderId="13" xfId="0" applyNumberFormat="1" applyFont="1" applyFill="1" applyBorder="1"/>
    <xf numFmtId="166" fontId="12" fillId="5" borderId="11" xfId="0" applyNumberFormat="1" applyFont="1" applyFill="1" applyBorder="1"/>
    <xf numFmtId="166" fontId="9" fillId="6" borderId="4" xfId="0" applyNumberFormat="1" applyFont="1" applyFill="1" applyBorder="1" applyAlignment="1">
      <alignment horizontal="right"/>
    </xf>
    <xf numFmtId="0" fontId="1" fillId="5" borderId="11" xfId="0" applyFont="1" applyFill="1" applyBorder="1"/>
    <xf numFmtId="0" fontId="1" fillId="5" borderId="13" xfId="0" applyFont="1" applyFill="1" applyBorder="1"/>
    <xf numFmtId="166" fontId="9" fillId="5" borderId="13" xfId="0" applyNumberFormat="1" applyFont="1" applyFill="1" applyBorder="1" applyAlignment="1">
      <alignment horizontal="right"/>
    </xf>
    <xf numFmtId="166" fontId="9" fillId="5" borderId="11" xfId="0" applyNumberFormat="1" applyFont="1" applyFill="1" applyBorder="1"/>
    <xf numFmtId="0" fontId="9" fillId="0" borderId="0" xfId="0" applyFont="1" applyAlignment="1">
      <alignment horizontal="left"/>
    </xf>
    <xf numFmtId="0" fontId="5" fillId="0" borderId="0" xfId="0" applyFont="1" applyAlignment="1">
      <alignment horizontal="left" vertical="top"/>
    </xf>
    <xf numFmtId="0" fontId="7" fillId="3" borderId="0" xfId="0" applyFont="1" applyFill="1" applyAlignment="1">
      <alignment horizontal="right"/>
    </xf>
    <xf numFmtId="172" fontId="10" fillId="0" borderId="0" xfId="0" applyNumberFormat="1" applyFont="1"/>
    <xf numFmtId="167" fontId="1" fillId="0" borderId="0" xfId="0" applyNumberFormat="1" applyFont="1"/>
    <xf numFmtId="168" fontId="1" fillId="0" borderId="0" xfId="0" applyNumberFormat="1" applyFont="1" applyAlignment="1">
      <alignment vertical="top" wrapText="1" indent="1"/>
    </xf>
    <xf numFmtId="166" fontId="5" fillId="6" borderId="0" xfId="0" applyNumberFormat="1" applyFont="1" applyFill="1" applyAlignment="1">
      <alignment horizontal="right" vertical="top"/>
    </xf>
    <xf numFmtId="168" fontId="10" fillId="0" borderId="0" xfId="0" applyNumberFormat="1" applyFont="1" applyAlignment="1">
      <alignment vertical="top" indent="1"/>
    </xf>
    <xf numFmtId="166" fontId="5" fillId="0" borderId="0" xfId="0" applyNumberFormat="1" applyFont="1" applyAlignment="1">
      <alignment horizontal="right" vertical="top"/>
    </xf>
    <xf numFmtId="165" fontId="9" fillId="5" borderId="4" xfId="0" applyNumberFormat="1" applyFont="1" applyFill="1" applyBorder="1"/>
    <xf numFmtId="168" fontId="9" fillId="5" borderId="11" xfId="0" applyNumberFormat="1" applyFont="1" applyFill="1" applyBorder="1"/>
    <xf numFmtId="0" fontId="1" fillId="5" borderId="12" xfId="0" applyFont="1" applyFill="1" applyBorder="1"/>
    <xf numFmtId="165" fontId="9" fillId="5" borderId="12" xfId="0" applyNumberFormat="1" applyFont="1" applyFill="1" applyBorder="1"/>
    <xf numFmtId="166" fontId="14" fillId="5" borderId="12" xfId="0" applyNumberFormat="1" applyFont="1" applyFill="1" applyBorder="1" applyAlignment="1">
      <alignment horizontal="right"/>
    </xf>
    <xf numFmtId="165" fontId="10" fillId="0" borderId="0" xfId="0" applyNumberFormat="1" applyFont="1" applyAlignment="1">
      <alignment vertical="top" indent="1"/>
    </xf>
    <xf numFmtId="167" fontId="19" fillId="0" borderId="0" xfId="0" applyNumberFormat="1" applyFont="1"/>
    <xf numFmtId="168" fontId="20" fillId="0" borderId="0" xfId="0" applyNumberFormat="1" applyFont="1"/>
    <xf numFmtId="168" fontId="18" fillId="0" borderId="0" xfId="0" applyNumberFormat="1" applyFont="1" applyAlignment="1">
      <alignment indent="1"/>
    </xf>
    <xf numFmtId="168" fontId="9" fillId="5" borderId="12" xfId="0" applyNumberFormat="1" applyFont="1" applyFill="1" applyBorder="1"/>
    <xf numFmtId="168" fontId="9" fillId="5" borderId="13" xfId="0" applyNumberFormat="1" applyFont="1" applyFill="1" applyBorder="1"/>
    <xf numFmtId="168" fontId="9" fillId="5" borderId="0" xfId="0" applyNumberFormat="1" applyFont="1" applyFill="1"/>
    <xf numFmtId="169" fontId="1" fillId="0" borderId="0" xfId="0" applyNumberFormat="1" applyFont="1" applyAlignment="1">
      <alignment indent="1"/>
    </xf>
    <xf numFmtId="168" fontId="1" fillId="6" borderId="0" xfId="0" applyNumberFormat="1" applyFont="1" applyFill="1" applyAlignment="1">
      <alignment horizontal="right" indent="1"/>
    </xf>
    <xf numFmtId="165" fontId="9" fillId="6" borderId="11" xfId="0" applyNumberFormat="1" applyFont="1" applyFill="1" applyBorder="1" applyAlignment="1">
      <alignment horizontal="right"/>
    </xf>
    <xf numFmtId="165" fontId="9" fillId="5" borderId="13" xfId="0" applyNumberFormat="1" applyFont="1" applyFill="1" applyBorder="1"/>
    <xf numFmtId="169" fontId="9" fillId="5" borderId="4" xfId="0" applyNumberFormat="1" applyFont="1" applyFill="1" applyBorder="1"/>
    <xf numFmtId="169" fontId="20" fillId="0" borderId="0" xfId="0" applyNumberFormat="1" applyFont="1"/>
    <xf numFmtId="1" fontId="20" fillId="0" borderId="0" xfId="0" applyNumberFormat="1" applyFont="1"/>
    <xf numFmtId="0" fontId="9" fillId="0" borderId="0" xfId="0" applyFont="1" applyAlignment="1">
      <alignment vertical="top" wrapText="1"/>
    </xf>
    <xf numFmtId="0" fontId="7" fillId="3" borderId="0" xfId="0" applyFont="1" applyFill="1" applyAlignment="1">
      <alignment horizontal="left" indent="1"/>
    </xf>
    <xf numFmtId="0" fontId="11" fillId="0" borderId="0" xfId="0" applyFont="1" applyAlignment="1">
      <alignment horizontal="left" indent="1"/>
    </xf>
    <xf numFmtId="167" fontId="22" fillId="0" borderId="0" xfId="0" applyNumberFormat="1" applyFont="1" applyAlignment="1">
      <alignment horizontal="right"/>
    </xf>
    <xf numFmtId="0" fontId="10" fillId="0" borderId="0" xfId="0" applyFont="1" applyAlignment="1">
      <alignment horizontal="left" indent="1"/>
    </xf>
    <xf numFmtId="167" fontId="14" fillId="0" borderId="2" xfId="0" applyNumberFormat="1" applyFont="1" applyBorder="1" applyAlignment="1">
      <alignment horizontal="right"/>
    </xf>
    <xf numFmtId="0" fontId="9" fillId="0" borderId="2" xfId="0" applyFont="1" applyBorder="1"/>
    <xf numFmtId="167" fontId="14" fillId="5" borderId="12" xfId="0" applyNumberFormat="1" applyFont="1" applyFill="1" applyBorder="1" applyAlignment="1">
      <alignment horizontal="right"/>
    </xf>
    <xf numFmtId="1" fontId="11" fillId="0" borderId="0" xfId="0" applyNumberFormat="1" applyFont="1" applyAlignment="1">
      <alignment horizontal="left" indent="1"/>
    </xf>
    <xf numFmtId="168" fontId="9" fillId="0" borderId="2" xfId="0" applyNumberFormat="1" applyFont="1" applyBorder="1"/>
    <xf numFmtId="1" fontId="18" fillId="0" borderId="0" xfId="0" applyNumberFormat="1" applyFont="1" applyAlignment="1">
      <alignment horizontal="left" indent="1"/>
    </xf>
    <xf numFmtId="0" fontId="11" fillId="0" borderId="0" xfId="0" applyFont="1" applyAlignment="1">
      <alignment horizontal="center"/>
    </xf>
    <xf numFmtId="167" fontId="15" fillId="5" borderId="12" xfId="0" applyNumberFormat="1" applyFont="1" applyFill="1" applyBorder="1" applyAlignment="1">
      <alignment horizontal="right"/>
    </xf>
    <xf numFmtId="169" fontId="9" fillId="5" borderId="12" xfId="0" applyNumberFormat="1" applyFont="1" applyFill="1" applyBorder="1"/>
    <xf numFmtId="174" fontId="19" fillId="0" borderId="0" xfId="0" applyNumberFormat="1" applyFont="1" applyAlignment="1">
      <alignment wrapText="1"/>
    </xf>
    <xf numFmtId="165" fontId="9" fillId="0" borderId="2" xfId="0" applyNumberFormat="1" applyFont="1" applyBorder="1" applyAlignment="1">
      <alignment wrapText="1"/>
    </xf>
    <xf numFmtId="0" fontId="20" fillId="0" borderId="0" xfId="0" applyFont="1" applyAlignment="1">
      <alignment horizontal="right"/>
    </xf>
    <xf numFmtId="0" fontId="1" fillId="6" borderId="0" xfId="0" applyFont="1" applyFill="1" applyAlignment="1">
      <alignment horizontal="right"/>
    </xf>
    <xf numFmtId="0" fontId="1" fillId="6" borderId="0" xfId="0" applyFont="1" applyFill="1" applyAlignment="1">
      <alignment horizontal="right" vertical="top"/>
    </xf>
    <xf numFmtId="165" fontId="1" fillId="6" borderId="0" xfId="0" applyNumberFormat="1" applyFont="1" applyFill="1" applyAlignment="1">
      <alignment horizontal="right" indent="1"/>
    </xf>
    <xf numFmtId="165" fontId="18" fillId="0" borderId="0" xfId="0" applyNumberFormat="1" applyFont="1" applyAlignment="1">
      <alignment indent="1"/>
    </xf>
    <xf numFmtId="165" fontId="9" fillId="6" borderId="2" xfId="0" applyNumberFormat="1" applyFont="1" applyFill="1" applyBorder="1" applyAlignment="1">
      <alignment horizontal="right"/>
    </xf>
    <xf numFmtId="165" fontId="21" fillId="0" borderId="2" xfId="0" applyNumberFormat="1" applyFont="1" applyBorder="1"/>
    <xf numFmtId="165" fontId="9" fillId="6" borderId="13" xfId="0" applyNumberFormat="1" applyFont="1" applyFill="1" applyBorder="1" applyAlignment="1">
      <alignment horizontal="right"/>
    </xf>
    <xf numFmtId="168" fontId="5" fillId="0" borderId="0" xfId="0" applyNumberFormat="1" applyFont="1" applyAlignment="1">
      <alignment horizontal="right"/>
    </xf>
    <xf numFmtId="174" fontId="19" fillId="0" borderId="0" xfId="0" applyNumberFormat="1" applyFont="1" applyAlignment="1">
      <alignment vertical="top" wrapText="1"/>
    </xf>
    <xf numFmtId="174" fontId="19" fillId="0" borderId="0" xfId="0" applyNumberFormat="1" applyFont="1" applyAlignment="1">
      <alignment vertical="top"/>
    </xf>
    <xf numFmtId="165" fontId="9" fillId="5" borderId="4" xfId="0" applyNumberFormat="1" applyFont="1" applyFill="1" applyBorder="1" applyAlignment="1">
      <alignment vertical="top" wrapText="1"/>
    </xf>
    <xf numFmtId="165" fontId="9" fillId="5" borderId="4" xfId="0" applyNumberFormat="1" applyFont="1" applyFill="1" applyBorder="1" applyAlignment="1">
      <alignment vertical="top"/>
    </xf>
    <xf numFmtId="165" fontId="1" fillId="0" borderId="0" xfId="0" applyNumberFormat="1" applyFont="1" applyAlignment="1">
      <alignment vertical="top" indent="1"/>
    </xf>
    <xf numFmtId="166" fontId="5" fillId="0" borderId="0" xfId="0" applyNumberFormat="1" applyFont="1" applyAlignment="1">
      <alignment horizontal="left" wrapText="1" indent="1"/>
    </xf>
    <xf numFmtId="172" fontId="10" fillId="0" borderId="0" xfId="0" applyNumberFormat="1" applyFont="1" applyAlignment="1">
      <alignment horizontal="left"/>
    </xf>
    <xf numFmtId="0" fontId="17" fillId="0" borderId="0" xfId="0" applyFont="1" applyAlignment="1">
      <alignment horizontal="left"/>
    </xf>
    <xf numFmtId="172" fontId="1" fillId="0" borderId="0" xfId="0" applyNumberFormat="1" applyFont="1" applyAlignment="1">
      <alignment horizontal="left"/>
    </xf>
    <xf numFmtId="167" fontId="14" fillId="5" borderId="13" xfId="0" applyNumberFormat="1" applyFont="1" applyFill="1" applyBorder="1" applyAlignment="1">
      <alignment horizontal="right"/>
    </xf>
    <xf numFmtId="174" fontId="19" fillId="0" borderId="0" xfId="0" applyNumberFormat="1" applyFont="1" applyAlignment="1"/>
    <xf numFmtId="167" fontId="10" fillId="0" borderId="0" xfId="0" applyNumberFormat="1" applyFont="1"/>
    <xf numFmtId="0" fontId="1" fillId="5" borderId="4" xfId="0" applyFont="1" applyFill="1" applyBorder="1"/>
    <xf numFmtId="165" fontId="1" fillId="0" borderId="0" xfId="0" applyNumberFormat="1" applyFont="1" applyAlignment="1">
      <alignment vertical="top" wrapText="1" indent="1"/>
    </xf>
    <xf numFmtId="0" fontId="17" fillId="0" borderId="0" xfId="0" applyFont="1" applyAlignment="1">
      <alignment vertical="top" wrapText="1"/>
    </xf>
    <xf numFmtId="167" fontId="10" fillId="0" borderId="0" xfId="0" applyNumberFormat="1" applyFont="1" applyAlignment="1">
      <alignment vertical="top"/>
    </xf>
    <xf numFmtId="0" fontId="9" fillId="4" borderId="0" xfId="0" applyFont="1" applyFill="1" applyAlignment="1">
      <alignment horizontal="right"/>
    </xf>
    <xf numFmtId="170" fontId="10" fillId="0" borderId="0" xfId="0" applyNumberFormat="1" applyFont="1" applyAlignment="1">
      <alignment vertical="top" indent="1"/>
    </xf>
    <xf numFmtId="170" fontId="1" fillId="0" borderId="0" xfId="0" applyNumberFormat="1" applyFont="1" applyAlignment="1">
      <alignment indent="1"/>
    </xf>
    <xf numFmtId="1" fontId="10" fillId="0" borderId="0" xfId="0" applyNumberFormat="1" applyFont="1" applyAlignment="1">
      <alignment indent="1"/>
    </xf>
    <xf numFmtId="173" fontId="10" fillId="0" borderId="0" xfId="0" applyNumberFormat="1" applyFont="1" applyAlignment="1">
      <alignment indent="1"/>
    </xf>
    <xf numFmtId="167" fontId="14" fillId="5" borderId="4" xfId="0" applyNumberFormat="1" applyFont="1" applyFill="1" applyBorder="1" applyAlignment="1">
      <alignment horizontal="left" vertical="top"/>
    </xf>
    <xf numFmtId="171" fontId="14" fillId="5" borderId="11" xfId="0" applyNumberFormat="1" applyFont="1" applyFill="1" applyBorder="1" applyAlignment="1">
      <alignment horizontal="right" vertical="top"/>
    </xf>
    <xf numFmtId="171" fontId="14" fillId="5" borderId="12" xfId="0" applyNumberFormat="1" applyFont="1" applyFill="1" applyBorder="1" applyAlignment="1">
      <alignment horizontal="right" vertical="top"/>
    </xf>
    <xf numFmtId="171" fontId="14" fillId="5" borderId="13" xfId="0" applyNumberFormat="1" applyFont="1" applyFill="1" applyBorder="1" applyAlignment="1">
      <alignment horizontal="right" vertical="top"/>
    </xf>
    <xf numFmtId="171" fontId="1" fillId="0" borderId="0" xfId="0" applyNumberFormat="1" applyFont="1" applyAlignment="1">
      <alignment indent="1"/>
    </xf>
    <xf numFmtId="0" fontId="9" fillId="4" borderId="0" xfId="0" applyFont="1" applyFill="1"/>
    <xf numFmtId="0" fontId="10" fillId="0" borderId="0" xfId="0" applyFont="1" applyAlignment="1">
      <alignment horizontal="left"/>
    </xf>
    <xf numFmtId="165" fontId="10" fillId="0" borderId="0" xfId="0" applyNumberFormat="1" applyFont="1"/>
    <xf numFmtId="165" fontId="10" fillId="0" borderId="0" xfId="0" applyNumberFormat="1" applyFont="1" applyAlignment="1">
      <alignment vertical="top"/>
    </xf>
    <xf numFmtId="166" fontId="10" fillId="0" borderId="0" xfId="0" applyNumberFormat="1" applyFont="1"/>
    <xf numFmtId="168" fontId="5" fillId="0" borderId="0" xfId="0" applyNumberFormat="1" applyFont="1" applyAlignment="1">
      <alignment horizontal="left" vertical="top" indent="1"/>
    </xf>
    <xf numFmtId="168" fontId="22" fillId="0" borderId="0" xfId="0" applyNumberFormat="1" applyFont="1" applyAlignment="1">
      <alignment vertical="top" indent="1"/>
    </xf>
    <xf numFmtId="168" fontId="11" fillId="0" borderId="0" xfId="0" applyNumberFormat="1" applyFont="1" applyAlignment="1">
      <alignment indent="1"/>
    </xf>
    <xf numFmtId="165" fontId="9" fillId="5" borderId="14" xfId="0" applyNumberFormat="1" applyFont="1" applyFill="1" applyBorder="1"/>
    <xf numFmtId="166" fontId="5" fillId="5" borderId="14" xfId="0" applyNumberFormat="1" applyFont="1" applyFill="1" applyBorder="1" applyAlignment="1">
      <alignment horizontal="right"/>
    </xf>
    <xf numFmtId="170" fontId="10" fillId="5" borderId="14" xfId="0" applyNumberFormat="1" applyFont="1" applyFill="1" applyBorder="1" applyAlignment="1">
      <alignment indent="1"/>
    </xf>
    <xf numFmtId="171" fontId="14" fillId="5" borderId="4" xfId="0" applyNumberFormat="1" applyFont="1" applyFill="1" applyBorder="1" applyAlignment="1">
      <alignment horizontal="right" vertical="top"/>
    </xf>
    <xf numFmtId="0" fontId="23" fillId="0" borderId="0" xfId="0" applyFont="1" applyAlignment="1">
      <alignment horizontal="left"/>
    </xf>
    <xf numFmtId="171" fontId="7" fillId="3" borderId="0" xfId="0" applyNumberFormat="1" applyFont="1" applyFill="1" applyAlignment="1">
      <alignment horizontal="center"/>
    </xf>
    <xf numFmtId="0" fontId="7" fillId="3" borderId="0" xfId="0" applyFont="1" applyFill="1" applyAlignment="1">
      <alignment horizontal="center" vertical="center" wrapText="1"/>
    </xf>
    <xf numFmtId="165" fontId="7" fillId="3" borderId="0" xfId="0" applyNumberFormat="1" applyFont="1" applyFill="1" applyAlignment="1">
      <alignment horizontal="center"/>
    </xf>
    <xf numFmtId="168" fontId="1" fillId="0" borderId="0" xfId="0" applyNumberFormat="1" applyFont="1" applyAlignment="1">
      <alignment horizontal="right"/>
    </xf>
    <xf numFmtId="168" fontId="9" fillId="0" borderId="15" xfId="0" applyNumberFormat="1" applyFont="1" applyBorder="1" applyAlignment="1">
      <alignment horizontal="right"/>
    </xf>
    <xf numFmtId="165" fontId="7" fillId="3" borderId="3" xfId="0" applyNumberFormat="1" applyFont="1" applyFill="1" applyBorder="1" applyAlignment="1">
      <alignment horizontal="center"/>
    </xf>
    <xf numFmtId="168" fontId="1" fillId="0" borderId="3" xfId="0" applyNumberFormat="1" applyFont="1" applyBorder="1" applyAlignment="1">
      <alignment horizontal="right"/>
    </xf>
    <xf numFmtId="173" fontId="7" fillId="3" borderId="0" xfId="0" applyNumberFormat="1" applyFont="1" applyFill="1" applyAlignment="1">
      <alignment horizontal="center"/>
    </xf>
    <xf numFmtId="171" fontId="1" fillId="0" borderId="0" xfId="0" applyNumberFormat="1" applyFont="1" applyAlignment="1">
      <alignment horizontal="right"/>
    </xf>
    <xf numFmtId="171" fontId="20" fillId="0" borderId="0" xfId="0" applyNumberFormat="1" applyFont="1"/>
    <xf numFmtId="171" fontId="9" fillId="0" borderId="15" xfId="0" applyNumberFormat="1" applyFont="1" applyBorder="1" applyAlignment="1">
      <alignment horizontal="right"/>
    </xf>
    <xf numFmtId="171" fontId="1" fillId="0" borderId="3" xfId="0" applyNumberFormat="1" applyFont="1" applyBorder="1" applyAlignment="1">
      <alignment horizontal="right"/>
    </xf>
    <xf numFmtId="166" fontId="7" fillId="3" borderId="0" xfId="0" applyNumberFormat="1" applyFont="1" applyFill="1" applyAlignment="1">
      <alignment horizontal="center"/>
    </xf>
    <xf numFmtId="0" fontId="9" fillId="4" borderId="0" xfId="0" applyFont="1" applyFill="1" applyAlignment="1">
      <alignment horizontal="left" indent="1"/>
    </xf>
    <xf numFmtId="0" fontId="5" fillId="0" borderId="0" xfId="0" applyFont="1" applyAlignment="1">
      <alignment horizontal="left" vertical="top" indent="1"/>
    </xf>
    <xf numFmtId="170" fontId="10" fillId="0" borderId="0" xfId="0" applyNumberFormat="1" applyFont="1"/>
    <xf numFmtId="171" fontId="10" fillId="0" borderId="0" xfId="0" applyNumberFormat="1" applyFont="1"/>
    <xf numFmtId="173" fontId="10" fillId="0" borderId="0" xfId="0" applyNumberFormat="1" applyFont="1"/>
    <xf numFmtId="1" fontId="10" fillId="0" borderId="0" xfId="0" applyNumberFormat="1" applyFont="1"/>
    <xf numFmtId="174" fontId="19" fillId="0" borderId="0" xfId="0" applyNumberFormat="1" applyFont="1" applyAlignment="1">
      <alignment horizontal="left"/>
    </xf>
    <xf numFmtId="174" fontId="10" fillId="0" borderId="0" xfId="0" applyNumberFormat="1" applyFont="1"/>
    <xf numFmtId="174" fontId="11" fillId="0" borderId="0" xfId="0" applyNumberFormat="1" applyFont="1"/>
    <xf numFmtId="0" fontId="9" fillId="0" borderId="0" xfId="0" applyFont="1" applyAlignment="1">
      <alignment horizontal="center"/>
    </xf>
    <xf numFmtId="174" fontId="10" fillId="0" borderId="0" xfId="0" applyNumberFormat="1" applyFont="1" applyAlignment="1">
      <alignment vertical="top"/>
    </xf>
    <xf numFmtId="174" fontId="11" fillId="0" borderId="0" xfId="0" applyNumberFormat="1" applyFont="1" applyAlignment="1">
      <alignment vertical="top"/>
    </xf>
    <xf numFmtId="0" fontId="9" fillId="0" borderId="0" xfId="0" applyFont="1" applyAlignment="1">
      <alignment horizontal="center" vertical="top"/>
    </xf>
    <xf numFmtId="174" fontId="1" fillId="0" borderId="0" xfId="0" applyNumberFormat="1" applyFont="1"/>
    <xf numFmtId="0" fontId="5" fillId="0" borderId="0" xfId="0" applyFont="1"/>
    <xf numFmtId="0" fontId="5" fillId="0" borderId="0" xfId="0" applyFont="1" applyAlignment="1">
      <alignment vertical="top" wrapText="1"/>
    </xf>
    <xf numFmtId="168" fontId="18" fillId="0" borderId="0" xfId="0" applyNumberFormat="1" applyFont="1"/>
    <xf numFmtId="168" fontId="18" fillId="0" borderId="0" xfId="0" applyNumberFormat="1" applyFont="1" applyAlignment="1">
      <alignment vertical="top"/>
    </xf>
    <xf numFmtId="0" fontId="20" fillId="0" borderId="0" xfId="0" applyFont="1" applyAlignment="1">
      <alignment vertical="top"/>
    </xf>
    <xf numFmtId="0" fontId="5" fillId="0" borderId="0" xfId="0" applyFont="1" applyAlignment="1">
      <alignment wrapText="1"/>
    </xf>
    <xf numFmtId="0" fontId="24" fillId="0" borderId="0" xfId="0" applyFont="1"/>
    <xf numFmtId="164" fontId="11" fillId="0" borderId="0" xfId="0" applyNumberFormat="1" applyFont="1" applyAlignment="1">
      <alignment horizontal="left"/>
    </xf>
    <xf numFmtId="175" fontId="11" fillId="0" borderId="0" xfId="0" applyNumberFormat="1" applyFont="1"/>
    <xf numFmtId="0" fontId="11" fillId="0" borderId="0" xfId="0" applyFont="1"/>
    <xf numFmtId="176" fontId="11" fillId="0" borderId="0" xfId="0" applyNumberFormat="1" applyFont="1"/>
  </cellXfs>
  <cellStyles count="1">
    <cellStyle name="Normal" xfId="0" builtinId="0"/>
  </cellStyles>
  <dxfs count="68">
    <dxf>
      <font>
        <b/>
        <color rgb="FFFF0000"/>
      </font>
    </dxf>
    <dxf>
      <font>
        <b/>
        <color rgb="FFFF0000"/>
      </font>
    </dxf>
    <dxf>
      <font>
        <color rgb="FF000000"/>
      </font>
    </dxf>
    <dxf>
      <font>
        <color rgb="FF000000"/>
      </font>
    </dxf>
    <dxf>
      <font>
        <color rgb="FFFF0000"/>
      </font>
    </dxf>
    <dxf>
      <font>
        <color rgb="FFFF0000"/>
      </font>
    </dxf>
    <dxf>
      <font>
        <color rgb="FF000000"/>
      </font>
    </dxf>
    <dxf>
      <font>
        <color rgb="FFFF0000"/>
      </font>
    </dxf>
    <dxf>
      <font>
        <color rgb="FFFF0000"/>
      </font>
    </dxf>
    <dxf>
      <font>
        <color rgb="FF000000"/>
      </font>
    </dxf>
    <dxf>
      <font>
        <color rgb="FF000000"/>
      </font>
    </dxf>
    <dxf>
      <font>
        <color rgb="FFFF0000"/>
      </font>
    </dxf>
    <dxf>
      <font>
        <color rgb="FFFF0000"/>
      </font>
    </dxf>
    <dxf>
      <font>
        <color rgb="FF000000"/>
      </font>
    </dxf>
    <dxf>
      <font>
        <color rgb="FFFF0000"/>
      </font>
    </dxf>
    <dxf>
      <font>
        <color rgb="FFFF0000"/>
      </font>
    </dxf>
    <dxf>
      <font>
        <color rgb="FFFF0000"/>
      </font>
    </dxf>
    <dxf>
      <font>
        <color rgb="FF000000"/>
      </font>
    </dxf>
    <dxf>
      <font>
        <color rgb="FFFF0000"/>
      </font>
    </dxf>
    <dxf>
      <font>
        <color rgb="FFFF0000"/>
      </font>
    </dxf>
    <dxf>
      <font>
        <color rgb="FF000000"/>
      </font>
    </dxf>
    <dxf>
      <font>
        <color rgb="FFFF0000"/>
      </font>
    </dxf>
    <dxf>
      <font>
        <color rgb="FF000000"/>
      </font>
    </dxf>
    <dxf>
      <font>
        <color rgb="FFFF0000"/>
      </font>
    </dxf>
    <dxf>
      <font>
        <color rgb="FF000000"/>
      </font>
    </dxf>
    <dxf>
      <font>
        <color rgb="FFFF0000"/>
      </font>
    </dxf>
    <dxf>
      <font>
        <color rgb="FFFFFFFF"/>
      </font>
      <fill>
        <patternFill patternType="solid">
          <bgColor rgb="FF7B0000"/>
        </patternFill>
      </fill>
    </dxf>
    <dxf>
      <font>
        <color rgb="FFFFFFFF"/>
      </font>
      <fill>
        <patternFill patternType="solid">
          <bgColor rgb="FFB5727A"/>
        </patternFill>
      </fill>
    </dxf>
    <dxf>
      <font>
        <color rgb="FF000000"/>
      </font>
      <fill>
        <patternFill patternType="solid">
          <bgColor rgb="FFD9B8BD"/>
        </patternFill>
      </fill>
    </dxf>
    <dxf>
      <font>
        <color rgb="FF000000"/>
      </font>
      <fill>
        <patternFill patternType="solid">
          <bgColor rgb="FFF5EDEC"/>
        </patternFill>
      </fill>
    </dxf>
    <dxf>
      <font>
        <color rgb="FFFF0000"/>
      </font>
    </dxf>
    <dxf>
      <font>
        <color rgb="FF000000"/>
      </font>
    </dxf>
    <dxf>
      <font>
        <color rgb="FFFF0000"/>
      </font>
    </dxf>
    <dxf>
      <font>
        <color rgb="FF000000"/>
      </font>
    </dxf>
    <dxf>
      <font>
        <color rgb="FFFF0000"/>
      </font>
    </dxf>
    <dxf>
      <font>
        <color rgb="FFFF0000"/>
      </font>
    </dxf>
    <dxf>
      <font>
        <color rgb="FF000000"/>
      </font>
    </dxf>
    <dxf>
      <font>
        <color rgb="FFFF0000"/>
      </font>
    </dxf>
    <dxf>
      <font>
        <color rgb="FF000000"/>
      </font>
    </dxf>
    <dxf>
      <font>
        <color rgb="FF000000"/>
      </font>
    </dxf>
    <dxf>
      <font>
        <color rgb="FFFF0000"/>
      </font>
    </dxf>
    <dxf>
      <font>
        <color rgb="FF000000"/>
      </font>
    </dxf>
    <dxf>
      <font>
        <color rgb="FFFF0000"/>
      </font>
    </dxf>
    <dxf>
      <font>
        <color rgb="FF000000"/>
      </font>
    </dxf>
    <dxf>
      <font>
        <color rgb="FFFF0000"/>
      </font>
    </dxf>
    <dxf>
      <font>
        <color rgb="FFFF0000"/>
      </font>
    </dxf>
    <dxf>
      <font>
        <color rgb="FF000000"/>
      </font>
    </dxf>
    <dxf>
      <font>
        <color rgb="FF000000"/>
      </font>
    </dxf>
    <dxf>
      <font>
        <color rgb="FF000000"/>
      </font>
    </dxf>
    <dxf>
      <font>
        <color rgb="FFFF0000"/>
      </font>
    </dxf>
    <dxf>
      <font>
        <color rgb="FF000000"/>
      </font>
    </dxf>
    <dxf>
      <fill>
        <patternFill patternType="solid">
          <bgColor rgb="FFF3ECEA"/>
        </patternFill>
      </fill>
    </dxf>
    <dxf>
      <fill>
        <patternFill patternType="solid">
          <bgColor rgb="FFE6D5D1"/>
        </patternFill>
      </fill>
    </dxf>
    <dxf>
      <fill>
        <patternFill patternType="solid">
          <bgColor rgb="FFC99C93"/>
        </patternFill>
      </fill>
    </dxf>
    <dxf>
      <fill>
        <patternFill patternType="solid">
          <bgColor rgb="FFB57B70"/>
        </patternFill>
      </fill>
    </dxf>
    <dxf>
      <fill>
        <patternFill patternType="solid">
          <bgColor rgb="FF9E5A4E"/>
        </patternFill>
      </fill>
    </dxf>
    <dxf>
      <border>
        <left style="thin">
          <color rgb="FF7B0000"/>
        </left>
        <right style="thin">
          <color rgb="FF7B0000"/>
        </right>
        <top style="thin">
          <color rgb="FF7B0000"/>
        </top>
        <bottom style="thin">
          <color rgb="FF7B0000"/>
        </bottom>
        <diagonal/>
      </border>
    </dxf>
    <dxf>
      <font>
        <color rgb="FFFF0000"/>
      </font>
    </dxf>
    <dxf>
      <font>
        <color rgb="FFFF0000"/>
      </font>
    </dxf>
    <dxf>
      <font>
        <color rgb="FFFF0000"/>
      </font>
    </dxf>
    <dxf>
      <font>
        <color rgb="FF000000"/>
      </font>
    </dxf>
    <dxf>
      <font>
        <b/>
        <color rgb="FFFF0000"/>
      </font>
    </dxf>
    <dxf>
      <font>
        <color rgb="FF000000"/>
      </font>
    </dxf>
    <dxf>
      <font>
        <color rgb="FFFF0000"/>
      </font>
    </dxf>
    <dxf>
      <font>
        <color rgb="FF000000"/>
      </font>
    </dxf>
    <dxf>
      <font>
        <color rgb="FFFF0000"/>
      </font>
    </dxf>
    <dxf>
      <font>
        <b/>
        <color rgb="FFFF0000"/>
      </font>
    </dxf>
    <dxf>
      <font>
        <color rgb="FF00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manualLayout>
          <c:layoutTarget val="inner"/>
          <c:xMode val="edge"/>
          <c:yMode val="edge"/>
          <c:x val="0.05"/>
          <c:y val="0.031"/>
          <c:w val="0.94"/>
          <c:h val="0.875"/>
        </c:manualLayout>
      </c:layout>
      <c:barChart>
        <c:barDir val="col"/>
        <c:grouping val="clustered"/>
        <c:varyColors val="0"/>
        <c:ser>
          <c:idx val="0"/>
          <c:order val="0"/>
          <c:tx>
            <c:strRef>
              <c:f>'Revenue Charts'!$B$49</c:f>
              <c:strCache>
                <c:ptCount val="1"/>
                <c:pt idx="0">
                  <c:v>Total Revenue</c:v>
                </c:pt>
              </c:strCache>
            </c:strRef>
          </c:tx>
          <c:spPr>
            <a:solidFill>
              <a:srgbClr val="7B0000"/>
            </a:solidFill>
            <a:ln>
              <a:noFill/>
            </a:ln>
          </c:spPr>
          <c:invertIfNegative val="0"/>
          <c:dLbls>
            <c:numFmt formatCode="#,##0;(#,##0);;" sourceLinked="0"/>
            <c:spPr>
              <a:noFill/>
              <a:ln>
                <a:noFill/>
              </a:ln>
            </c:spPr>
            <c:txPr>
              <a:bodyPr/>
              <a:lstStyle/>
              <a:p>
                <a:pPr>
                  <a:defRPr sz="800" b="0">
                    <a:solidFill>
                      <a:srgbClr val="2C2523"/>
                    </a:solidFill>
                    <a:latin typeface="Arial"/>
                    <a:cs typeface="Arial"/>
                  </a:defRPr>
                </a:pPr>
                <a:endParaRPr lang="en-US"/>
              </a:p>
            </c:txPr>
            <c:dLblPos val="outEnd"/>
            <c:showLegendKey val="0"/>
            <c:showVal val="1"/>
            <c:showCatName val="0"/>
            <c:showSerName val="0"/>
            <c:showPercent val="0"/>
            <c:showBubbleSize val="0"/>
          </c:dLbls>
          <c:cat>
            <c:strRef>
              <c:f>'Revenue Charts'!$C$46:$AL$46</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'Revenue Charts'!$C$49:$AL$49</c:f>
              <c:numCache>
                <c:formatCode>#,##0;(#,##0);;</c:formatCode>
                <c:ptCount val="36"/>
                <c:pt idx="0">
                  <c:v>180.67</c:v>
                </c:pt>
                <c:pt idx="1">
                  <c:v>167.538</c:v>
                </c:pt>
                <c:pt idx="2">
                  <c:v>162.893</c:v>
                </c:pt>
                <c:pt idx="3">
                  <c:v>173.474</c:v>
                </c:pt>
                <c:pt idx="4">
                  <c:v>197.3</c:v>
                </c:pt>
                <c:pt idx="5">
                  <c:v>230.651</c:v>
                </c:pt>
                <c:pt idx="6">
                  <c:v>248.799</c:v>
                </c:pt>
                <c:pt idx="7">
                  <c:v>235.288</c:v>
                </c:pt>
                <c:pt idx="8">
                  <c:v>207.865</c:v>
                </c:pt>
                <c:pt idx="9">
                  <c:v>184.149</c:v>
                </c:pt>
                <c:pt idx="10">
                  <c:v>192.858</c:v>
                </c:pt>
                <c:pt idx="11">
                  <c:v>225.315</c:v>
                </c:pt>
                <c:pt idx="12">
                  <c:v>204.101</c:v>
                </c:pt>
                <c:pt idx="13">
                  <c:v>189.421</c:v>
                </c:pt>
                <c:pt idx="14">
                  <c:v>184.308</c:v>
                </c:pt>
                <c:pt idx="15">
                  <c:v>196.238</c:v>
                </c:pt>
                <c:pt idx="16">
                  <c:v>222.864</c:v>
                </c:pt>
                <c:pt idx="17">
                  <c:v>260.214</c:v>
                </c:pt>
                <c:pt idx="18">
                  <c:v>280.549</c:v>
                </c:pt>
                <c:pt idx="19">
                  <c:v>265.445</c:v>
                </c:pt>
                <c:pt idx="20">
                  <c:v>234.912</c:v>
                </c:pt>
                <c:pt idx="21">
                  <c:v>208.315</c:v>
                </c:pt>
                <c:pt idx="22">
                  <c:v>218.014</c:v>
                </c:pt>
                <c:pt idx="23">
                  <c:v>254.219</c:v>
                </c:pt>
                <c:pt idx="24">
                  <c:v>228.339</c:v>
                </c:pt>
                <c:pt idx="25">
                  <c:v>212.116</c:v>
                </c:pt>
                <c:pt idx="26">
                  <c:v>206.551</c:v>
                </c:pt>
                <c:pt idx="27">
                  <c:v>219.853</c:v>
                </c:pt>
                <c:pt idx="28">
                  <c:v>249.28</c:v>
                </c:pt>
                <c:pt idx="29">
                  <c:v>290.649</c:v>
                </c:pt>
                <c:pt idx="30">
                  <c:v>313.184</c:v>
                </c:pt>
                <c:pt idx="31">
                  <c:v>296.491</c:v>
                </c:pt>
                <c:pt idx="32">
                  <c:v>262.866</c:v>
                </c:pt>
                <c:pt idx="33">
                  <c:v>233.382</c:v>
                </c:pt>
                <c:pt idx="34">
                  <c:v>244.069</c:v>
                </c:pt>
                <c:pt idx="35">
                  <c:v>284.02</c:v>
                </c:pt>
              </c:numCache>
            </c:numRef>
          </c:val>
        </c:ser>
        <c:gapWidth val="60"/>
        <c:axId val="5001"/>
        <c:axId val="5002"/>
      </c:barChart>
      <c:catAx>
        <c:axId val="5001"/>
        <c:scaling>
          <c:orientation val="minMax"/>
        </c:scaling>
        <c:delete val="0"/>
        <c:axPos val="b"/>
        <c:numFmt formatCode="General" sourceLinked="0"/>
        <c:majorTickMark val="none"/>
        <c:minorTickMark val="none"/>
        <c:tickLblPos val="low"/>
        <c:spPr>
          <a:ln w="6350">
            <a:solidFill>
              <a:srgbClr val="C2BAB8"/>
            </a:solidFill>
          </a:ln>
        </c:spPr>
        <c:txPr>
          <a:bodyPr rot="-60000" vert="horz" wrap="none"/>
          <a:lstStyle/>
          <a:p>
            <a:pPr>
              <a:defRPr sz="800" b="0">
                <a:solidFill>
                  <a:srgbClr val="7A706D"/>
                </a:solidFill>
                <a:latin typeface="Arial"/>
                <a:cs typeface="Arial"/>
              </a:defRPr>
            </a:pPr>
            <a:endParaRPr lang="en-US"/>
          </a:p>
        </c:txPr>
        <c:crossAx val="5002"/>
        <c:crosses val="autoZero"/>
        <c:auto val="1"/>
        <c:lblAlgn val="ctr"/>
        <c:lblOffset val="100"/>
        <c:noMultiLvlLbl val="0"/>
      </c:catAx>
      <c:valAx>
        <c:axId val="5002"/>
        <c:scaling>
          <c:orientation val="minMax"/>
        </c:scaling>
        <c:delete val="1"/>
        <c:axPos val="l"/>
        <c:numFmt formatCode="#,##0;(#,##0);;" sourceLinked="0"/>
        <c:majorTickMark val="none"/>
        <c:minorTickMark val="none"/>
        <c:tickLblPos val="nextTo"/>
        <c:spPr>
          <a:noFill/>
          <a:ln>
            <a:noFill/>
          </a:ln>
        </c:spPr>
        <c:txPr>
          <a:bodyPr/>
          <a:lstStyle/>
          <a:p>
            <a:pPr>
              <a:defRPr sz="800" b="0">
                <a:solidFill>
                  <a:srgbClr val="7A706D"/>
                </a:solidFill>
                <a:latin typeface="Arial"/>
                <a:cs typeface="Arial"/>
              </a:defRPr>
            </a:pPr>
            <a:endParaRPr lang="en-US"/>
          </a:p>
        </c:txPr>
        <c:crossAx val="5001"/>
        <c:crosses val="autoZero"/>
        <c:crossBetween val="between"/>
      </c:valAx>
      <c:spPr>
        <a:noFill/>
        <a:ln>
          <a:noFill/>
        </a:ln>
      </c:spPr>
    </c:plotArea>
    <c:plotVisOnly val="0"/>
    <c:dispBlanksAs val="gap"/>
  </c:chart>
  <c:spPr>
    <a:solidFill>
      <a:srgbClr val="FFFFFF"/>
    </a:solidFill>
    <a:ln>
      <a:noFill/>
    </a:ln>
  </c:spPr>
  <c:txPr>
    <a:bodyPr/>
    <a:lstStyle/>
    <a:p>
      <a:pPr>
        <a:defRPr sz="800">
          <a:latin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manualLayout>
          <c:layoutTarget val="inner"/>
          <c:xMode val="edge"/>
          <c:yMode val="edge"/>
          <c:x val="0.05"/>
          <c:y val="0.104"/>
          <c:w val="0.94"/>
          <c:h val="0.802"/>
        </c:manualLayout>
      </c:layout>
      <c:barChart>
        <c:barDir val="col"/>
        <c:grouping val="stacked"/>
        <c:varyColors val="0"/>
        <c:ser>
          <c:idx val="0"/>
          <c:order val="0"/>
          <c:tx>
            <c:strRef>
              <c:f>'Revenue Charts'!$B$52</c:f>
              <c:strCache>
                <c:ptCount val="1"/>
                <c:pt idx="0">
                  <c:v>Residential service and replacement</c:v>
                </c:pt>
              </c:strCache>
            </c:strRef>
          </c:tx>
          <c:spPr>
            <a:solidFill>
              <a:srgbClr val="7B0000"/>
            </a:solidFill>
            <a:ln w="6350">
              <a:solidFill>
                <a:srgbClr val="FFFFFF"/>
              </a:solidFill>
            </a:ln>
          </c:spPr>
          <c:invertIfNegative val="0"/>
          <c:cat>
            <c:strRef>
              <c:f>'Revenue Charts'!$C$46:$AL$46</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'Revenue Charts'!$C$52:$AL$52</c:f>
              <c:numCache>
                <c:formatCode>#,##0;(#,##0);;</c:formatCode>
                <c:ptCount val="36"/>
                <c:pt idx="0">
                  <c:v>120.432</c:v>
                </c:pt>
                <c:pt idx="1">
                  <c:v>108.895</c:v>
                </c:pt>
                <c:pt idx="2">
                  <c:v>103.563</c:v>
                </c:pt>
                <c:pt idx="3">
                  <c:v>111.176</c:v>
                </c:pt>
                <c:pt idx="4">
                  <c:v>132.136</c:v>
                </c:pt>
                <c:pt idx="5">
                  <c:v>160.174</c:v>
                </c:pt>
                <c:pt idx="6">
                  <c:v>175.265</c:v>
                </c:pt>
                <c:pt idx="7">
                  <c:v>163.393</c:v>
                </c:pt>
                <c:pt idx="8">
                  <c:v>137.502</c:v>
                </c:pt>
                <c:pt idx="9">
                  <c:v>118.017</c:v>
                </c:pt>
                <c:pt idx="10">
                  <c:v>126.167</c:v>
                </c:pt>
                <c:pt idx="11">
                  <c:v>155.68</c:v>
                </c:pt>
                <c:pt idx="12">
                  <c:v>133.615</c:v>
                </c:pt>
                <c:pt idx="13">
                  <c:v>120.815</c:v>
                </c:pt>
                <c:pt idx="14">
                  <c:v>114.899</c:v>
                </c:pt>
                <c:pt idx="15">
                  <c:v>123.345</c:v>
                </c:pt>
                <c:pt idx="16">
                  <c:v>146.601</c:v>
                </c:pt>
                <c:pt idx="17">
                  <c:v>177.707</c:v>
                </c:pt>
                <c:pt idx="18">
                  <c:v>194.45</c:v>
                </c:pt>
                <c:pt idx="19">
                  <c:v>181.279</c:v>
                </c:pt>
                <c:pt idx="20">
                  <c:v>152.554</c:v>
                </c:pt>
                <c:pt idx="21">
                  <c:v>130.936</c:v>
                </c:pt>
                <c:pt idx="22">
                  <c:v>139.978</c:v>
                </c:pt>
                <c:pt idx="23">
                  <c:v>172.721</c:v>
                </c:pt>
                <c:pt idx="24">
                  <c:v>146.716</c:v>
                </c:pt>
                <c:pt idx="25">
                  <c:v>132.661</c:v>
                </c:pt>
                <c:pt idx="26">
                  <c:v>126.165</c:v>
                </c:pt>
                <c:pt idx="27">
                  <c:v>135.439</c:v>
                </c:pt>
                <c:pt idx="28">
                  <c:v>160.975</c:v>
                </c:pt>
                <c:pt idx="29">
                  <c:v>195.131</c:v>
                </c:pt>
                <c:pt idx="30">
                  <c:v>213.516</c:v>
                </c:pt>
                <c:pt idx="31">
                  <c:v>199.053</c:v>
                </c:pt>
                <c:pt idx="32">
                  <c:v>167.512</c:v>
                </c:pt>
                <c:pt idx="33">
                  <c:v>143.774</c:v>
                </c:pt>
                <c:pt idx="34">
                  <c:v>153.702</c:v>
                </c:pt>
                <c:pt idx="35">
                  <c:v>189.656</c:v>
                </c:pt>
              </c:numCache>
            </c:numRef>
          </c:val>
        </c:ser>
        <c:ser>
          <c:idx val="1"/>
          <c:order val="1"/>
          <c:tx>
            <c:strRef>
              <c:f>'Revenue Charts'!$B$53</c:f>
              <c:strCache>
                <c:ptCount val="1"/>
                <c:pt idx="0">
                  <c:v>Commercial service</c:v>
                </c:pt>
              </c:strCache>
            </c:strRef>
          </c:tx>
          <c:spPr>
            <a:solidFill>
              <a:srgbClr val="C49A5B"/>
            </a:solidFill>
            <a:ln w="6350">
              <a:solidFill>
                <a:srgbClr val="FFFFFF"/>
              </a:solidFill>
            </a:ln>
          </c:spPr>
          <c:invertIfNegative val="0"/>
          <c:cat>
            <c:strRef>
              <c:f>'Revenue Charts'!$C$46:$AL$46</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'Revenue Charts'!$C$53:$AL$53</c:f>
              <c:numCache>
                <c:formatCode>#,##0;(#,##0);;</c:formatCode>
                <c:ptCount val="36"/>
                <c:pt idx="0">
                  <c:v>44.712</c:v>
                </c:pt>
                <c:pt idx="1">
                  <c:v>42.807</c:v>
                </c:pt>
                <c:pt idx="2">
                  <c:v>43.255</c:v>
                </c:pt>
                <c:pt idx="3">
                  <c:v>46.131</c:v>
                </c:pt>
                <c:pt idx="4">
                  <c:v>49.057</c:v>
                </c:pt>
                <c:pt idx="5">
                  <c:v>54.511</c:v>
                </c:pt>
                <c:pt idx="6">
                  <c:v>57.561</c:v>
                </c:pt>
                <c:pt idx="7">
                  <c:v>55.607</c:v>
                </c:pt>
                <c:pt idx="8">
                  <c:v>53.602</c:v>
                </c:pt>
                <c:pt idx="9">
                  <c:v>48.97</c:v>
                </c:pt>
                <c:pt idx="10">
                  <c:v>49.443</c:v>
                </c:pt>
                <c:pt idx="11">
                  <c:v>52.544</c:v>
                </c:pt>
                <c:pt idx="12">
                  <c:v>52.508</c:v>
                </c:pt>
                <c:pt idx="13">
                  <c:v>50.27</c:v>
                </c:pt>
                <c:pt idx="14">
                  <c:v>50.797</c:v>
                </c:pt>
                <c:pt idx="15">
                  <c:v>54.174</c:v>
                </c:pt>
                <c:pt idx="16">
                  <c:v>57.611</c:v>
                </c:pt>
                <c:pt idx="17">
                  <c:v>64.015</c:v>
                </c:pt>
                <c:pt idx="18">
                  <c:v>67.598</c:v>
                </c:pt>
                <c:pt idx="19">
                  <c:v>65.302</c:v>
                </c:pt>
                <c:pt idx="20">
                  <c:v>62.948</c:v>
                </c:pt>
                <c:pt idx="21">
                  <c:v>57.508</c:v>
                </c:pt>
                <c:pt idx="22">
                  <c:v>58.064</c:v>
                </c:pt>
                <c:pt idx="23">
                  <c:v>61.705</c:v>
                </c:pt>
                <c:pt idx="24">
                  <c:v>60.67</c:v>
                </c:pt>
                <c:pt idx="25">
                  <c:v>58.085</c:v>
                </c:pt>
                <c:pt idx="26">
                  <c:v>58.693</c:v>
                </c:pt>
                <c:pt idx="27">
                  <c:v>62.596</c:v>
                </c:pt>
                <c:pt idx="28">
                  <c:v>66.566</c:v>
                </c:pt>
                <c:pt idx="29">
                  <c:v>73.966</c:v>
                </c:pt>
                <c:pt idx="30">
                  <c:v>78.105</c:v>
                </c:pt>
                <c:pt idx="31">
                  <c:v>75.453</c:v>
                </c:pt>
                <c:pt idx="32">
                  <c:v>72.732</c:v>
                </c:pt>
                <c:pt idx="33">
                  <c:v>66.448</c:v>
                </c:pt>
                <c:pt idx="34">
                  <c:v>67.09</c:v>
                </c:pt>
                <c:pt idx="35">
                  <c:v>71.296</c:v>
                </c:pt>
              </c:numCache>
            </c:numRef>
          </c:val>
        </c:ser>
        <c:ser>
          <c:idx val="2"/>
          <c:order val="2"/>
          <c:tx>
            <c:strRef>
              <c:f>'Revenue Charts'!$B$54</c:f>
              <c:strCache>
                <c:ptCount val="1"/>
                <c:pt idx="0">
                  <c:v>Maintenance agreements</c:v>
                </c:pt>
              </c:strCache>
            </c:strRef>
          </c:tx>
          <c:spPr>
            <a:solidFill>
              <a:srgbClr val="5E5552"/>
            </a:solidFill>
            <a:ln w="6350">
              <a:solidFill>
                <a:srgbClr val="FFFFFF"/>
              </a:solidFill>
            </a:ln>
          </c:spPr>
          <c:invertIfNegative val="0"/>
          <c:cat>
            <c:strRef>
              <c:f>'Revenue Charts'!$C$46:$AL$46</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'Revenue Charts'!$C$54:$AL$54</c:f>
              <c:numCache>
                <c:formatCode>#,##0;(#,##0);;</c:formatCode>
                <c:ptCount val="36"/>
                <c:pt idx="0">
                  <c:v>16.9</c:v>
                </c:pt>
                <c:pt idx="1">
                  <c:v>17.079</c:v>
                </c:pt>
                <c:pt idx="2">
                  <c:v>17.257</c:v>
                </c:pt>
                <c:pt idx="3">
                  <c:v>17.436</c:v>
                </c:pt>
                <c:pt idx="4">
                  <c:v>17.615</c:v>
                </c:pt>
                <c:pt idx="5">
                  <c:v>17.794</c:v>
                </c:pt>
                <c:pt idx="6">
                  <c:v>17.973</c:v>
                </c:pt>
                <c:pt idx="7">
                  <c:v>18.152</c:v>
                </c:pt>
                <c:pt idx="8">
                  <c:v>18.33</c:v>
                </c:pt>
                <c:pt idx="9">
                  <c:v>18.509</c:v>
                </c:pt>
                <c:pt idx="10">
                  <c:v>18.688</c:v>
                </c:pt>
                <c:pt idx="11">
                  <c:v>18.867</c:v>
                </c:pt>
                <c:pt idx="12">
                  <c:v>19.554</c:v>
                </c:pt>
                <c:pt idx="13">
                  <c:v>19.761</c:v>
                </c:pt>
                <c:pt idx="14">
                  <c:v>19.967</c:v>
                </c:pt>
                <c:pt idx="15">
                  <c:v>20.174</c:v>
                </c:pt>
                <c:pt idx="16">
                  <c:v>20.381</c:v>
                </c:pt>
                <c:pt idx="17">
                  <c:v>20.588</c:v>
                </c:pt>
                <c:pt idx="18">
                  <c:v>20.795</c:v>
                </c:pt>
                <c:pt idx="19">
                  <c:v>21.002</c:v>
                </c:pt>
                <c:pt idx="20">
                  <c:v>21.209</c:v>
                </c:pt>
                <c:pt idx="21">
                  <c:v>21.416</c:v>
                </c:pt>
                <c:pt idx="22">
                  <c:v>21.623</c:v>
                </c:pt>
                <c:pt idx="23">
                  <c:v>21.83</c:v>
                </c:pt>
                <c:pt idx="24">
                  <c:v>22.79</c:v>
                </c:pt>
                <c:pt idx="25">
                  <c:v>23.031</c:v>
                </c:pt>
                <c:pt idx="26">
                  <c:v>23.273</c:v>
                </c:pt>
                <c:pt idx="27">
                  <c:v>23.514</c:v>
                </c:pt>
                <c:pt idx="28">
                  <c:v>23.755</c:v>
                </c:pt>
                <c:pt idx="29">
                  <c:v>23.996</c:v>
                </c:pt>
                <c:pt idx="30">
                  <c:v>24.237</c:v>
                </c:pt>
                <c:pt idx="31">
                  <c:v>24.478</c:v>
                </c:pt>
                <c:pt idx="32">
                  <c:v>24.72</c:v>
                </c:pt>
                <c:pt idx="33">
                  <c:v>24.961</c:v>
                </c:pt>
                <c:pt idx="34">
                  <c:v>25.202</c:v>
                </c:pt>
                <c:pt idx="35">
                  <c:v>25.443</c:v>
                </c:pt>
              </c:numCache>
            </c:numRef>
          </c:val>
        </c:ser>
        <c:ser>
          <c:idx val="3"/>
          <c:order val="3"/>
          <c:tx>
            <c:strRef>
              <c:f>'Revenue Charts'!$B$55</c:f>
              <c:strCache>
                <c:ptCount val="1"/>
                <c:pt idx="0">
                  <c:v>Discounts and refunds</c:v>
                </c:pt>
              </c:strCache>
            </c:strRef>
          </c:tx>
          <c:spPr>
            <a:solidFill>
              <a:srgbClr val="DCC7C4"/>
            </a:solidFill>
            <a:ln w="6350">
              <a:solidFill>
                <a:srgbClr val="FFFFFF"/>
              </a:solidFill>
            </a:ln>
          </c:spPr>
          <c:invertIfNegative val="0"/>
          <c:cat>
            <c:strRef>
              <c:f>'Revenue Charts'!$C$46:$AL$46</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'Revenue Charts'!$C$55:$AL$55</c:f>
              <c:numCache>
                <c:formatCode>#,##0;(#,##0);;</c:formatCode>
                <c:ptCount val="36"/>
                <c:pt idx="0">
                  <c:v>-1.374</c:v>
                </c:pt>
                <c:pt idx="1">
                  <c:v>-1.243</c:v>
                </c:pt>
                <c:pt idx="2">
                  <c:v>-1.182</c:v>
                </c:pt>
                <c:pt idx="3">
                  <c:v>-1.269</c:v>
                </c:pt>
                <c:pt idx="4">
                  <c:v>-1.508</c:v>
                </c:pt>
                <c:pt idx="5">
                  <c:v>-1.828</c:v>
                </c:pt>
                <c:pt idx="6">
                  <c:v>-2</c:v>
                </c:pt>
                <c:pt idx="7">
                  <c:v>-1.864</c:v>
                </c:pt>
                <c:pt idx="8">
                  <c:v>-1.569</c:v>
                </c:pt>
                <c:pt idx="9">
                  <c:v>-1.347</c:v>
                </c:pt>
                <c:pt idx="10">
                  <c:v>-1.44</c:v>
                </c:pt>
                <c:pt idx="11">
                  <c:v>-1.776</c:v>
                </c:pt>
                <c:pt idx="12">
                  <c:v>-1.576</c:v>
                </c:pt>
                <c:pt idx="13">
                  <c:v>-1.425</c:v>
                </c:pt>
                <c:pt idx="14">
                  <c:v>-1.355</c:v>
                </c:pt>
                <c:pt idx="15">
                  <c:v>-1.455</c:v>
                </c:pt>
                <c:pt idx="16">
                  <c:v>-1.729</c:v>
                </c:pt>
                <c:pt idx="17">
                  <c:v>-2.096</c:v>
                </c:pt>
                <c:pt idx="18">
                  <c:v>-2.294</c:v>
                </c:pt>
                <c:pt idx="19">
                  <c:v>-2.138</c:v>
                </c:pt>
                <c:pt idx="20">
                  <c:v>-1.799</c:v>
                </c:pt>
                <c:pt idx="21">
                  <c:v>-1.545</c:v>
                </c:pt>
                <c:pt idx="22">
                  <c:v>-1.651</c:v>
                </c:pt>
                <c:pt idx="23">
                  <c:v>-2.037</c:v>
                </c:pt>
                <c:pt idx="24">
                  <c:v>-1.837</c:v>
                </c:pt>
                <c:pt idx="25">
                  <c:v>-1.661</c:v>
                </c:pt>
                <c:pt idx="26">
                  <c:v>-1.58</c:v>
                </c:pt>
                <c:pt idx="27">
                  <c:v>-1.696</c:v>
                </c:pt>
                <c:pt idx="28">
                  <c:v>-2.016</c:v>
                </c:pt>
                <c:pt idx="29">
                  <c:v>-2.444</c:v>
                </c:pt>
                <c:pt idx="30">
                  <c:v>-2.674</c:v>
                </c:pt>
                <c:pt idx="31">
                  <c:v>-2.493</c:v>
                </c:pt>
                <c:pt idx="32">
                  <c:v>-2.098</c:v>
                </c:pt>
                <c:pt idx="33">
                  <c:v>-1.801</c:v>
                </c:pt>
                <c:pt idx="34">
                  <c:v>-1.925</c:v>
                </c:pt>
                <c:pt idx="35">
                  <c:v>-2.375</c:v>
                </c:pt>
              </c:numCache>
            </c:numRef>
          </c:val>
        </c:ser>
        <c:gapWidth val="60"/>
        <c:overlap val="100"/>
        <c:axId val="5001"/>
        <c:axId val="5002"/>
      </c:barChart>
      <c:catAx>
        <c:axId val="5001"/>
        <c:scaling>
          <c:orientation val="minMax"/>
        </c:scaling>
        <c:delete val="0"/>
        <c:axPos val="b"/>
        <c:numFmt formatCode="General" sourceLinked="0"/>
        <c:majorTickMark val="none"/>
        <c:minorTickMark val="none"/>
        <c:tickLblPos val="low"/>
        <c:spPr>
          <a:ln w="6350">
            <a:solidFill>
              <a:srgbClr val="C2BAB8"/>
            </a:solidFill>
          </a:ln>
        </c:spPr>
        <c:txPr>
          <a:bodyPr rot="-60000" vert="horz" wrap="none"/>
          <a:lstStyle/>
          <a:p>
            <a:pPr>
              <a:defRPr sz="800" b="0">
                <a:solidFill>
                  <a:srgbClr val="7A706D"/>
                </a:solidFill>
                <a:latin typeface="Arial"/>
                <a:cs typeface="Arial"/>
              </a:defRPr>
            </a:pPr>
            <a:endParaRPr lang="en-US"/>
          </a:p>
        </c:txPr>
        <c:crossAx val="5002"/>
        <c:crosses val="autoZero"/>
        <c:auto val="1"/>
        <c:lblAlgn val="ctr"/>
        <c:lblOffset val="100"/>
        <c:noMultiLvlLbl val="0"/>
      </c:catAx>
      <c:valAx>
        <c:axId val="5002"/>
        <c:scaling>
          <c:orientation val="minMax"/>
        </c:scaling>
        <c:delete val="0"/>
        <c:axPos val="l"/>
        <c:majorGridlines>
          <c:spPr>
            <a:ln w="3175">
              <a:solidFill>
                <a:srgbClr val="C2BAB8"/>
              </a:solidFill>
            </a:ln>
          </c:spPr>
        </c:majorGridlines>
        <c:numFmt formatCode="#,##0;(#,##0);;" sourceLinked="0"/>
        <c:majorTickMark val="none"/>
        <c:minorTickMark val="none"/>
        <c:tickLblPos val="nextTo"/>
        <c:spPr>
          <a:noFill/>
          <a:ln>
            <a:noFill/>
          </a:ln>
        </c:spPr>
        <c:txPr>
          <a:bodyPr/>
          <a:lstStyle/>
          <a:p>
            <a:pPr>
              <a:defRPr sz="800" b="0">
                <a:solidFill>
                  <a:srgbClr val="7A706D"/>
                </a:solidFill>
                <a:latin typeface="Arial"/>
                <a:cs typeface="Arial"/>
              </a:defRPr>
            </a:pPr>
            <a:endParaRPr lang="en-US"/>
          </a:p>
        </c:txPr>
        <c:crossAx val="5001"/>
        <c:crosses val="autoZero"/>
        <c:crossBetween val="between"/>
        <c:majorUnit val="100"/>
      </c:valAx>
      <c:spPr>
        <a:noFill/>
        <a:ln>
          <a:noFill/>
        </a:ln>
      </c:spPr>
    </c:plotArea>
    <c:legend>
      <c:legendPos val="t"/>
      <c:layout>
        <c:manualLayout>
          <c:xMode val="edge"/>
          <c:yMode val="edge"/>
          <c:x val="0.04"/>
          <c:y val="0.01"/>
          <c:w val="0.80"/>
          <c:h val="0.083"/>
        </c:manualLayout>
      </c:layout>
      <c:overlay val="0"/>
      <c:txPr>
        <a:bodyPr/>
        <a:lstStyle/>
        <a:p>
          <a:pPr>
            <a:defRPr sz="800" b="0">
              <a:solidFill>
                <a:srgbClr val="2C2523"/>
              </a:solidFill>
              <a:latin typeface="Arial"/>
              <a:cs typeface="Arial"/>
            </a:defRPr>
          </a:pPr>
          <a:endParaRPr lang="en-US"/>
        </a:p>
      </c:txPr>
    </c:legend>
    <c:plotVisOnly val="0"/>
    <c:dispBlanksAs val="gap"/>
  </c:chart>
  <c:spPr>
    <a:solidFill>
      <a:srgbClr val="FFFFFF"/>
    </a:solidFill>
    <a:ln>
      <a:noFill/>
    </a:ln>
  </c:spPr>
  <c:txPr>
    <a:bodyPr/>
    <a:lstStyle/>
    <a:p>
      <a:pPr>
        <a:defRPr sz="800">
          <a:latin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manualLayout>
          <c:layoutTarget val="inner"/>
          <c:xMode val="edge"/>
          <c:yMode val="edge"/>
          <c:x val="0.05"/>
          <c:y val="0.045"/>
          <c:w val="0.94"/>
          <c:h val="0.924"/>
        </c:manualLayout>
      </c:layout>
      <c:barChart>
        <c:barDir val="col"/>
        <c:grouping val="clustered"/>
        <c:varyColors val="0"/>
        <c:ser>
          <c:idx val="0"/>
          <c:order val="0"/>
          <c:tx>
            <c:strRef>
              <c:f>'Expense Charts'!$B$49</c:f>
              <c:strCache>
                <c:ptCount val="1"/>
                <c:pt idx="0">
                  <c:v>Salaries, Wages and Benefits</c:v>
                </c:pt>
              </c:strCache>
            </c:strRef>
          </c:tx>
          <c:spPr>
            <a:solidFill>
              <a:srgbClr val="7B0000"/>
            </a:solidFill>
            <a:ln>
              <a:noFill/>
            </a:ln>
          </c:spPr>
          <c:invertIfNegative val="0"/>
          <c:dLbls>
            <c:numFmt formatCode="#,##0;(#,##0);;" sourceLinked="0"/>
            <c:spPr>
              <a:noFill/>
              <a:ln>
                <a:noFill/>
              </a:ln>
            </c:spPr>
            <c:txPr>
              <a:bodyPr/>
              <a:lstStyle/>
              <a:p>
                <a:pPr>
                  <a:defRPr sz="800" b="0">
                    <a:solidFill>
                      <a:srgbClr val="2C2523"/>
                    </a:solidFill>
                    <a:latin typeface="Arial"/>
                    <a:cs typeface="Arial"/>
                  </a:defRPr>
                </a:pPr>
                <a:endParaRPr lang="en-US"/>
              </a:p>
            </c:txPr>
            <c:dLblPos val="outEnd"/>
            <c:showLegendKey val="0"/>
            <c:showVal val="1"/>
            <c:showCatName val="0"/>
            <c:showSerName val="0"/>
            <c:showPercent val="0"/>
            <c:showBubbleSize val="0"/>
          </c:dLbls>
          <c:cat>
            <c:strRef>
              <c:f>'Expense Charts'!$C$46:$AL$46</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'Expense Charts'!$C$49:$AL$49</c:f>
              <c:numCache>
                <c:formatCode>#,##0;(#,##0);;</c:formatCode>
                <c:ptCount val="36"/>
                <c:pt idx="0">
                  <c:v>57.076</c:v>
                </c:pt>
                <c:pt idx="1">
                  <c:v>56.124</c:v>
                </c:pt>
                <c:pt idx="2">
                  <c:v>58.504</c:v>
                </c:pt>
                <c:pt idx="3">
                  <c:v>59.932</c:v>
                </c:pt>
                <c:pt idx="4">
                  <c:v>61.836</c:v>
                </c:pt>
                <c:pt idx="5">
                  <c:v>65.643</c:v>
                </c:pt>
                <c:pt idx="6">
                  <c:v>68.022</c:v>
                </c:pt>
                <c:pt idx="7">
                  <c:v>65.643</c:v>
                </c:pt>
                <c:pt idx="8">
                  <c:v>61.835</c:v>
                </c:pt>
                <c:pt idx="9">
                  <c:v>58.979</c:v>
                </c:pt>
                <c:pt idx="10">
                  <c:v>58.027</c:v>
                </c:pt>
                <c:pt idx="11">
                  <c:v>58.979</c:v>
                </c:pt>
                <c:pt idx="12">
                  <c:v>63.864</c:v>
                </c:pt>
                <c:pt idx="13">
                  <c:v>62.787</c:v>
                </c:pt>
                <c:pt idx="14">
                  <c:v>65.482</c:v>
                </c:pt>
                <c:pt idx="15">
                  <c:v>67.098</c:v>
                </c:pt>
                <c:pt idx="16">
                  <c:v>69.252</c:v>
                </c:pt>
                <c:pt idx="17">
                  <c:v>73.564</c:v>
                </c:pt>
                <c:pt idx="18">
                  <c:v>76.258</c:v>
                </c:pt>
                <c:pt idx="19">
                  <c:v>73.564</c:v>
                </c:pt>
                <c:pt idx="20">
                  <c:v>69.252</c:v>
                </c:pt>
                <c:pt idx="21">
                  <c:v>66.019</c:v>
                </c:pt>
                <c:pt idx="22">
                  <c:v>64.941</c:v>
                </c:pt>
                <c:pt idx="23">
                  <c:v>66.019</c:v>
                </c:pt>
                <c:pt idx="24">
                  <c:v>70.584</c:v>
                </c:pt>
                <c:pt idx="25">
                  <c:v>69.383</c:v>
                </c:pt>
                <c:pt idx="26">
                  <c:v>72.387</c:v>
                </c:pt>
                <c:pt idx="27">
                  <c:v>74.191</c:v>
                </c:pt>
                <c:pt idx="28">
                  <c:v>76.595</c:v>
                </c:pt>
                <c:pt idx="29">
                  <c:v>81.402</c:v>
                </c:pt>
                <c:pt idx="30">
                  <c:v>84.407</c:v>
                </c:pt>
                <c:pt idx="31">
                  <c:v>81.401</c:v>
                </c:pt>
                <c:pt idx="32">
                  <c:v>76.592</c:v>
                </c:pt>
                <c:pt idx="33">
                  <c:v>72.987</c:v>
                </c:pt>
                <c:pt idx="34">
                  <c:v>71.784</c:v>
                </c:pt>
                <c:pt idx="35">
                  <c:v>72.987</c:v>
                </c:pt>
              </c:numCache>
            </c:numRef>
          </c:val>
        </c:ser>
        <c:gapWidth val="60"/>
        <c:axId val="5001"/>
        <c:axId val="5002"/>
      </c:barChart>
      <c:catAx>
        <c:axId val="5001"/>
        <c:scaling>
          <c:orientation val="minMax"/>
        </c:scaling>
        <c:delete val="1"/>
        <c:axPos val="b"/>
        <c:numFmt formatCode="General" sourceLinked="0"/>
        <c:majorTickMark val="none"/>
        <c:minorTickMark val="none"/>
        <c:tickLblPos val="low"/>
        <c:spPr>
          <a:ln w="6350">
            <a:solidFill>
              <a:srgbClr val="C2BAB8"/>
            </a:solidFill>
          </a:ln>
        </c:spPr>
        <c:txPr>
          <a:bodyPr rot="-60000" vert="horz" wrap="none"/>
          <a:lstStyle/>
          <a:p>
            <a:pPr>
              <a:defRPr sz="800" b="0">
                <a:solidFill>
                  <a:srgbClr val="7A706D"/>
                </a:solidFill>
                <a:latin typeface="Arial"/>
                <a:cs typeface="Arial"/>
              </a:defRPr>
            </a:pPr>
            <a:endParaRPr lang="en-US"/>
          </a:p>
        </c:txPr>
        <c:crossAx val="5002"/>
        <c:crosses val="autoZero"/>
        <c:auto val="1"/>
        <c:lblAlgn val="ctr"/>
        <c:lblOffset val="100"/>
        <c:noMultiLvlLbl val="0"/>
      </c:catAx>
      <c:valAx>
        <c:axId val="5002"/>
        <c:scaling>
          <c:orientation val="minMax"/>
        </c:scaling>
        <c:delete val="1"/>
        <c:axPos val="l"/>
        <c:numFmt formatCode="#,##0;(#,##0);;" sourceLinked="0"/>
        <c:majorTickMark val="none"/>
        <c:minorTickMark val="none"/>
        <c:tickLblPos val="nextTo"/>
        <c:spPr>
          <a:noFill/>
          <a:ln>
            <a:noFill/>
          </a:ln>
        </c:spPr>
        <c:txPr>
          <a:bodyPr/>
          <a:lstStyle/>
          <a:p>
            <a:pPr>
              <a:defRPr sz="800" b="0">
                <a:solidFill>
                  <a:srgbClr val="7A706D"/>
                </a:solidFill>
                <a:latin typeface="Arial"/>
                <a:cs typeface="Arial"/>
              </a:defRPr>
            </a:pPr>
            <a:endParaRPr lang="en-US"/>
          </a:p>
        </c:txPr>
        <c:crossAx val="5001"/>
        <c:crosses val="autoZero"/>
        <c:crossBetween val="between"/>
      </c:valAx>
      <c:spPr>
        <a:noFill/>
        <a:ln>
          <a:noFill/>
        </a:ln>
      </c:spPr>
    </c:plotArea>
    <c:plotVisOnly val="0"/>
    <c:dispBlanksAs val="gap"/>
  </c:chart>
  <c:spPr>
    <a:solidFill>
      <a:srgbClr val="FFFFFF"/>
    </a:solidFill>
    <a:ln>
      <a:noFill/>
    </a:ln>
  </c:spPr>
  <c:txPr>
    <a:bodyPr/>
    <a:lstStyle/>
    <a:p>
      <a:pPr>
        <a:defRPr sz="800">
          <a:latin typeface="Arial"/>
          <a:cs typeface="Arial"/>
        </a:defRPr>
      </a:pPr>
      <a:endParaRPr lang="en-US"/>
    </a:p>
  </c:txPr>
</c:chartSpace>
</file>

<file path=xl/charts/chart4.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manualLayout>
          <c:layoutTarget val="inner"/>
          <c:xMode val="edge"/>
          <c:yMode val="edge"/>
          <c:x val="0.05"/>
          <c:y val="0.100"/>
          <c:w val="0.94"/>
          <c:h val="0.600"/>
        </c:manualLayout>
      </c:layout>
      <c:lineChart>
        <c:grouping val="standard"/>
        <c:varyColors val="0"/>
        <c:ser>
          <c:idx val="0"/>
          <c:order val="0"/>
          <c:tx>
            <c:strRef>
              <c:f>'Expense Charts'!$B$51</c:f>
              <c:strCache>
                <c:ptCount val="1"/>
                <c:pt idx="0">
                  <c:v>Payroll % of Revenue</c:v>
                </c:pt>
              </c:strCache>
            </c:strRef>
          </c:tx>
          <c:spPr>
            <a:ln w="22225" cap="rnd">
              <a:solidFill>
                <a:srgbClr val="7B0000"/>
              </a:solidFill>
              <a:round/>
            </a:ln>
          </c:spPr>
          <c:marker>
            <c:symbol val="none"/>
          </c:marker>
          <c:cat>
            <c:strRef>
              <c:f>'Expense Charts'!$C$46:$AL$46</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'Expense Charts'!$C$51:$AL$51</c:f>
              <c:numCache>
                <c:formatCode>0%;(0%);;</c:formatCode>
                <c:ptCount val="36"/>
                <c:pt idx="0">
                  <c:v>0.31591299053523</c:v>
                </c:pt>
                <c:pt idx="1">
                  <c:v>0.334992658381979</c:v>
                </c:pt>
                <c:pt idx="2">
                  <c:v>0.3591560103871867</c:v>
                </c:pt>
                <c:pt idx="3">
                  <c:v>0.3454811672066131</c:v>
                </c:pt>
                <c:pt idx="4">
                  <c:v>0.3134110491637101</c:v>
                </c:pt>
                <c:pt idx="5">
                  <c:v>0.2845988094567117</c:v>
                </c:pt>
                <c:pt idx="6">
                  <c:v>0.2734014204237155</c:v>
                </c:pt>
                <c:pt idx="7">
                  <c:v>0.27899000374009725</c:v>
                </c:pt>
                <c:pt idx="8">
                  <c:v>0.29747672768383326</c:v>
                </c:pt>
                <c:pt idx="9">
                  <c:v>0.320278687367295</c:v>
                </c:pt>
                <c:pt idx="10">
                  <c:v>0.30087940349894743</c:v>
                </c:pt>
                <c:pt idx="11">
                  <c:v>0.2617624214987906</c:v>
                </c:pt>
                <c:pt idx="12">
                  <c:v>0.3129039054193757</c:v>
                </c:pt>
                <c:pt idx="13">
                  <c:v>0.3314679998521811</c:v>
                </c:pt>
                <c:pt idx="14">
                  <c:v>0.35528571738611453</c:v>
                </c:pt>
                <c:pt idx="15">
                  <c:v>0.34192154424729154</c:v>
                </c:pt>
                <c:pt idx="16">
                  <c:v>0.31073659272022397</c:v>
                </c:pt>
                <c:pt idx="17">
                  <c:v>0.2827057729407334</c:v>
                </c:pt>
                <c:pt idx="18">
                  <c:v>0.27181704443787</c:v>
                </c:pt>
                <c:pt idx="19">
                  <c:v>0.2771346229915802</c:v>
                </c:pt>
                <c:pt idx="20">
                  <c:v>0.2947997548017981</c:v>
                </c:pt>
                <c:pt idx="21">
                  <c:v>0.3169190888798214</c:v>
                </c:pt>
                <c:pt idx="22">
                  <c:v>0.2978753658021962</c:v>
                </c:pt>
                <c:pt idx="23">
                  <c:v>0.2596934139462432</c:v>
                </c:pt>
                <c:pt idx="24">
                  <c:v>0.3091193357245149</c:v>
                </c:pt>
                <c:pt idx="25">
                  <c:v>0.32709932301193684</c:v>
                </c:pt>
                <c:pt idx="26">
                  <c:v>0.35045581962808214</c:v>
                </c:pt>
                <c:pt idx="27">
                  <c:v>0.33745730101476895</c:v>
                </c:pt>
                <c:pt idx="28">
                  <c:v>0.30726492297817715</c:v>
                </c:pt>
                <c:pt idx="29">
                  <c:v>0.2800697748831064</c:v>
                </c:pt>
                <c:pt idx="30">
                  <c:v>0.2695124910595688</c:v>
                </c:pt>
                <c:pt idx="31">
                  <c:v>0.27454796267003045</c:v>
                </c:pt>
                <c:pt idx="32">
                  <c:v>0.29137279069944383</c:v>
                </c:pt>
                <c:pt idx="33">
                  <c:v>0.3127362007352752</c:v>
                </c:pt>
                <c:pt idx="34">
                  <c:v>0.29411354985680277</c:v>
                </c:pt>
                <c:pt idx="35">
                  <c:v>0.2569783818040983</c:v>
                </c:pt>
              </c:numCache>
            </c:numRef>
          </c:val>
          <c:smooth val="0"/>
        </c:ser>
        <c:marker val="1"/>
        <c:axId val="5001"/>
        <c:axId val="5002"/>
      </c:lineChart>
      <c:catAx>
        <c:axId val="5001"/>
        <c:scaling>
          <c:orientation val="minMax"/>
        </c:scaling>
        <c:delete val="0"/>
        <c:axPos val="b"/>
        <c:numFmt formatCode="General" sourceLinked="0"/>
        <c:majorTickMark val="none"/>
        <c:minorTickMark val="none"/>
        <c:tickLblPos val="low"/>
        <c:spPr>
          <a:ln w="6350">
            <a:solidFill>
              <a:srgbClr val="C2BAB8"/>
            </a:solidFill>
          </a:ln>
        </c:spPr>
        <c:txPr>
          <a:bodyPr rot="-60000" vert="horz" wrap="none"/>
          <a:lstStyle/>
          <a:p>
            <a:pPr>
              <a:defRPr sz="800" b="0">
                <a:solidFill>
                  <a:srgbClr val="7A706D"/>
                </a:solidFill>
                <a:latin typeface="Arial"/>
                <a:cs typeface="Arial"/>
              </a:defRPr>
            </a:pPr>
            <a:endParaRPr lang="en-US"/>
          </a:p>
        </c:txPr>
        <c:crossAx val="5002"/>
        <c:crosses val="autoZero"/>
        <c:auto val="1"/>
        <c:lblAlgn val="ctr"/>
        <c:lblOffset val="100"/>
        <c:noMultiLvlLbl val="0"/>
      </c:catAx>
      <c:valAx>
        <c:axId val="5002"/>
        <c:scaling>
          <c:orientation val="minMax"/>
          <c:min val="0"/>
        </c:scaling>
        <c:delete val="0"/>
        <c:axPos val="l"/>
        <c:majorGridlines>
          <c:spPr>
            <a:ln w="3175">
              <a:solidFill>
                <a:srgbClr val="C2BAB8"/>
              </a:solidFill>
            </a:ln>
          </c:spPr>
        </c:majorGridlines>
        <c:numFmt formatCode="0%;(0%);;" sourceLinked="0"/>
        <c:majorTickMark val="none"/>
        <c:minorTickMark val="none"/>
        <c:tickLblPos val="nextTo"/>
        <c:spPr>
          <a:noFill/>
          <a:ln>
            <a:noFill/>
          </a:ln>
        </c:spPr>
        <c:txPr>
          <a:bodyPr/>
          <a:lstStyle/>
          <a:p>
            <a:pPr>
              <a:defRPr sz="800" b="0">
                <a:solidFill>
                  <a:srgbClr val="7A706D"/>
                </a:solidFill>
                <a:latin typeface="Arial"/>
                <a:cs typeface="Arial"/>
              </a:defRPr>
            </a:pPr>
            <a:endParaRPr lang="en-US"/>
          </a:p>
        </c:txPr>
        <c:crossAx val="5001"/>
        <c:crosses val="autoZero"/>
        <c:crossBetween val="between"/>
        <c:majorUnit val="0.2"/>
      </c:valAx>
      <c:spPr>
        <a:noFill/>
        <a:ln>
          <a:noFill/>
        </a:ln>
      </c:spPr>
    </c:plotArea>
    <c:plotVisOnly val="0"/>
    <c:dispBlanksAs val="gap"/>
  </c:chart>
  <c:spPr>
    <a:solidFill>
      <a:srgbClr val="FFFFFF"/>
    </a:solidFill>
    <a:ln>
      <a:noFill/>
    </a:ln>
  </c:spPr>
  <c:txPr>
    <a:bodyPr/>
    <a:lstStyle/>
    <a:p>
      <a:pPr>
        <a:defRPr sz="800">
          <a:latin typeface="Arial"/>
          <a:cs typeface="Arial"/>
        </a:defRPr>
      </a:pPr>
      <a:endParaRPr lang="en-US"/>
    </a:p>
  </c:txPr>
</c:chartSpace>
</file>

<file path=xl/charts/chart5.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manualLayout>
          <c:layoutTarget val="inner"/>
          <c:xMode val="edge"/>
          <c:yMode val="edge"/>
          <c:x val="0.05"/>
          <c:y val="0.045"/>
          <c:w val="0.94"/>
          <c:h val="0.924"/>
        </c:manualLayout>
      </c:layout>
      <c:barChart>
        <c:barDir val="col"/>
        <c:grouping val="clustered"/>
        <c:varyColors val="0"/>
        <c:ser>
          <c:idx val="0"/>
          <c:order val="0"/>
          <c:tx>
            <c:strRef>
              <c:f>'Expense Charts'!$B$54</c:f>
              <c:strCache>
                <c:ptCount val="1"/>
                <c:pt idx="0">
                  <c:v>Vehicle Expenses</c:v>
                </c:pt>
              </c:strCache>
            </c:strRef>
          </c:tx>
          <c:spPr>
            <a:solidFill>
              <a:srgbClr val="7B0000"/>
            </a:solidFill>
            <a:ln>
              <a:noFill/>
            </a:ln>
          </c:spPr>
          <c:invertIfNegative val="0"/>
          <c:dLbls>
            <c:numFmt formatCode="#,##0;(#,##0);;" sourceLinked="0"/>
            <c:spPr>
              <a:noFill/>
              <a:ln>
                <a:noFill/>
              </a:ln>
            </c:spPr>
            <c:txPr>
              <a:bodyPr/>
              <a:lstStyle/>
              <a:p>
                <a:pPr>
                  <a:defRPr sz="800" b="0">
                    <a:solidFill>
                      <a:srgbClr val="2C2523"/>
                    </a:solidFill>
                    <a:latin typeface="Arial"/>
                    <a:cs typeface="Arial"/>
                  </a:defRPr>
                </a:pPr>
                <a:endParaRPr lang="en-US"/>
              </a:p>
            </c:txPr>
            <c:dLblPos val="outEnd"/>
            <c:showLegendKey val="0"/>
            <c:showVal val="1"/>
            <c:showCatName val="0"/>
            <c:showSerName val="0"/>
            <c:showPercent val="0"/>
            <c:showBubbleSize val="0"/>
          </c:dLbls>
          <c:cat>
            <c:strRef>
              <c:f>'Expense Charts'!$C$46:$AL$46</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'Expense Charts'!$C$54:$AL$54</c:f>
              <c:numCache>
                <c:formatCode>#,##0;(#,##0);;</c:formatCode>
                <c:ptCount val="36"/>
                <c:pt idx="0">
                  <c:v>6.777</c:v>
                </c:pt>
                <c:pt idx="1">
                  <c:v>6.63</c:v>
                </c:pt>
                <c:pt idx="2">
                  <c:v>6.998</c:v>
                </c:pt>
                <c:pt idx="3">
                  <c:v>7.219</c:v>
                </c:pt>
                <c:pt idx="4">
                  <c:v>7.514</c:v>
                </c:pt>
                <c:pt idx="5">
                  <c:v>8.104</c:v>
                </c:pt>
                <c:pt idx="6">
                  <c:v>8.472</c:v>
                </c:pt>
                <c:pt idx="7">
                  <c:v>8.103</c:v>
                </c:pt>
                <c:pt idx="8">
                  <c:v>7.514</c:v>
                </c:pt>
                <c:pt idx="9">
                  <c:v>7.072</c:v>
                </c:pt>
                <c:pt idx="10">
                  <c:v>6.925</c:v>
                </c:pt>
                <c:pt idx="11">
                  <c:v>7.072</c:v>
                </c:pt>
                <c:pt idx="12">
                  <c:v>7.26</c:v>
                </c:pt>
                <c:pt idx="13">
                  <c:v>7.102</c:v>
                </c:pt>
                <c:pt idx="14">
                  <c:v>7.497</c:v>
                </c:pt>
                <c:pt idx="15">
                  <c:v>7.734</c:v>
                </c:pt>
                <c:pt idx="16">
                  <c:v>8.05</c:v>
                </c:pt>
                <c:pt idx="17">
                  <c:v>8.681</c:v>
                </c:pt>
                <c:pt idx="18">
                  <c:v>9.075</c:v>
                </c:pt>
                <c:pt idx="19">
                  <c:v>8.681</c:v>
                </c:pt>
                <c:pt idx="20">
                  <c:v>8.05</c:v>
                </c:pt>
                <c:pt idx="21">
                  <c:v>7.576</c:v>
                </c:pt>
                <c:pt idx="22">
                  <c:v>7.418</c:v>
                </c:pt>
                <c:pt idx="23">
                  <c:v>7.576</c:v>
                </c:pt>
                <c:pt idx="24">
                  <c:v>7.759</c:v>
                </c:pt>
                <c:pt idx="25">
                  <c:v>7.59</c:v>
                </c:pt>
                <c:pt idx="26">
                  <c:v>8.011</c:v>
                </c:pt>
                <c:pt idx="27">
                  <c:v>8.265</c:v>
                </c:pt>
                <c:pt idx="28">
                  <c:v>8.602</c:v>
                </c:pt>
                <c:pt idx="29">
                  <c:v>9.277</c:v>
                </c:pt>
                <c:pt idx="30">
                  <c:v>9.698</c:v>
                </c:pt>
                <c:pt idx="31">
                  <c:v>9.277</c:v>
                </c:pt>
                <c:pt idx="32">
                  <c:v>8.602</c:v>
                </c:pt>
                <c:pt idx="33">
                  <c:v>8.096</c:v>
                </c:pt>
                <c:pt idx="34">
                  <c:v>7.927</c:v>
                </c:pt>
                <c:pt idx="35">
                  <c:v>8.096</c:v>
                </c:pt>
              </c:numCache>
            </c:numRef>
          </c:val>
        </c:ser>
        <c:gapWidth val="60"/>
        <c:axId val="5001"/>
        <c:axId val="5002"/>
      </c:barChart>
      <c:catAx>
        <c:axId val="5001"/>
        <c:scaling>
          <c:orientation val="minMax"/>
        </c:scaling>
        <c:delete val="1"/>
        <c:axPos val="b"/>
        <c:numFmt formatCode="General" sourceLinked="0"/>
        <c:majorTickMark val="none"/>
        <c:minorTickMark val="none"/>
        <c:tickLblPos val="low"/>
        <c:spPr>
          <a:ln w="6350">
            <a:solidFill>
              <a:srgbClr val="C2BAB8"/>
            </a:solidFill>
          </a:ln>
        </c:spPr>
        <c:txPr>
          <a:bodyPr rot="-60000" vert="horz" wrap="none"/>
          <a:lstStyle/>
          <a:p>
            <a:pPr>
              <a:defRPr sz="800" b="0">
                <a:solidFill>
                  <a:srgbClr val="7A706D"/>
                </a:solidFill>
                <a:latin typeface="Arial"/>
                <a:cs typeface="Arial"/>
              </a:defRPr>
            </a:pPr>
            <a:endParaRPr lang="en-US"/>
          </a:p>
        </c:txPr>
        <c:crossAx val="5002"/>
        <c:crosses val="autoZero"/>
        <c:auto val="1"/>
        <c:lblAlgn val="ctr"/>
        <c:lblOffset val="100"/>
        <c:noMultiLvlLbl val="0"/>
      </c:catAx>
      <c:valAx>
        <c:axId val="5002"/>
        <c:scaling>
          <c:orientation val="minMax"/>
        </c:scaling>
        <c:delete val="1"/>
        <c:axPos val="l"/>
        <c:numFmt formatCode="#,##0;(#,##0);;" sourceLinked="0"/>
        <c:majorTickMark val="none"/>
        <c:minorTickMark val="none"/>
        <c:tickLblPos val="nextTo"/>
        <c:spPr>
          <a:noFill/>
          <a:ln>
            <a:noFill/>
          </a:ln>
        </c:spPr>
        <c:txPr>
          <a:bodyPr/>
          <a:lstStyle/>
          <a:p>
            <a:pPr>
              <a:defRPr sz="800" b="0">
                <a:solidFill>
                  <a:srgbClr val="7A706D"/>
                </a:solidFill>
                <a:latin typeface="Arial"/>
                <a:cs typeface="Arial"/>
              </a:defRPr>
            </a:pPr>
            <a:endParaRPr lang="en-US"/>
          </a:p>
        </c:txPr>
        <c:crossAx val="5001"/>
        <c:crosses val="autoZero"/>
        <c:crossBetween val="between"/>
      </c:valAx>
      <c:spPr>
        <a:noFill/>
        <a:ln>
          <a:noFill/>
        </a:ln>
      </c:spPr>
    </c:plotArea>
    <c:plotVisOnly val="0"/>
    <c:dispBlanksAs val="gap"/>
  </c:chart>
  <c:spPr>
    <a:solidFill>
      <a:srgbClr val="FFFFFF"/>
    </a:solidFill>
    <a:ln>
      <a:noFill/>
    </a:ln>
  </c:spPr>
  <c:txPr>
    <a:bodyPr/>
    <a:lstStyle/>
    <a:p>
      <a:pPr>
        <a:defRPr sz="800">
          <a:latin typeface="Arial"/>
          <a:cs typeface="Arial"/>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manualLayout>
          <c:layoutTarget val="inner"/>
          <c:xMode val="edge"/>
          <c:yMode val="edge"/>
          <c:x val="0.05"/>
          <c:y val="0.100"/>
          <c:w val="0.94"/>
          <c:h val="0.600"/>
        </c:manualLayout>
      </c:layout>
      <c:lineChart>
        <c:grouping val="standard"/>
        <c:varyColors val="0"/>
        <c:ser>
          <c:idx val="0"/>
          <c:order val="0"/>
          <c:tx>
            <c:strRef>
              <c:f>'Expense Charts'!$B$56</c:f>
              <c:strCache>
                <c:ptCount val="1"/>
                <c:pt idx="0">
                  <c:v>% of Revenue</c:v>
                </c:pt>
              </c:strCache>
            </c:strRef>
          </c:tx>
          <c:spPr>
            <a:ln w="22225" cap="rnd">
              <a:solidFill>
                <a:srgbClr val="7B0000"/>
              </a:solidFill>
              <a:round/>
            </a:ln>
          </c:spPr>
          <c:marker>
            <c:symbol val="none"/>
          </c:marker>
          <c:cat>
            <c:strRef>
              <c:f>'Expense Charts'!$C$46:$AL$46</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'Expense Charts'!$C$56:$AL$56</c:f>
              <c:numCache>
                <c:formatCode>0%;(0%);;</c:formatCode>
                <c:ptCount val="36"/>
                <c:pt idx="0">
                  <c:v>0.037510378037305586</c:v>
                </c:pt>
                <c:pt idx="1">
                  <c:v>0.039573111771657773</c:v>
                </c:pt>
                <c:pt idx="2">
                  <c:v>0.042960716543988996</c:v>
                </c:pt>
                <c:pt idx="3">
                  <c:v>0.0416143053137646</c:v>
                </c:pt>
                <c:pt idx="4">
                  <c:v>0.0380841358337557</c:v>
                </c:pt>
                <c:pt idx="5">
                  <c:v>0.035135334336291624</c:v>
                </c:pt>
                <c:pt idx="6">
                  <c:v>0.034051583808616594</c:v>
                </c:pt>
                <c:pt idx="7">
                  <c:v>0.034438645404780525</c:v>
                </c:pt>
                <c:pt idx="8">
                  <c:v>0.036148461741996006</c:v>
                </c:pt>
                <c:pt idx="9">
                  <c:v>0.03840368397330423</c:v>
                </c:pt>
                <c:pt idx="10">
                  <c:v>0.03590724781963932</c:v>
                </c:pt>
                <c:pt idx="11">
                  <c:v>0.03138716907440694</c:v>
                </c:pt>
                <c:pt idx="12">
                  <c:v>0.0355706243477494</c:v>
                </c:pt>
                <c:pt idx="13">
                  <c:v>0.03749320297115948</c:v>
                </c:pt>
                <c:pt idx="14">
                  <c:v>0.040676476333094604</c:v>
                </c:pt>
                <c:pt idx="15">
                  <c:v>0.03941132706203691</c:v>
                </c:pt>
                <c:pt idx="16">
                  <c:v>0.03612068346614976</c:v>
                </c:pt>
                <c:pt idx="17">
                  <c:v>0.03336100286687111</c:v>
                </c:pt>
                <c:pt idx="18">
                  <c:v>0.03234729049114415</c:v>
                </c:pt>
                <c:pt idx="19">
                  <c:v>0.03270357324492833</c:v>
                </c:pt>
                <c:pt idx="20">
                  <c:v>0.034268151478000275</c:v>
                </c:pt>
                <c:pt idx="21">
                  <c:v>0.036368000384033795</c:v>
                </c:pt>
                <c:pt idx="22">
                  <c:v>0.034025337822341684</c:v>
                </c:pt>
                <c:pt idx="23">
                  <c:v>0.029801077024140605</c:v>
                </c:pt>
                <c:pt idx="24">
                  <c:v>0.03398017859410788</c:v>
                </c:pt>
                <c:pt idx="25">
                  <c:v>0.035782307793848646</c:v>
                </c:pt>
                <c:pt idx="26">
                  <c:v>0.03878461009629583</c:v>
                </c:pt>
                <c:pt idx="27">
                  <c:v>0.03759330097838101</c:v>
                </c:pt>
                <c:pt idx="28">
                  <c:v>0.034507381258023107</c:v>
                </c:pt>
                <c:pt idx="29">
                  <c:v>0.031918224387491444</c:v>
                </c:pt>
                <c:pt idx="30">
                  <c:v>0.030965822008787166</c:v>
                </c:pt>
                <c:pt idx="31">
                  <c:v>0.031289314009531485</c:v>
                </c:pt>
                <c:pt idx="32">
                  <c:v>0.032723897346937224</c:v>
                </c:pt>
                <c:pt idx="33">
                  <c:v>0.03468990753357157</c:v>
                </c:pt>
                <c:pt idx="34">
                  <c:v>0.03247852041840627</c:v>
                </c:pt>
                <c:pt idx="35">
                  <c:v>0.028505034856700234</c:v>
                </c:pt>
              </c:numCache>
            </c:numRef>
          </c:val>
          <c:smooth val="0"/>
        </c:ser>
        <c:marker val="1"/>
        <c:axId val="5001"/>
        <c:axId val="5002"/>
      </c:lineChart>
      <c:catAx>
        <c:axId val="5001"/>
        <c:scaling>
          <c:orientation val="minMax"/>
        </c:scaling>
        <c:delete val="0"/>
        <c:axPos val="b"/>
        <c:numFmt formatCode="General" sourceLinked="0"/>
        <c:majorTickMark val="none"/>
        <c:minorTickMark val="none"/>
        <c:tickLblPos val="low"/>
        <c:spPr>
          <a:ln w="6350">
            <a:solidFill>
              <a:srgbClr val="C2BAB8"/>
            </a:solidFill>
          </a:ln>
        </c:spPr>
        <c:txPr>
          <a:bodyPr rot="-60000" vert="horz" wrap="none"/>
          <a:lstStyle/>
          <a:p>
            <a:pPr>
              <a:defRPr sz="800" b="0">
                <a:solidFill>
                  <a:srgbClr val="7A706D"/>
                </a:solidFill>
                <a:latin typeface="Arial"/>
                <a:cs typeface="Arial"/>
              </a:defRPr>
            </a:pPr>
            <a:endParaRPr lang="en-US"/>
          </a:p>
        </c:txPr>
        <c:crossAx val="5002"/>
        <c:crosses val="autoZero"/>
        <c:auto val="1"/>
        <c:lblAlgn val="ctr"/>
        <c:lblOffset val="100"/>
        <c:noMultiLvlLbl val="0"/>
      </c:catAx>
      <c:valAx>
        <c:axId val="5002"/>
        <c:scaling>
          <c:orientation val="minMax"/>
          <c:min val="0"/>
        </c:scaling>
        <c:delete val="0"/>
        <c:axPos val="l"/>
        <c:majorGridlines>
          <c:spPr>
            <a:ln w="3175">
              <a:solidFill>
                <a:srgbClr val="C2BAB8"/>
              </a:solidFill>
            </a:ln>
          </c:spPr>
        </c:majorGridlines>
        <c:numFmt formatCode="0%;(0%);;" sourceLinked="0"/>
        <c:majorTickMark val="none"/>
        <c:minorTickMark val="none"/>
        <c:tickLblPos val="nextTo"/>
        <c:spPr>
          <a:noFill/>
          <a:ln>
            <a:noFill/>
          </a:ln>
        </c:spPr>
        <c:txPr>
          <a:bodyPr/>
          <a:lstStyle/>
          <a:p>
            <a:pPr>
              <a:defRPr sz="800" b="0">
                <a:solidFill>
                  <a:srgbClr val="7A706D"/>
                </a:solidFill>
                <a:latin typeface="Arial"/>
                <a:cs typeface="Arial"/>
              </a:defRPr>
            </a:pPr>
            <a:endParaRPr lang="en-US"/>
          </a:p>
        </c:txPr>
        <c:crossAx val="5001"/>
        <c:crosses val="autoZero"/>
        <c:crossBetween val="between"/>
        <c:majorUnit val="0.02"/>
      </c:valAx>
      <c:spPr>
        <a:noFill/>
        <a:ln>
          <a:noFill/>
        </a:ln>
      </c:spPr>
    </c:plotArea>
    <c:plotVisOnly val="0"/>
    <c:dispBlanksAs val="gap"/>
  </c:chart>
  <c:spPr>
    <a:solidFill>
      <a:srgbClr val="FFFFFF"/>
    </a:solidFill>
    <a:ln>
      <a:noFill/>
    </a:ln>
  </c:spPr>
  <c:txPr>
    <a:bodyPr/>
    <a:lstStyle/>
    <a:p>
      <a:pPr>
        <a:defRPr sz="800">
          <a:latin typeface="Arial"/>
          <a:cs typeface="Arial"/>
        </a:defRPr>
      </a:pPr>
      <a:endParaRPr lang="en-US"/>
    </a:p>
  </c:txPr>
</c:chartSpace>
</file>

<file path=xl/charts/chart7.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manualLayout>
          <c:layoutTarget val="inner"/>
          <c:xMode val="edge"/>
          <c:yMode val="edge"/>
          <c:x val="0.05"/>
          <c:y val="0.104"/>
          <c:w val="0.94"/>
          <c:h val="0.802"/>
        </c:manualLayout>
      </c:layout>
      <c:barChart>
        <c:barDir val="col"/>
        <c:grouping val="clustered"/>
        <c:varyColors val="0"/>
        <c:ser>
          <c:idx val="0"/>
          <c:order val="0"/>
          <c:tx>
            <c:strRef>
              <c:f>'Retention Charts'!$B$69</c:f>
              <c:strCache>
                <c:ptCount val="1"/>
                <c:pt idx="0">
                  <c:v>New Customers</c:v>
                </c:pt>
              </c:strCache>
            </c:strRef>
          </c:tx>
          <c:spPr>
            <a:solidFill>
              <a:srgbClr val="7B0000"/>
            </a:solidFill>
            <a:ln>
              <a:noFill/>
            </a:ln>
          </c:spPr>
          <c:invertIfNegative val="0"/>
          <c:dLbls>
            <c:numFmt formatCode="#,##0;(#,##0);;" sourceLinked="0"/>
            <c:spPr>
              <a:noFill/>
              <a:ln>
                <a:noFill/>
              </a:ln>
            </c:spPr>
            <c:txPr>
              <a:bodyPr/>
              <a:lstStyle/>
              <a:p>
                <a:pPr>
                  <a:defRPr sz="800" b="0">
                    <a:solidFill>
                      <a:srgbClr val="2C2523"/>
                    </a:solidFill>
                    <a:latin typeface="Arial"/>
                    <a:cs typeface="Arial"/>
                  </a:defRPr>
                </a:pPr>
                <a:endParaRPr lang="en-US"/>
              </a:p>
            </c:txPr>
            <c:dLblPos val="outEnd"/>
            <c:showLegendKey val="0"/>
            <c:showVal val="1"/>
            <c:showCatName val="0"/>
            <c:showSerName val="0"/>
            <c:showPercent val="0"/>
            <c:showBubbleSize val="0"/>
          </c:dLbls>
          <c:cat>
            <c:strRef>
              <c:f>'Retention Charts'!$C$66:$AL$66</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'Retention Charts'!$C$69:$AL$69</c:f>
              <c:numCache>
                <c:formatCode>#,##0;(#,##0);;</c:formatCode>
                <c:ptCount val="36"/>
                <c:pt idx="0">
                  <c:v>0</c:v>
                </c:pt>
                <c:pt idx="1">
                  <c:v>1</c:v>
                </c:pt>
                <c:pt idx="2">
                  <c:v>1</c:v>
                </c:pt>
                <c:pt idx="3">
                  <c:v>0</c:v>
                </c:pt>
                <c:pt idx="4">
                  <c:v>1</c:v>
                </c:pt>
                <c:pt idx="5">
                  <c:v>1</c:v>
                </c:pt>
                <c:pt idx="6">
                  <c:v>0</c:v>
                </c:pt>
                <c:pt idx="7">
                  <c:v>1</c:v>
                </c:pt>
                <c:pt idx="8">
                  <c:v>1</c:v>
                </c:pt>
                <c:pt idx="9">
                  <c:v>0</c:v>
                </c:pt>
                <c:pt idx="10">
                  <c:v>1</c:v>
                </c:pt>
                <c:pt idx="11">
                  <c:v>0</c:v>
                </c:pt>
                <c:pt idx="12">
                  <c:v>1</c:v>
                </c:pt>
                <c:pt idx="13">
                  <c:v>0</c:v>
                </c:pt>
                <c:pt idx="14">
                  <c:v>1</c:v>
                </c:pt>
                <c:pt idx="15">
                  <c:v>1</c:v>
                </c:pt>
                <c:pt idx="16">
                  <c:v>0</c:v>
                </c:pt>
                <c:pt idx="17">
                  <c:v>1</c:v>
                </c:pt>
                <c:pt idx="18">
                  <c:v>1</c:v>
                </c:pt>
                <c:pt idx="19">
                  <c:v>0</c:v>
                </c:pt>
                <c:pt idx="20">
                  <c:v>1</c:v>
                </c:pt>
                <c:pt idx="21">
                  <c:v>1</c:v>
                </c:pt>
                <c:pt idx="22">
                  <c:v>0</c:v>
                </c:pt>
                <c:pt idx="23">
                  <c:v>1</c:v>
                </c:pt>
                <c:pt idx="24">
                  <c:v>0</c:v>
                </c:pt>
                <c:pt idx="25">
                  <c:v>1</c:v>
                </c:pt>
                <c:pt idx="26">
                  <c:v>1</c:v>
                </c:pt>
                <c:pt idx="27">
                  <c:v>0</c:v>
                </c:pt>
                <c:pt idx="28">
                  <c:v>1</c:v>
                </c:pt>
                <c:pt idx="29">
                  <c:v>1</c:v>
                </c:pt>
                <c:pt idx="30">
                  <c:v>0</c:v>
                </c:pt>
                <c:pt idx="31">
                  <c:v>1</c:v>
                </c:pt>
                <c:pt idx="32">
                  <c:v>0</c:v>
                </c:pt>
                <c:pt idx="33">
                  <c:v>1</c:v>
                </c:pt>
                <c:pt idx="34">
                  <c:v>1</c:v>
                </c:pt>
                <c:pt idx="35">
                  <c:v>0</c:v>
                </c:pt>
              </c:numCache>
            </c:numRef>
          </c:val>
        </c:ser>
        <c:ser>
          <c:idx val="1"/>
          <c:order val="1"/>
          <c:tx>
            <c:strRef>
              <c:f>'Retention Charts'!$B$70</c:f>
              <c:strCache>
                <c:ptCount val="1"/>
                <c:pt idx="0">
                  <c:v>Lost Customers</c:v>
                </c:pt>
              </c:strCache>
            </c:strRef>
          </c:tx>
          <c:spPr>
            <a:solidFill>
              <a:srgbClr val="5E5552"/>
            </a:solidFill>
            <a:ln>
              <a:noFill/>
            </a:ln>
          </c:spPr>
          <c:invertIfNegative val="0"/>
          <c:dLbls>
            <c:numFmt formatCode="#,##0;(#,##0);;" sourceLinked="0"/>
            <c:spPr>
              <a:noFill/>
              <a:ln>
                <a:noFill/>
              </a:ln>
            </c:spPr>
            <c:txPr>
              <a:bodyPr/>
              <a:lstStyle/>
              <a:p>
                <a:pPr>
                  <a:defRPr sz="800" b="0">
                    <a:solidFill>
                      <a:srgbClr val="2C2523"/>
                    </a:solidFill>
                    <a:latin typeface="Arial"/>
                    <a:cs typeface="Arial"/>
                  </a:defRPr>
                </a:pPr>
                <a:endParaRPr lang="en-US"/>
              </a:p>
            </c:txPr>
            <c:dLblPos val="outEnd"/>
            <c:showLegendKey val="0"/>
            <c:showVal val="1"/>
            <c:showCatName val="0"/>
            <c:showSerName val="0"/>
            <c:showPercent val="0"/>
            <c:showBubbleSize val="0"/>
          </c:dLbls>
          <c:cat>
            <c:strRef>
              <c:f>'Retention Charts'!$C$66:$AL$66</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'Retention Charts'!$C$70:$AL$70</c:f>
              <c:numCache>
                <c:formatCode>#,##0;(#,##0);;</c:formatCode>
                <c:ptCount val="36"/>
                <c:pt idx="0">
                  <c:v>0</c:v>
                </c:pt>
                <c:pt idx="1">
                  <c:v>0</c:v>
                </c:pt>
                <c:pt idx="2">
                  <c:v>0</c:v>
                </c:pt>
                <c:pt idx="3">
                  <c:v>-1</c:v>
                </c:pt>
                <c:pt idx="4">
                  <c:v>0</c:v>
                </c:pt>
                <c:pt idx="5">
                  <c:v>0</c:v>
                </c:pt>
                <c:pt idx="6">
                  <c:v>0</c:v>
                </c:pt>
                <c:pt idx="7">
                  <c:v>-1</c:v>
                </c:pt>
                <c:pt idx="8">
                  <c:v>0</c:v>
                </c:pt>
                <c:pt idx="9">
                  <c:v>0</c:v>
                </c:pt>
                <c:pt idx="10">
                  <c:v>-1</c:v>
                </c:pt>
                <c:pt idx="11">
                  <c:v>0</c:v>
                </c:pt>
                <c:pt idx="12">
                  <c:v>0</c:v>
                </c:pt>
                <c:pt idx="13">
                  <c:v>-1</c:v>
                </c:pt>
                <c:pt idx="14">
                  <c:v>0</c:v>
                </c:pt>
                <c:pt idx="15">
                  <c:v>0</c:v>
                </c:pt>
                <c:pt idx="16">
                  <c:v>0</c:v>
                </c:pt>
                <c:pt idx="17">
                  <c:v>-1</c:v>
                </c:pt>
                <c:pt idx="18">
                  <c:v>0</c:v>
                </c:pt>
                <c:pt idx="19">
                  <c:v>0</c:v>
                </c:pt>
                <c:pt idx="20">
                  <c:v>0</c:v>
                </c:pt>
                <c:pt idx="21">
                  <c:v>-1</c:v>
                </c:pt>
                <c:pt idx="22">
                  <c:v>0</c:v>
                </c:pt>
                <c:pt idx="23">
                  <c:v>0</c:v>
                </c:pt>
                <c:pt idx="24">
                  <c:v>-1</c:v>
                </c:pt>
                <c:pt idx="25">
                  <c:v>0</c:v>
                </c:pt>
                <c:pt idx="26">
                  <c:v>0</c:v>
                </c:pt>
                <c:pt idx="27">
                  <c:v>0</c:v>
                </c:pt>
                <c:pt idx="28">
                  <c:v>-1</c:v>
                </c:pt>
                <c:pt idx="29">
                  <c:v>0</c:v>
                </c:pt>
                <c:pt idx="30">
                  <c:v>0</c:v>
                </c:pt>
                <c:pt idx="31">
                  <c:v>-1</c:v>
                </c:pt>
                <c:pt idx="32">
                  <c:v>0</c:v>
                </c:pt>
                <c:pt idx="33">
                  <c:v>0</c:v>
                </c:pt>
                <c:pt idx="34">
                  <c:v>-1</c:v>
                </c:pt>
                <c:pt idx="35">
                  <c:v>0</c:v>
                </c:pt>
              </c:numCache>
            </c:numRef>
          </c:val>
        </c:ser>
        <c:gapWidth val="60"/>
        <c:overlap val="100"/>
        <c:axId val="5001"/>
        <c:axId val="5002"/>
      </c:barChart>
      <c:catAx>
        <c:axId val="5001"/>
        <c:scaling>
          <c:orientation val="minMax"/>
        </c:scaling>
        <c:delete val="0"/>
        <c:axPos val="b"/>
        <c:numFmt formatCode="General" sourceLinked="0"/>
        <c:majorTickMark val="none"/>
        <c:minorTickMark val="none"/>
        <c:tickLblPos val="low"/>
        <c:spPr>
          <a:ln w="6350">
            <a:solidFill>
              <a:srgbClr val="C2BAB8"/>
            </a:solidFill>
          </a:ln>
        </c:spPr>
        <c:txPr>
          <a:bodyPr rot="-60000" vert="horz" wrap="none"/>
          <a:lstStyle/>
          <a:p>
            <a:pPr>
              <a:defRPr sz="800" b="0">
                <a:solidFill>
                  <a:srgbClr val="7A706D"/>
                </a:solidFill>
                <a:latin typeface="Arial"/>
                <a:cs typeface="Arial"/>
              </a:defRPr>
            </a:pPr>
            <a:endParaRPr lang="en-US"/>
          </a:p>
        </c:txPr>
        <c:crossAx val="5002"/>
        <c:crosses val="autoZero"/>
        <c:auto val="1"/>
        <c:lblAlgn val="ctr"/>
        <c:lblOffset val="100"/>
        <c:noMultiLvlLbl val="0"/>
      </c:catAx>
      <c:valAx>
        <c:axId val="5002"/>
        <c:scaling>
          <c:orientation val="minMax"/>
        </c:scaling>
        <c:delete val="1"/>
        <c:axPos val="l"/>
        <c:numFmt formatCode="#,##0;(#,##0);;" sourceLinked="0"/>
        <c:majorTickMark val="none"/>
        <c:minorTickMark val="none"/>
        <c:tickLblPos val="nextTo"/>
        <c:spPr>
          <a:noFill/>
          <a:ln>
            <a:noFill/>
          </a:ln>
        </c:spPr>
        <c:txPr>
          <a:bodyPr/>
          <a:lstStyle/>
          <a:p>
            <a:pPr>
              <a:defRPr sz="800" b="0">
                <a:solidFill>
                  <a:srgbClr val="7A706D"/>
                </a:solidFill>
                <a:latin typeface="Arial"/>
                <a:cs typeface="Arial"/>
              </a:defRPr>
            </a:pPr>
            <a:endParaRPr lang="en-US"/>
          </a:p>
        </c:txPr>
        <c:crossAx val="5001"/>
        <c:crosses val="autoZero"/>
        <c:crossBetween val="between"/>
      </c:valAx>
      <c:spPr>
        <a:noFill/>
        <a:ln>
          <a:noFill/>
        </a:ln>
      </c:spPr>
    </c:plotArea>
    <c:legend>
      <c:legendPos val="t"/>
      <c:layout>
        <c:manualLayout>
          <c:xMode val="edge"/>
          <c:yMode val="edge"/>
          <c:x val="0.04"/>
          <c:y val="0.01"/>
          <c:w val="0.40"/>
          <c:h val="0.083"/>
        </c:manualLayout>
      </c:layout>
      <c:overlay val="0"/>
      <c:txPr>
        <a:bodyPr/>
        <a:lstStyle/>
        <a:p>
          <a:pPr>
            <a:defRPr sz="800" b="0">
              <a:solidFill>
                <a:srgbClr val="2C2523"/>
              </a:solidFill>
              <a:latin typeface="Arial"/>
              <a:cs typeface="Arial"/>
            </a:defRPr>
          </a:pPr>
          <a:endParaRPr lang="en-US"/>
        </a:p>
      </c:txPr>
    </c:legend>
    <c:plotVisOnly val="0"/>
    <c:dispBlanksAs val="gap"/>
  </c:chart>
  <c:spPr>
    <a:solidFill>
      <a:srgbClr val="FFFFFF"/>
    </a:solidFill>
    <a:ln>
      <a:noFill/>
    </a:ln>
  </c:spPr>
  <c:txPr>
    <a:bodyPr/>
    <a:lstStyle/>
    <a:p>
      <a:pPr>
        <a:defRPr sz="800">
          <a:latin typeface="Arial"/>
          <a:cs typeface="Arial"/>
        </a:defRPr>
      </a:pPr>
      <a:endParaRPr lang="en-US"/>
    </a:p>
  </c:txPr>
</c:chartSpace>
</file>

<file path=xl/charts/chart8.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manualLayout>
          <c:layoutTarget val="inner"/>
          <c:xMode val="edge"/>
          <c:yMode val="edge"/>
          <c:x val="0.05"/>
          <c:y val="0.104"/>
          <c:w val="0.94"/>
          <c:h val="0.802"/>
        </c:manualLayout>
      </c:layout>
      <c:barChart>
        <c:barDir val="col"/>
        <c:grouping val="stacked"/>
        <c:varyColors val="0"/>
        <c:ser>
          <c:idx val="0"/>
          <c:order val="0"/>
          <c:tx>
            <c:strRef>
              <c:f>'Retention Charts'!$B$73</c:f>
              <c:strCache>
                <c:ptCount val="1"/>
                <c:pt idx="0">
                  <c:v>New Customers</c:v>
                </c:pt>
              </c:strCache>
            </c:strRef>
          </c:tx>
          <c:spPr>
            <a:solidFill>
              <a:srgbClr val="7B0000"/>
            </a:solidFill>
            <a:ln>
              <a:noFill/>
            </a:ln>
          </c:spPr>
          <c:invertIfNegative val="0"/>
          <c:cat>
            <c:strRef>
              <c:f>'Retention Charts'!$C$66:$AL$66</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'Retention Charts'!$C$73:$AL$73</c:f>
              <c:numCache>
                <c:formatCode>#,##0;(#,##0);;</c:formatCode>
                <c:ptCount val="36"/>
                <c:pt idx="0">
                  <c:v>0</c:v>
                </c:pt>
                <c:pt idx="1">
                  <c:v>1</c:v>
                </c:pt>
                <c:pt idx="2">
                  <c:v>1</c:v>
                </c:pt>
                <c:pt idx="3">
                  <c:v>0</c:v>
                </c:pt>
                <c:pt idx="4">
                  <c:v>1</c:v>
                </c:pt>
                <c:pt idx="5">
                  <c:v>1</c:v>
                </c:pt>
                <c:pt idx="6">
                  <c:v>0</c:v>
                </c:pt>
                <c:pt idx="7">
                  <c:v>1</c:v>
                </c:pt>
                <c:pt idx="8">
                  <c:v>1</c:v>
                </c:pt>
                <c:pt idx="9">
                  <c:v>0</c:v>
                </c:pt>
                <c:pt idx="10">
                  <c:v>1</c:v>
                </c:pt>
                <c:pt idx="11">
                  <c:v>0</c:v>
                </c:pt>
                <c:pt idx="12">
                  <c:v>1</c:v>
                </c:pt>
                <c:pt idx="13">
                  <c:v>0</c:v>
                </c:pt>
                <c:pt idx="14">
                  <c:v>1</c:v>
                </c:pt>
                <c:pt idx="15">
                  <c:v>1</c:v>
                </c:pt>
                <c:pt idx="16">
                  <c:v>0</c:v>
                </c:pt>
                <c:pt idx="17">
                  <c:v>1</c:v>
                </c:pt>
                <c:pt idx="18">
                  <c:v>1</c:v>
                </c:pt>
                <c:pt idx="19">
                  <c:v>0</c:v>
                </c:pt>
                <c:pt idx="20">
                  <c:v>1</c:v>
                </c:pt>
                <c:pt idx="21">
                  <c:v>1</c:v>
                </c:pt>
                <c:pt idx="22">
                  <c:v>0</c:v>
                </c:pt>
                <c:pt idx="23">
                  <c:v>1</c:v>
                </c:pt>
                <c:pt idx="24">
                  <c:v>0</c:v>
                </c:pt>
                <c:pt idx="25">
                  <c:v>1</c:v>
                </c:pt>
                <c:pt idx="26">
                  <c:v>1</c:v>
                </c:pt>
                <c:pt idx="27">
                  <c:v>0</c:v>
                </c:pt>
                <c:pt idx="28">
                  <c:v>1</c:v>
                </c:pt>
                <c:pt idx="29">
                  <c:v>1</c:v>
                </c:pt>
                <c:pt idx="30">
                  <c:v>0</c:v>
                </c:pt>
                <c:pt idx="31">
                  <c:v>1</c:v>
                </c:pt>
                <c:pt idx="32">
                  <c:v>0</c:v>
                </c:pt>
                <c:pt idx="33">
                  <c:v>1</c:v>
                </c:pt>
                <c:pt idx="34">
                  <c:v>1</c:v>
                </c:pt>
                <c:pt idx="35">
                  <c:v>0</c:v>
                </c:pt>
              </c:numCache>
            </c:numRef>
          </c:val>
        </c:ser>
        <c:ser>
          <c:idx val="1"/>
          <c:order val="1"/>
          <c:tx>
            <c:strRef>
              <c:f>'Retention Charts'!$B$74</c:f>
              <c:strCache>
                <c:ptCount val="1"/>
                <c:pt idx="0">
                  <c:v>Regrettable Losses</c:v>
                </c:pt>
              </c:strCache>
            </c:strRef>
          </c:tx>
          <c:spPr>
            <a:solidFill>
              <a:srgbClr val="5E5552"/>
            </a:solidFill>
            <a:ln>
              <a:noFill/>
            </a:ln>
          </c:spPr>
          <c:invertIfNegative val="0"/>
          <c:cat>
            <c:strRef>
              <c:f>'Retention Charts'!$C$66:$AL$66</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'Retention Charts'!$C$74:$AL$74</c:f>
              <c:numCache>
                <c:formatCode>#,##0;(#,##0);;</c:formatCode>
                <c:ptCount val="36"/>
                <c:pt idx="0">
                  <c:v>0</c:v>
                </c:pt>
                <c:pt idx="1">
                  <c:v>0</c:v>
                </c:pt>
                <c:pt idx="2">
                  <c:v>0</c:v>
                </c:pt>
                <c:pt idx="3">
                  <c:v>0</c:v>
                </c:pt>
                <c:pt idx="4">
                  <c:v>0</c:v>
                </c:pt>
                <c:pt idx="5">
                  <c:v>0</c:v>
                </c:pt>
                <c:pt idx="6">
                  <c:v>0</c:v>
                </c:pt>
                <c:pt idx="7">
                  <c:v>-1</c:v>
                </c:pt>
                <c:pt idx="8">
                  <c:v>0</c:v>
                </c:pt>
                <c:pt idx="9">
                  <c:v>0</c:v>
                </c:pt>
                <c:pt idx="10">
                  <c:v>-1</c:v>
                </c:pt>
                <c:pt idx="11">
                  <c:v>0</c:v>
                </c:pt>
                <c:pt idx="12">
                  <c:v>0</c:v>
                </c:pt>
                <c:pt idx="13">
                  <c:v>0</c:v>
                </c:pt>
                <c:pt idx="14">
                  <c:v>0</c:v>
                </c:pt>
                <c:pt idx="15">
                  <c:v>0</c:v>
                </c:pt>
                <c:pt idx="16">
                  <c:v>0</c:v>
                </c:pt>
                <c:pt idx="17">
                  <c:v>0</c:v>
                </c:pt>
                <c:pt idx="18">
                  <c:v>0</c:v>
                </c:pt>
                <c:pt idx="19">
                  <c:v>0</c:v>
                </c:pt>
                <c:pt idx="20">
                  <c:v>0</c:v>
                </c:pt>
                <c:pt idx="21">
                  <c:v>0</c:v>
                </c:pt>
                <c:pt idx="22">
                  <c:v>0</c:v>
                </c:pt>
                <c:pt idx="23">
                  <c:v>0</c:v>
                </c:pt>
                <c:pt idx="24">
                  <c:v>-1</c:v>
                </c:pt>
                <c:pt idx="25">
                  <c:v>0</c:v>
                </c:pt>
                <c:pt idx="26">
                  <c:v>0</c:v>
                </c:pt>
                <c:pt idx="27">
                  <c:v>0</c:v>
                </c:pt>
                <c:pt idx="28">
                  <c:v>0</c:v>
                </c:pt>
                <c:pt idx="29">
                  <c:v>0</c:v>
                </c:pt>
                <c:pt idx="30">
                  <c:v>0</c:v>
                </c:pt>
                <c:pt idx="31">
                  <c:v>0</c:v>
                </c:pt>
                <c:pt idx="32">
                  <c:v>0</c:v>
                </c:pt>
                <c:pt idx="33">
                  <c:v>0</c:v>
                </c:pt>
                <c:pt idx="34">
                  <c:v>-1</c:v>
                </c:pt>
                <c:pt idx="35">
                  <c:v>0</c:v>
                </c:pt>
              </c:numCache>
            </c:numRef>
          </c:val>
        </c:ser>
        <c:ser>
          <c:idx val="2"/>
          <c:order val="2"/>
          <c:tx>
            <c:strRef>
              <c:f>'Retention Charts'!$B$75</c:f>
              <c:strCache>
                <c:ptCount val="1"/>
                <c:pt idx="0">
                  <c:v>Non-regrettable Losses</c:v>
                </c:pt>
              </c:strCache>
            </c:strRef>
          </c:tx>
          <c:spPr>
            <a:solidFill>
              <a:srgbClr val="DCC7C4"/>
            </a:solidFill>
            <a:ln>
              <a:noFill/>
            </a:ln>
          </c:spPr>
          <c:invertIfNegative val="0"/>
          <c:cat>
            <c:strRef>
              <c:f>'Retention Charts'!$C$66:$AL$66</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'Retention Charts'!$C$75:$AL$75</c:f>
              <c:numCache>
                <c:formatCode>#,##0;(#,##0);;</c:formatCode>
                <c:ptCount val="36"/>
                <c:pt idx="0">
                  <c:v>0</c:v>
                </c:pt>
                <c:pt idx="1">
                  <c:v>0</c:v>
                </c:pt>
                <c:pt idx="2">
                  <c:v>0</c:v>
                </c:pt>
                <c:pt idx="3">
                  <c:v>-1</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-1</c:v>
                </c:pt>
                <c:pt idx="29">
                  <c:v>0</c:v>
                </c:pt>
                <c:pt idx="30">
                  <c:v>0</c:v>
                </c:pt>
                <c:pt idx="31">
                  <c:v>-1</c:v>
                </c:pt>
                <c:pt idx="32">
                  <c:v>0</c:v>
                </c:pt>
                <c:pt idx="33">
                  <c:v>0</c:v>
                </c:pt>
                <c:pt idx="34">
                  <c:v>0</c:v>
                </c:pt>
                <c:pt idx="35">
                  <c:v>0</c:v>
                </c:pt>
              </c:numCache>
            </c:numRef>
          </c:val>
        </c:ser>
        <c:ser>
          <c:idx val="3"/>
          <c:order val="3"/>
          <c:tx>
            <c:strRef>
              <c:f>'Retention Charts'!$B$76</c:f>
              <c:strCache>
                <c:ptCount val="1"/>
                <c:pt idx="0">
                  <c:v>Unclassified Losses</c:v>
                </c:pt>
              </c:strCache>
            </c:strRef>
          </c:tx>
          <c:spPr>
            <a:solidFill>
              <a:srgbClr val="C49A5B"/>
            </a:solidFill>
            <a:ln>
              <a:noFill/>
            </a:ln>
          </c:spPr>
          <c:invertIfNegative val="0"/>
          <c:cat>
            <c:strRef>
              <c:f>'Retention Charts'!$C$66:$AL$66</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'Retention Charts'!$C$76:$AL$76</c:f>
              <c:numCache>
                <c:formatCode>#,##0;(#,##0);;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-1</c:v>
                </c:pt>
                <c:pt idx="14">
                  <c:v>0</c:v>
                </c:pt>
                <c:pt idx="15">
                  <c:v>0</c:v>
                </c:pt>
                <c:pt idx="16">
                  <c:v>0</c:v>
                </c:pt>
                <c:pt idx="17">
                  <c:v>-1</c:v>
                </c:pt>
                <c:pt idx="18">
                  <c:v>0</c:v>
                </c:pt>
                <c:pt idx="19">
                  <c:v>0</c:v>
                </c:pt>
                <c:pt idx="20">
                  <c:v>0</c:v>
                </c:pt>
                <c:pt idx="21">
                  <c:v>-1</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er>
        <c:gapWidth val="60"/>
        <c:overlap val="100"/>
        <c:axId val="5001"/>
        <c:axId val="5002"/>
      </c:barChart>
      <c:catAx>
        <c:axId val="5001"/>
        <c:scaling>
          <c:orientation val="minMax"/>
        </c:scaling>
        <c:delete val="0"/>
        <c:axPos val="b"/>
        <c:numFmt formatCode="General" sourceLinked="0"/>
        <c:majorTickMark val="none"/>
        <c:minorTickMark val="none"/>
        <c:tickLblPos val="low"/>
        <c:spPr>
          <a:ln w="6350">
            <a:solidFill>
              <a:srgbClr val="C2BAB8"/>
            </a:solidFill>
          </a:ln>
        </c:spPr>
        <c:txPr>
          <a:bodyPr rot="-60000" vert="horz" wrap="none"/>
          <a:lstStyle/>
          <a:p>
            <a:pPr>
              <a:defRPr sz="800" b="0">
                <a:solidFill>
                  <a:srgbClr val="7A706D"/>
                </a:solidFill>
                <a:latin typeface="Arial"/>
                <a:cs typeface="Arial"/>
              </a:defRPr>
            </a:pPr>
            <a:endParaRPr lang="en-US"/>
          </a:p>
        </c:txPr>
        <c:crossAx val="5002"/>
        <c:crosses val="autoZero"/>
        <c:auto val="1"/>
        <c:lblAlgn val="ctr"/>
        <c:lblOffset val="100"/>
        <c:noMultiLvlLbl val="0"/>
      </c:catAx>
      <c:valAx>
        <c:axId val="5002"/>
        <c:scaling>
          <c:orientation val="minMax"/>
        </c:scaling>
        <c:delete val="0"/>
        <c:axPos val="l"/>
        <c:majorGridlines>
          <c:spPr>
            <a:ln w="3175">
              <a:solidFill>
                <a:srgbClr val="C2BAB8"/>
              </a:solidFill>
            </a:ln>
          </c:spPr>
        </c:majorGridlines>
        <c:numFmt formatCode="#,##0;(#,##0);;" sourceLinked="0"/>
        <c:majorTickMark val="none"/>
        <c:minorTickMark val="none"/>
        <c:tickLblPos val="nextTo"/>
        <c:spPr>
          <a:noFill/>
          <a:ln>
            <a:noFill/>
          </a:ln>
        </c:spPr>
        <c:txPr>
          <a:bodyPr/>
          <a:lstStyle/>
          <a:p>
            <a:pPr>
              <a:defRPr sz="800" b="0">
                <a:solidFill>
                  <a:srgbClr val="7A706D"/>
                </a:solidFill>
                <a:latin typeface="Arial"/>
                <a:cs typeface="Arial"/>
              </a:defRPr>
            </a:pPr>
            <a:endParaRPr lang="en-US"/>
          </a:p>
        </c:txPr>
        <c:crossAx val="5001"/>
        <c:crosses val="autoZero"/>
        <c:crossBetween val="between"/>
        <c:majorUnit val="1"/>
      </c:valAx>
      <c:spPr>
        <a:noFill/>
        <a:ln>
          <a:noFill/>
        </a:ln>
      </c:spPr>
    </c:plotArea>
    <c:legend>
      <c:legendPos val="t"/>
      <c:layout>
        <c:manualLayout>
          <c:xMode val="edge"/>
          <c:yMode val="edge"/>
          <c:x val="0.04"/>
          <c:y val="0.01"/>
          <c:w val="0.80"/>
          <c:h val="0.083"/>
        </c:manualLayout>
      </c:layout>
      <c:overlay val="0"/>
      <c:txPr>
        <a:bodyPr/>
        <a:lstStyle/>
        <a:p>
          <a:pPr>
            <a:defRPr sz="800" b="0">
              <a:solidFill>
                <a:srgbClr val="2C2523"/>
              </a:solidFill>
              <a:latin typeface="Arial"/>
              <a:cs typeface="Arial"/>
            </a:defRPr>
          </a:pPr>
          <a:endParaRPr lang="en-US"/>
        </a:p>
      </c:txPr>
    </c:legend>
    <c:plotVisOnly val="0"/>
    <c:dispBlanksAs val="gap"/>
  </c:chart>
  <c:spPr>
    <a:solidFill>
      <a:srgbClr val="FFFFFF"/>
    </a:solidFill>
    <a:ln>
      <a:noFill/>
    </a:ln>
  </c:spPr>
  <c:txPr>
    <a:bodyPr/>
    <a:lstStyle/>
    <a:p>
      <a:pPr>
        <a:defRPr sz="800">
          <a:latin typeface="Arial"/>
          <a:cs typeface="Arial"/>
        </a:defRPr>
      </a:pPr>
      <a:endParaRPr lang="en-US"/>
    </a:p>
  </c:txPr>
</c:chartSpace>
</file>

<file path=xl/charts/chart9.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manualLayout>
          <c:layoutTarget val="inner"/>
          <c:xMode val="edge"/>
          <c:yMode val="edge"/>
          <c:x val="0.05"/>
          <c:y val="0.104"/>
          <c:w val="0.94"/>
          <c:h val="0.802"/>
        </c:manualLayout>
      </c:layout>
      <c:barChart>
        <c:barDir val="col"/>
        <c:grouping val="clustered"/>
        <c:varyColors val="0"/>
        <c:ser>
          <c:idx val="0"/>
          <c:order val="0"/>
          <c:tx>
            <c:strRef>
              <c:f>'Retention Charts'!$B$79</c:f>
              <c:strCache>
                <c:ptCount val="1"/>
                <c:pt idx="0">
                  <c:v>New Customers</c:v>
                </c:pt>
              </c:strCache>
            </c:strRef>
          </c:tx>
          <c:spPr>
            <a:solidFill>
              <a:srgbClr val="7B0000"/>
            </a:solidFill>
            <a:ln>
              <a:noFill/>
            </a:ln>
          </c:spPr>
          <c:invertIfNegative val="0"/>
          <c:dLbls>
            <c:numFmt formatCode="#,##0;(#,##0);;" sourceLinked="0"/>
            <c:spPr>
              <a:noFill/>
              <a:ln>
                <a:noFill/>
              </a:ln>
            </c:spPr>
            <c:txPr>
              <a:bodyPr/>
              <a:lstStyle/>
              <a:p>
                <a:pPr>
                  <a:defRPr sz="800" b="0">
                    <a:solidFill>
                      <a:srgbClr val="2C2523"/>
                    </a:solidFill>
                    <a:latin typeface="Arial"/>
                    <a:cs typeface="Arial"/>
                  </a:defRPr>
                </a:pPr>
                <a:endParaRPr lang="en-US"/>
              </a:p>
            </c:txPr>
            <c:dLblPos val="outEnd"/>
            <c:showLegendKey val="0"/>
            <c:showVal val="1"/>
            <c:showCatName val="0"/>
            <c:showSerName val="0"/>
            <c:showPercent val="0"/>
            <c:showBubbleSize val="0"/>
          </c:dLbls>
          <c:cat>
            <c:strRef>
              <c:f>'Retention Charts'!$C$66:$AL$66</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'Retention Charts'!$C$79:$AL$79</c:f>
              <c:numCache>
                <c:formatCode>#,##0;(#,##0);;</c:formatCode>
                <c:ptCount val="36"/>
                <c:pt idx="0">
                  <c:v>0</c:v>
                </c:pt>
                <c:pt idx="1">
                  <c:v>1</c:v>
                </c:pt>
                <c:pt idx="2">
                  <c:v>0</c:v>
                </c:pt>
                <c:pt idx="3">
                  <c:v>0</c:v>
                </c:pt>
                <c:pt idx="4">
                  <c:v>0</c:v>
                </c:pt>
                <c:pt idx="5">
                  <c:v>1</c:v>
                </c:pt>
                <c:pt idx="6">
                  <c:v>0</c:v>
                </c:pt>
                <c:pt idx="7">
                  <c:v>0</c:v>
                </c:pt>
                <c:pt idx="8">
                  <c:v>0</c:v>
                </c:pt>
                <c:pt idx="9">
                  <c:v>0</c:v>
                </c:pt>
                <c:pt idx="10">
                  <c:v>1</c:v>
                </c:pt>
                <c:pt idx="11">
                  <c:v>0</c:v>
                </c:pt>
                <c:pt idx="12">
                  <c:v>0</c:v>
                </c:pt>
                <c:pt idx="13">
                  <c:v>0</c:v>
                </c:pt>
                <c:pt idx="14">
                  <c:v>1</c:v>
                </c:pt>
                <c:pt idx="15">
                  <c:v>0</c:v>
                </c:pt>
                <c:pt idx="16">
                  <c:v>0</c:v>
                </c:pt>
                <c:pt idx="17">
                  <c:v>0</c:v>
                </c:pt>
                <c:pt idx="18">
                  <c:v>0</c:v>
                </c:pt>
                <c:pt idx="19">
                  <c:v>0</c:v>
                </c:pt>
                <c:pt idx="20">
                  <c:v>1</c:v>
                </c:pt>
                <c:pt idx="21">
                  <c:v>0</c:v>
                </c:pt>
                <c:pt idx="22">
                  <c:v>0</c:v>
                </c:pt>
                <c:pt idx="23">
                  <c:v>1</c:v>
                </c:pt>
                <c:pt idx="24">
                  <c:v>0</c:v>
                </c:pt>
                <c:pt idx="25">
                  <c:v>0</c:v>
                </c:pt>
                <c:pt idx="26">
                  <c:v>1</c:v>
                </c:pt>
                <c:pt idx="27">
                  <c:v>0</c:v>
                </c:pt>
                <c:pt idx="28">
                  <c:v>0</c:v>
                </c:pt>
                <c:pt idx="29">
                  <c:v>1</c:v>
                </c:pt>
                <c:pt idx="30">
                  <c:v>0</c:v>
                </c:pt>
                <c:pt idx="31">
                  <c:v>0</c:v>
                </c:pt>
                <c:pt idx="32">
                  <c:v>0</c:v>
                </c:pt>
                <c:pt idx="33">
                  <c:v>1</c:v>
                </c:pt>
                <c:pt idx="34">
                  <c:v>1</c:v>
                </c:pt>
                <c:pt idx="35">
                  <c:v>0</c:v>
                </c:pt>
              </c:numCache>
            </c:numRef>
          </c:val>
        </c:ser>
        <c:ser>
          <c:idx val="1"/>
          <c:order val="1"/>
          <c:tx>
            <c:strRef>
              <c:f>'Retention Charts'!$B$80</c:f>
              <c:strCache>
                <c:ptCount val="1"/>
                <c:pt idx="0">
                  <c:v>Lost Customers</c:v>
                </c:pt>
              </c:strCache>
            </c:strRef>
          </c:tx>
          <c:spPr>
            <a:solidFill>
              <a:srgbClr val="5E5552"/>
            </a:solidFill>
            <a:ln>
              <a:noFill/>
            </a:ln>
          </c:spPr>
          <c:invertIfNegative val="0"/>
          <c:dLbls>
            <c:numFmt formatCode="#,##0;(#,##0);;" sourceLinked="0"/>
            <c:spPr>
              <a:noFill/>
              <a:ln>
                <a:noFill/>
              </a:ln>
            </c:spPr>
            <c:txPr>
              <a:bodyPr/>
              <a:lstStyle/>
              <a:p>
                <a:pPr>
                  <a:defRPr sz="800" b="0">
                    <a:solidFill>
                      <a:srgbClr val="2C2523"/>
                    </a:solidFill>
                    <a:latin typeface="Arial"/>
                    <a:cs typeface="Arial"/>
                  </a:defRPr>
                </a:pPr>
                <a:endParaRPr lang="en-US"/>
              </a:p>
            </c:txPr>
            <c:dLblPos val="outEnd"/>
            <c:showLegendKey val="0"/>
            <c:showVal val="1"/>
            <c:showCatName val="0"/>
            <c:showSerName val="0"/>
            <c:showPercent val="0"/>
            <c:showBubbleSize val="0"/>
          </c:dLbls>
          <c:cat>
            <c:strRef>
              <c:f>'Retention Charts'!$C$66:$AL$66</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'Retention Charts'!$C$80:$AL$80</c:f>
              <c:numCache>
                <c:formatCode>#,##0;(#,##0);;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c:v>
                </c:pt>
                <c:pt idx="18">
                  <c:v>0</c:v>
                </c:pt>
                <c:pt idx="19">
                  <c:v>0</c:v>
                </c:pt>
                <c:pt idx="20">
                  <c:v>0</c:v>
                </c:pt>
                <c:pt idx="21">
                  <c:v>0</c:v>
                </c:pt>
                <c:pt idx="22">
                  <c:v>0</c:v>
                </c:pt>
                <c:pt idx="23">
                  <c:v>0</c:v>
                </c:pt>
                <c:pt idx="24">
                  <c:v>-1</c:v>
                </c:pt>
                <c:pt idx="25">
                  <c:v>0</c:v>
                </c:pt>
                <c:pt idx="26">
                  <c:v>0</c:v>
                </c:pt>
                <c:pt idx="27">
                  <c:v>0</c:v>
                </c:pt>
                <c:pt idx="28">
                  <c:v>-1</c:v>
                </c:pt>
                <c:pt idx="29">
                  <c:v>0</c:v>
                </c:pt>
                <c:pt idx="30">
                  <c:v>0</c:v>
                </c:pt>
                <c:pt idx="31">
                  <c:v>0</c:v>
                </c:pt>
                <c:pt idx="32">
                  <c:v>0</c:v>
                </c:pt>
                <c:pt idx="33">
                  <c:v>0</c:v>
                </c:pt>
                <c:pt idx="34">
                  <c:v>0</c:v>
                </c:pt>
                <c:pt idx="35">
                  <c:v>0</c:v>
                </c:pt>
              </c:numCache>
            </c:numRef>
          </c:val>
        </c:ser>
        <c:gapWidth val="60"/>
        <c:overlap val="100"/>
        <c:axId val="5001"/>
        <c:axId val="5002"/>
      </c:barChart>
      <c:catAx>
        <c:axId val="5001"/>
        <c:scaling>
          <c:orientation val="minMax"/>
        </c:scaling>
        <c:delete val="0"/>
        <c:axPos val="b"/>
        <c:numFmt formatCode="General" sourceLinked="0"/>
        <c:majorTickMark val="none"/>
        <c:minorTickMark val="none"/>
        <c:tickLblPos val="low"/>
        <c:spPr>
          <a:ln w="6350">
            <a:solidFill>
              <a:srgbClr val="C2BAB8"/>
            </a:solidFill>
          </a:ln>
        </c:spPr>
        <c:txPr>
          <a:bodyPr rot="-60000" vert="horz" wrap="none"/>
          <a:lstStyle/>
          <a:p>
            <a:pPr>
              <a:defRPr sz="800" b="0">
                <a:solidFill>
                  <a:srgbClr val="7A706D"/>
                </a:solidFill>
                <a:latin typeface="Arial"/>
                <a:cs typeface="Arial"/>
              </a:defRPr>
            </a:pPr>
            <a:endParaRPr lang="en-US"/>
          </a:p>
        </c:txPr>
        <c:crossAx val="5002"/>
        <c:crosses val="autoZero"/>
        <c:auto val="1"/>
        <c:lblAlgn val="ctr"/>
        <c:lblOffset val="100"/>
        <c:noMultiLvlLbl val="0"/>
      </c:catAx>
      <c:valAx>
        <c:axId val="5002"/>
        <c:scaling>
          <c:orientation val="minMax"/>
        </c:scaling>
        <c:delete val="1"/>
        <c:axPos val="l"/>
        <c:numFmt formatCode="#,##0;(#,##0);;" sourceLinked="0"/>
        <c:majorTickMark val="none"/>
        <c:minorTickMark val="none"/>
        <c:tickLblPos val="nextTo"/>
        <c:spPr>
          <a:noFill/>
          <a:ln>
            <a:noFill/>
          </a:ln>
        </c:spPr>
        <c:txPr>
          <a:bodyPr/>
          <a:lstStyle/>
          <a:p>
            <a:pPr>
              <a:defRPr sz="800" b="0">
                <a:solidFill>
                  <a:srgbClr val="7A706D"/>
                </a:solidFill>
                <a:latin typeface="Arial"/>
                <a:cs typeface="Arial"/>
              </a:defRPr>
            </a:pPr>
            <a:endParaRPr lang="en-US"/>
          </a:p>
        </c:txPr>
        <c:crossAx val="5001"/>
        <c:crosses val="autoZero"/>
        <c:crossBetween val="between"/>
      </c:valAx>
      <c:spPr>
        <a:noFill/>
        <a:ln>
          <a:noFill/>
        </a:ln>
      </c:spPr>
    </c:plotArea>
    <c:legend>
      <c:legendPos val="t"/>
      <c:layout>
        <c:manualLayout>
          <c:xMode val="edge"/>
          <c:yMode val="edge"/>
          <c:x val="0.04"/>
          <c:y val="0.01"/>
          <c:w val="0.40"/>
          <c:h val="0.083"/>
        </c:manualLayout>
      </c:layout>
      <c:overlay val="0"/>
      <c:txPr>
        <a:bodyPr/>
        <a:lstStyle/>
        <a:p>
          <a:pPr>
            <a:defRPr sz="800" b="0">
              <a:solidFill>
                <a:srgbClr val="2C2523"/>
              </a:solidFill>
              <a:latin typeface="Arial"/>
              <a:cs typeface="Arial"/>
            </a:defRPr>
          </a:pPr>
          <a:endParaRPr lang="en-US"/>
        </a:p>
      </c:txPr>
    </c:legend>
    <c:plotVisOnly val="0"/>
    <c:dispBlanksAs val="gap"/>
  </c:chart>
  <c:spPr>
    <a:solidFill>
      <a:srgbClr val="FFFFFF"/>
    </a:solidFill>
    <a:ln>
      <a:noFill/>
    </a:ln>
  </c:spPr>
  <c:txPr>
    <a:bodyPr/>
    <a:lstStyle/>
    <a:p>
      <a:pPr>
        <a:defRPr sz="800">
          <a:latin typeface="Arial"/>
          <a:cs typeface="Arial"/>
        </a:defRPr>
      </a:pPr>
      <a:endParaRPr lang="en-US"/>
    </a:p>
  </c:txPr>
</c:chartSpace>
</file>

<file path=xl/charts/chart10.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manualLayout>
          <c:layoutTarget val="inner"/>
          <c:xMode val="edge"/>
          <c:yMode val="edge"/>
          <c:x val="0.05"/>
          <c:y val="0.104"/>
          <c:w val="0.94"/>
          <c:h val="0.802"/>
        </c:manualLayout>
      </c:layout>
      <c:barChart>
        <c:barDir val="col"/>
        <c:grouping val="clustered"/>
        <c:varyColors val="0"/>
        <c:ser>
          <c:idx val="0"/>
          <c:order val="0"/>
          <c:tx>
            <c:strRef>
              <c:f>'Headcount Charts'!$B$88</c:f>
              <c:strCache>
                <c:ptCount val="1"/>
                <c:pt idx="0">
                  <c:v>Hires</c:v>
                </c:pt>
              </c:strCache>
            </c:strRef>
          </c:tx>
          <c:spPr>
            <a:solidFill>
              <a:srgbClr val="7B0000"/>
            </a:solidFill>
            <a:ln>
              <a:noFill/>
            </a:ln>
          </c:spPr>
          <c:invertIfNegative val="0"/>
          <c:dLbls>
            <c:numFmt formatCode="#,##0;(#,##0);;" sourceLinked="0"/>
            <c:spPr>
              <a:noFill/>
              <a:ln>
                <a:noFill/>
              </a:ln>
            </c:spPr>
            <c:txPr>
              <a:bodyPr/>
              <a:lstStyle/>
              <a:p>
                <a:pPr>
                  <a:defRPr sz="800" b="0">
                    <a:solidFill>
                      <a:srgbClr val="2C2523"/>
                    </a:solidFill>
                    <a:latin typeface="Arial"/>
                    <a:cs typeface="Arial"/>
                  </a:defRPr>
                </a:pPr>
                <a:endParaRPr lang="en-US"/>
              </a:p>
            </c:txPr>
            <c:dLblPos val="outEnd"/>
            <c:showLegendKey val="0"/>
            <c:showVal val="1"/>
            <c:showCatName val="0"/>
            <c:showSerName val="0"/>
            <c:showPercent val="0"/>
            <c:showBubbleSize val="0"/>
          </c:dLbls>
          <c:cat>
            <c:strRef>
              <c:f>'Headcount Charts'!$C$85:$AL$85</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'Headcount Charts'!$C$88:$AL$88</c:f>
              <c:numCache>
                <c:formatCode>#,##0;(#,##0);;</c:formatCode>
                <c:ptCount val="36"/>
                <c:pt idx="0">
                  <c:v>0</c:v>
                </c:pt>
                <c:pt idx="1">
                  <c:v>0</c:v>
                </c:pt>
                <c:pt idx="2">
                  <c:v>0</c:v>
                </c:pt>
                <c:pt idx="3">
                  <c:v>1</c:v>
                </c:pt>
                <c:pt idx="4">
                  <c:v>0</c:v>
                </c:pt>
                <c:pt idx="5">
                  <c:v>1</c:v>
                </c:pt>
                <c:pt idx="6">
                  <c:v>0</c:v>
                </c:pt>
                <c:pt idx="7">
                  <c:v>1</c:v>
                </c:pt>
                <c:pt idx="8">
                  <c:v>0</c:v>
                </c:pt>
                <c:pt idx="9">
                  <c:v>0</c:v>
                </c:pt>
                <c:pt idx="10">
                  <c:v>0</c:v>
                </c:pt>
                <c:pt idx="11">
                  <c:v>0</c:v>
                </c:pt>
                <c:pt idx="12">
                  <c:v>0</c:v>
                </c:pt>
                <c:pt idx="13">
                  <c:v>0</c:v>
                </c:pt>
                <c:pt idx="14">
                  <c:v>1</c:v>
                </c:pt>
                <c:pt idx="15">
                  <c:v>0</c:v>
                </c:pt>
                <c:pt idx="16">
                  <c:v>0</c:v>
                </c:pt>
                <c:pt idx="17">
                  <c:v>0</c:v>
                </c:pt>
                <c:pt idx="18">
                  <c:v>1</c:v>
                </c:pt>
                <c:pt idx="19">
                  <c:v>0</c:v>
                </c:pt>
                <c:pt idx="20">
                  <c:v>1</c:v>
                </c:pt>
                <c:pt idx="21">
                  <c:v>0</c:v>
                </c:pt>
                <c:pt idx="22">
                  <c:v>0</c:v>
                </c:pt>
                <c:pt idx="23">
                  <c:v>0</c:v>
                </c:pt>
                <c:pt idx="24">
                  <c:v>1</c:v>
                </c:pt>
                <c:pt idx="25">
                  <c:v>0</c:v>
                </c:pt>
                <c:pt idx="26">
                  <c:v>0</c:v>
                </c:pt>
                <c:pt idx="27">
                  <c:v>0</c:v>
                </c:pt>
                <c:pt idx="28">
                  <c:v>0</c:v>
                </c:pt>
                <c:pt idx="29">
                  <c:v>1</c:v>
                </c:pt>
                <c:pt idx="30">
                  <c:v>0</c:v>
                </c:pt>
                <c:pt idx="31">
                  <c:v>1</c:v>
                </c:pt>
                <c:pt idx="32">
                  <c:v>0</c:v>
                </c:pt>
                <c:pt idx="33">
                  <c:v>0</c:v>
                </c:pt>
                <c:pt idx="34">
                  <c:v>0</c:v>
                </c:pt>
                <c:pt idx="35">
                  <c:v>0</c:v>
                </c:pt>
              </c:numCache>
            </c:numRef>
          </c:val>
        </c:ser>
        <c:ser>
          <c:idx val="1"/>
          <c:order val="1"/>
          <c:tx>
            <c:strRef>
              <c:f>'Headcount Charts'!$B$89</c:f>
              <c:strCache>
                <c:ptCount val="1"/>
                <c:pt idx="0">
                  <c:v>Departures</c:v>
                </c:pt>
              </c:strCache>
            </c:strRef>
          </c:tx>
          <c:spPr>
            <a:solidFill>
              <a:srgbClr val="5E5552"/>
            </a:solidFill>
            <a:ln>
              <a:noFill/>
            </a:ln>
          </c:spPr>
          <c:invertIfNegative val="0"/>
          <c:dLbls>
            <c:numFmt formatCode="#,##0;(#,##0);;" sourceLinked="0"/>
            <c:spPr>
              <a:noFill/>
              <a:ln>
                <a:noFill/>
              </a:ln>
            </c:spPr>
            <c:txPr>
              <a:bodyPr/>
              <a:lstStyle/>
              <a:p>
                <a:pPr>
                  <a:defRPr sz="800" b="0">
                    <a:solidFill>
                      <a:srgbClr val="2C2523"/>
                    </a:solidFill>
                    <a:latin typeface="Arial"/>
                    <a:cs typeface="Arial"/>
                  </a:defRPr>
                </a:pPr>
                <a:endParaRPr lang="en-US"/>
              </a:p>
            </c:txPr>
            <c:dLblPos val="outEnd"/>
            <c:showLegendKey val="0"/>
            <c:showVal val="1"/>
            <c:showCatName val="0"/>
            <c:showSerName val="0"/>
            <c:showPercent val="0"/>
            <c:showBubbleSize val="0"/>
          </c:dLbls>
          <c:cat>
            <c:strRef>
              <c:f>'Headcount Charts'!$C$85:$AL$85</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'Headcount Charts'!$C$89:$AL$89</c:f>
              <c:numCache>
                <c:formatCode>#,##0;(#,##0);;</c:formatCode>
                <c:ptCount val="36"/>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-1</c:v>
                </c:pt>
                <c:pt idx="15">
                  <c:v>0</c:v>
                </c:pt>
                <c:pt idx="16">
                  <c:v>0</c:v>
                </c:pt>
                <c:pt idx="17">
                  <c:v>0</c:v>
                </c:pt>
                <c:pt idx="18">
                  <c:v>0</c:v>
                </c:pt>
                <c:pt idx="19">
                  <c:v>0</c:v>
                </c:pt>
                <c:pt idx="20">
                  <c:v>0</c:v>
                </c:pt>
                <c:pt idx="21">
                  <c:v>0</c:v>
                </c:pt>
                <c:pt idx="22">
                  <c:v>0</c:v>
                </c:pt>
                <c:pt idx="23">
                  <c:v>0</c:v>
                </c:pt>
                <c:pt idx="24">
                  <c:v>0</c:v>
                </c:pt>
                <c:pt idx="25">
                  <c:v>-1</c:v>
                </c:pt>
                <c:pt idx="26">
                  <c:v>0</c:v>
                </c:pt>
                <c:pt idx="27">
                  <c:v>0</c:v>
                </c:pt>
                <c:pt idx="28">
                  <c:v>-1</c:v>
                </c:pt>
                <c:pt idx="29">
                  <c:v>0</c:v>
                </c:pt>
                <c:pt idx="30">
                  <c:v>-1</c:v>
                </c:pt>
                <c:pt idx="31">
                  <c:v>0</c:v>
                </c:pt>
                <c:pt idx="32">
                  <c:v>0</c:v>
                </c:pt>
                <c:pt idx="33">
                  <c:v>0</c:v>
                </c:pt>
                <c:pt idx="34">
                  <c:v>0</c:v>
                </c:pt>
                <c:pt idx="35">
                  <c:v>0</c:v>
                </c:pt>
              </c:numCache>
            </c:numRef>
          </c:val>
        </c:ser>
        <c:gapWidth val="60"/>
        <c:overlap val="100"/>
        <c:axId val="5001"/>
        <c:axId val="5002"/>
      </c:barChart>
      <c:catAx>
        <c:axId val="5001"/>
        <c:scaling>
          <c:orientation val="minMax"/>
        </c:scaling>
        <c:delete val="0"/>
        <c:axPos val="b"/>
        <c:numFmt formatCode="General" sourceLinked="0"/>
        <c:majorTickMark val="none"/>
        <c:minorTickMark val="none"/>
        <c:tickLblPos val="low"/>
        <c:spPr>
          <a:ln w="6350">
            <a:solidFill>
              <a:srgbClr val="C2BAB8"/>
            </a:solidFill>
          </a:ln>
        </c:spPr>
        <c:txPr>
          <a:bodyPr rot="-60000" vert="horz" wrap="none"/>
          <a:lstStyle/>
          <a:p>
            <a:pPr>
              <a:defRPr sz="800" b="0">
                <a:solidFill>
                  <a:srgbClr val="7A706D"/>
                </a:solidFill>
                <a:latin typeface="Arial"/>
                <a:cs typeface="Arial"/>
              </a:defRPr>
            </a:pPr>
            <a:endParaRPr lang="en-US"/>
          </a:p>
        </c:txPr>
        <c:crossAx val="5002"/>
        <c:crosses val="autoZero"/>
        <c:auto val="1"/>
        <c:lblAlgn val="ctr"/>
        <c:lblOffset val="100"/>
        <c:noMultiLvlLbl val="0"/>
      </c:catAx>
      <c:valAx>
        <c:axId val="5002"/>
        <c:scaling>
          <c:orientation val="minMax"/>
        </c:scaling>
        <c:delete val="1"/>
        <c:axPos val="l"/>
        <c:numFmt formatCode="#,##0;(#,##0);;" sourceLinked="0"/>
        <c:majorTickMark val="none"/>
        <c:minorTickMark val="none"/>
        <c:tickLblPos val="nextTo"/>
        <c:spPr>
          <a:noFill/>
          <a:ln>
            <a:noFill/>
          </a:ln>
        </c:spPr>
        <c:txPr>
          <a:bodyPr/>
          <a:lstStyle/>
          <a:p>
            <a:pPr>
              <a:defRPr sz="800" b="0">
                <a:solidFill>
                  <a:srgbClr val="7A706D"/>
                </a:solidFill>
                <a:latin typeface="Arial"/>
                <a:cs typeface="Arial"/>
              </a:defRPr>
            </a:pPr>
            <a:endParaRPr lang="en-US"/>
          </a:p>
        </c:txPr>
        <c:crossAx val="5001"/>
        <c:crosses val="autoZero"/>
        <c:crossBetween val="between"/>
      </c:valAx>
      <c:spPr>
        <a:noFill/>
        <a:ln>
          <a:noFill/>
        </a:ln>
      </c:spPr>
    </c:plotArea>
    <c:legend>
      <c:legendPos val="t"/>
      <c:layout>
        <c:manualLayout>
          <c:xMode val="edge"/>
          <c:yMode val="edge"/>
          <c:x val="0.04"/>
          <c:y val="0.01"/>
          <c:w val="0.40"/>
          <c:h val="0.083"/>
        </c:manualLayout>
      </c:layout>
      <c:overlay val="0"/>
      <c:txPr>
        <a:bodyPr/>
        <a:lstStyle/>
        <a:p>
          <a:pPr>
            <a:defRPr sz="800" b="0">
              <a:solidFill>
                <a:srgbClr val="2C2523"/>
              </a:solidFill>
              <a:latin typeface="Arial"/>
              <a:cs typeface="Arial"/>
            </a:defRPr>
          </a:pPr>
          <a:endParaRPr lang="en-US"/>
        </a:p>
      </c:txPr>
    </c:legend>
    <c:plotVisOnly val="0"/>
    <c:dispBlanksAs val="gap"/>
  </c:chart>
  <c:spPr>
    <a:solidFill>
      <a:srgbClr val="FFFFFF"/>
    </a:solidFill>
    <a:ln>
      <a:noFill/>
    </a:ln>
  </c:spPr>
  <c:txPr>
    <a:bodyPr/>
    <a:lstStyle/>
    <a:p>
      <a:pPr>
        <a:defRPr sz="800">
          <a:latin typeface="Arial"/>
          <a:cs typeface="Arial"/>
        </a:defRPr>
      </a:pPr>
      <a:endParaRPr lang="en-US"/>
    </a:p>
  </c:txPr>
</c:chartSpace>
</file>

<file path=xl/charts/chart11.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manualLayout>
          <c:layoutTarget val="inner"/>
          <c:xMode val="edge"/>
          <c:yMode val="edge"/>
          <c:x val="0.05"/>
          <c:y val="0.104"/>
          <c:w val="0.94"/>
          <c:h val="0.802"/>
        </c:manualLayout>
      </c:layout>
      <c:barChart>
        <c:barDir val="col"/>
        <c:grouping val="stacked"/>
        <c:varyColors val="0"/>
        <c:ser>
          <c:idx val="0"/>
          <c:order val="0"/>
          <c:tx>
            <c:strRef>
              <c:f>'Headcount Charts'!$B$92</c:f>
              <c:strCache>
                <c:ptCount val="1"/>
                <c:pt idx="0">
                  <c:v>Hires</c:v>
                </c:pt>
              </c:strCache>
            </c:strRef>
          </c:tx>
          <c:spPr>
            <a:solidFill>
              <a:srgbClr val="7B0000"/>
            </a:solidFill>
            <a:ln>
              <a:noFill/>
            </a:ln>
          </c:spPr>
          <c:invertIfNegative val="0"/>
          <c:cat>
            <c:strRef>
              <c:f>'Headcount Charts'!$C$85:$AL$85</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'Headcount Charts'!$C$92:$AL$92</c:f>
              <c:numCache>
                <c:formatCode>#,##0;(#,##0);;</c:formatCode>
                <c:ptCount val="36"/>
                <c:pt idx="0">
                  <c:v>0</c:v>
                </c:pt>
                <c:pt idx="1">
                  <c:v>0</c:v>
                </c:pt>
                <c:pt idx="2">
                  <c:v>0</c:v>
                </c:pt>
                <c:pt idx="3">
                  <c:v>1</c:v>
                </c:pt>
                <c:pt idx="4">
                  <c:v>0</c:v>
                </c:pt>
                <c:pt idx="5">
                  <c:v>1</c:v>
                </c:pt>
                <c:pt idx="6">
                  <c:v>0</c:v>
                </c:pt>
                <c:pt idx="7">
                  <c:v>1</c:v>
                </c:pt>
                <c:pt idx="8">
                  <c:v>0</c:v>
                </c:pt>
                <c:pt idx="9">
                  <c:v>0</c:v>
                </c:pt>
                <c:pt idx="10">
                  <c:v>0</c:v>
                </c:pt>
                <c:pt idx="11">
                  <c:v>0</c:v>
                </c:pt>
                <c:pt idx="12">
                  <c:v>0</c:v>
                </c:pt>
                <c:pt idx="13">
                  <c:v>0</c:v>
                </c:pt>
                <c:pt idx="14">
                  <c:v>1</c:v>
                </c:pt>
                <c:pt idx="15">
                  <c:v>0</c:v>
                </c:pt>
                <c:pt idx="16">
                  <c:v>0</c:v>
                </c:pt>
                <c:pt idx="17">
                  <c:v>0</c:v>
                </c:pt>
                <c:pt idx="18">
                  <c:v>1</c:v>
                </c:pt>
                <c:pt idx="19">
                  <c:v>0</c:v>
                </c:pt>
                <c:pt idx="20">
                  <c:v>1</c:v>
                </c:pt>
                <c:pt idx="21">
                  <c:v>0</c:v>
                </c:pt>
                <c:pt idx="22">
                  <c:v>0</c:v>
                </c:pt>
                <c:pt idx="23">
                  <c:v>0</c:v>
                </c:pt>
                <c:pt idx="24">
                  <c:v>1</c:v>
                </c:pt>
                <c:pt idx="25">
                  <c:v>0</c:v>
                </c:pt>
                <c:pt idx="26">
                  <c:v>0</c:v>
                </c:pt>
                <c:pt idx="27">
                  <c:v>0</c:v>
                </c:pt>
                <c:pt idx="28">
                  <c:v>0</c:v>
                </c:pt>
                <c:pt idx="29">
                  <c:v>1</c:v>
                </c:pt>
                <c:pt idx="30">
                  <c:v>0</c:v>
                </c:pt>
                <c:pt idx="31">
                  <c:v>1</c:v>
                </c:pt>
                <c:pt idx="32">
                  <c:v>0</c:v>
                </c:pt>
                <c:pt idx="33">
                  <c:v>0</c:v>
                </c:pt>
                <c:pt idx="34">
                  <c:v>0</c:v>
                </c:pt>
                <c:pt idx="35">
                  <c:v>0</c:v>
                </c:pt>
              </c:numCache>
            </c:numRef>
          </c:val>
        </c:ser>
        <c:ser>
          <c:idx val="1"/>
          <c:order val="1"/>
          <c:tx>
            <c:strRef>
              <c:f>'Headcount Charts'!$B$93</c:f>
              <c:strCache>
                <c:ptCount val="1"/>
                <c:pt idx="0">
                  <c:v>Resignations</c:v>
                </c:pt>
              </c:strCache>
            </c:strRef>
          </c:tx>
          <c:spPr>
            <a:solidFill>
              <a:srgbClr val="5E5552"/>
            </a:solidFill>
            <a:ln>
              <a:noFill/>
            </a:ln>
          </c:spPr>
          <c:invertIfNegative val="0"/>
          <c:cat>
            <c:strRef>
              <c:f>'Headcount Charts'!$C$85:$AL$85</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'Headcount Charts'!$C$93:$AL$93</c:f>
              <c:numCache>
                <c:formatCode>#,##0;(#,##0);;</c:formatCode>
                <c:ptCount val="36"/>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-1</c:v>
                </c:pt>
                <c:pt idx="15">
                  <c:v>0</c:v>
                </c:pt>
                <c:pt idx="16">
                  <c:v>0</c:v>
                </c:pt>
                <c:pt idx="17">
                  <c:v>0</c:v>
                </c:pt>
                <c:pt idx="18">
                  <c:v>0</c:v>
                </c:pt>
                <c:pt idx="19">
                  <c:v>0</c:v>
                </c:pt>
                <c:pt idx="20">
                  <c:v>0</c:v>
                </c:pt>
                <c:pt idx="21">
                  <c:v>0</c:v>
                </c:pt>
                <c:pt idx="22">
                  <c:v>0</c:v>
                </c:pt>
                <c:pt idx="23">
                  <c:v>0</c:v>
                </c:pt>
                <c:pt idx="24">
                  <c:v>0</c:v>
                </c:pt>
                <c:pt idx="25">
                  <c:v>0</c:v>
                </c:pt>
                <c:pt idx="26">
                  <c:v>0</c:v>
                </c:pt>
                <c:pt idx="27">
                  <c:v>0</c:v>
                </c:pt>
                <c:pt idx="28">
                  <c:v>-1</c:v>
                </c:pt>
                <c:pt idx="29">
                  <c:v>0</c:v>
                </c:pt>
                <c:pt idx="30">
                  <c:v>-1</c:v>
                </c:pt>
                <c:pt idx="31">
                  <c:v>0</c:v>
                </c:pt>
                <c:pt idx="32">
                  <c:v>0</c:v>
                </c:pt>
                <c:pt idx="33">
                  <c:v>0</c:v>
                </c:pt>
                <c:pt idx="34">
                  <c:v>0</c:v>
                </c:pt>
                <c:pt idx="35">
                  <c:v>0</c:v>
                </c:pt>
              </c:numCache>
            </c:numRef>
          </c:val>
        </c:ser>
        <c:ser>
          <c:idx val="2"/>
          <c:order val="2"/>
          <c:tx>
            <c:strRef>
              <c:f>'Headcount Charts'!$B$94</c:f>
              <c:strCache>
                <c:ptCount val="1"/>
                <c:pt idx="0">
                  <c:v>Terminations</c:v>
                </c:pt>
              </c:strCache>
            </c:strRef>
          </c:tx>
          <c:spPr>
            <a:solidFill>
              <a:srgbClr val="DCC7C4"/>
            </a:solidFill>
            <a:ln>
              <a:noFill/>
            </a:ln>
          </c:spPr>
          <c:invertIfNegative val="0"/>
          <c:cat>
            <c:strRef>
              <c:f>'Headcount Charts'!$C$85:$AL$85</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'Headcount Charts'!$C$94:$AL$94</c:f>
              <c:numCache>
                <c:formatCode>#,##0;(#,##0);;</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-1</c:v>
                </c:pt>
                <c:pt idx="26">
                  <c:v>0</c:v>
                </c:pt>
                <c:pt idx="27">
                  <c:v>0</c:v>
                </c:pt>
                <c:pt idx="28">
                  <c:v>0</c:v>
                </c:pt>
                <c:pt idx="29">
                  <c:v>0</c:v>
                </c:pt>
                <c:pt idx="30">
                  <c:v>0</c:v>
                </c:pt>
                <c:pt idx="31">
                  <c:v>0</c:v>
                </c:pt>
                <c:pt idx="32">
                  <c:v>0</c:v>
                </c:pt>
                <c:pt idx="33">
                  <c:v>0</c:v>
                </c:pt>
                <c:pt idx="34">
                  <c:v>0</c:v>
                </c:pt>
                <c:pt idx="35">
                  <c:v>0</c:v>
                </c:pt>
              </c:numCache>
            </c:numRef>
          </c:val>
        </c:ser>
        <c:gapWidth val="60"/>
        <c:overlap val="100"/>
        <c:axId val="5001"/>
        <c:axId val="5002"/>
      </c:barChart>
      <c:catAx>
        <c:axId val="5001"/>
        <c:scaling>
          <c:orientation val="minMax"/>
        </c:scaling>
        <c:delete val="0"/>
        <c:axPos val="b"/>
        <c:numFmt formatCode="General" sourceLinked="0"/>
        <c:majorTickMark val="none"/>
        <c:minorTickMark val="none"/>
        <c:tickLblPos val="low"/>
        <c:spPr>
          <a:ln w="6350">
            <a:solidFill>
              <a:srgbClr val="C2BAB8"/>
            </a:solidFill>
          </a:ln>
        </c:spPr>
        <c:txPr>
          <a:bodyPr rot="-60000" vert="horz" wrap="none"/>
          <a:lstStyle/>
          <a:p>
            <a:pPr>
              <a:defRPr sz="800" b="0">
                <a:solidFill>
                  <a:srgbClr val="7A706D"/>
                </a:solidFill>
                <a:latin typeface="Arial"/>
                <a:cs typeface="Arial"/>
              </a:defRPr>
            </a:pPr>
            <a:endParaRPr lang="en-US"/>
          </a:p>
        </c:txPr>
        <c:crossAx val="5002"/>
        <c:crosses val="autoZero"/>
        <c:auto val="1"/>
        <c:lblAlgn val="ctr"/>
        <c:lblOffset val="100"/>
        <c:noMultiLvlLbl val="0"/>
      </c:catAx>
      <c:valAx>
        <c:axId val="5002"/>
        <c:scaling>
          <c:orientation val="minMax"/>
        </c:scaling>
        <c:delete val="0"/>
        <c:axPos val="l"/>
        <c:majorGridlines>
          <c:spPr>
            <a:ln w="3175">
              <a:solidFill>
                <a:srgbClr val="C2BAB8"/>
              </a:solidFill>
            </a:ln>
          </c:spPr>
        </c:majorGridlines>
        <c:numFmt formatCode="#,##0;(#,##0);;" sourceLinked="0"/>
        <c:majorTickMark val="none"/>
        <c:minorTickMark val="none"/>
        <c:tickLblPos val="nextTo"/>
        <c:spPr>
          <a:noFill/>
          <a:ln>
            <a:noFill/>
          </a:ln>
        </c:spPr>
        <c:txPr>
          <a:bodyPr/>
          <a:lstStyle/>
          <a:p>
            <a:pPr>
              <a:defRPr sz="800" b="0">
                <a:solidFill>
                  <a:srgbClr val="7A706D"/>
                </a:solidFill>
                <a:latin typeface="Arial"/>
                <a:cs typeface="Arial"/>
              </a:defRPr>
            </a:pPr>
            <a:endParaRPr lang="en-US"/>
          </a:p>
        </c:txPr>
        <c:crossAx val="5001"/>
        <c:crosses val="autoZero"/>
        <c:crossBetween val="between"/>
        <c:majorUnit val="1"/>
      </c:valAx>
      <c:spPr>
        <a:noFill/>
        <a:ln>
          <a:noFill/>
        </a:ln>
      </c:spPr>
    </c:plotArea>
    <c:legend>
      <c:legendPos val="t"/>
      <c:layout>
        <c:manualLayout>
          <c:xMode val="edge"/>
          <c:yMode val="edge"/>
          <c:x val="0.04"/>
          <c:y val="0.01"/>
          <c:w val="0.60"/>
          <c:h val="0.083"/>
        </c:manualLayout>
      </c:layout>
      <c:overlay val="0"/>
      <c:txPr>
        <a:bodyPr/>
        <a:lstStyle/>
        <a:p>
          <a:pPr>
            <a:defRPr sz="800" b="0">
              <a:solidFill>
                <a:srgbClr val="2C2523"/>
              </a:solidFill>
              <a:latin typeface="Arial"/>
              <a:cs typeface="Arial"/>
            </a:defRPr>
          </a:pPr>
          <a:endParaRPr lang="en-US"/>
        </a:p>
      </c:txPr>
    </c:legend>
    <c:plotVisOnly val="0"/>
    <c:dispBlanksAs val="gap"/>
  </c:chart>
  <c:spPr>
    <a:solidFill>
      <a:srgbClr val="FFFFFF"/>
    </a:solidFill>
    <a:ln>
      <a:noFill/>
    </a:ln>
  </c:spPr>
  <c:txPr>
    <a:bodyPr/>
    <a:lstStyle/>
    <a:p>
      <a:pPr>
        <a:defRPr sz="800">
          <a:latin typeface="Arial"/>
          <a:cs typeface="Arial"/>
        </a:defRPr>
      </a:pPr>
      <a:endParaRPr lang="en-US"/>
    </a:p>
  </c:txPr>
</c:chartSpace>
</file>

<file path=xl/charts/chart12.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manualLayout>
          <c:layoutTarget val="inner"/>
          <c:xMode val="edge"/>
          <c:yMode val="edge"/>
          <c:x val="0.05"/>
          <c:y val="0.104"/>
          <c:w val="0.94"/>
          <c:h val="0.802"/>
        </c:manualLayout>
      </c:layout>
      <c:barChart>
        <c:barDir val="col"/>
        <c:grouping val="clustered"/>
        <c:varyColors val="0"/>
        <c:ser>
          <c:idx val="0"/>
          <c:order val="0"/>
          <c:tx>
            <c:strRef>
              <c:f>'Headcount Charts'!$B$97</c:f>
              <c:strCache>
                <c:ptCount val="1"/>
                <c:pt idx="0">
                  <c:v>Hires</c:v>
                </c:pt>
              </c:strCache>
            </c:strRef>
          </c:tx>
          <c:spPr>
            <a:solidFill>
              <a:srgbClr val="7B0000"/>
            </a:solidFill>
            <a:ln>
              <a:noFill/>
            </a:ln>
          </c:spPr>
          <c:invertIfNegative val="0"/>
          <c:dLbls>
            <c:numFmt formatCode="#,##0;(#,##0);;" sourceLinked="0"/>
            <c:spPr>
              <a:noFill/>
              <a:ln>
                <a:noFill/>
              </a:ln>
            </c:spPr>
            <c:txPr>
              <a:bodyPr/>
              <a:lstStyle/>
              <a:p>
                <a:pPr>
                  <a:defRPr sz="800" b="0">
                    <a:solidFill>
                      <a:srgbClr val="2C2523"/>
                    </a:solidFill>
                    <a:latin typeface="Arial"/>
                    <a:cs typeface="Arial"/>
                  </a:defRPr>
                </a:pPr>
                <a:endParaRPr lang="en-US"/>
              </a:p>
            </c:txPr>
            <c:dLblPos val="outEnd"/>
            <c:showLegendKey val="0"/>
            <c:showVal val="1"/>
            <c:showCatName val="0"/>
            <c:showSerName val="0"/>
            <c:showPercent val="0"/>
            <c:showBubbleSize val="0"/>
          </c:dLbls>
          <c:cat>
            <c:strRef>
              <c:f>'Headcount Charts'!$C$85:$AL$85</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'Headcount Charts'!$C$97:$AL$97</c:f>
              <c:numCache>
                <c:formatCode>#,##0;(#,##0);;</c:formatCode>
                <c:ptCount val="36"/>
                <c:pt idx="0">
                  <c:v>0</c:v>
                </c:pt>
                <c:pt idx="1">
                  <c:v>0</c:v>
                </c:pt>
                <c:pt idx="2">
                  <c:v>0</c:v>
                </c:pt>
                <c:pt idx="3">
                  <c:v>1</c:v>
                </c:pt>
                <c:pt idx="4">
                  <c:v>0</c:v>
                </c:pt>
                <c:pt idx="5">
                  <c:v>0</c:v>
                </c:pt>
                <c:pt idx="6">
                  <c:v>0</c:v>
                </c:pt>
                <c:pt idx="7">
                  <c:v>1</c:v>
                </c:pt>
                <c:pt idx="8">
                  <c:v>0</c:v>
                </c:pt>
                <c:pt idx="9">
                  <c:v>0</c:v>
                </c:pt>
                <c:pt idx="10">
                  <c:v>0</c:v>
                </c:pt>
                <c:pt idx="11">
                  <c:v>0</c:v>
                </c:pt>
                <c:pt idx="12">
                  <c:v>0</c:v>
                </c:pt>
                <c:pt idx="13">
                  <c:v>0</c:v>
                </c:pt>
                <c:pt idx="14">
                  <c:v>1</c:v>
                </c:pt>
                <c:pt idx="15">
                  <c:v>0</c:v>
                </c:pt>
                <c:pt idx="16">
                  <c:v>0</c:v>
                </c:pt>
                <c:pt idx="17">
                  <c:v>0</c:v>
                </c:pt>
                <c:pt idx="18">
                  <c:v>1</c:v>
                </c:pt>
                <c:pt idx="19">
                  <c:v>0</c:v>
                </c:pt>
                <c:pt idx="20">
                  <c:v>0</c:v>
                </c:pt>
                <c:pt idx="21">
                  <c:v>0</c:v>
                </c:pt>
                <c:pt idx="22">
                  <c:v>0</c:v>
                </c:pt>
                <c:pt idx="23">
                  <c:v>0</c:v>
                </c:pt>
                <c:pt idx="24">
                  <c:v>1</c:v>
                </c:pt>
                <c:pt idx="25">
                  <c:v>0</c:v>
                </c:pt>
                <c:pt idx="26">
                  <c:v>0</c:v>
                </c:pt>
                <c:pt idx="27">
                  <c:v>0</c:v>
                </c:pt>
                <c:pt idx="28">
                  <c:v>0</c:v>
                </c:pt>
                <c:pt idx="29">
                  <c:v>1</c:v>
                </c:pt>
                <c:pt idx="30">
                  <c:v>0</c:v>
                </c:pt>
                <c:pt idx="31">
                  <c:v>0</c:v>
                </c:pt>
                <c:pt idx="32">
                  <c:v>0</c:v>
                </c:pt>
                <c:pt idx="33">
                  <c:v>0</c:v>
                </c:pt>
                <c:pt idx="34">
                  <c:v>0</c:v>
                </c:pt>
                <c:pt idx="35">
                  <c:v>0</c:v>
                </c:pt>
              </c:numCache>
            </c:numRef>
          </c:val>
        </c:ser>
        <c:ser>
          <c:idx val="1"/>
          <c:order val="1"/>
          <c:tx>
            <c:strRef>
              <c:f>'Headcount Charts'!$B$98</c:f>
              <c:strCache>
                <c:ptCount val="1"/>
                <c:pt idx="0">
                  <c:v>Departures</c:v>
                </c:pt>
              </c:strCache>
            </c:strRef>
          </c:tx>
          <c:spPr>
            <a:solidFill>
              <a:srgbClr val="5E5552"/>
            </a:solidFill>
            <a:ln>
              <a:noFill/>
            </a:ln>
          </c:spPr>
          <c:invertIfNegative val="0"/>
          <c:dLbls>
            <c:numFmt formatCode="#,##0;(#,##0);;" sourceLinked="0"/>
            <c:spPr>
              <a:noFill/>
              <a:ln>
                <a:noFill/>
              </a:ln>
            </c:spPr>
            <c:txPr>
              <a:bodyPr/>
              <a:lstStyle/>
              <a:p>
                <a:pPr>
                  <a:defRPr sz="800" b="0">
                    <a:solidFill>
                      <a:srgbClr val="2C2523"/>
                    </a:solidFill>
                    <a:latin typeface="Arial"/>
                    <a:cs typeface="Arial"/>
                  </a:defRPr>
                </a:pPr>
                <a:endParaRPr lang="en-US"/>
              </a:p>
            </c:txPr>
            <c:dLblPos val="outEnd"/>
            <c:showLegendKey val="0"/>
            <c:showVal val="1"/>
            <c:showCatName val="0"/>
            <c:showSerName val="0"/>
            <c:showPercent val="0"/>
            <c:showBubbleSize val="0"/>
          </c:dLbls>
          <c:cat>
            <c:strRef>
              <c:f>'Headcount Charts'!$C$85:$AL$85</c:f>
              <c:strCache>
                <c:ptCount val="36"/>
                <c:pt idx="0">
                  <c:v>Jan-23</c:v>
                </c:pt>
                <c:pt idx="3">
                  <c:v>Apr-23</c:v>
                </c:pt>
                <c:pt idx="6">
                  <c:v>Jul-23</c:v>
                </c:pt>
                <c:pt idx="9">
                  <c:v>Oct-23</c:v>
                </c:pt>
                <c:pt idx="12">
                  <c:v>Jan-24</c:v>
                </c:pt>
                <c:pt idx="15">
                  <c:v>Apr-24</c:v>
                </c:pt>
                <c:pt idx="18">
                  <c:v>Jul-24</c:v>
                </c:pt>
                <c:pt idx="21">
                  <c:v>Oct-24</c:v>
                </c:pt>
                <c:pt idx="24">
                  <c:v>Jan-25</c:v>
                </c:pt>
                <c:pt idx="27">
                  <c:v>Apr-25</c:v>
                </c:pt>
                <c:pt idx="30">
                  <c:v>Jul-25</c:v>
                </c:pt>
                <c:pt idx="33">
                  <c:v>Oct-25</c:v>
                </c:pt>
              </c:strCache>
            </c:strRef>
          </c:cat>
          <c:val>
            <c:numRef>
              <c:f>'Headcount Charts'!$C$98:$AL$98</c:f>
              <c:numCache>
                <c:formatCode>#,##0;(#,##0);;</c:formatCode>
                <c:ptCount val="36"/>
                <c:pt idx="0">
                  <c:v>0</c:v>
                </c:pt>
                <c:pt idx="1">
                  <c:v>0</c:v>
                </c:pt>
                <c:pt idx="2">
                  <c:v>0</c:v>
                </c:pt>
                <c:pt idx="3">
                  <c:v>0</c:v>
                </c:pt>
                <c:pt idx="4">
                  <c:v>0</c:v>
                </c:pt>
                <c:pt idx="5">
                  <c:v>0</c:v>
                </c:pt>
                <c:pt idx="6">
                  <c:v>0</c:v>
                </c:pt>
                <c:pt idx="7">
                  <c:v>0</c:v>
                </c:pt>
                <c:pt idx="8">
                  <c:v>-1</c:v>
                </c:pt>
                <c:pt idx="9">
                  <c:v>0</c:v>
                </c:pt>
                <c:pt idx="10">
                  <c:v>0</c:v>
                </c:pt>
                <c:pt idx="11">
                  <c:v>0</c:v>
                </c:pt>
                <c:pt idx="12">
                  <c:v>0</c:v>
                </c:pt>
                <c:pt idx="13">
                  <c:v>0</c:v>
                </c:pt>
                <c:pt idx="14">
                  <c:v>-1</c:v>
                </c:pt>
                <c:pt idx="15">
                  <c:v>0</c:v>
                </c:pt>
                <c:pt idx="16">
                  <c:v>0</c:v>
                </c:pt>
                <c:pt idx="17">
                  <c:v>0</c:v>
                </c:pt>
                <c:pt idx="18">
                  <c:v>0</c:v>
                </c:pt>
                <c:pt idx="19">
                  <c:v>0</c:v>
                </c:pt>
                <c:pt idx="20">
                  <c:v>0</c:v>
                </c:pt>
                <c:pt idx="21">
                  <c:v>0</c:v>
                </c:pt>
                <c:pt idx="22">
                  <c:v>0</c:v>
                </c:pt>
                <c:pt idx="23">
                  <c:v>0</c:v>
                </c:pt>
                <c:pt idx="24">
                  <c:v>0</c:v>
                </c:pt>
                <c:pt idx="25">
                  <c:v>-1</c:v>
                </c:pt>
                <c:pt idx="26">
                  <c:v>0</c:v>
                </c:pt>
                <c:pt idx="27">
                  <c:v>0</c:v>
                </c:pt>
                <c:pt idx="28">
                  <c:v>0</c:v>
                </c:pt>
                <c:pt idx="29">
                  <c:v>0</c:v>
                </c:pt>
                <c:pt idx="30">
                  <c:v>-1</c:v>
                </c:pt>
                <c:pt idx="31">
                  <c:v>0</c:v>
                </c:pt>
                <c:pt idx="32">
                  <c:v>0</c:v>
                </c:pt>
                <c:pt idx="33">
                  <c:v>0</c:v>
                </c:pt>
                <c:pt idx="34">
                  <c:v>0</c:v>
                </c:pt>
                <c:pt idx="35">
                  <c:v>0</c:v>
                </c:pt>
              </c:numCache>
            </c:numRef>
          </c:val>
        </c:ser>
        <c:gapWidth val="60"/>
        <c:overlap val="100"/>
        <c:axId val="5001"/>
        <c:axId val="5002"/>
      </c:barChart>
      <c:catAx>
        <c:axId val="5001"/>
        <c:scaling>
          <c:orientation val="minMax"/>
        </c:scaling>
        <c:delete val="0"/>
        <c:axPos val="b"/>
        <c:numFmt formatCode="General" sourceLinked="0"/>
        <c:majorTickMark val="none"/>
        <c:minorTickMark val="none"/>
        <c:tickLblPos val="low"/>
        <c:spPr>
          <a:ln w="6350">
            <a:solidFill>
              <a:srgbClr val="C2BAB8"/>
            </a:solidFill>
          </a:ln>
        </c:spPr>
        <c:txPr>
          <a:bodyPr rot="-60000" vert="horz" wrap="none"/>
          <a:lstStyle/>
          <a:p>
            <a:pPr>
              <a:defRPr sz="800" b="0">
                <a:solidFill>
                  <a:srgbClr val="7A706D"/>
                </a:solidFill>
                <a:latin typeface="Arial"/>
                <a:cs typeface="Arial"/>
              </a:defRPr>
            </a:pPr>
            <a:endParaRPr lang="en-US"/>
          </a:p>
        </c:txPr>
        <c:crossAx val="5002"/>
        <c:crosses val="autoZero"/>
        <c:auto val="1"/>
        <c:lblAlgn val="ctr"/>
        <c:lblOffset val="100"/>
        <c:noMultiLvlLbl val="0"/>
      </c:catAx>
      <c:valAx>
        <c:axId val="5002"/>
        <c:scaling>
          <c:orientation val="minMax"/>
        </c:scaling>
        <c:delete val="1"/>
        <c:axPos val="l"/>
        <c:numFmt formatCode="#,##0;(#,##0);;" sourceLinked="0"/>
        <c:majorTickMark val="none"/>
        <c:minorTickMark val="none"/>
        <c:tickLblPos val="nextTo"/>
        <c:spPr>
          <a:noFill/>
          <a:ln>
            <a:noFill/>
          </a:ln>
        </c:spPr>
        <c:txPr>
          <a:bodyPr/>
          <a:lstStyle/>
          <a:p>
            <a:pPr>
              <a:defRPr sz="800" b="0">
                <a:solidFill>
                  <a:srgbClr val="7A706D"/>
                </a:solidFill>
                <a:latin typeface="Arial"/>
                <a:cs typeface="Arial"/>
              </a:defRPr>
            </a:pPr>
            <a:endParaRPr lang="en-US"/>
          </a:p>
        </c:txPr>
        <c:crossAx val="5001"/>
        <c:crosses val="autoZero"/>
        <c:crossBetween val="between"/>
      </c:valAx>
      <c:spPr>
        <a:noFill/>
        <a:ln>
          <a:noFill/>
        </a:ln>
      </c:spPr>
    </c:plotArea>
    <c:legend>
      <c:legendPos val="t"/>
      <c:layout>
        <c:manualLayout>
          <c:xMode val="edge"/>
          <c:yMode val="edge"/>
          <c:x val="0.04"/>
          <c:y val="0.01"/>
          <c:w val="0.40"/>
          <c:h val="0.083"/>
        </c:manualLayout>
      </c:layout>
      <c:overlay val="0"/>
      <c:txPr>
        <a:bodyPr/>
        <a:lstStyle/>
        <a:p>
          <a:pPr>
            <a:defRPr sz="800" b="0">
              <a:solidFill>
                <a:srgbClr val="2C2523"/>
              </a:solidFill>
              <a:latin typeface="Arial"/>
              <a:cs typeface="Arial"/>
            </a:defRPr>
          </a:pPr>
          <a:endParaRPr lang="en-US"/>
        </a:p>
      </c:txPr>
    </c:legend>
    <c:plotVisOnly val="0"/>
    <c:dispBlanksAs val="gap"/>
  </c:chart>
  <c:spPr>
    <a:solidFill>
      <a:srgbClr val="FFFFFF"/>
    </a:solidFill>
    <a:ln>
      <a:noFill/>
    </a:ln>
  </c:spPr>
  <c:txPr>
    <a:bodyPr/>
    <a:lstStyle/>
    <a:p>
      <a:pPr>
        <a:defRPr sz="800">
          <a:latin typeface="Arial"/>
          <a:cs typeface="Arial"/>
        </a:defRPr>
      </a:pPr>
      <a:endParaRPr lang="en-US"/>
    </a:p>
  </c:txPr>
</c:chartSpace>
</file>

<file path=xl/charts/chart13.xml><?xml version="1.0" encoding="utf-8"?>
<c:chartSpace xmlns:c="http://schemas.openxmlformats.org/drawingml/2006/chart" xmlns:a="http://schemas.openxmlformats.org/drawingml/2006/main" xmlns:r="http://schemas.openxmlformats.org/officeDocument/2006/relationships">
  <c:roundedCorners val="0"/>
  <c:chart>
    <c:autoTitleDeleted val="1"/>
    <c:plotArea>
      <c:layout>
        <c:manualLayout>
          <c:layoutTarget val="inner"/>
          <c:xMode val="edge"/>
          <c:yMode val="edge"/>
          <c:x val="0.05"/>
          <c:y val="0.031"/>
          <c:w val="0.94"/>
          <c:h val="0.875"/>
        </c:manualLayout>
      </c:layout>
      <c:barChart>
        <c:barDir val="col"/>
        <c:grouping val="clustered"/>
        <c:varyColors val="0"/>
        <c:ser>
          <c:idx val="0"/>
          <c:order val="0"/>
          <c:tx>
            <c:strRef>
              <c:f>'Headcount Charts'!$B$102</c:f>
              <c:strCache>
                <c:ptCount val="1"/>
                <c:pt idx="0">
                  <c:v>Departures</c:v>
                </c:pt>
              </c:strCache>
            </c:strRef>
          </c:tx>
          <c:spPr>
            <a:solidFill>
              <a:srgbClr val="7B0000"/>
            </a:solidFill>
            <a:ln>
              <a:noFill/>
            </a:ln>
          </c:spPr>
          <c:invertIfNegative val="0"/>
          <c:dLbls>
            <c:numFmt formatCode="#,##0;(#,##0);;" sourceLinked="0"/>
            <c:spPr>
              <a:noFill/>
              <a:ln>
                <a:noFill/>
              </a:ln>
            </c:spPr>
            <c:txPr>
              <a:bodyPr/>
              <a:lstStyle/>
              <a:p>
                <a:pPr>
                  <a:defRPr sz="800" b="0">
                    <a:solidFill>
                      <a:srgbClr val="2C2523"/>
                    </a:solidFill>
                    <a:latin typeface="Arial"/>
                    <a:cs typeface="Arial"/>
                  </a:defRPr>
                </a:pPr>
                <a:endParaRPr lang="en-US"/>
              </a:p>
            </c:txPr>
            <c:dLblPos val="outEnd"/>
            <c:showLegendKey val="0"/>
            <c:showVal val="1"/>
            <c:showCatName val="0"/>
            <c:showSerName val="0"/>
            <c:showPercent val="0"/>
            <c:showBubbleSize val="0"/>
          </c:dLbls>
          <c:cat>
            <c:strRef>
              <c:f>'Headcount Charts'!$C$101:$G$101</c:f>
              <c:strCache>
                <c:ptCount val="5"/>
                <c:pt idx="0">
                  <c:v>First 3 Months</c:v>
                </c:pt>
                <c:pt idx="1">
                  <c:v>3 - 6 Months</c:v>
                </c:pt>
                <c:pt idx="2">
                  <c:v>6 - 12 Months</c:v>
                </c:pt>
                <c:pt idx="3">
                  <c:v>1 - 2 Years</c:v>
                </c:pt>
                <c:pt idx="4">
                  <c:v>Over 2 Years</c:v>
                </c:pt>
              </c:strCache>
            </c:strRef>
          </c:cat>
          <c:val>
            <c:numRef>
              <c:f>'Headcount Charts'!$C$102:$G$102</c:f>
              <c:numCache>
                <c:formatCode>#,##0;(#,##0);;</c:formatCode>
                <c:ptCount val="5"/>
                <c:pt idx="0">
                  <c:v>0</c:v>
                </c:pt>
                <c:pt idx="1">
                  <c:v>0</c:v>
                </c:pt>
                <c:pt idx="2">
                  <c:v>0</c:v>
                </c:pt>
                <c:pt idx="3">
                  <c:v>1</c:v>
                </c:pt>
                <c:pt idx="4">
                  <c:v>4</c:v>
                </c:pt>
              </c:numCache>
            </c:numRef>
          </c:val>
        </c:ser>
        <c:gapWidth val="60"/>
        <c:axId val="5001"/>
        <c:axId val="5002"/>
      </c:barChart>
      <c:catAx>
        <c:axId val="5001"/>
        <c:scaling>
          <c:orientation val="minMax"/>
        </c:scaling>
        <c:delete val="0"/>
        <c:axPos val="b"/>
        <c:numFmt formatCode="General" sourceLinked="0"/>
        <c:majorTickMark val="none"/>
        <c:minorTickMark val="none"/>
        <c:tickLblPos val="low"/>
        <c:spPr>
          <a:ln w="6350">
            <a:solidFill>
              <a:srgbClr val="C2BAB8"/>
            </a:solidFill>
          </a:ln>
        </c:spPr>
        <c:txPr>
          <a:bodyPr rot="-60000" vert="horz" wrap="none"/>
          <a:lstStyle/>
          <a:p>
            <a:pPr>
              <a:defRPr sz="800" b="0">
                <a:solidFill>
                  <a:srgbClr val="7A706D"/>
                </a:solidFill>
                <a:latin typeface="Arial"/>
                <a:cs typeface="Arial"/>
              </a:defRPr>
            </a:pPr>
            <a:endParaRPr lang="en-US"/>
          </a:p>
        </c:txPr>
        <c:crossAx val="5002"/>
        <c:crosses val="autoZero"/>
        <c:auto val="1"/>
        <c:lblAlgn val="ctr"/>
        <c:lblOffset val="100"/>
        <c:noMultiLvlLbl val="0"/>
      </c:catAx>
      <c:valAx>
        <c:axId val="5002"/>
        <c:scaling>
          <c:orientation val="minMax"/>
        </c:scaling>
        <c:delete val="1"/>
        <c:axPos val="l"/>
        <c:numFmt formatCode="#,##0;(#,##0);;" sourceLinked="0"/>
        <c:majorTickMark val="none"/>
        <c:minorTickMark val="none"/>
        <c:tickLblPos val="nextTo"/>
        <c:spPr>
          <a:noFill/>
          <a:ln>
            <a:noFill/>
          </a:ln>
        </c:spPr>
        <c:txPr>
          <a:bodyPr/>
          <a:lstStyle/>
          <a:p>
            <a:pPr>
              <a:defRPr sz="800" b="0">
                <a:solidFill>
                  <a:srgbClr val="7A706D"/>
                </a:solidFill>
                <a:latin typeface="Arial"/>
                <a:cs typeface="Arial"/>
              </a:defRPr>
            </a:pPr>
            <a:endParaRPr lang="en-US"/>
          </a:p>
        </c:txPr>
        <c:crossAx val="5001"/>
        <c:crosses val="autoZero"/>
        <c:crossBetween val="between"/>
      </c:valAx>
      <c:spPr>
        <a:noFill/>
        <a:ln>
          <a:noFill/>
        </a:ln>
      </c:spPr>
    </c:plotArea>
    <c:plotVisOnly val="0"/>
    <c:dispBlanksAs val="gap"/>
  </c:chart>
  <c:spPr>
    <a:solidFill>
      <a:srgbClr val="FFFFFF"/>
    </a:solidFill>
    <a:ln>
      <a:noFill/>
    </a:ln>
  </c:spPr>
  <c:txPr>
    <a:bodyPr/>
    <a:lstStyle/>
    <a:p>
      <a:pPr>
        <a:defRPr sz="800">
          <a:latin typeface="Arial"/>
          <a:cs typeface="Arial"/>
        </a:defRPr>
      </a:pPr>
      <a:endParaRPr lang="en-US"/>
    </a:p>
  </c:tx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oneCellAnchor>
    <xdr:from>
      <xdr:col>12</xdr:col>
      <xdr:colOff>55285</xdr:colOff>
      <xdr:row>32</xdr:row>
      <xdr:rowOff>53999</xdr:rowOff>
    </xdr:from>
    <xdr:ext cx="1924050" cy="655716"/>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13</xdr:col>
      <xdr:colOff>0</xdr:colOff>
      <xdr:row>21</xdr:row>
      <xdr:rowOff>0</xdr:rowOff>
    </xdr:to>
    <xdr:graphicFrame macro="">
      <xdr:nvGraphicFramePr>
        <xdr:cNvPr id="2" name="MC-R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24</xdr:row>
      <xdr:rowOff>0</xdr:rowOff>
    </xdr:from>
    <xdr:to>
      <xdr:col>13</xdr:col>
      <xdr:colOff>0</xdr:colOff>
      <xdr:row>40</xdr:row>
      <xdr:rowOff>0</xdr:rowOff>
    </xdr:to>
    <xdr:graphicFrame macro="">
      <xdr:nvGraphicFramePr>
        <xdr:cNvPr id="3" name="MC-R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13</xdr:col>
      <xdr:colOff>0</xdr:colOff>
      <xdr:row>16</xdr:row>
      <xdr:rowOff>0</xdr:rowOff>
    </xdr:to>
    <xdr:graphicFrame macro="">
      <xdr:nvGraphicFramePr>
        <xdr:cNvPr id="2" name="MC-E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16</xdr:row>
      <xdr:rowOff>0</xdr:rowOff>
    </xdr:from>
    <xdr:to>
      <xdr:col>13</xdr:col>
      <xdr:colOff>0</xdr:colOff>
      <xdr:row>21</xdr:row>
      <xdr:rowOff>0</xdr:rowOff>
    </xdr:to>
    <xdr:graphicFrame macro="">
      <xdr:nvGraphicFramePr>
        <xdr:cNvPr id="3" name="MC-E1 rati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24</xdr:row>
      <xdr:rowOff>0</xdr:rowOff>
    </xdr:from>
    <xdr:to>
      <xdr:col>13</xdr:col>
      <xdr:colOff>0</xdr:colOff>
      <xdr:row>35</xdr:row>
      <xdr:rowOff>0</xdr:rowOff>
    </xdr:to>
    <xdr:graphicFrame macro="">
      <xdr:nvGraphicFramePr>
        <xdr:cNvPr id="4" name="MC-E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35</xdr:row>
      <xdr:rowOff>0</xdr:rowOff>
    </xdr:from>
    <xdr:to>
      <xdr:col>13</xdr:col>
      <xdr:colOff>0</xdr:colOff>
      <xdr:row>40</xdr:row>
      <xdr:rowOff>0</xdr:rowOff>
    </xdr:to>
    <xdr:graphicFrame macro="">
      <xdr:nvGraphicFramePr>
        <xdr:cNvPr id="5" name="MC-E4 ratio"/>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13</xdr:col>
      <xdr:colOff>0</xdr:colOff>
      <xdr:row>21</xdr:row>
      <xdr:rowOff>0</xdr:rowOff>
    </xdr:to>
    <xdr:graphicFrame macro="">
      <xdr:nvGraphicFramePr>
        <xdr:cNvPr id="2" name="MC-C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24</xdr:row>
      <xdr:rowOff>0</xdr:rowOff>
    </xdr:from>
    <xdr:to>
      <xdr:col>13</xdr:col>
      <xdr:colOff>0</xdr:colOff>
      <xdr:row>40</xdr:row>
      <xdr:rowOff>0</xdr:rowOff>
    </xdr:to>
    <xdr:graphicFrame macro="">
      <xdr:nvGraphicFramePr>
        <xdr:cNvPr id="3" name="MC-C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44</xdr:row>
      <xdr:rowOff>0</xdr:rowOff>
    </xdr:from>
    <xdr:to>
      <xdr:col>13</xdr:col>
      <xdr:colOff>0</xdr:colOff>
      <xdr:row>60</xdr:row>
      <xdr:rowOff>0</xdr:rowOff>
    </xdr:to>
    <xdr:graphicFrame macro="">
      <xdr:nvGraphicFramePr>
        <xdr:cNvPr id="4" name="MC-C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13</xdr:col>
      <xdr:colOff>0</xdr:colOff>
      <xdr:row>21</xdr:row>
      <xdr:rowOff>0</xdr:rowOff>
    </xdr:to>
    <xdr:graphicFrame macro="">
      <xdr:nvGraphicFramePr>
        <xdr:cNvPr id="2" name="MC-H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24</xdr:row>
      <xdr:rowOff>0</xdr:rowOff>
    </xdr:from>
    <xdr:to>
      <xdr:col>13</xdr:col>
      <xdr:colOff>0</xdr:colOff>
      <xdr:row>40</xdr:row>
      <xdr:rowOff>0</xdr:rowOff>
    </xdr:to>
    <xdr:graphicFrame macro="">
      <xdr:nvGraphicFramePr>
        <xdr:cNvPr id="3" name="MC-H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44</xdr:row>
      <xdr:rowOff>0</xdr:rowOff>
    </xdr:from>
    <xdr:to>
      <xdr:col>13</xdr:col>
      <xdr:colOff>0</xdr:colOff>
      <xdr:row>60</xdr:row>
      <xdr:rowOff>0</xdr:rowOff>
    </xdr:to>
    <xdr:graphicFrame macro="">
      <xdr:nvGraphicFramePr>
        <xdr:cNvPr id="4" name="MC-H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63</xdr:row>
      <xdr:rowOff>0</xdr:rowOff>
    </xdr:from>
    <xdr:to>
      <xdr:col>13</xdr:col>
      <xdr:colOff>0</xdr:colOff>
      <xdr:row>79</xdr:row>
      <xdr:rowOff>0</xdr:rowOff>
    </xdr:to>
    <xdr:graphicFrame macro="">
      <xdr:nvGraphicFramePr>
        <xdr:cNvPr id="5" name="MC-H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Q39"/>
  <sheetViews>
    <sheetView workbookViewId="0" showGridLines="0" zoomScale="100"/>
  </sheetViews>
  <sheetFormatPr defaultRowHeight="12.75" outlineLevelRow="0" outlineLevelCol="0" x14ac:dyDescent="55" customHeight="1"/>
  <cols>
    <col min="1" max="1" width="1.7" customWidth="1"/>
    <col min="2" max="17" width="6.3" customWidth="1"/>
  </cols>
  <sheetData>
    <row r="2" ht="13.5" customHeight="1" spans="2:17" x14ac:dyDescent="0.25">
      <c r="B2" s="1"/>
      <c r="C2" s="1"/>
      <c r="D2" s="1"/>
      <c r="E2" s="1"/>
      <c r="F2" s="1"/>
      <c r="G2" s="1"/>
      <c r="H2" s="1"/>
      <c r="I2" s="1"/>
      <c r="J2" s="1"/>
      <c r="K2" s="1"/>
      <c r="L2" s="1"/>
      <c r="M2" s="1"/>
      <c r="N2" s="1"/>
      <c r="O2" s="1"/>
      <c r="P2" s="1"/>
      <c r="Q2" s="1"/>
    </row>
    <row r="4" ht="6" customHeight="1" spans="2:17" x14ac:dyDescent="0.25">
      <c r="B4" s="2"/>
      <c r="C4" s="2"/>
      <c r="D4" s="2"/>
      <c r="E4" s="2"/>
      <c r="F4" s="2"/>
      <c r="G4" s="2"/>
      <c r="H4" s="2"/>
      <c r="I4" s="2"/>
      <c r="J4" s="2"/>
      <c r="K4" s="2"/>
      <c r="L4" s="2"/>
      <c r="M4" s="2"/>
      <c r="N4" s="2"/>
      <c r="O4" s="2"/>
      <c r="P4" s="2"/>
      <c r="Q4" s="2"/>
    </row>
    <row r="5" ht="11.25" customHeight="1" x14ac:dyDescent="0.25"/>
    <row r="6" ht="11.25" customHeight="1" x14ac:dyDescent="0.25"/>
    <row r="7" ht="11.25" customHeight="1" x14ac:dyDescent="0.25"/>
    <row r="8" ht="11.25" customHeight="1" x14ac:dyDescent="0.25"/>
    <row r="9" ht="11.25" customHeight="1" x14ac:dyDescent="0.25"/>
    <row r="10" ht="11.25" customHeight="1" x14ac:dyDescent="0.25"/>
    <row r="11" ht="11.25" customHeight="1" x14ac:dyDescent="0.25"/>
    <row r="12" ht="11.25" customHeight="1" x14ac:dyDescent="0.25"/>
    <row r="13" ht="11.25" customHeight="1" x14ac:dyDescent="0.25"/>
    <row r="14" ht="11.25" customHeight="1" x14ac:dyDescent="0.25"/>
    <row r="15" ht="11.25" customHeight="1" x14ac:dyDescent="0.25"/>
    <row r="16" ht="11.25" customHeight="1" x14ac:dyDescent="0.25"/>
    <row r="17" ht="11.25" customHeight="1" x14ac:dyDescent="0.25"/>
    <row r="18" ht="11.25" customHeight="1" x14ac:dyDescent="0.25"/>
    <row r="19" ht="11.25" customHeight="1" x14ac:dyDescent="0.25"/>
    <row r="20" ht="11.25" customHeight="1" x14ac:dyDescent="0.25"/>
    <row r="21" ht="11.25" customHeight="1" x14ac:dyDescent="0.25"/>
    <row r="22" ht="11.25" customHeight="1" x14ac:dyDescent="0.25"/>
    <row r="23" spans="5:14" x14ac:dyDescent="0.25">
      <c r="E23" s="3"/>
      <c r="F23" s="3"/>
      <c r="G23" s="3"/>
      <c r="H23" s="3"/>
      <c r="I23" s="3"/>
      <c r="J23" s="3"/>
      <c r="K23" s="3"/>
      <c r="L23" s="3"/>
      <c r="M23" s="3"/>
      <c r="N23" s="3"/>
    </row>
    <row r="24" ht="33" customHeight="1" spans="2:17" x14ac:dyDescent="0.25">
      <c r="B24" s="4" t="s">
        <v>0</v>
      </c>
      <c r="C24" s="5"/>
      <c r="D24" s="5"/>
      <c r="E24" s="5"/>
      <c r="F24" s="5"/>
      <c r="G24" s="5"/>
      <c r="H24" s="5"/>
      <c r="I24" s="5"/>
      <c r="J24" s="5"/>
      <c r="K24" s="5"/>
      <c r="L24" s="5"/>
      <c r="M24" s="5"/>
      <c r="N24" s="5"/>
      <c r="O24" s="5"/>
      <c r="P24" s="5"/>
      <c r="Q24" s="5"/>
    </row>
    <row r="25" ht="26" customHeight="1" spans="2:17" x14ac:dyDescent="0.25">
      <c r="B25" s="6" t="s">
        <v>1</v>
      </c>
      <c r="C25" s="5"/>
      <c r="D25" s="5"/>
      <c r="E25" s="5"/>
      <c r="F25" s="5"/>
      <c r="G25" s="5"/>
      <c r="H25" s="5"/>
      <c r="I25" s="5"/>
      <c r="J25" s="5"/>
      <c r="K25" s="5"/>
      <c r="L25" s="5"/>
      <c r="M25" s="5"/>
      <c r="N25" s="5"/>
      <c r="O25" s="5"/>
      <c r="P25" s="5"/>
      <c r="Q25" s="5"/>
    </row>
    <row r="26" ht="24" customHeight="1" spans="2:17" x14ac:dyDescent="0.25">
      <c r="B26" s="7" t="str">
        <f>"As of "&amp;TEXT('Assumptions'!$C$9,"mm/dd/yy")</f>
        <v>As of 12/31/25</v>
      </c>
      <c r="C26" s="5"/>
      <c r="D26" s="5"/>
      <c r="E26" s="5"/>
      <c r="F26" s="5"/>
      <c r="G26" s="5"/>
      <c r="H26" s="5"/>
      <c r="I26" s="5"/>
      <c r="J26" s="5"/>
      <c r="K26" s="5"/>
      <c r="L26" s="5"/>
      <c r="M26" s="5"/>
      <c r="N26" s="5"/>
      <c r="O26" s="5"/>
      <c r="P26" s="5"/>
      <c r="Q26" s="5"/>
    </row>
    <row r="28" spans="5:14" x14ac:dyDescent="0.25">
      <c r="E28" s="3"/>
      <c r="F28" s="3"/>
      <c r="G28" s="3"/>
      <c r="H28" s="3"/>
      <c r="I28" s="3"/>
      <c r="J28" s="3"/>
      <c r="K28" s="3"/>
      <c r="L28" s="3"/>
      <c r="M28" s="3"/>
      <c r="N28" s="3"/>
    </row>
    <row r="30" spans="2:17" x14ac:dyDescent="0.25">
      <c r="B30" s="8" t="s">
        <v>2</v>
      </c>
      <c r="C30" s="5"/>
      <c r="D30" s="5"/>
      <c r="E30" s="5"/>
      <c r="F30" s="5"/>
      <c r="G30" s="5"/>
      <c r="H30" s="5"/>
      <c r="I30" s="5"/>
      <c r="J30" s="5"/>
      <c r="K30" s="5"/>
      <c r="L30" s="5"/>
      <c r="M30" s="5"/>
      <c r="N30" s="5"/>
      <c r="O30" s="5"/>
      <c r="P30" s="5"/>
      <c r="Q30" s="5"/>
    </row>
    <row r="38" spans="2:17" x14ac:dyDescent="0.25">
      <c r="B38" s="2"/>
      <c r="C38" s="2"/>
      <c r="D38" s="2"/>
      <c r="E38" s="2"/>
      <c r="F38" s="2"/>
      <c r="G38" s="2"/>
      <c r="H38" s="2"/>
      <c r="I38" s="2"/>
      <c r="J38" s="2"/>
      <c r="K38" s="2"/>
      <c r="L38" s="2"/>
      <c r="M38" s="2"/>
      <c r="N38" s="2"/>
      <c r="O38" s="2"/>
      <c r="P38" s="2"/>
      <c r="Q38" s="2"/>
    </row>
    <row r="39" spans="2:17" x14ac:dyDescent="0.25">
      <c r="B39" s="1"/>
      <c r="C39" s="1"/>
      <c r="D39" s="1"/>
      <c r="E39" s="1"/>
      <c r="F39" s="1"/>
      <c r="G39" s="1"/>
      <c r="H39" s="1"/>
      <c r="I39" s="1"/>
      <c r="J39" s="1"/>
      <c r="K39" s="1"/>
      <c r="L39" s="1"/>
      <c r="M39" s="1"/>
      <c r="N39" s="1"/>
      <c r="O39" s="1"/>
      <c r="P39" s="1"/>
      <c r="Q39" s="1"/>
    </row>
  </sheetData>
  <printOptions horizontalCentered="1"/>
  <pageMargins left="0.5" right="0.5" top="0.6" bottom="0.7" header="0.3" footer="0.3"/>
  <pageSetup paperSize="1" orientation="landscape"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I46"/>
  <sheetViews>
    <sheetView workbookViewId="0" showGridLines="0" zoomScale="100"/>
  </sheetViews>
  <sheetFormatPr defaultRowHeight="12.75" outlineLevelRow="0" outlineLevelCol="0" x14ac:dyDescent="55" customHeight="1"/>
  <cols>
    <col min="1" max="1" width="1.7" customWidth="1"/>
    <col min="2" max="2" width="8" customWidth="1"/>
    <col min="3" max="3" width="20" customWidth="1"/>
    <col min="4" max="4" width="45" customWidth="1"/>
    <col min="5" max="6" width="8" customWidth="1"/>
    <col min="7" max="7" width="0.9" customWidth="1"/>
    <col min="8" max="8" width="26" customWidth="1"/>
    <col min="9" max="9" width="45" customWidth="1"/>
  </cols>
  <sheetData>
    <row r="2" ht="16.5" customHeight="1" spans="2:2" x14ac:dyDescent="0.25">
      <c r="B2" s="9">
        <f>Cover!B24</f>
      </c>
    </row>
    <row r="3" spans="2:9" x14ac:dyDescent="0.25">
      <c r="B3" s="10" t="s">
        <v>3</v>
      </c>
      <c r="C3" s="11"/>
      <c r="D3" s="11"/>
      <c r="E3" s="11"/>
      <c r="F3" s="11"/>
      <c r="H3" s="11"/>
      <c r="I3" s="11"/>
    </row>
    <row r="5" spans="2:9" x14ac:dyDescent="0.25">
      <c r="B5" s="12" t="s">
        <v>4</v>
      </c>
      <c r="C5" s="13" t="s">
        <v>5</v>
      </c>
      <c r="D5" s="13" t="s">
        <v>6</v>
      </c>
      <c r="E5" s="12" t="s">
        <v>7</v>
      </c>
      <c r="F5" s="12" t="s">
        <v>8</v>
      </c>
      <c r="H5" s="13" t="s">
        <v>9</v>
      </c>
      <c r="I5" s="12"/>
    </row>
    <row r="6" spans="2:9" x14ac:dyDescent="0.25">
      <c r="B6" s="14">
        <v>1</v>
      </c>
      <c r="C6" s="15" t="str">
        <f>HYPERLINK("#'Cover'!A1","Cover")</f>
        <v>Cover</v>
      </c>
      <c r="D6" s="16" t="s">
        <v>10</v>
      </c>
      <c r="E6" s="17" t="s">
        <v>11</v>
      </c>
      <c r="F6" s="17" t="s">
        <v>12</v>
      </c>
      <c r="H6" s="18" t="s">
        <v>13</v>
      </c>
      <c r="I6" s="19" t="s">
        <v>0</v>
      </c>
    </row>
    <row r="7" spans="2:9" x14ac:dyDescent="0.25">
      <c r="B7" s="14">
        <v>2</v>
      </c>
      <c r="C7" s="15" t="str">
        <f>HYPERLINK("#'Contents'!A1","Contents")</f>
        <v>Contents</v>
      </c>
      <c r="D7" s="16" t="s">
        <v>14</v>
      </c>
      <c r="E7" s="17" t="s">
        <v>11</v>
      </c>
      <c r="F7" s="17" t="s">
        <v>12</v>
      </c>
      <c r="H7" s="18" t="s">
        <v>15</v>
      </c>
      <c r="I7" s="19" t="s">
        <v>16</v>
      </c>
    </row>
    <row r="8" spans="2:9" x14ac:dyDescent="0.25">
      <c r="B8" s="14">
        <v>3</v>
      </c>
      <c r="C8" s="15" t="str">
        <f>HYPERLINK("#'Summary'!A1","Summary")</f>
        <v>Summary</v>
      </c>
      <c r="D8" s="16" t="s">
        <v>17</v>
      </c>
      <c r="E8" s="17" t="s">
        <v>18</v>
      </c>
      <c r="F8" s="20" t="str">
        <f>IF(OR('Checks'!$G24="CHECK"),"CHECK","OK")</f>
        <v>OK</v>
      </c>
      <c r="H8" s="18" t="s">
        <v>19</v>
      </c>
      <c r="I8" s="19" t="s">
        <v>20</v>
      </c>
    </row>
    <row r="9" spans="2:9" x14ac:dyDescent="0.25">
      <c r="B9" s="14">
        <v>4</v>
      </c>
      <c r="C9" s="15" t="str">
        <f>HYPERLINK("#'Assumptions'!A1","Assumptions")</f>
        <v>Assumptions</v>
      </c>
      <c r="D9" s="16" t="s">
        <v>21</v>
      </c>
      <c r="E9" s="17" t="s">
        <v>22</v>
      </c>
      <c r="F9" s="20" t="str">
        <f>IF(OR('Checks'!$G39="CHECK",'Checks'!$G24="CHECK"),"CHECK","OK")</f>
        <v>OK</v>
      </c>
      <c r="H9" s="18" t="s">
        <v>23</v>
      </c>
      <c r="I9" s="21">
        <f>'Assumptions'!$C$9</f>
        <v>46022</v>
      </c>
    </row>
    <row r="10" spans="2:9" x14ac:dyDescent="0.25">
      <c r="B10" s="14">
        <v>5</v>
      </c>
      <c r="C10" s="15" t="str">
        <f>HYPERLINK("#'P&amp;L Summary'!A1","P&amp;L Summary")</f>
        <v>P&amp;L Summary</v>
      </c>
      <c r="D10" s="16" t="s">
        <v>24</v>
      </c>
      <c r="E10" s="17" t="s">
        <v>18</v>
      </c>
      <c r="F10" s="20" t="str">
        <f>IF(OR('Checks'!$G11="CHECK",'Checks'!$G12="CHECK",'Checks'!$G25="CHECK",'Checks'!$G37="CHECK",'Checks'!$G24="CHECK"),"CHECK","OK")</f>
        <v>OK</v>
      </c>
      <c r="H10" s="18" t="s">
        <v>25</v>
      </c>
      <c r="I10" s="19" t="s">
        <v>26</v>
      </c>
    </row>
    <row r="11" spans="2:9" x14ac:dyDescent="0.25">
      <c r="B11" s="22">
        <v>6</v>
      </c>
      <c r="C11" s="23" t="str">
        <f>HYPERLINK("#'Adj. EBITDA'!A1","Adj. EBITDA")</f>
        <v>Adj. EBITDA</v>
      </c>
      <c r="D11" s="24" t="s">
        <v>27</v>
      </c>
      <c r="E11" s="25" t="s">
        <v>18</v>
      </c>
      <c r="F11" s="26" t="str">
        <f>IF(OR('Checks'!$G13="CHECK",'Checks'!$G14="CHECK",'Checks'!$G24="CHECK"),"CHECK","OK")</f>
        <v>OK</v>
      </c>
      <c r="H11" s="27" t="s">
        <v>28</v>
      </c>
      <c r="I11" s="28" t="s">
        <v>29</v>
      </c>
    </row>
    <row r="12" spans="2:9" x14ac:dyDescent="0.25">
      <c r="B12" s="22">
        <v>7</v>
      </c>
      <c r="C12" s="23" t="str">
        <f>HYPERLINK("#'Adjustments'!A1","Adjustments")</f>
        <v>Adjustments</v>
      </c>
      <c r="D12" s="29" t="s">
        <v>30</v>
      </c>
      <c r="E12" s="25" t="s">
        <v>18</v>
      </c>
      <c r="F12" s="26" t="str">
        <f>IF(OR('Checks'!$G14="CHECK",'Checks'!$G24="CHECK"),"CHECK","OK")</f>
        <v>OK</v>
      </c>
      <c r="H12" s="27" t="s">
        <v>31</v>
      </c>
      <c r="I12" s="30" t="s">
        <v>32</v>
      </c>
    </row>
    <row r="13" spans="2:9" x14ac:dyDescent="0.25">
      <c r="B13" s="14">
        <v>8</v>
      </c>
      <c r="C13" s="15" t="str">
        <f>HYPERLINK("#'Revenue Detail'!A1","Revenue Detail")</f>
        <v>Revenue Detail</v>
      </c>
      <c r="D13" s="16" t="s">
        <v>33</v>
      </c>
      <c r="E13" s="17" t="s">
        <v>18</v>
      </c>
      <c r="F13" s="20" t="str">
        <f>IF(OR('Checks'!$G45="CHECK",'Checks'!$G46="CHECK",'Checks'!$G24="CHECK"),"CHECK","OK")</f>
        <v>OK</v>
      </c>
      <c r="H13" s="18" t="s">
        <v>34</v>
      </c>
      <c r="I13" s="19" t="s">
        <v>35</v>
      </c>
    </row>
    <row r="14" spans="2:9" x14ac:dyDescent="0.25">
      <c r="B14" s="14">
        <v>9</v>
      </c>
      <c r="C14" s="15" t="str">
        <f>HYPERLINK("#'Revenue Charts'!A1","Revenue Charts")</f>
        <v>Revenue Charts</v>
      </c>
      <c r="D14" s="16" t="s">
        <v>36</v>
      </c>
      <c r="E14" s="17" t="s">
        <v>37</v>
      </c>
      <c r="F14" s="20" t="str">
        <f>IF(OR('Checks'!$G31="CHECK",'Checks'!$G32="CHECK",'Checks'!$G24="CHECK"),"CHECK","OK")</f>
        <v>OK</v>
      </c>
      <c r="H14" s="18" t="s">
        <v>38</v>
      </c>
      <c r="I14" s="19" t="s">
        <v>39</v>
      </c>
    </row>
    <row r="15" spans="2:9" x14ac:dyDescent="0.25">
      <c r="B15" s="22">
        <v>10</v>
      </c>
      <c r="C15" s="23" t="str">
        <f>HYPERLINK("#'Expense Detail'!A1","Expense Detail")</f>
        <v>Expense Detail</v>
      </c>
      <c r="D15" s="24" t="s">
        <v>40</v>
      </c>
      <c r="E15" s="25" t="s">
        <v>18</v>
      </c>
      <c r="F15" s="26" t="str">
        <f>IF(OR('Checks'!$G45="CHECK",'Checks'!$G46="CHECK",'Checks'!$G24="CHECK"),"CHECK","OK")</f>
        <v>OK</v>
      </c>
      <c r="H15" s="27" t="s">
        <v>41</v>
      </c>
      <c r="I15" s="28" t="s">
        <v>39</v>
      </c>
    </row>
    <row r="16" spans="2:9" x14ac:dyDescent="0.25">
      <c r="B16" s="14">
        <v>11</v>
      </c>
      <c r="C16" s="15" t="str">
        <f>HYPERLINK("#'Expense Charts'!A1","Expense Charts")</f>
        <v>Expense Charts</v>
      </c>
      <c r="D16" s="16" t="s">
        <v>42</v>
      </c>
      <c r="E16" s="17" t="s">
        <v>37</v>
      </c>
      <c r="F16" s="20" t="str">
        <f>IF(OR('Checks'!$G31="CHECK",'Checks'!$G32="CHECK",'Checks'!$G24="CHECK"),"CHECK","OK")</f>
        <v>OK</v>
      </c>
      <c r="H16" s="18" t="s">
        <v>43</v>
      </c>
      <c r="I16" s="19" t="s">
        <v>39</v>
      </c>
    </row>
    <row r="17" spans="2:9" x14ac:dyDescent="0.25">
      <c r="B17" s="14">
        <v>12</v>
      </c>
      <c r="C17" s="15" t="str">
        <f>HYPERLINK("#'Customer Overview'!A1","Customer Overview")</f>
        <v>Customer Overview</v>
      </c>
      <c r="D17" s="16" t="s">
        <v>44</v>
      </c>
      <c r="E17" s="17" t="s">
        <v>45</v>
      </c>
      <c r="F17" s="20" t="str">
        <f>IF(OR('Checks'!$G21="CHECK",'Checks'!$G24="CHECK"),"CHECK","OK")</f>
        <v>OK</v>
      </c>
      <c r="H17" s="18" t="s">
        <v>46</v>
      </c>
      <c r="I17" s="19" t="s">
        <v>47</v>
      </c>
    </row>
    <row r="18" spans="2:9" x14ac:dyDescent="0.25">
      <c r="B18" s="22">
        <v>13</v>
      </c>
      <c r="C18" s="23" t="str">
        <f>HYPERLINK("#'Customer Retention'!A1","Customer Retention")</f>
        <v>Customer Retention</v>
      </c>
      <c r="D18" s="24" t="s">
        <v>48</v>
      </c>
      <c r="E18" s="25" t="s">
        <v>45</v>
      </c>
      <c r="F18" s="26" t="str">
        <f>IF(OR('Checks'!$G24="CHECK",COUNTIFS('Customer Retention'!$C$31:$E$31,"&gt;0.0005")+COUNTIFS('Customer Retention'!$C$31:$E$31,"&lt;-0.0005")&gt;0),"CHECK","OK")</f>
        <v>OK</v>
      </c>
      <c r="H18" s="27" t="s">
        <v>49</v>
      </c>
      <c r="I18" s="31">
        <v>0</v>
      </c>
    </row>
    <row r="19" spans="2:9" x14ac:dyDescent="0.25">
      <c r="B19" s="14">
        <v>14</v>
      </c>
      <c r="C19" s="15" t="str">
        <f>HYPERLINK("#'Retention Charts'!A1","Retention Charts")</f>
        <v>Retention Charts</v>
      </c>
      <c r="D19" s="16" t="s">
        <v>50</v>
      </c>
      <c r="E19" s="17" t="s">
        <v>37</v>
      </c>
      <c r="F19" s="20" t="str">
        <f>IF(OR('Checks'!$G31="CHECK",'Checks'!$G32="CHECK",'Checks'!$G24="CHECK"),"CHECK","OK")</f>
        <v>OK</v>
      </c>
      <c r="H19" s="18" t="s">
        <v>51</v>
      </c>
      <c r="I19" s="32" t="str">
        <f>IF(COUNTIF('Checks'!$G:$G,"CHECK")=0,IF(COUNTIF('Checks'!$G:$G,"Pending")=0,"All checks OK","All checks OK (render check pending)"),COUNTIF('Checks'!$G:$G,"CHECK")&amp;IF(COUNTIF('Checks'!$G:$G,"CHECK")=1," check failing"," checks failing"))</f>
        <v>All checks OK</v>
      </c>
    </row>
    <row r="20" spans="2:6" x14ac:dyDescent="0.25">
      <c r="B20" s="14">
        <v>15</v>
      </c>
      <c r="C20" s="15" t="str">
        <f>HYPERLINK("#'Concentration'!A1","Concentration")</f>
        <v>Concentration</v>
      </c>
      <c r="D20" s="16" t="s">
        <v>52</v>
      </c>
      <c r="E20" s="17" t="s">
        <v>22</v>
      </c>
      <c r="F20" s="20" t="str">
        <f>IF(OR('Checks'!$G24="CHECK"),"CHECK","OK")</f>
        <v>OK</v>
      </c>
    </row>
    <row r="21" spans="2:6" x14ac:dyDescent="0.25">
      <c r="B21" s="14">
        <v>16</v>
      </c>
      <c r="C21" s="15" t="str">
        <f>HYPERLINK("#'Cohorts'!A1","Cohorts")</f>
        <v>Cohorts</v>
      </c>
      <c r="D21" s="16" t="s">
        <v>53</v>
      </c>
      <c r="E21" s="17" t="s">
        <v>45</v>
      </c>
      <c r="F21" s="20" t="str">
        <f>IF(OR('Checks'!$G24="CHECK",COUNTIFS('Cohorts'!$D$15:$F$15,"&gt;0.0005")+COUNTIFS('Cohorts'!$D$15:$F$15,"&lt;-0.0005")&gt;0,COUNTIFS('Cohorts'!$D$34:$F$34,"&gt;0.0005")+COUNTIFS('Cohorts'!$D$34:$F$34,"&lt;-0.0005")&gt;0),"CHECK","OK")</f>
        <v>OK</v>
      </c>
    </row>
    <row r="22" spans="2:6" x14ac:dyDescent="0.25">
      <c r="B22" s="14">
        <v>17</v>
      </c>
      <c r="C22" s="15" t="str">
        <f>HYPERLINK("#'Headcount'!A1","Headcount")</f>
        <v>Headcount</v>
      </c>
      <c r="D22" s="16" t="s">
        <v>54</v>
      </c>
      <c r="E22" s="17" t="s">
        <v>45</v>
      </c>
      <c r="F22" s="20" t="str">
        <f>IF(OR('Checks'!$G22="CHECK",'Checks'!$G24="CHECK"),"CHECK","OK")</f>
        <v>OK</v>
      </c>
    </row>
    <row r="23" spans="2:6" x14ac:dyDescent="0.25">
      <c r="B23" s="14">
        <v>18</v>
      </c>
      <c r="C23" s="15" t="str">
        <f>HYPERLINK("#'Headcount Charts'!A1","Headcount Charts")</f>
        <v>Headcount Charts</v>
      </c>
      <c r="D23" s="16" t="s">
        <v>55</v>
      </c>
      <c r="E23" s="17" t="s">
        <v>37</v>
      </c>
      <c r="F23" s="20" t="str">
        <f>IF(OR('Checks'!$G31="CHECK",'Checks'!$G32="CHECK",'Checks'!$G24="CHECK"),"CHECK","OK")</f>
        <v>OK</v>
      </c>
    </row>
    <row r="24" spans="2:6" x14ac:dyDescent="0.25">
      <c r="B24" s="14">
        <v>19</v>
      </c>
      <c r="C24" s="15" t="str">
        <f>HYPERLINK("#'Balance Sheet'!A1","Balance Sheet")</f>
        <v>Balance Sheet</v>
      </c>
      <c r="D24" s="16" t="s">
        <v>56</v>
      </c>
      <c r="E24" s="17" t="s">
        <v>18</v>
      </c>
      <c r="F24" s="20" t="str">
        <f>IF(OR('Checks'!$G15="CHECK",'Checks'!$G24="CHECK"),"CHECK","OK")</f>
        <v>OK</v>
      </c>
    </row>
    <row r="25" spans="2:6" x14ac:dyDescent="0.25">
      <c r="B25" s="14">
        <v>20</v>
      </c>
      <c r="C25" s="15" t="str">
        <f>HYPERLINK("#'NWC'!A1","NWC")</f>
        <v>NWC</v>
      </c>
      <c r="D25" s="16" t="s">
        <v>57</v>
      </c>
      <c r="E25" s="17" t="s">
        <v>18</v>
      </c>
      <c r="F25" s="20" t="str">
        <f>IF(OR('Checks'!$G16="CHECK",'Checks'!$G28="CHECK",'Checks'!$G29="CHECK",'Checks'!$G24="CHECK"),"CHECK","OK")</f>
        <v>OK</v>
      </c>
    </row>
    <row r="26" spans="2:6" x14ac:dyDescent="0.25">
      <c r="B26" s="14">
        <v>21</v>
      </c>
      <c r="C26" s="15" t="str">
        <f>HYPERLINK("#'Debt-Like Items'!A1","Debt-Like Items")</f>
        <v>Debt-Like Items</v>
      </c>
      <c r="D26" s="16" t="s">
        <v>58</v>
      </c>
      <c r="E26" s="17" t="s">
        <v>18</v>
      </c>
      <c r="F26" s="20" t="str">
        <f>IF(OR('Checks'!$G28="CHECK",'Checks'!$G24="CHECK"),"CHECK","OK")</f>
        <v>OK</v>
      </c>
    </row>
    <row r="27" spans="2:6" x14ac:dyDescent="0.25">
      <c r="B27" s="14">
        <v>22</v>
      </c>
      <c r="C27" s="15" t="str">
        <f>HYPERLINK("#'Cash Flow'!A1","Cash Flow")</f>
        <v>Cash Flow</v>
      </c>
      <c r="D27" s="16" t="s">
        <v>59</v>
      </c>
      <c r="E27" s="17" t="s">
        <v>18</v>
      </c>
      <c r="F27" s="20" t="str">
        <f>IF(OR('Checks'!$G17="CHECK",'Checks'!$G24="CHECK"),"CHECK","OK")</f>
        <v>OK</v>
      </c>
    </row>
    <row r="28" spans="2:6" x14ac:dyDescent="0.25">
      <c r="B28" s="14">
        <v>23</v>
      </c>
      <c r="C28" s="15" t="str">
        <f>HYPERLINK("#'Proof of Cash'!A1","Proof of Cash")</f>
        <v>Proof of Cash</v>
      </c>
      <c r="D28" s="16" t="s">
        <v>60</v>
      </c>
      <c r="E28" s="17" t="s">
        <v>18</v>
      </c>
      <c r="F28" s="20" t="str">
        <f>IF(OR('Checks'!$G23="CHECK",'Checks'!$G24="CHECK"),"CHECK","OK")</f>
        <v>OK</v>
      </c>
    </row>
    <row r="29" spans="2:6" x14ac:dyDescent="0.25">
      <c r="B29" s="22">
        <v>24</v>
      </c>
      <c r="C29" s="23" t="str">
        <f>HYPERLINK("#'Projections'!A1","Projections")</f>
        <v>Projections</v>
      </c>
      <c r="D29" s="24" t="s">
        <v>61</v>
      </c>
      <c r="E29" s="25" t="s">
        <v>18</v>
      </c>
      <c r="F29" s="26" t="str">
        <f>IF(OR('Checks'!$G18="CHECK",'Checks'!$G24="CHECK"),"CHECK","OK")</f>
        <v>OK</v>
      </c>
    </row>
    <row r="30" spans="2:6" x14ac:dyDescent="0.25">
      <c r="B30" s="14">
        <v>25</v>
      </c>
      <c r="C30" s="15" t="str">
        <f>HYPERLINK("#'Opportunities'!A1","Opportunities")</f>
        <v>Opportunities</v>
      </c>
      <c r="D30" s="16" t="s">
        <v>62</v>
      </c>
      <c r="E30" s="17" t="s">
        <v>18</v>
      </c>
      <c r="F30" s="20" t="str">
        <f>IF(OR('Checks'!$G24="CHECK"),"CHECK","OK")</f>
        <v>OK</v>
      </c>
    </row>
    <row r="31" spans="2:6" x14ac:dyDescent="0.25">
      <c r="B31" s="14">
        <v>26</v>
      </c>
      <c r="C31" s="15" t="str">
        <f>HYPERLINK("#'Valuation'!A1","Valuation")</f>
        <v>Valuation</v>
      </c>
      <c r="D31" s="16" t="s">
        <v>63</v>
      </c>
      <c r="E31" s="17" t="s">
        <v>18</v>
      </c>
      <c r="F31" s="20" t="str">
        <f>IF(OR('Checks'!$G38="CHECK",'Checks'!$G40="CHECK",'Checks'!$G24="CHECK"),"CHECK","OK")</f>
        <v>OK</v>
      </c>
    </row>
    <row r="32" spans="2:6" x14ac:dyDescent="0.25">
      <c r="B32" s="14">
        <v>27</v>
      </c>
      <c r="C32" s="15" t="str">
        <f>HYPERLINK("#'Deal Structure'!A1","Deal Structure")</f>
        <v>Deal Structure</v>
      </c>
      <c r="D32" s="16" t="s">
        <v>64</v>
      </c>
      <c r="E32" s="17" t="s">
        <v>18</v>
      </c>
      <c r="F32" s="20" t="str">
        <f>IF(OR('Checks'!$G20="CHECK",'Checks'!$G38="CHECK",'Checks'!$G40="CHECK",'Checks'!$G47="CHECK",'Checks'!$G24="CHECK"),"CHECK","OK")</f>
        <v>OK</v>
      </c>
    </row>
    <row r="33" spans="2:6" x14ac:dyDescent="0.25">
      <c r="B33" s="14">
        <v>28</v>
      </c>
      <c r="C33" s="15" t="str">
        <f>HYPERLINK("#'Sensitivities'!A1","Sensitivities")</f>
        <v>Sensitivities</v>
      </c>
      <c r="D33" s="16" t="s">
        <v>65</v>
      </c>
      <c r="E33" s="17" t="s">
        <v>18</v>
      </c>
      <c r="F33" s="20" t="str">
        <f>IF(OR('Checks'!$G40="CHECK",'Checks'!$G24="CHECK"),"CHECK","OK")</f>
        <v>OK</v>
      </c>
    </row>
    <row r="34" spans="2:6" x14ac:dyDescent="0.25">
      <c r="B34" s="14">
        <v>29</v>
      </c>
      <c r="C34" s="15" t="str">
        <f>HYPERLINK("#'Checks'!A1","Checks")</f>
        <v>Checks</v>
      </c>
      <c r="D34" s="16" t="s">
        <v>66</v>
      </c>
      <c r="E34" s="17" t="s">
        <v>11</v>
      </c>
      <c r="F34" s="20" t="str">
        <f>IF(OR('Checks'!$G24="CHECK",'Checks'!$G26="CHECK",'Checks'!$G27="CHECK"),"CHECK","OK")</f>
        <v>OK</v>
      </c>
    </row>
    <row r="35" spans="2:6" x14ac:dyDescent="0.25">
      <c r="B35" s="14">
        <v>30</v>
      </c>
      <c r="C35" s="15" t="str">
        <f>HYPERLINK("#'Data --&gt;'!A1","Data --&gt;")</f>
        <v>Data --&gt;</v>
      </c>
      <c r="D35" s="16" t="s">
        <v>67</v>
      </c>
      <c r="E35" s="17" t="s">
        <v>11</v>
      </c>
      <c r="F35" s="17" t="s">
        <v>12</v>
      </c>
    </row>
    <row r="36" spans="2:6" x14ac:dyDescent="0.25">
      <c r="B36" s="14">
        <v>31</v>
      </c>
      <c r="C36" s="15" t="str">
        <f>HYPERLINK("#'Monthly P&amp;L'!A1","Monthly P&amp;L")</f>
        <v>Monthly P&amp;L</v>
      </c>
      <c r="D36" s="16" t="s">
        <v>68</v>
      </c>
      <c r="E36" s="17" t="s">
        <v>18</v>
      </c>
      <c r="F36" s="20" t="str">
        <f>IF(OR('Checks'!$G10="CHECK",'Checks'!$G12="CHECK",'Checks'!$G24="CHECK"),"CHECK","OK")</f>
        <v>OK</v>
      </c>
    </row>
    <row r="37" spans="2:6" x14ac:dyDescent="0.25">
      <c r="B37" s="14">
        <v>32</v>
      </c>
      <c r="C37" s="15" t="str">
        <f>HYPERLINK("#'Databook'!A1","Databook")</f>
        <v>Databook</v>
      </c>
      <c r="D37" s="16" t="s">
        <v>69</v>
      </c>
      <c r="E37" s="17" t="s">
        <v>22</v>
      </c>
      <c r="F37" s="20" t="str">
        <f>IF(OR('Checks'!$G9="CHECK",'Checks'!$G10="CHECK",'Checks'!$G24="CHECK"),"CHECK","OK")</f>
        <v>OK</v>
      </c>
    </row>
    <row r="38" spans="2:6" x14ac:dyDescent="0.25">
      <c r="B38" s="14">
        <v>33</v>
      </c>
      <c r="C38" s="15" t="str">
        <f>HYPERLINK("#'Mapping'!A1","Mapping")</f>
        <v>Mapping</v>
      </c>
      <c r="D38" s="16" t="s">
        <v>70</v>
      </c>
      <c r="E38" s="17" t="s">
        <v>11</v>
      </c>
      <c r="F38" s="20" t="str">
        <f>IF(OR('Checks'!$G24="CHECK"),"CHECK","OK")</f>
        <v>OK</v>
      </c>
    </row>
    <row r="39" spans="2:6" x14ac:dyDescent="0.25">
      <c r="B39" s="14">
        <v>34</v>
      </c>
      <c r="C39" s="15" t="str">
        <f>HYPERLINK("#'Raw - P&amp;L'!A1","Raw - P&amp;L")</f>
        <v>Raw - P&amp;L</v>
      </c>
      <c r="D39" s="16" t="s">
        <v>71</v>
      </c>
      <c r="E39" s="17" t="s">
        <v>22</v>
      </c>
      <c r="F39" s="20" t="str">
        <f>IF(OR('Checks'!$G9="CHECK"),"CHECK","OK")</f>
        <v>OK</v>
      </c>
    </row>
    <row r="40" spans="2:6" x14ac:dyDescent="0.25">
      <c r="B40" s="14">
        <v>35</v>
      </c>
      <c r="C40" s="15" t="str">
        <f>HYPERLINK("#'Raw - BS'!A1","Raw - BS")</f>
        <v>Raw - BS</v>
      </c>
      <c r="D40" s="16" t="s">
        <v>72</v>
      </c>
      <c r="E40" s="17" t="s">
        <v>22</v>
      </c>
      <c r="F40" s="20" t="str">
        <f>IF(OR('Checks'!$G9="CHECK"),"CHECK","OK")</f>
        <v>OK</v>
      </c>
    </row>
    <row r="41" spans="2:6" x14ac:dyDescent="0.25">
      <c r="B41" s="14">
        <v>36</v>
      </c>
      <c r="C41" s="15" t="str">
        <f>HYPERLINK("#'Raw - Bank'!A1","Raw - Bank")</f>
        <v>Raw - Bank</v>
      </c>
      <c r="D41" s="16" t="s">
        <v>73</v>
      </c>
      <c r="E41" s="17" t="s">
        <v>22</v>
      </c>
      <c r="F41" s="20" t="str">
        <f>IF(OR('Checks'!$G23="CHECK"),"CHECK","OK")</f>
        <v>OK</v>
      </c>
    </row>
    <row r="42" spans="2:6" x14ac:dyDescent="0.25">
      <c r="B42" s="14">
        <v>37</v>
      </c>
      <c r="C42" s="15" t="str">
        <f>HYPERLINK("#'Raw - Customers'!A1","Raw - Customers")</f>
        <v>Raw - Customers</v>
      </c>
      <c r="D42" s="16" t="s">
        <v>74</v>
      </c>
      <c r="E42" s="17" t="s">
        <v>22</v>
      </c>
      <c r="F42" s="20" t="str">
        <f>IF(OR('Checks'!$G21="CHECK"),"CHECK","OK")</f>
        <v>OK</v>
      </c>
    </row>
    <row r="43" spans="2:6" x14ac:dyDescent="0.25">
      <c r="B43" s="14">
        <v>38</v>
      </c>
      <c r="C43" s="15" t="str">
        <f>HYPERLINK("#'Raw - Payroll'!A1","Raw - Payroll")</f>
        <v>Raw - Payroll</v>
      </c>
      <c r="D43" s="16" t="s">
        <v>75</v>
      </c>
      <c r="E43" s="17" t="s">
        <v>22</v>
      </c>
      <c r="F43" s="20" t="str">
        <f>IF(OR('Checks'!$G22="CHECK"),"CHECK","OK")</f>
        <v>OK</v>
      </c>
    </row>
    <row r="45" spans="2:9" x14ac:dyDescent="0.25">
      <c r="B45" s="13" t="s">
        <v>46</v>
      </c>
      <c r="C45" s="13" t="s">
        <v>76</v>
      </c>
      <c r="D45" s="13" t="s">
        <v>19</v>
      </c>
      <c r="E45" s="13" t="s">
        <v>77</v>
      </c>
      <c r="F45" s="13"/>
      <c r="G45" s="13"/>
      <c r="H45" s="13"/>
      <c r="I45" s="13"/>
    </row>
    <row r="46" spans="2:5" x14ac:dyDescent="0.25">
      <c r="B46" s="19" t="s">
        <v>47</v>
      </c>
      <c r="C46" s="33">
        <v>46294</v>
      </c>
      <c r="D46" s="19" t="s">
        <v>20</v>
      </c>
      <c r="E46" s="19" t="s">
        <v>78</v>
      </c>
    </row>
  </sheetData>
  <conditionalFormatting sqref="F6:F43">
    <cfRule type="expression" dxfId="0" priority="1">
      <formula>F6="CHECK"</formula>
    </cfRule>
  </conditionalFormatting>
  <conditionalFormatting sqref="I19">
    <cfRule type="expression" dxfId="1" priority="2">
      <formula>I19&lt;&gt;"All checks OK"</formula>
    </cfRule>
  </conditionalFormatting>
  <printOptions horizontalCentered="1"/>
  <pageMargins left="0.5" right="0.5" top="0.6" bottom="0.7" header="0.3" footer="0.3"/>
  <pageSetup paperSize="1" orientation="landscape" fitToWidth="1" fitToHeight="0"/>
  <headerFooter>
    <oddHeader>&amp;RProject Ridgeline | As of 12/31/25</oddHeader>
    <oddFooter>&amp;LAMB Advisory Services | Strictly confidential&amp;C&amp;A&amp;RPage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K65"/>
  <sheetViews>
    <sheetView workbookViewId="0" showGridLines="0" zoomScale="100"/>
  </sheetViews>
  <sheetFormatPr defaultRowHeight="12.75" outlineLevelRow="0" outlineLevelCol="0" x14ac:dyDescent="55" customHeight="1"/>
  <cols>
    <col min="1" max="1" width="1.7" customWidth="1"/>
    <col min="2" max="2" width="36" customWidth="1"/>
    <col min="3" max="5" width="9.1" customWidth="1"/>
    <col min="6" max="6" width="0.9" customWidth="1"/>
    <col min="7" max="8" width="9.1" customWidth="1"/>
    <col min="9" max="9" width="0.9" customWidth="1"/>
    <col min="10" max="10" width="27.5" customWidth="1"/>
    <col min="11" max="11" width="7" customWidth="1"/>
  </cols>
  <sheetData>
    <row r="2" ht="16.5" customHeight="1" spans="2:2" x14ac:dyDescent="0.25">
      <c r="B2" s="9">
        <f>Cover!B24</f>
      </c>
    </row>
    <row r="3" spans="2:11" x14ac:dyDescent="0.25">
      <c r="B3" s="10" t="s">
        <v>79</v>
      </c>
      <c r="C3" s="11"/>
      <c r="D3" s="11"/>
      <c r="E3" s="11"/>
      <c r="F3" s="11"/>
      <c r="G3" s="11"/>
      <c r="H3" s="11"/>
      <c r="I3" s="11"/>
      <c r="J3" s="34" t="s">
        <v>80</v>
      </c>
      <c r="K3" s="35">
        <f>'Contents'!$I$18</f>
      </c>
    </row>
    <row r="5" spans="2:11" x14ac:dyDescent="0.25">
      <c r="B5" s="36"/>
      <c r="C5" s="36" t="s">
        <v>81</v>
      </c>
      <c r="D5" s="36"/>
      <c r="E5" s="36"/>
      <c r="G5" s="36" t="s">
        <v>82</v>
      </c>
      <c r="H5" s="36" t="s">
        <v>83</v>
      </c>
      <c r="J5" s="36" t="s">
        <v>84</v>
      </c>
      <c r="K5" s="36"/>
    </row>
    <row r="6" spans="2:11" x14ac:dyDescent="0.25">
      <c r="B6" s="13" t="s">
        <v>85</v>
      </c>
      <c r="C6" s="12" t="str">
        <f>'P&amp;L Summary'!C6</f>
        <v>FY2023</v>
      </c>
      <c r="D6" s="12" t="str">
        <f>'P&amp;L Summary'!D6</f>
        <v>FY2024</v>
      </c>
      <c r="E6" s="12" t="str">
        <f>'P&amp;L Summary'!E6</f>
        <v>FY2025</v>
      </c>
      <c r="G6" s="12" t="str">
        <f>'P&amp;L Summary'!K6</f>
        <v>Dec-25</v>
      </c>
      <c r="H6" s="12" t="str">
        <f>'P&amp;L Summary'!L6</f>
        <v>Dec-25</v>
      </c>
      <c r="J6" s="12"/>
      <c r="K6" s="12"/>
    </row>
    <row r="8" spans="2:8" x14ac:dyDescent="0.25">
      <c r="B8" s="37" t="s">
        <v>86</v>
      </c>
      <c r="C8" s="37"/>
      <c r="D8" s="37"/>
      <c r="E8" s="37"/>
      <c r="G8" s="37"/>
      <c r="H8" s="37"/>
    </row>
    <row r="9" spans="2:8" x14ac:dyDescent="0.25">
      <c r="B9" s="38" t="s">
        <v>87</v>
      </c>
      <c r="C9" s="39">
        <f>'P&amp;L Summary'!C14</f>
        <v>2406.8</v>
      </c>
      <c r="D9" s="39">
        <f>'P&amp;L Summary'!D14</f>
        <v>2718.6</v>
      </c>
      <c r="E9" s="39">
        <f>'P&amp;L Summary'!E14</f>
        <v>3040.8</v>
      </c>
      <c r="G9" s="39">
        <f>'P&amp;L Summary'!K14</f>
        <v>3040.8</v>
      </c>
      <c r="H9" s="39">
        <f>'P&amp;L Summary'!L14</f>
        <v>3040.8</v>
      </c>
    </row>
    <row r="10" spans="2:8" x14ac:dyDescent="0.25">
      <c r="B10" s="40" t="s">
        <v>88</v>
      </c>
      <c r="C10" s="41" t="str">
        <f>'P&amp;L Summary'!C15</f>
        <v>n.a.</v>
      </c>
      <c r="D10" s="41">
        <f>'P&amp;L Summary'!D15</f>
        <v>0.12954960943992022</v>
      </c>
      <c r="E10" s="41">
        <f>'P&amp;L Summary'!E15</f>
        <v>0.11851688369013469</v>
      </c>
      <c r="G10" s="41">
        <f>'P&amp;L Summary'!K15</f>
        <v>0.11851688369013469</v>
      </c>
      <c r="H10" s="41" t="str">
        <f>'P&amp;L Summary'!L15</f>
        <v>n.a.</v>
      </c>
    </row>
    <row r="11" spans="2:8" x14ac:dyDescent="0.25">
      <c r="B11" s="42" t="s">
        <v>89</v>
      </c>
      <c r="C11" s="43">
        <f>'P&amp;L Summary'!C18</f>
        <v>1468</v>
      </c>
      <c r="D11" s="44">
        <f>'P&amp;L Summary'!D18</f>
        <v>1670.7</v>
      </c>
      <c r="E11" s="45">
        <f>'P&amp;L Summary'!E18</f>
        <v>1881.9</v>
      </c>
      <c r="G11" s="46">
        <f>'P&amp;L Summary'!K18</f>
        <v>1881.9</v>
      </c>
      <c r="H11" s="46">
        <f>'P&amp;L Summary'!L18</f>
        <v>1881.9</v>
      </c>
    </row>
    <row r="12" spans="2:8" x14ac:dyDescent="0.25">
      <c r="B12" s="47" t="s">
        <v>90</v>
      </c>
      <c r="C12" s="48">
        <f>'P&amp;L Summary'!C19</f>
        <v>0.6099385075619079</v>
      </c>
      <c r="D12" s="49">
        <f>'P&amp;L Summary'!D19</f>
        <v>0.6145442507172809</v>
      </c>
      <c r="E12" s="50">
        <f>'P&amp;L Summary'!E19</f>
        <v>0.6188831886345698</v>
      </c>
      <c r="G12" s="51">
        <f>'P&amp;L Summary'!K19</f>
        <v>0.6188831886345698</v>
      </c>
      <c r="H12" s="51">
        <f>'P&amp;L Summary'!L19</f>
        <v>0.6188831886345698</v>
      </c>
    </row>
    <row r="13" spans="2:8" x14ac:dyDescent="0.25">
      <c r="B13" s="42" t="s">
        <v>91</v>
      </c>
      <c r="C13" s="43">
        <f>'P&amp;L Summary'!C32</f>
        <v>158.2</v>
      </c>
      <c r="D13" s="44">
        <f>'P&amp;L Summary'!D32</f>
        <v>214.64</v>
      </c>
      <c r="E13" s="45">
        <f>'P&amp;L Summary'!E32</f>
        <v>319.515</v>
      </c>
      <c r="G13" s="46">
        <f>'P&amp;L Summary'!K32</f>
        <v>319.515</v>
      </c>
      <c r="H13" s="46">
        <f>'P&amp;L Summary'!L32</f>
        <v>319.515</v>
      </c>
    </row>
    <row r="14" spans="2:8" x14ac:dyDescent="0.25">
      <c r="B14" s="47" t="s">
        <v>90</v>
      </c>
      <c r="C14" s="48">
        <f>'P&amp;L Summary'!C33</f>
        <v>0.06573043044706664</v>
      </c>
      <c r="D14" s="49">
        <f>'P&amp;L Summary'!D33</f>
        <v>0.07895240197160303</v>
      </c>
      <c r="E14" s="50">
        <f>'P&amp;L Summary'!E33</f>
        <v>0.10507596685082873</v>
      </c>
      <c r="G14" s="51">
        <f>'P&amp;L Summary'!K33</f>
        <v>0.10507596685082873</v>
      </c>
      <c r="H14" s="51">
        <f>'P&amp;L Summary'!L33</f>
        <v>0.10507596685082873</v>
      </c>
    </row>
    <row r="15" spans="2:8" x14ac:dyDescent="0.25">
      <c r="B15" s="52" t="s">
        <v>92</v>
      </c>
      <c r="C15" s="53">
        <f>'P&amp;L Summary'!C43</f>
        <v>74.6</v>
      </c>
      <c r="D15" s="53">
        <f>'P&amp;L Summary'!D43</f>
        <v>129.24</v>
      </c>
      <c r="E15" s="53">
        <f>'P&amp;L Summary'!E43</f>
        <v>232.815</v>
      </c>
      <c r="G15" s="53">
        <f>'P&amp;L Summary'!K43</f>
        <v>232.815</v>
      </c>
      <c r="H15" s="53">
        <f>'P&amp;L Summary'!L43</f>
        <v>232.815</v>
      </c>
    </row>
    <row r="16" ht="3.95" customHeight="1" x14ac:dyDescent="0.25"/>
    <row r="17" spans="2:8" x14ac:dyDescent="0.25">
      <c r="B17" s="37" t="s">
        <v>93</v>
      </c>
      <c r="C17" s="37"/>
      <c r="D17" s="37"/>
      <c r="E17" s="37"/>
      <c r="G17" s="37"/>
      <c r="H17" s="37"/>
    </row>
    <row r="18" spans="2:8" x14ac:dyDescent="0.25">
      <c r="B18" s="38" t="s">
        <v>91</v>
      </c>
      <c r="C18" s="39">
        <f>'Adj. EBITDA'!C13</f>
        <v>158.2</v>
      </c>
      <c r="D18" s="39">
        <f>'Adj. EBITDA'!D13</f>
        <v>214.64</v>
      </c>
      <c r="E18" s="39">
        <f>'Adj. EBITDA'!E13</f>
        <v>319.515</v>
      </c>
      <c r="G18" s="39">
        <f>'Adj. EBITDA'!K13</f>
        <v>319.515</v>
      </c>
      <c r="H18" s="39">
        <f>'Adj. EBITDA'!L13</f>
        <v>319.515</v>
      </c>
    </row>
    <row r="19" spans="2:8" x14ac:dyDescent="0.25">
      <c r="B19" s="52" t="s">
        <v>94</v>
      </c>
      <c r="C19" s="53">
        <f>'Adj. EBITDA'!C21</f>
        <v>19.8</v>
      </c>
      <c r="D19" s="53">
        <f>'Adj. EBITDA'!D21</f>
        <v>44.6</v>
      </c>
      <c r="E19" s="53">
        <f>'Adj. EBITDA'!E21</f>
        <v>28.4</v>
      </c>
      <c r="G19" s="53">
        <f>'Adj. EBITDA'!K21</f>
        <v>28.4</v>
      </c>
      <c r="H19" s="53">
        <f>'Adj. EBITDA'!L21</f>
        <v>28.4</v>
      </c>
    </row>
    <row r="20" spans="2:8" x14ac:dyDescent="0.25">
      <c r="B20" s="53" t="str">
        <f>'Adj. EBITDA'!$B$23</f>
        <v>(+) Owner Compensation [S1] [S4]</v>
      </c>
      <c r="C20" s="53">
        <f>'Adj. EBITDA'!C23</f>
        <v>192.584</v>
      </c>
      <c r="D20" s="53">
        <f>'Adj. EBITDA'!D23</f>
        <v>203.25</v>
      </c>
      <c r="E20" s="53">
        <f>'Adj. EBITDA'!E23</f>
        <v>213.86</v>
      </c>
      <c r="G20" s="53">
        <f>'Adj. EBITDA'!K23</f>
        <v>213.86</v>
      </c>
      <c r="H20" s="53">
        <f>'Adj. EBITDA'!L23</f>
        <v>213.86</v>
      </c>
    </row>
    <row r="21" spans="2:8" x14ac:dyDescent="0.25">
      <c r="B21" s="42" t="s">
        <v>95</v>
      </c>
      <c r="C21" s="43">
        <f>'Adj. EBITDA'!C24</f>
        <v>370.584</v>
      </c>
      <c r="D21" s="44">
        <f>'Adj. EBITDA'!D24</f>
        <v>462.49</v>
      </c>
      <c r="E21" s="45">
        <f>'Adj. EBITDA'!E24</f>
        <v>561.775</v>
      </c>
      <c r="G21" s="46">
        <f>'Adj. EBITDA'!K24</f>
        <v>561.775</v>
      </c>
      <c r="H21" s="46">
        <f>'Adj. EBITDA'!L24</f>
        <v>561.775</v>
      </c>
    </row>
    <row r="22" spans="2:8" x14ac:dyDescent="0.25">
      <c r="B22" s="47" t="s">
        <v>90</v>
      </c>
      <c r="C22" s="48">
        <f>'Adj. EBITDA'!C25</f>
        <v>0.1539737410669769</v>
      </c>
      <c r="D22" s="49">
        <f>'Adj. EBITDA'!D25</f>
        <v>0.17012065033473112</v>
      </c>
      <c r="E22" s="50">
        <f>'Adj. EBITDA'!E25</f>
        <v>0.18474579058142593</v>
      </c>
      <c r="G22" s="51">
        <f>'Adj. EBITDA'!K25</f>
        <v>0.18474579058142593</v>
      </c>
      <c r="H22" s="51">
        <f>'Adj. EBITDA'!L25</f>
        <v>0.18474579058142593</v>
      </c>
    </row>
    <row r="23" spans="2:8" x14ac:dyDescent="0.25">
      <c r="B23" s="53" t="str">
        <f>'Adj. EBITDA'!$B$26</f>
        <v>(-) Market Replacement Compensation [S2]</v>
      </c>
      <c r="C23" s="53">
        <f>'Adj. EBITDA'!C26</f>
        <v>-109.24999999999999</v>
      </c>
      <c r="D23" s="53">
        <f>'Adj. EBITDA'!D26</f>
        <v>-109.24999999999999</v>
      </c>
      <c r="E23" s="53">
        <f>'Adj. EBITDA'!E26</f>
        <v>-109.24999999999999</v>
      </c>
      <c r="G23" s="53">
        <f>'Adj. EBITDA'!K26</f>
        <v>-109.25000000000001</v>
      </c>
      <c r="H23" s="53">
        <f>'Adj. EBITDA'!L26</f>
        <v>-109.25000000000001</v>
      </c>
    </row>
    <row r="24" spans="2:8" x14ac:dyDescent="0.25">
      <c r="B24" s="54" t="str">
        <f>'Adj. EBITDA'!$B$27</f>
        <v>(-) Capital Reserve (Maintenance Capex) [S3]</v>
      </c>
      <c r="C24" s="53">
        <f>'Adj. EBITDA'!C27</f>
        <v>-66.8</v>
      </c>
      <c r="D24" s="53">
        <f>'Adj. EBITDA'!D27</f>
        <v>-66.8</v>
      </c>
      <c r="E24" s="53">
        <f>'Adj. EBITDA'!E27</f>
        <v>-66.8</v>
      </c>
      <c r="G24" s="53">
        <f>'Adj. EBITDA'!K27</f>
        <v>-66.79999999999998</v>
      </c>
      <c r="H24" s="53">
        <f>'Adj. EBITDA'!L27</f>
        <v>-66.79999999999998</v>
      </c>
    </row>
    <row r="25" spans="2:8" x14ac:dyDescent="0.25">
      <c r="B25" s="42" t="s">
        <v>96</v>
      </c>
      <c r="C25" s="43">
        <f>'Adj. EBITDA'!C28</f>
        <v>194.534</v>
      </c>
      <c r="D25" s="44">
        <f>'Adj. EBITDA'!D28</f>
        <v>286.44</v>
      </c>
      <c r="E25" s="45">
        <f>'Adj. EBITDA'!E28</f>
        <v>385.725</v>
      </c>
      <c r="G25" s="46">
        <f>'Adj. EBITDA'!K28</f>
        <v>385.725</v>
      </c>
      <c r="H25" s="46">
        <f>'Adj. EBITDA'!L28</f>
        <v>385.725</v>
      </c>
    </row>
    <row r="26" spans="2:8" x14ac:dyDescent="0.25">
      <c r="B26" s="47" t="s">
        <v>90</v>
      </c>
      <c r="C26" s="48">
        <f>'Adj. EBITDA'!C29</f>
        <v>0.08082682399867043</v>
      </c>
      <c r="D26" s="49">
        <f>'Adj. EBITDA'!D29</f>
        <v>0.10536305451335246</v>
      </c>
      <c r="E26" s="50">
        <f>'Adj. EBITDA'!E29</f>
        <v>0.12684984214680348</v>
      </c>
      <c r="G26" s="51">
        <f>'Adj. EBITDA'!K29</f>
        <v>0.12684984214680348</v>
      </c>
      <c r="H26" s="51">
        <f>'Adj. EBITDA'!L29</f>
        <v>0.12684984214680348</v>
      </c>
    </row>
    <row r="27" spans="2:8" x14ac:dyDescent="0.25">
      <c r="B27" s="52" t="s">
        <v>97</v>
      </c>
      <c r="C27" s="53">
        <f>'Adj. EBITDA'!C31</f>
        <v>0</v>
      </c>
      <c r="D27" s="53">
        <f>'Adj. EBITDA'!D31</f>
        <v>0</v>
      </c>
      <c r="E27" s="53">
        <f>'Adj. EBITDA'!E31</f>
        <v>0</v>
      </c>
      <c r="G27" s="53">
        <f>'Adj. EBITDA'!K31</f>
        <v>0</v>
      </c>
      <c r="H27" s="53">
        <f>'Adj. EBITDA'!L31</f>
        <v>0</v>
      </c>
    </row>
    <row r="28" spans="2:8" x14ac:dyDescent="0.25">
      <c r="B28" s="42" t="s">
        <v>98</v>
      </c>
      <c r="C28" s="43">
        <f>'Adj. EBITDA'!C32</f>
        <v>194.534</v>
      </c>
      <c r="D28" s="44">
        <f>'Adj. EBITDA'!D32</f>
        <v>286.44</v>
      </c>
      <c r="E28" s="45">
        <f>'Adj. EBITDA'!E32</f>
        <v>385.725</v>
      </c>
      <c r="G28" s="46">
        <f>'Adj. EBITDA'!K32</f>
        <v>385.725</v>
      </c>
      <c r="H28" s="46">
        <f>'Adj. EBITDA'!L32</f>
        <v>385.725</v>
      </c>
    </row>
    <row r="29" spans="2:8" x14ac:dyDescent="0.25">
      <c r="B29" s="47" t="s">
        <v>90</v>
      </c>
      <c r="C29" s="48">
        <f>'Adj. EBITDA'!C33</f>
        <v>0.08082682399867043</v>
      </c>
      <c r="D29" s="49">
        <f>'Adj. EBITDA'!D33</f>
        <v>0.10536305451335246</v>
      </c>
      <c r="E29" s="50">
        <f>'Adj. EBITDA'!E33</f>
        <v>0.12684984214680348</v>
      </c>
      <c r="G29" s="51">
        <f>'Adj. EBITDA'!K33</f>
        <v>0.12684984214680348</v>
      </c>
      <c r="H29" s="51">
        <f>'Adj. EBITDA'!L33</f>
        <v>0.12684984214680348</v>
      </c>
    </row>
    <row r="30" ht="3.95" customHeight="1" x14ac:dyDescent="0.25"/>
    <row r="31" spans="2:8" x14ac:dyDescent="0.25">
      <c r="B31" s="37" t="s">
        <v>99</v>
      </c>
      <c r="C31" s="37"/>
      <c r="D31" s="37"/>
      <c r="E31" s="37"/>
      <c r="G31" s="37"/>
      <c r="H31" s="37"/>
    </row>
    <row r="32" spans="2:8" x14ac:dyDescent="0.25">
      <c r="B32" s="52" t="s">
        <v>100</v>
      </c>
      <c r="C32" s="53">
        <f>'P&amp;L Summary'!C47</f>
        <v>44</v>
      </c>
      <c r="D32" s="53">
        <f>'P&amp;L Summary'!D47</f>
        <v>49</v>
      </c>
      <c r="E32" s="53">
        <f>'P&amp;L Summary'!E47</f>
        <v>52</v>
      </c>
      <c r="G32" s="53">
        <f>'P&amp;L Summary'!K47</f>
        <v>52</v>
      </c>
      <c r="H32" s="53">
        <f>'P&amp;L Summary'!L47</f>
        <v>52</v>
      </c>
    </row>
    <row r="33" spans="2:8" x14ac:dyDescent="0.25">
      <c r="B33" s="52" t="s">
        <v>101</v>
      </c>
      <c r="C33" s="55">
        <f>'P&amp;L Summary'!C49</f>
        <v>21</v>
      </c>
      <c r="D33" s="55">
        <f>'P&amp;L Summary'!D49</f>
        <v>23</v>
      </c>
      <c r="E33" s="55">
        <f>'P&amp;L Summary'!E49</f>
        <v>23</v>
      </c>
      <c r="G33" s="55">
        <f>'P&amp;L Summary'!K49</f>
        <v>23</v>
      </c>
      <c r="H33" s="55">
        <f>'P&amp;L Summary'!L49</f>
        <v>23</v>
      </c>
    </row>
    <row r="34" spans="2:8" x14ac:dyDescent="0.25">
      <c r="B34" s="52" t="s">
        <v>102</v>
      </c>
      <c r="C34" s="39">
        <f>'P&amp;L Summary'!C50</f>
        <v>114609.52380952382</v>
      </c>
      <c r="D34" s="39">
        <f>'P&amp;L Summary'!D50</f>
        <v>118200</v>
      </c>
      <c r="E34" s="39">
        <f>'P&amp;L Summary'!E50</f>
        <v>132208.69565217392</v>
      </c>
      <c r="G34" s="39">
        <f>'P&amp;L Summary'!K50</f>
        <v>132208.69565217392</v>
      </c>
      <c r="H34" s="39">
        <f>'P&amp;L Summary'!L50</f>
        <v>132208.69565217392</v>
      </c>
    </row>
    <row r="35" spans="2:8" x14ac:dyDescent="0.25">
      <c r="B35" s="52" t="s">
        <v>103</v>
      </c>
      <c r="C35" s="56">
        <f>'P&amp;L Summary'!C51</f>
        <v>0.29832807046701015</v>
      </c>
      <c r="D35" s="56">
        <f>'P&amp;L Summary'!D51</f>
        <v>0.2960531155741926</v>
      </c>
      <c r="E35" s="56">
        <f>'P&amp;L Summary'!E51</f>
        <v>0.29296237832149435</v>
      </c>
      <c r="G35" s="56">
        <f>'P&amp;L Summary'!K51</f>
        <v>0.29296237832149435</v>
      </c>
      <c r="H35" s="56">
        <f>'P&amp;L Summary'!L51</f>
        <v>0.29296237832149435</v>
      </c>
    </row>
    <row r="36" spans="2:8" x14ac:dyDescent="0.25">
      <c r="B36" s="52" t="s">
        <v>104</v>
      </c>
      <c r="C36" s="56">
        <f>'P&amp;L Summary'!C52</f>
        <v>0.08916403523350507</v>
      </c>
      <c r="D36" s="56">
        <f>'P&amp;L Summary'!D52</f>
        <v>0.09133377473699698</v>
      </c>
      <c r="E36" s="56">
        <f>'P&amp;L Summary'!E52</f>
        <v>0.09517232307287556</v>
      </c>
      <c r="G36" s="56">
        <f>'P&amp;L Summary'!K52</f>
        <v>0.09517232307287556</v>
      </c>
      <c r="H36" s="56">
        <f>'P&amp;L Summary'!L52</f>
        <v>0.09517232307287556</v>
      </c>
    </row>
    <row r="37" ht="3.95" customHeight="1" x14ac:dyDescent="0.25"/>
    <row r="38" spans="2:8" x14ac:dyDescent="0.25">
      <c r="B38" s="37" t="s">
        <v>105</v>
      </c>
      <c r="C38" s="37"/>
      <c r="D38" s="37"/>
      <c r="E38" s="37"/>
      <c r="G38" s="37"/>
      <c r="H38" s="37"/>
    </row>
    <row r="39" spans="2:7" x14ac:dyDescent="0.25">
      <c r="B39" s="52" t="s">
        <v>106</v>
      </c>
      <c r="G39" s="57">
        <f>'Concentration'!$D$34</f>
        <v>0.19297553275453827</v>
      </c>
    </row>
    <row r="40" spans="2:10" x14ac:dyDescent="0.25">
      <c r="B40" s="58" t="s">
        <v>107</v>
      </c>
      <c r="G40" s="59">
        <f>'NWC'!H20</f>
        <v>173.2</v>
      </c>
      <c r="J40" s="60" t="s">
        <v>108</v>
      </c>
    </row>
    <row r="41" spans="2:10" x14ac:dyDescent="0.25">
      <c r="B41" s="52" t="s">
        <v>109</v>
      </c>
      <c r="G41" s="61">
        <f>'Debt-Like Items'!$C$15</f>
        <v>279.4</v>
      </c>
      <c r="J41" s="60" t="s">
        <v>110</v>
      </c>
    </row>
    <row r="42" spans="2:10" x14ac:dyDescent="0.25">
      <c r="B42" s="58" t="s">
        <v>31</v>
      </c>
      <c r="G42" s="62" t="str">
        <f>IF('Assumptions'!$C$18=1,"Main Street","Lower middle market")</f>
        <v>Main Street</v>
      </c>
      <c r="J42" s="60" t="s">
        <v>111</v>
      </c>
    </row>
    <row r="43" spans="2:7" x14ac:dyDescent="0.25">
      <c r="B43" s="52" t="s">
        <v>34</v>
      </c>
      <c r="G43" s="63" t="str">
        <f>'Assumptions'!$C$20</f>
        <v>Asset purchase</v>
      </c>
    </row>
    <row r="44" ht="3.95" customHeight="1" x14ac:dyDescent="0.25"/>
    <row r="45" spans="2:8" x14ac:dyDescent="0.25">
      <c r="B45" s="37" t="s">
        <v>112</v>
      </c>
      <c r="C45" s="37"/>
      <c r="D45" s="37"/>
      <c r="E45" s="37"/>
      <c r="G45" s="37"/>
      <c r="H45" s="37"/>
    </row>
    <row r="46" spans="2:10" x14ac:dyDescent="0.25">
      <c r="B46" s="58" t="s">
        <v>113</v>
      </c>
      <c r="G46" s="64">
        <f>'Assumptions'!$C$112</f>
        <v>1450</v>
      </c>
      <c r="J46" s="60" t="s">
        <v>114</v>
      </c>
    </row>
    <row r="47" spans="2:10" x14ac:dyDescent="0.25">
      <c r="B47" s="52" t="s">
        <v>115</v>
      </c>
      <c r="G47" s="65">
        <f>'Assumptions'!$C$113</f>
        <v>0.82</v>
      </c>
      <c r="J47" s="60" t="s">
        <v>116</v>
      </c>
    </row>
    <row r="48" spans="2:10" x14ac:dyDescent="0.25">
      <c r="B48" s="66" t="s">
        <v>117</v>
      </c>
      <c r="G48" s="65">
        <f>'Assumptions'!$C$114</f>
        <v>0.35</v>
      </c>
      <c r="J48" s="60" t="s">
        <v>116</v>
      </c>
    </row>
    <row r="49" spans="2:10" x14ac:dyDescent="0.25">
      <c r="B49" s="52" t="s">
        <v>118</v>
      </c>
      <c r="G49" s="67">
        <f>'Assumptions'!$C$115</f>
        <v>4.8</v>
      </c>
      <c r="J49" s="60" t="s">
        <v>116</v>
      </c>
    </row>
    <row r="50" spans="2:10" x14ac:dyDescent="0.25">
      <c r="B50" s="52" t="s">
        <v>119</v>
      </c>
      <c r="G50" s="68">
        <f>'Assumptions'!$C$116</f>
        <v>900</v>
      </c>
      <c r="J50" s="60" t="s">
        <v>120</v>
      </c>
    </row>
    <row r="51" spans="2:10" x14ac:dyDescent="0.25">
      <c r="B51" s="52" t="s">
        <v>121</v>
      </c>
      <c r="G51" s="68">
        <f>'Assumptions'!$C$117</f>
        <v>18</v>
      </c>
      <c r="J51" s="60" t="s">
        <v>116</v>
      </c>
    </row>
    <row r="52" spans="2:10" x14ac:dyDescent="0.25">
      <c r="B52" s="52" t="s">
        <v>122</v>
      </c>
      <c r="G52" s="68">
        <f>'Assumptions'!$C$118</f>
        <v>2</v>
      </c>
      <c r="J52" s="60" t="s">
        <v>116</v>
      </c>
    </row>
    <row r="53" spans="2:10" x14ac:dyDescent="0.25">
      <c r="B53" s="52" t="s">
        <v>123</v>
      </c>
      <c r="G53" s="68">
        <f>'Assumptions'!$C$119</f>
        <v>35</v>
      </c>
      <c r="J53" s="60" t="s">
        <v>116</v>
      </c>
    </row>
    <row r="54" spans="2:10" x14ac:dyDescent="0.25">
      <c r="B54" s="52" t="s">
        <v>124</v>
      </c>
      <c r="G54" s="68">
        <f>'Assumptions'!$C$120</f>
        <v>8000</v>
      </c>
      <c r="J54" s="60" t="s">
        <v>116</v>
      </c>
    </row>
    <row r="55" spans="2:10" x14ac:dyDescent="0.25">
      <c r="B55" s="52" t="s">
        <v>125</v>
      </c>
      <c r="G55" s="68">
        <f>'Assumptions'!$C$121</f>
        <v>45</v>
      </c>
      <c r="J55" s="60" t="s">
        <v>116</v>
      </c>
    </row>
    <row r="56" ht="3.95" customHeight="1" x14ac:dyDescent="0.25"/>
    <row r="57" spans="2:8" x14ac:dyDescent="0.25">
      <c r="B57" s="37" t="s">
        <v>126</v>
      </c>
      <c r="C57" s="37"/>
      <c r="D57" s="37"/>
      <c r="E57" s="37"/>
      <c r="G57" s="37"/>
      <c r="H57" s="37"/>
    </row>
    <row r="58" spans="2:5" x14ac:dyDescent="0.25">
      <c r="B58" s="13" t="s">
        <v>127</v>
      </c>
      <c r="C58" s="12" t="s">
        <v>128</v>
      </c>
      <c r="D58" s="12" t="s">
        <v>129</v>
      </c>
      <c r="E58" s="12" t="s">
        <v>130</v>
      </c>
    </row>
    <row r="59" spans="2:5" x14ac:dyDescent="0.25">
      <c r="B59" s="38" t="s">
        <v>131</v>
      </c>
      <c r="C59" s="39">
        <f>'Valuation'!C30</f>
        <v>1263.3</v>
      </c>
      <c r="D59" s="39">
        <f>'Valuation'!D30</f>
        <v>1685.33</v>
      </c>
      <c r="E59" s="39">
        <f>'Valuation'!E30</f>
        <v>2163.81</v>
      </c>
    </row>
    <row r="60" spans="2:5" x14ac:dyDescent="0.25">
      <c r="B60" s="52" t="s">
        <v>132</v>
      </c>
      <c r="C60" s="69">
        <f>'Valuation'!C31</f>
        <v>2.248765074985537</v>
      </c>
      <c r="D60" s="69">
        <f>'Valuation'!D31</f>
        <v>3.0000089003604646</v>
      </c>
      <c r="E60" s="69">
        <f>'Valuation'!E31</f>
        <v>3.851737795380713</v>
      </c>
    </row>
    <row r="61" spans="2:5" x14ac:dyDescent="0.25">
      <c r="B61" s="52" t="s">
        <v>133</v>
      </c>
      <c r="C61" s="69">
        <f>'Valuation'!C32</f>
        <v>3.275131246354268</v>
      </c>
      <c r="D61" s="69">
        <f>'Valuation'!D32</f>
        <v>4.369252705943353</v>
      </c>
      <c r="E61" s="69">
        <f>'Valuation'!E32</f>
        <v>5.6097219521679955</v>
      </c>
    </row>
    <row r="62" spans="2:10" x14ac:dyDescent="0.25">
      <c r="B62" s="58" t="s">
        <v>134</v>
      </c>
      <c r="C62" s="70">
        <f>'Valuation'!C44</f>
        <v>1.7885235833430195</v>
      </c>
      <c r="D62" s="70">
        <f>'Valuation'!D44</f>
        <v>1.5705236389651513</v>
      </c>
      <c r="E62" s="70">
        <f>'Valuation'!E44</f>
        <v>1.4022762470258665</v>
      </c>
      <c r="J62" s="71" t="str">
        <f>'Valuation'!$G$44</f>
        <v>SBA loan only: High case binds at 1.40x, clearing the 1.25x hurdle</v>
      </c>
    </row>
    <row r="63" spans="2:10" x14ac:dyDescent="0.25">
      <c r="B63" s="58" t="s">
        <v>135</v>
      </c>
      <c r="C63" s="72" t="s">
        <v>136</v>
      </c>
      <c r="D63" s="70">
        <f>'Valuation'!$D$45</f>
        <v>0.889260981564293</v>
      </c>
      <c r="E63" s="72" t="s">
        <v>136</v>
      </c>
      <c r="J63" s="71" t="str">
        <f>IF(ISNUMBER(D63),IF(D63&lt;'Assumptions'!$C$84,"Below the "&amp;TEXT('Assumptions'!$C$84,"0.00")&amp;"x hurdle: the seller note amortises inside "&amp;TEXT('Assumptions'!$C$57,"0")&amp;" months; lengthen the note or lower the price","Clears the "&amp;TEXT('Assumptions'!$C$84,"0.00")&amp;"x hurdle, seller note included"),"n.a.")</f>
        <v>Below the 1.25x hurdle: the seller note amortises inside 18 months; lengthen the note or lower the price</v>
      </c>
    </row>
    <row r="65" ht="25" customHeight="1" spans="2:11" x14ac:dyDescent="0.25">
      <c r="B65" s="60" t="s">
        <v>137</v>
      </c>
      <c r="C65" s="60"/>
      <c r="D65" s="60"/>
      <c r="E65" s="60"/>
      <c r="F65" s="60"/>
      <c r="G65" s="60"/>
      <c r="H65" s="60"/>
      <c r="I65" s="60"/>
      <c r="J65" s="60"/>
      <c r="K65" s="60"/>
    </row>
  </sheetData>
  <mergeCells count="1">
    <mergeCell ref="B65:K65"/>
  </mergeCells>
  <conditionalFormatting sqref="B2 K3 C9:E15 G9:H15 C18:E19 B20:E20 C21:E22 B23:E24 C25:E29 G18:H29 G32:H36 C32:E36 G39:G43 G46:G55 C59:E62 J62:J63 D63">
    <cfRule type="expression" dxfId="2" priority="1">
      <formula>$K$3=1</formula>
    </cfRule>
  </conditionalFormatting>
  <printOptions horizontalCentered="1"/>
  <pageMargins left="0.5" right="0.5" top="0.6" bottom="0.7" header="0.3" footer="0.3"/>
  <pageSetup paperSize="1" orientation="portrait" fitToWidth="1" fitToHeight="0"/>
  <headerFooter>
    <oddHeader>&amp;RProject Ridgeline | As of 12/31/25</oddHeader>
    <oddFooter>&amp;LAMB Advisory Services | Strictly confidential&amp;C&amp;A&amp;RPage &amp;P of &amp;N</oddFooter>
  </headerFooter>
  <rowBreaks count="1" manualBreakCount="1">
    <brk id="5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J123"/>
  <sheetViews>
    <sheetView workbookViewId="0" showGridLines="0" zoomScale="100"/>
  </sheetViews>
  <sheetFormatPr defaultRowHeight="12.75" outlineLevelRow="0" outlineLevelCol="0" x14ac:dyDescent="55" customHeight="1"/>
  <cols>
    <col min="1" max="1" width="1.7" customWidth="1"/>
    <col min="2" max="2" width="46" customWidth="1"/>
    <col min="3" max="5" width="16" customWidth="1"/>
    <col min="6" max="7" width="11" customWidth="1"/>
    <col min="8" max="8" width="0.9" customWidth="1"/>
    <col min="9" max="9" width="36" customWidth="1"/>
    <col min="10" max="10" width="7" customWidth="1"/>
  </cols>
  <sheetData>
    <row r="2" ht="16.5" customHeight="1" spans="2:2" x14ac:dyDescent="0.25">
      <c r="B2" s="9">
        <f>Cover!B24</f>
      </c>
    </row>
    <row r="3" spans="2:10" x14ac:dyDescent="0.25">
      <c r="B3" s="10" t="s">
        <v>138</v>
      </c>
      <c r="C3" s="11"/>
      <c r="D3" s="11"/>
      <c r="E3" s="11"/>
      <c r="F3" s="11"/>
      <c r="G3" s="11"/>
      <c r="H3" s="11"/>
      <c r="I3" s="34" t="s">
        <v>80</v>
      </c>
      <c r="J3" s="35">
        <f>'Contents'!$I$18</f>
      </c>
    </row>
    <row r="5" spans="2:10" x14ac:dyDescent="0.25">
      <c r="B5" s="36"/>
      <c r="C5" s="36" t="s">
        <v>139</v>
      </c>
      <c r="D5" s="36"/>
      <c r="E5" s="36"/>
      <c r="F5" s="36"/>
      <c r="G5" s="36"/>
      <c r="I5" s="36" t="s">
        <v>140</v>
      </c>
      <c r="J5" s="36"/>
    </row>
    <row r="6" spans="2:10" x14ac:dyDescent="0.25">
      <c r="B6" s="13" t="s">
        <v>141</v>
      </c>
      <c r="C6" s="12" t="s">
        <v>142</v>
      </c>
      <c r="D6" s="12"/>
      <c r="E6" s="12"/>
      <c r="F6" s="12"/>
      <c r="G6" s="12"/>
      <c r="I6" s="13" t="s">
        <v>140</v>
      </c>
      <c r="J6" s="12"/>
    </row>
    <row r="8" spans="2:10" x14ac:dyDescent="0.25">
      <c r="B8" s="37" t="s">
        <v>9</v>
      </c>
      <c r="C8" s="37"/>
      <c r="D8" s="37"/>
      <c r="E8" s="37"/>
      <c r="F8" s="37"/>
      <c r="G8" s="37"/>
      <c r="I8" s="37"/>
      <c r="J8" s="37"/>
    </row>
    <row r="9" spans="2:9" x14ac:dyDescent="0.25">
      <c r="B9" s="73" t="s">
        <v>143</v>
      </c>
      <c r="C9" s="74">
        <v>46022</v>
      </c>
      <c r="I9" s="60" t="s">
        <v>144</v>
      </c>
    </row>
    <row r="10" spans="2:9" x14ac:dyDescent="0.25">
      <c r="B10" s="75" t="s">
        <v>145</v>
      </c>
      <c r="C10" s="76">
        <v>44927</v>
      </c>
      <c r="I10" s="60" t="s">
        <v>146</v>
      </c>
    </row>
    <row r="11" spans="2:9" x14ac:dyDescent="0.25">
      <c r="B11" s="73" t="s">
        <v>147</v>
      </c>
      <c r="C11" s="77" t="s">
        <v>148</v>
      </c>
      <c r="I11" s="60" t="s">
        <v>149</v>
      </c>
    </row>
    <row r="12" spans="2:9" x14ac:dyDescent="0.25">
      <c r="B12" s="75" t="s">
        <v>150</v>
      </c>
      <c r="C12" s="78" t="s">
        <v>151</v>
      </c>
      <c r="I12" s="60" t="s">
        <v>152</v>
      </c>
    </row>
    <row r="13" spans="2:9" x14ac:dyDescent="0.25">
      <c r="B13" s="75" t="s">
        <v>153</v>
      </c>
      <c r="C13" s="79">
        <f>EOMONTH($C$9,0)</f>
        <v>46022</v>
      </c>
      <c r="I13" s="60" t="s">
        <v>154</v>
      </c>
    </row>
    <row r="14" spans="2:9" x14ac:dyDescent="0.25">
      <c r="B14" s="75" t="s">
        <v>155</v>
      </c>
      <c r="C14" s="80">
        <v>12</v>
      </c>
      <c r="I14" s="60" t="s">
        <v>156</v>
      </c>
    </row>
    <row r="15" spans="2:9" x14ac:dyDescent="0.25">
      <c r="B15" s="75" t="s">
        <v>157</v>
      </c>
      <c r="C15" s="81">
        <f>YEAR($C$9)+IF(MONTH($C$9)&gt;$C$14,1,0)-IF(MONTH($C$9)=$C$14,0,1)</f>
        <v>2025</v>
      </c>
      <c r="I15" s="60" t="s">
        <v>158</v>
      </c>
    </row>
    <row r="16" spans="2:9" x14ac:dyDescent="0.25">
      <c r="B16" s="75" t="s">
        <v>159</v>
      </c>
      <c r="C16" s="78" t="s">
        <v>18</v>
      </c>
      <c r="I16" s="60" t="s">
        <v>160</v>
      </c>
    </row>
    <row r="17" spans="2:9" x14ac:dyDescent="0.25">
      <c r="B17" s="75" t="s">
        <v>161</v>
      </c>
      <c r="C17" s="78" t="s">
        <v>162</v>
      </c>
      <c r="I17" s="60" t="s">
        <v>163</v>
      </c>
    </row>
    <row r="18" spans="2:9" x14ac:dyDescent="0.25">
      <c r="B18" s="73" t="s">
        <v>164</v>
      </c>
      <c r="C18" s="82">
        <v>1</v>
      </c>
      <c r="I18" s="60" t="s">
        <v>165</v>
      </c>
    </row>
    <row r="19" spans="2:9" x14ac:dyDescent="0.25">
      <c r="B19" s="73" t="s">
        <v>166</v>
      </c>
      <c r="C19" s="83">
        <v>1000000</v>
      </c>
      <c r="I19" s="60" t="s">
        <v>167</v>
      </c>
    </row>
    <row r="20" spans="2:9" x14ac:dyDescent="0.25">
      <c r="B20" s="73" t="s">
        <v>34</v>
      </c>
      <c r="C20" s="84" t="s">
        <v>35</v>
      </c>
      <c r="I20" s="60" t="s">
        <v>168</v>
      </c>
    </row>
    <row r="21" ht="3.95" customHeight="1" x14ac:dyDescent="0.25"/>
    <row r="22" spans="2:10" x14ac:dyDescent="0.25">
      <c r="B22" s="37" t="s">
        <v>169</v>
      </c>
      <c r="C22" s="37"/>
      <c r="D22" s="37"/>
      <c r="E22" s="37"/>
      <c r="F22" s="37"/>
      <c r="G22" s="37"/>
      <c r="I22" s="37"/>
      <c r="J22" s="37"/>
    </row>
    <row r="23" spans="2:9" x14ac:dyDescent="0.25">
      <c r="B23" s="73" t="s">
        <v>170</v>
      </c>
      <c r="C23" s="85">
        <v>95000</v>
      </c>
      <c r="I23" s="60" t="s">
        <v>171</v>
      </c>
    </row>
    <row r="24" spans="2:9" x14ac:dyDescent="0.25">
      <c r="B24" s="73" t="s">
        <v>172</v>
      </c>
      <c r="C24" s="86">
        <v>0.15</v>
      </c>
      <c r="I24" s="60" t="s">
        <v>173</v>
      </c>
    </row>
    <row r="25" spans="2:9" x14ac:dyDescent="0.25">
      <c r="B25" s="75" t="s">
        <v>174</v>
      </c>
      <c r="C25" s="87">
        <f>$C$23*(1+$C$24)</f>
        <v>109249.99999999999</v>
      </c>
      <c r="I25" s="60" t="s">
        <v>175</v>
      </c>
    </row>
    <row r="26" spans="2:9" x14ac:dyDescent="0.25">
      <c r="B26" s="73" t="s">
        <v>176</v>
      </c>
      <c r="C26" s="85">
        <v>66800</v>
      </c>
      <c r="I26" s="60" t="s">
        <v>177</v>
      </c>
    </row>
    <row r="27" spans="2:9" x14ac:dyDescent="0.25">
      <c r="B27" s="73" t="s">
        <v>178</v>
      </c>
      <c r="C27" s="77" t="s">
        <v>179</v>
      </c>
      <c r="I27" s="60" t="s">
        <v>180</v>
      </c>
    </row>
    <row r="28" ht="3.95" customHeight="1" x14ac:dyDescent="0.25"/>
    <row r="29" spans="2:10" x14ac:dyDescent="0.25">
      <c r="B29" s="37" t="s">
        <v>181</v>
      </c>
      <c r="C29" s="37"/>
      <c r="D29" s="37"/>
      <c r="E29" s="37"/>
      <c r="F29" s="37"/>
      <c r="G29" s="37"/>
      <c r="I29" s="37"/>
      <c r="J29" s="37"/>
    </row>
    <row r="30" spans="2:7" x14ac:dyDescent="0.25">
      <c r="B30" s="88" t="s">
        <v>182</v>
      </c>
      <c r="C30" s="89" t="s">
        <v>183</v>
      </c>
      <c r="D30" s="89" t="s">
        <v>184</v>
      </c>
      <c r="E30" s="89" t="s">
        <v>185</v>
      </c>
      <c r="F30" s="89" t="s">
        <v>186</v>
      </c>
      <c r="G30" s="89" t="s">
        <v>187</v>
      </c>
    </row>
    <row r="31" spans="2:9" x14ac:dyDescent="0.25">
      <c r="B31" s="73" t="s">
        <v>188</v>
      </c>
      <c r="C31" s="86">
        <v>0.124</v>
      </c>
      <c r="D31" s="86">
        <v>0.1005</v>
      </c>
      <c r="E31" s="86">
        <v>0.077</v>
      </c>
      <c r="F31" s="86">
        <v>0.0535</v>
      </c>
      <c r="G31" s="86">
        <v>0.03</v>
      </c>
      <c r="I31" s="60" t="s">
        <v>189</v>
      </c>
    </row>
    <row r="32" spans="2:9" x14ac:dyDescent="0.25">
      <c r="B32" s="73" t="s">
        <v>190</v>
      </c>
      <c r="C32" s="86">
        <v>0.3811</v>
      </c>
      <c r="D32" s="86">
        <v>0.3811</v>
      </c>
      <c r="E32" s="86">
        <v>0.3811</v>
      </c>
      <c r="F32" s="86">
        <v>0.3811</v>
      </c>
      <c r="G32" s="86">
        <v>0.3811</v>
      </c>
      <c r="I32" s="60" t="s">
        <v>191</v>
      </c>
    </row>
    <row r="33" spans="2:9" x14ac:dyDescent="0.25">
      <c r="B33" s="73" t="s">
        <v>192</v>
      </c>
      <c r="C33" s="86">
        <v>0.2975</v>
      </c>
      <c r="D33" s="86">
        <v>0.2975</v>
      </c>
      <c r="E33" s="86">
        <v>0.2975</v>
      </c>
      <c r="F33" s="86">
        <v>0.2975</v>
      </c>
      <c r="G33" s="86">
        <v>0.2975</v>
      </c>
      <c r="I33" s="60" t="s">
        <v>191</v>
      </c>
    </row>
    <row r="34" spans="2:9" x14ac:dyDescent="0.25">
      <c r="B34" s="73" t="s">
        <v>193</v>
      </c>
      <c r="C34" s="85">
        <v>200000</v>
      </c>
      <c r="D34" s="85">
        <v>200000</v>
      </c>
      <c r="E34" s="85">
        <v>200000</v>
      </c>
      <c r="F34" s="85">
        <v>200000</v>
      </c>
      <c r="G34" s="85">
        <v>200000</v>
      </c>
      <c r="I34" s="60" t="s">
        <v>194</v>
      </c>
    </row>
    <row r="35" spans="2:9" x14ac:dyDescent="0.25">
      <c r="B35" s="73" t="s">
        <v>195</v>
      </c>
      <c r="C35" s="86">
        <v>0.0251</v>
      </c>
      <c r="D35" s="86">
        <v>0.0251</v>
      </c>
      <c r="E35" s="86">
        <v>0.0251</v>
      </c>
      <c r="F35" s="86">
        <v>0.0251</v>
      </c>
      <c r="G35" s="86">
        <v>0.0251</v>
      </c>
      <c r="I35" s="60" t="s">
        <v>196</v>
      </c>
    </row>
    <row r="36" spans="2:9" x14ac:dyDescent="0.25">
      <c r="B36" s="73" t="s">
        <v>197</v>
      </c>
      <c r="C36" s="86">
        <v>0.0262</v>
      </c>
      <c r="D36" s="86">
        <v>0.0262</v>
      </c>
      <c r="E36" s="86">
        <v>0.0262</v>
      </c>
      <c r="F36" s="86">
        <v>0.0262</v>
      </c>
      <c r="G36" s="86">
        <v>0.0262</v>
      </c>
      <c r="I36" s="60" t="s">
        <v>191</v>
      </c>
    </row>
    <row r="37" spans="2:9" x14ac:dyDescent="0.25">
      <c r="B37" s="73" t="s">
        <v>198</v>
      </c>
      <c r="C37" s="86">
        <v>0.1002</v>
      </c>
      <c r="D37" s="86">
        <v>0.1002</v>
      </c>
      <c r="E37" s="86">
        <v>0.1002</v>
      </c>
      <c r="F37" s="86">
        <v>0.1002</v>
      </c>
      <c r="G37" s="86">
        <v>0.1002</v>
      </c>
      <c r="I37" s="60" t="s">
        <v>191</v>
      </c>
    </row>
    <row r="38" spans="2:9" x14ac:dyDescent="0.25">
      <c r="B38" s="73" t="s">
        <v>199</v>
      </c>
      <c r="C38" s="86">
        <v>0.0238</v>
      </c>
      <c r="D38" s="86">
        <v>0.0238</v>
      </c>
      <c r="E38" s="86">
        <v>0.0238</v>
      </c>
      <c r="F38" s="86">
        <v>0.0238</v>
      </c>
      <c r="G38" s="86">
        <v>0.0238</v>
      </c>
      <c r="I38" s="60" t="s">
        <v>191</v>
      </c>
    </row>
    <row r="39" spans="2:9" x14ac:dyDescent="0.25">
      <c r="B39" s="73" t="s">
        <v>200</v>
      </c>
      <c r="C39" s="86">
        <v>0.0238</v>
      </c>
      <c r="D39" s="86">
        <v>0.0238</v>
      </c>
      <c r="E39" s="86">
        <v>0.0238</v>
      </c>
      <c r="F39" s="86">
        <v>0.0238</v>
      </c>
      <c r="G39" s="86">
        <v>0.0238</v>
      </c>
      <c r="I39" s="60" t="s">
        <v>201</v>
      </c>
    </row>
    <row r="40" spans="2:9" x14ac:dyDescent="0.25">
      <c r="B40" s="73" t="s">
        <v>202</v>
      </c>
      <c r="C40" s="90">
        <v>30</v>
      </c>
      <c r="D40" s="90">
        <v>30</v>
      </c>
      <c r="E40" s="90">
        <v>30</v>
      </c>
      <c r="F40" s="90">
        <v>30</v>
      </c>
      <c r="G40" s="90">
        <v>30</v>
      </c>
      <c r="I40" s="60" t="s">
        <v>203</v>
      </c>
    </row>
    <row r="41" spans="2:9" x14ac:dyDescent="0.25">
      <c r="B41" s="73" t="s">
        <v>204</v>
      </c>
      <c r="C41" s="90">
        <v>30</v>
      </c>
      <c r="D41" s="90">
        <v>30</v>
      </c>
      <c r="E41" s="90">
        <v>30</v>
      </c>
      <c r="F41" s="90">
        <v>30</v>
      </c>
      <c r="G41" s="90">
        <v>30</v>
      </c>
      <c r="I41" s="60" t="s">
        <v>205</v>
      </c>
    </row>
    <row r="42" spans="2:9" x14ac:dyDescent="0.25">
      <c r="B42" s="73" t="s">
        <v>206</v>
      </c>
      <c r="C42" s="90">
        <v>37</v>
      </c>
      <c r="D42" s="90">
        <v>37</v>
      </c>
      <c r="E42" s="90">
        <v>37</v>
      </c>
      <c r="F42" s="90">
        <v>37</v>
      </c>
      <c r="G42" s="90">
        <v>37</v>
      </c>
      <c r="I42" s="60" t="s">
        <v>207</v>
      </c>
    </row>
    <row r="43" spans="2:9" x14ac:dyDescent="0.25">
      <c r="B43" s="73" t="s">
        <v>208</v>
      </c>
      <c r="C43" s="91">
        <v>0.0512</v>
      </c>
      <c r="D43" s="91">
        <v>0.0512</v>
      </c>
      <c r="E43" s="91">
        <v>0.0512</v>
      </c>
      <c r="F43" s="91">
        <v>0.0512</v>
      </c>
      <c r="G43" s="91">
        <v>0.0512</v>
      </c>
      <c r="I43" s="60" t="s">
        <v>209</v>
      </c>
    </row>
    <row r="44" spans="2:9" x14ac:dyDescent="0.25">
      <c r="B44" s="73" t="s">
        <v>210</v>
      </c>
      <c r="C44" s="85">
        <v>55880</v>
      </c>
      <c r="D44" s="85">
        <v>55880</v>
      </c>
      <c r="E44" s="85">
        <v>55880</v>
      </c>
      <c r="F44" s="85">
        <v>55880</v>
      </c>
      <c r="G44" s="85">
        <v>55880</v>
      </c>
      <c r="I44" s="60" t="s">
        <v>211</v>
      </c>
    </row>
    <row r="45" spans="2:9" x14ac:dyDescent="0.25">
      <c r="B45" s="73" t="s">
        <v>212</v>
      </c>
      <c r="C45" s="86">
        <v>0</v>
      </c>
      <c r="D45" s="86">
        <v>0</v>
      </c>
      <c r="E45" s="86">
        <v>0</v>
      </c>
      <c r="F45" s="86">
        <v>0</v>
      </c>
      <c r="G45" s="86">
        <v>0</v>
      </c>
      <c r="I45" s="60" t="s">
        <v>213</v>
      </c>
    </row>
    <row r="46" spans="2:9" x14ac:dyDescent="0.25">
      <c r="B46" s="73" t="s">
        <v>214</v>
      </c>
      <c r="C46" s="86">
        <v>0</v>
      </c>
      <c r="D46" s="86">
        <v>0</v>
      </c>
      <c r="E46" s="86">
        <v>0</v>
      </c>
      <c r="F46" s="86">
        <v>0</v>
      </c>
      <c r="G46" s="86">
        <v>0</v>
      </c>
      <c r="I46" s="60" t="s">
        <v>215</v>
      </c>
    </row>
    <row r="47" ht="3.95" customHeight="1" x14ac:dyDescent="0.25"/>
    <row r="48" spans="2:10" x14ac:dyDescent="0.25">
      <c r="B48" s="37" t="s">
        <v>216</v>
      </c>
      <c r="C48" s="37"/>
      <c r="D48" s="37"/>
      <c r="E48" s="37"/>
      <c r="F48" s="37"/>
      <c r="G48" s="37"/>
      <c r="I48" s="37"/>
      <c r="J48" s="37"/>
    </row>
    <row r="49" spans="2:7" x14ac:dyDescent="0.25">
      <c r="B49" s="88" t="s">
        <v>217</v>
      </c>
      <c r="C49" s="89" t="s">
        <v>128</v>
      </c>
      <c r="D49" s="89" t="s">
        <v>129</v>
      </c>
      <c r="E49" s="89" t="s">
        <v>130</v>
      </c>
      <c r="F49" s="11"/>
      <c r="G49" s="11"/>
    </row>
    <row r="50" spans="2:9" x14ac:dyDescent="0.25">
      <c r="B50" s="73" t="s">
        <v>218</v>
      </c>
      <c r="C50" s="92">
        <v>2.5</v>
      </c>
      <c r="D50" s="92">
        <v>3</v>
      </c>
      <c r="E50" s="92">
        <v>3.5</v>
      </c>
      <c r="I50" s="60" t="s">
        <v>219</v>
      </c>
    </row>
    <row r="51" spans="2:9" x14ac:dyDescent="0.25">
      <c r="B51" s="73" t="s">
        <v>220</v>
      </c>
      <c r="C51" s="92">
        <v>4</v>
      </c>
      <c r="D51" s="92">
        <v>5</v>
      </c>
      <c r="E51" s="92">
        <v>6</v>
      </c>
      <c r="I51" s="60" t="s">
        <v>219</v>
      </c>
    </row>
    <row r="52" ht="3.95" customHeight="1" x14ac:dyDescent="0.25"/>
    <row r="53" spans="2:10" x14ac:dyDescent="0.25">
      <c r="B53" s="37" t="s">
        <v>221</v>
      </c>
      <c r="C53" s="37"/>
      <c r="D53" s="37"/>
      <c r="E53" s="37"/>
      <c r="F53" s="37"/>
      <c r="G53" s="37"/>
      <c r="I53" s="37"/>
      <c r="J53" s="37"/>
    </row>
    <row r="54" spans="2:9" x14ac:dyDescent="0.25">
      <c r="B54" s="73" t="s">
        <v>222</v>
      </c>
      <c r="C54" s="93" t="s">
        <v>223</v>
      </c>
      <c r="I54" s="60" t="s">
        <v>224</v>
      </c>
    </row>
    <row r="55" spans="2:9" x14ac:dyDescent="0.25">
      <c r="B55" s="73" t="s">
        <v>225</v>
      </c>
      <c r="C55" s="94">
        <v>0.8</v>
      </c>
      <c r="I55" s="60" t="s">
        <v>226</v>
      </c>
    </row>
    <row r="56" spans="2:9" x14ac:dyDescent="0.25">
      <c r="B56" s="73" t="s">
        <v>227</v>
      </c>
      <c r="C56" s="94">
        <v>0.2</v>
      </c>
      <c r="I56" s="60" t="s">
        <v>228</v>
      </c>
    </row>
    <row r="57" spans="2:9" x14ac:dyDescent="0.25">
      <c r="B57" s="73" t="s">
        <v>229</v>
      </c>
      <c r="C57" s="82">
        <v>18</v>
      </c>
      <c r="I57" s="60" t="s">
        <v>230</v>
      </c>
    </row>
    <row r="58" spans="2:9" x14ac:dyDescent="0.25">
      <c r="B58" s="73" t="s">
        <v>231</v>
      </c>
      <c r="C58" s="91">
        <v>0.09</v>
      </c>
      <c r="I58" s="60" t="s">
        <v>232</v>
      </c>
    </row>
    <row r="59" spans="2:9" x14ac:dyDescent="0.25">
      <c r="B59" s="73" t="s">
        <v>233</v>
      </c>
      <c r="C59" s="94">
        <v>0.1</v>
      </c>
      <c r="I59" s="60" t="s">
        <v>234</v>
      </c>
    </row>
    <row r="60" spans="2:9" x14ac:dyDescent="0.25">
      <c r="B60" s="75" t="s">
        <v>235</v>
      </c>
      <c r="C60" s="80">
        <v>15</v>
      </c>
      <c r="I60" s="60" t="s">
        <v>236</v>
      </c>
    </row>
    <row r="61" spans="2:9" x14ac:dyDescent="0.25">
      <c r="B61" s="73" t="s">
        <v>237</v>
      </c>
      <c r="C61" s="94">
        <v>0.1</v>
      </c>
      <c r="I61" s="60" t="s">
        <v>238</v>
      </c>
    </row>
    <row r="62" spans="2:9" x14ac:dyDescent="0.25">
      <c r="B62" s="75" t="s">
        <v>239</v>
      </c>
      <c r="C62" s="80">
        <v>10</v>
      </c>
      <c r="I62" s="60" t="s">
        <v>240</v>
      </c>
    </row>
    <row r="63" spans="2:9" x14ac:dyDescent="0.25">
      <c r="B63" s="73" t="s">
        <v>241</v>
      </c>
      <c r="C63" s="95">
        <v>0.105</v>
      </c>
      <c r="I63" s="60" t="s">
        <v>242</v>
      </c>
    </row>
    <row r="64" spans="2:9" x14ac:dyDescent="0.25">
      <c r="B64" s="73" t="s">
        <v>243</v>
      </c>
      <c r="C64" s="85">
        <v>0</v>
      </c>
      <c r="I64" s="60" t="s">
        <v>244</v>
      </c>
    </row>
    <row r="65" spans="2:9" x14ac:dyDescent="0.25">
      <c r="B65" s="73" t="s">
        <v>245</v>
      </c>
      <c r="C65" s="96">
        <v>1</v>
      </c>
      <c r="I65" s="60" t="s">
        <v>246</v>
      </c>
    </row>
    <row r="66" spans="2:9" x14ac:dyDescent="0.25">
      <c r="B66" s="73" t="s">
        <v>247</v>
      </c>
      <c r="C66" s="85">
        <v>0</v>
      </c>
      <c r="I66" s="60" t="s">
        <v>248</v>
      </c>
    </row>
    <row r="67" spans="2:9" x14ac:dyDescent="0.25">
      <c r="B67" s="73" t="s">
        <v>249</v>
      </c>
      <c r="C67" s="77" t="s">
        <v>250</v>
      </c>
      <c r="I67" s="60" t="s">
        <v>251</v>
      </c>
    </row>
    <row r="68" spans="2:9" x14ac:dyDescent="0.25">
      <c r="B68" s="75" t="s">
        <v>252</v>
      </c>
      <c r="C68" s="78" t="s">
        <v>253</v>
      </c>
      <c r="I68" s="60" t="s">
        <v>254</v>
      </c>
    </row>
    <row r="69" spans="2:9" x14ac:dyDescent="0.25">
      <c r="B69" s="73" t="s">
        <v>255</v>
      </c>
      <c r="C69" s="84" t="s">
        <v>256</v>
      </c>
      <c r="I69" s="60" t="s">
        <v>257</v>
      </c>
    </row>
    <row r="70" spans="2:9" x14ac:dyDescent="0.25">
      <c r="B70" s="75" t="s">
        <v>258</v>
      </c>
      <c r="C70" s="97" t="s">
        <v>259</v>
      </c>
      <c r="I70" s="60" t="s">
        <v>260</v>
      </c>
    </row>
    <row r="71" spans="2:9" x14ac:dyDescent="0.25">
      <c r="B71" s="75" t="s">
        <v>261</v>
      </c>
      <c r="C71" s="98"/>
      <c r="I71" s="60" t="s">
        <v>262</v>
      </c>
    </row>
    <row r="72" spans="2:9" x14ac:dyDescent="0.25">
      <c r="B72" s="73" t="s">
        <v>263</v>
      </c>
      <c r="C72" s="82">
        <v>90</v>
      </c>
      <c r="I72" s="60" t="s">
        <v>264</v>
      </c>
    </row>
    <row r="73" spans="2:9" x14ac:dyDescent="0.25">
      <c r="B73" s="75" t="s">
        <v>265</v>
      </c>
      <c r="C73" s="98"/>
      <c r="I73" s="60" t="s">
        <v>266</v>
      </c>
    </row>
    <row r="74" spans="2:9" x14ac:dyDescent="0.25">
      <c r="B74" s="73" t="s">
        <v>267</v>
      </c>
      <c r="C74" s="99"/>
      <c r="I74" s="60" t="s">
        <v>268</v>
      </c>
    </row>
    <row r="75" ht="3.95" customHeight="1" x14ac:dyDescent="0.25"/>
    <row r="76" spans="2:10" x14ac:dyDescent="0.25">
      <c r="B76" s="37" t="s">
        <v>269</v>
      </c>
      <c r="C76" s="37"/>
      <c r="D76" s="37"/>
      <c r="E76" s="37"/>
      <c r="F76" s="37"/>
      <c r="G76" s="37"/>
      <c r="I76" s="37"/>
      <c r="J76" s="37"/>
    </row>
    <row r="77" spans="2:9" x14ac:dyDescent="0.25">
      <c r="B77" s="75" t="s">
        <v>270</v>
      </c>
      <c r="C77" s="100">
        <v>0.25</v>
      </c>
      <c r="I77" s="60" t="s">
        <v>271</v>
      </c>
    </row>
    <row r="78" spans="2:9" x14ac:dyDescent="0.25">
      <c r="B78" s="75" t="s">
        <v>272</v>
      </c>
      <c r="C78" s="101">
        <v>0.05</v>
      </c>
      <c r="I78" s="60" t="s">
        <v>273</v>
      </c>
    </row>
    <row r="79" spans="2:9" x14ac:dyDescent="0.25">
      <c r="B79" s="75" t="s">
        <v>274</v>
      </c>
      <c r="C79" s="101">
        <v>0.05</v>
      </c>
      <c r="I79" s="60" t="s">
        <v>273</v>
      </c>
    </row>
    <row r="80" spans="2:9" x14ac:dyDescent="0.25">
      <c r="B80" s="75" t="s">
        <v>275</v>
      </c>
      <c r="C80" s="102">
        <v>0.005</v>
      </c>
      <c r="I80" s="60" t="s">
        <v>273</v>
      </c>
    </row>
    <row r="81" spans="2:9" x14ac:dyDescent="0.25">
      <c r="B81" s="75" t="s">
        <v>276</v>
      </c>
      <c r="C81" s="101">
        <v>0.05</v>
      </c>
      <c r="I81" s="60" t="s">
        <v>273</v>
      </c>
    </row>
    <row r="82" spans="2:9" x14ac:dyDescent="0.25">
      <c r="B82" s="75" t="s">
        <v>277</v>
      </c>
      <c r="C82" s="80">
        <v>0</v>
      </c>
      <c r="I82" s="60" t="s">
        <v>278</v>
      </c>
    </row>
    <row r="83" spans="2:9" x14ac:dyDescent="0.25">
      <c r="B83" s="75" t="s">
        <v>279</v>
      </c>
      <c r="C83" s="80">
        <v>5</v>
      </c>
      <c r="I83" s="60" t="s">
        <v>280</v>
      </c>
    </row>
    <row r="84" spans="2:9" x14ac:dyDescent="0.25">
      <c r="B84" s="75" t="s">
        <v>281</v>
      </c>
      <c r="C84" s="100">
        <v>1.25</v>
      </c>
      <c r="I84" s="60" t="s">
        <v>282</v>
      </c>
    </row>
    <row r="85" ht="3.95" customHeight="1" x14ac:dyDescent="0.25"/>
    <row r="86" spans="2:10" x14ac:dyDescent="0.25">
      <c r="B86" s="37" t="s">
        <v>283</v>
      </c>
      <c r="C86" s="37"/>
      <c r="D86" s="37"/>
      <c r="E86" s="37"/>
      <c r="F86" s="37"/>
      <c r="G86" s="37"/>
      <c r="I86" s="37"/>
      <c r="J86" s="37"/>
    </row>
    <row r="87" spans="2:7" x14ac:dyDescent="0.25">
      <c r="B87" s="88" t="s">
        <v>182</v>
      </c>
      <c r="C87" s="89" t="s">
        <v>128</v>
      </c>
      <c r="D87" s="89" t="s">
        <v>129</v>
      </c>
      <c r="E87" s="89" t="s">
        <v>130</v>
      </c>
      <c r="F87" s="103" t="s">
        <v>284</v>
      </c>
      <c r="G87" s="11"/>
    </row>
    <row r="88" spans="2:9" x14ac:dyDescent="0.25">
      <c r="B88" s="73" t="s">
        <v>285</v>
      </c>
      <c r="C88" s="86">
        <v>-0.03</v>
      </c>
      <c r="D88" s="86">
        <v>0</v>
      </c>
      <c r="E88" s="86">
        <v>0.03</v>
      </c>
      <c r="F88" s="104" t="s">
        <v>286</v>
      </c>
      <c r="I88" s="60" t="s">
        <v>287</v>
      </c>
    </row>
    <row r="89" spans="2:9" x14ac:dyDescent="0.25">
      <c r="B89" s="73" t="s">
        <v>288</v>
      </c>
      <c r="C89" s="105" t="s">
        <v>289</v>
      </c>
      <c r="D89" s="77" t="s">
        <v>290</v>
      </c>
      <c r="E89" s="105" t="s">
        <v>289</v>
      </c>
      <c r="F89" s="104" t="s">
        <v>291</v>
      </c>
      <c r="I89" s="60" t="s">
        <v>292</v>
      </c>
    </row>
    <row r="90" spans="2:9" x14ac:dyDescent="0.25">
      <c r="B90" s="73" t="s">
        <v>293</v>
      </c>
      <c r="C90" s="77" t="s">
        <v>290</v>
      </c>
      <c r="D90" s="77" t="s">
        <v>290</v>
      </c>
      <c r="E90" s="77" t="s">
        <v>290</v>
      </c>
      <c r="F90" s="104" t="s">
        <v>291</v>
      </c>
      <c r="I90" s="60" t="s">
        <v>292</v>
      </c>
    </row>
    <row r="91" spans="2:9" x14ac:dyDescent="0.25">
      <c r="B91" s="73" t="s">
        <v>294</v>
      </c>
      <c r="C91" s="77" t="s">
        <v>290</v>
      </c>
      <c r="D91" s="77" t="s">
        <v>290</v>
      </c>
      <c r="E91" s="77" t="s">
        <v>290</v>
      </c>
      <c r="F91" s="104" t="s">
        <v>291</v>
      </c>
      <c r="I91" s="60" t="s">
        <v>292</v>
      </c>
    </row>
    <row r="92" spans="2:9" x14ac:dyDescent="0.25">
      <c r="B92" s="73" t="s">
        <v>295</v>
      </c>
      <c r="C92" s="77" t="s">
        <v>290</v>
      </c>
      <c r="D92" s="77" t="s">
        <v>290</v>
      </c>
      <c r="E92" s="77" t="s">
        <v>290</v>
      </c>
      <c r="F92" s="104" t="s">
        <v>291</v>
      </c>
      <c r="I92" s="60" t="s">
        <v>292</v>
      </c>
    </row>
    <row r="93" spans="2:9" x14ac:dyDescent="0.25">
      <c r="B93" s="73" t="s">
        <v>296</v>
      </c>
      <c r="C93" s="77" t="s">
        <v>290</v>
      </c>
      <c r="D93" s="77" t="s">
        <v>290</v>
      </c>
      <c r="E93" s="77" t="s">
        <v>290</v>
      </c>
      <c r="F93" s="104" t="s">
        <v>291</v>
      </c>
      <c r="I93" s="60" t="s">
        <v>292</v>
      </c>
    </row>
    <row r="94" spans="2:9" x14ac:dyDescent="0.25">
      <c r="B94" s="75" t="s">
        <v>297</v>
      </c>
      <c r="C94" s="106">
        <f>$C$23</f>
        <v>95000</v>
      </c>
      <c r="D94" s="106">
        <f>$C$23</f>
        <v>95000</v>
      </c>
      <c r="E94" s="106">
        <f>$C$23</f>
        <v>95000</v>
      </c>
      <c r="F94" s="107" t="s">
        <v>298</v>
      </c>
      <c r="I94" s="60" t="s">
        <v>299</v>
      </c>
    </row>
    <row r="95" spans="2:9" x14ac:dyDescent="0.25">
      <c r="B95" s="75" t="s">
        <v>300</v>
      </c>
      <c r="C95" s="106">
        <f>$C$26</f>
        <v>66800</v>
      </c>
      <c r="D95" s="106">
        <f>$C$26</f>
        <v>66800</v>
      </c>
      <c r="E95" s="106">
        <f>$C$26</f>
        <v>66800</v>
      </c>
      <c r="F95" s="107" t="s">
        <v>298</v>
      </c>
      <c r="I95" s="60" t="s">
        <v>299</v>
      </c>
    </row>
    <row r="96" spans="2:9" x14ac:dyDescent="0.25">
      <c r="B96" s="75" t="s">
        <v>247</v>
      </c>
      <c r="C96" s="106">
        <f>$C$66</f>
        <v>0</v>
      </c>
      <c r="D96" s="106">
        <f>$C$66</f>
        <v>0</v>
      </c>
      <c r="E96" s="106">
        <f>$C$66</f>
        <v>0</v>
      </c>
      <c r="F96" s="107" t="s">
        <v>298</v>
      </c>
      <c r="I96" s="60" t="s">
        <v>299</v>
      </c>
    </row>
    <row r="97" spans="2:9" x14ac:dyDescent="0.25">
      <c r="B97" s="75" t="s">
        <v>301</v>
      </c>
      <c r="C97" s="108">
        <f>$C$61</f>
        <v>0.1</v>
      </c>
      <c r="D97" s="108">
        <f>$C$61</f>
        <v>0.1</v>
      </c>
      <c r="E97" s="108">
        <f>$C$61</f>
        <v>0.1</v>
      </c>
      <c r="F97" s="107" t="s">
        <v>298</v>
      </c>
      <c r="I97" s="60" t="s">
        <v>299</v>
      </c>
    </row>
    <row r="98" spans="2:9" x14ac:dyDescent="0.25">
      <c r="B98" s="75" t="s">
        <v>302</v>
      </c>
      <c r="C98" s="109">
        <f>$C$62</f>
        <v>10</v>
      </c>
      <c r="D98" s="109">
        <f>$C$62</f>
        <v>10</v>
      </c>
      <c r="E98" s="109">
        <f>$C$62</f>
        <v>10</v>
      </c>
      <c r="F98" s="107" t="s">
        <v>298</v>
      </c>
      <c r="I98" s="60" t="s">
        <v>299</v>
      </c>
    </row>
    <row r="99" spans="2:9" x14ac:dyDescent="0.25">
      <c r="B99" s="75" t="s">
        <v>303</v>
      </c>
      <c r="C99" s="110">
        <f>$C$63</f>
        <v>0.105</v>
      </c>
      <c r="D99" s="110">
        <f>$C$63</f>
        <v>0.105</v>
      </c>
      <c r="E99" s="110">
        <f>$C$63</f>
        <v>0.105</v>
      </c>
      <c r="F99" s="107" t="s">
        <v>298</v>
      </c>
      <c r="I99" s="60" t="s">
        <v>299</v>
      </c>
    </row>
    <row r="100" spans="2:9" x14ac:dyDescent="0.25">
      <c r="B100" s="75" t="s">
        <v>304</v>
      </c>
      <c r="C100" s="111">
        <f>C50</f>
        <v>2.5</v>
      </c>
      <c r="D100" s="111">
        <f>D50</f>
        <v>3</v>
      </c>
      <c r="E100" s="111">
        <f>E50</f>
        <v>3.5</v>
      </c>
      <c r="F100" s="107" t="s">
        <v>305</v>
      </c>
      <c r="I100" s="60" t="s">
        <v>305</v>
      </c>
    </row>
    <row r="101" ht="3.95" customHeight="1" x14ac:dyDescent="0.25"/>
    <row r="102" spans="2:10" x14ac:dyDescent="0.25">
      <c r="B102" s="37" t="s">
        <v>306</v>
      </c>
      <c r="C102" s="37"/>
      <c r="D102" s="37"/>
      <c r="E102" s="37"/>
      <c r="F102" s="37"/>
      <c r="G102" s="37"/>
      <c r="I102" s="37"/>
      <c r="J102" s="37"/>
    </row>
    <row r="103" spans="2:9" x14ac:dyDescent="0.25">
      <c r="B103" s="75" t="s">
        <v>307</v>
      </c>
      <c r="C103" s="102">
        <v>0.062</v>
      </c>
      <c r="I103" s="60" t="s">
        <v>308</v>
      </c>
    </row>
    <row r="104" spans="2:9" x14ac:dyDescent="0.25">
      <c r="B104" s="75" t="s">
        <v>309</v>
      </c>
      <c r="C104" s="102">
        <v>0.0145</v>
      </c>
      <c r="I104" s="60" t="s">
        <v>310</v>
      </c>
    </row>
    <row r="105" spans="2:9" x14ac:dyDescent="0.25">
      <c r="B105" s="75" t="s">
        <v>311</v>
      </c>
      <c r="C105" s="102">
        <v>0.006</v>
      </c>
      <c r="I105" s="60" t="s">
        <v>312</v>
      </c>
    </row>
    <row r="106" spans="2:9" x14ac:dyDescent="0.25">
      <c r="B106" s="75" t="s">
        <v>313</v>
      </c>
      <c r="C106" s="112">
        <v>7000</v>
      </c>
      <c r="I106" s="60" t="s">
        <v>314</v>
      </c>
    </row>
    <row r="107" spans="2:9" x14ac:dyDescent="0.25">
      <c r="B107" s="75" t="s">
        <v>315</v>
      </c>
      <c r="C107" s="112">
        <v>160200</v>
      </c>
      <c r="I107" s="60" t="s">
        <v>316</v>
      </c>
    </row>
    <row r="108" spans="2:9" x14ac:dyDescent="0.25">
      <c r="B108" s="75" t="s">
        <v>317</v>
      </c>
      <c r="C108" s="112">
        <v>168600</v>
      </c>
      <c r="I108" s="60" t="s">
        <v>318</v>
      </c>
    </row>
    <row r="109" spans="2:9" x14ac:dyDescent="0.25">
      <c r="B109" s="75" t="s">
        <v>319</v>
      </c>
      <c r="C109" s="112">
        <v>176100</v>
      </c>
      <c r="I109" s="60" t="s">
        <v>320</v>
      </c>
    </row>
    <row r="110" ht="3.95" customHeight="1" x14ac:dyDescent="0.25"/>
    <row r="111" spans="2:10" x14ac:dyDescent="0.25">
      <c r="B111" s="37" t="s">
        <v>321</v>
      </c>
      <c r="C111" s="37"/>
      <c r="D111" s="37"/>
      <c r="E111" s="37"/>
      <c r="F111" s="37"/>
      <c r="G111" s="37"/>
      <c r="I111" s="37"/>
      <c r="J111" s="37"/>
    </row>
    <row r="112" spans="2:9" x14ac:dyDescent="0.25">
      <c r="B112" s="73" t="s">
        <v>113</v>
      </c>
      <c r="C112" s="90">
        <v>1450</v>
      </c>
      <c r="I112" s="60" t="s">
        <v>322</v>
      </c>
    </row>
    <row r="113" spans="2:9" x14ac:dyDescent="0.25">
      <c r="B113" s="75" t="s">
        <v>115</v>
      </c>
      <c r="C113" s="101">
        <v>0.82</v>
      </c>
      <c r="I113" s="60" t="s">
        <v>323</v>
      </c>
    </row>
    <row r="114" spans="2:9" x14ac:dyDescent="0.25">
      <c r="B114" s="75" t="s">
        <v>117</v>
      </c>
      <c r="C114" s="101">
        <v>0.35</v>
      </c>
      <c r="I114" s="60" t="s">
        <v>323</v>
      </c>
    </row>
    <row r="115" spans="2:9" x14ac:dyDescent="0.25">
      <c r="B115" s="75" t="s">
        <v>118</v>
      </c>
      <c r="C115" s="113">
        <v>4.8</v>
      </c>
      <c r="I115" s="60" t="s">
        <v>323</v>
      </c>
    </row>
    <row r="116" spans="2:9" x14ac:dyDescent="0.25">
      <c r="B116" s="73" t="s">
        <v>119</v>
      </c>
      <c r="C116" s="90">
        <v>900</v>
      </c>
      <c r="I116" s="60" t="s">
        <v>324</v>
      </c>
    </row>
    <row r="117" spans="2:9" x14ac:dyDescent="0.25">
      <c r="B117" s="75" t="s">
        <v>121</v>
      </c>
      <c r="C117" s="114">
        <v>18</v>
      </c>
      <c r="I117" s="60" t="s">
        <v>323</v>
      </c>
    </row>
    <row r="118" spans="2:9" x14ac:dyDescent="0.25">
      <c r="B118" s="75" t="s">
        <v>122</v>
      </c>
      <c r="C118" s="114">
        <v>2</v>
      </c>
      <c r="I118" s="60" t="s">
        <v>323</v>
      </c>
    </row>
    <row r="119" spans="2:9" x14ac:dyDescent="0.25">
      <c r="B119" s="75" t="s">
        <v>123</v>
      </c>
      <c r="C119" s="114">
        <v>35</v>
      </c>
      <c r="I119" s="60" t="s">
        <v>323</v>
      </c>
    </row>
    <row r="120" spans="2:9" x14ac:dyDescent="0.25">
      <c r="B120" s="75" t="s">
        <v>124</v>
      </c>
      <c r="C120" s="114">
        <v>8000</v>
      </c>
      <c r="I120" s="60" t="s">
        <v>323</v>
      </c>
    </row>
    <row r="121" spans="2:9" x14ac:dyDescent="0.25">
      <c r="B121" s="75" t="s">
        <v>125</v>
      </c>
      <c r="C121" s="114">
        <v>45</v>
      </c>
      <c r="I121" s="60" t="s">
        <v>323</v>
      </c>
    </row>
    <row r="123" ht="12.75" customHeight="1" spans="2:10" x14ac:dyDescent="0.25">
      <c r="B123" s="60" t="s">
        <v>325</v>
      </c>
      <c r="C123" s="60"/>
      <c r="D123" s="60"/>
      <c r="E123" s="60"/>
      <c r="F123" s="60"/>
      <c r="G123" s="60"/>
      <c r="H123" s="60"/>
      <c r="I123" s="60"/>
      <c r="J123" s="60"/>
    </row>
  </sheetData>
  <mergeCells count="1">
    <mergeCell ref="B123:J123"/>
  </mergeCells>
  <conditionalFormatting sqref="B2 J3 C9:C12 C14 C16:C20 C23:C24 C26:C27 C31:G46 C50:E51 C54:C74 C77:C84 C88:E100 C103:C109 C112:C121">
    <cfRule type="expression" dxfId="3" priority="1">
      <formula>$J$3=1</formula>
    </cfRule>
  </conditionalFormatting>
  <printOptions horizontalCentered="1"/>
  <pageMargins left="0.5" right="0.5" top="0.6" bottom="0.7" header="0.3" footer="0.3"/>
  <pageSetup paperSize="1" orientation="landscape" fitToWidth="1" fitToHeight="0"/>
  <headerFooter>
    <oddHeader>&amp;RProject Ridgeline | As of 12/31/25</oddHeader>
    <oddFooter>&amp;LAMB Advisory Services | Strictly confidential&amp;C&amp;A&amp;RPage &amp;P of &amp;N</oddFooter>
  </headerFooter>
  <rowBreaks count="3" manualBreakCount="3">
    <brk id="28" max="16383" man="1"/>
    <brk id="52" max="16383" man="1"/>
    <brk id="85"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Q86"/>
  <sheetViews>
    <sheetView workbookViewId="0" showGridLines="0" zoomScale="100">
      <pane xSplit="2" ySplit="6" topLeftCell="C7" activePane="bottomRight" state="frozen"/>
      <selection pane="bottomRight"/>
    </sheetView>
  </sheetViews>
  <sheetFormatPr defaultRowHeight="12.75" outlineLevelRow="0" outlineLevelCol="0" x14ac:dyDescent="55" customHeight="1"/>
  <cols>
    <col min="1" max="1" width="1.7" customWidth="1"/>
    <col min="2" max="2" width="45" customWidth="1"/>
    <col min="3" max="5" width="9.1" customWidth="1"/>
    <col min="6" max="6" width="0.9" customWidth="1"/>
    <col min="7" max="8" width="9.1" customWidth="1"/>
    <col min="9" max="9" width="0.9" customWidth="1"/>
    <col min="10" max="12" width="9.1" customWidth="1"/>
    <col min="13" max="13" width="0.9" customWidth="1"/>
    <col min="14" max="15" width="9.1" customWidth="1"/>
    <col min="16" max="16" width="0.9" customWidth="1"/>
    <col min="17" max="17" width="60" customWidth="1"/>
  </cols>
  <sheetData>
    <row r="2" ht="16.5" customHeight="1" spans="2:2" x14ac:dyDescent="0.25">
      <c r="B2" s="9">
        <f>Cover!B24</f>
      </c>
    </row>
    <row r="3" spans="2:17" x14ac:dyDescent="0.25">
      <c r="B3" s="10" t="s">
        <v>326</v>
      </c>
      <c r="C3" s="11"/>
      <c r="D3" s="11"/>
      <c r="E3" s="11"/>
      <c r="F3" s="11"/>
      <c r="G3" s="11"/>
      <c r="H3" s="11"/>
      <c r="I3" s="11"/>
      <c r="J3" s="11"/>
      <c r="K3" s="11"/>
      <c r="L3" s="11"/>
      <c r="M3" s="11"/>
      <c r="N3" s="34" t="s">
        <v>80</v>
      </c>
      <c r="O3" s="35">
        <f>'Contents'!$I$18</f>
      </c>
      <c r="P3" s="11"/>
      <c r="Q3" s="11"/>
    </row>
    <row r="5" spans="2:17" x14ac:dyDescent="0.25">
      <c r="B5" s="36"/>
      <c r="C5" s="36" t="s">
        <v>81</v>
      </c>
      <c r="D5" s="36"/>
      <c r="E5" s="36"/>
      <c r="G5" s="36" t="s">
        <v>327</v>
      </c>
      <c r="H5" s="36"/>
      <c r="J5" s="36" t="s">
        <v>82</v>
      </c>
      <c r="K5" s="36"/>
      <c r="L5" s="36" t="s">
        <v>83</v>
      </c>
      <c r="N5" s="36" t="s">
        <v>328</v>
      </c>
      <c r="O5" s="36"/>
      <c r="Q5" s="36" t="s">
        <v>284</v>
      </c>
    </row>
    <row r="6" spans="2:17" x14ac:dyDescent="0.25">
      <c r="B6" s="13" t="s">
        <v>329</v>
      </c>
      <c r="C6" s="12" t="str">
        <f>"FY"&amp;YEAR(C$59)</f>
        <v>FY2023</v>
      </c>
      <c r="D6" s="12" t="str">
        <f>"FY"&amp;YEAR(D$59)</f>
        <v>FY2024</v>
      </c>
      <c r="E6" s="12" t="str">
        <f>"FY"&amp;YEAR(E$59)</f>
        <v>FY2025</v>
      </c>
      <c r="G6" s="12" t="str">
        <f>TEXT(G$59,"mmm-yy")</f>
        <v>Dec-24</v>
      </c>
      <c r="H6" s="12" t="str">
        <f>TEXT(H$59,"mmm-yy")</f>
        <v>Dec-25</v>
      </c>
      <c r="J6" s="12" t="str">
        <f>TEXT(J$59,"mmm-yy")</f>
        <v>Dec-24</v>
      </c>
      <c r="K6" s="12" t="str">
        <f>TEXT(K$59,"mmm-yy")</f>
        <v>Dec-25</v>
      </c>
      <c r="L6" s="12" t="str">
        <f>TEXT(L$59,"mmm-yy")</f>
        <v>Dec-25</v>
      </c>
      <c r="N6" s="12" t="s">
        <v>330</v>
      </c>
      <c r="O6" s="12" t="s">
        <v>331</v>
      </c>
      <c r="Q6" s="13" t="s">
        <v>332</v>
      </c>
    </row>
    <row r="8" spans="2:15" x14ac:dyDescent="0.25">
      <c r="B8" s="37" t="s">
        <v>333</v>
      </c>
      <c r="C8" s="37"/>
      <c r="D8" s="37"/>
      <c r="E8" s="37"/>
      <c r="G8" s="37"/>
      <c r="H8" s="37"/>
      <c r="J8" s="37"/>
      <c r="K8" s="37"/>
      <c r="L8" s="37"/>
      <c r="N8" s="37"/>
      <c r="O8" s="37"/>
    </row>
    <row r="9" spans="2:17" x14ac:dyDescent="0.25">
      <c r="B9" s="52" t="s">
        <v>334</v>
      </c>
      <c r="C9" s="39">
        <f>SUMIFS('Monthly P&amp;L'!$Q$9:$AZ$9,'Monthly P&amp;L'!$Q$6:$AZ$6,"&gt;="&amp;C$58,'Monthly P&amp;L'!$Q$6:$AZ$6,"&lt;="&amp;C$59)</f>
        <v>1612.4</v>
      </c>
      <c r="D9" s="39">
        <f>SUMIFS('Monthly P&amp;L'!$Q$9:$AZ$9,'Monthly P&amp;L'!$Q$6:$AZ$6,"&gt;="&amp;D$58,'Monthly P&amp;L'!$Q$6:$AZ$6,"&lt;="&amp;D$59)</f>
        <v>1788.9</v>
      </c>
      <c r="E9" s="39">
        <f>SUMIFS('Monthly P&amp;L'!$Q$9:$AZ$9,'Monthly P&amp;L'!$Q$6:$AZ$6,"&gt;="&amp;E$58,'Monthly P&amp;L'!$Q$6:$AZ$6,"&lt;="&amp;E$59)</f>
        <v>1964.3</v>
      </c>
      <c r="G9" s="39">
        <f>SUMIFS('Monthly P&amp;L'!$Q$9:$AZ$9,'Monthly P&amp;L'!$Q$6:$AZ$6,"&gt;="&amp;G$58,'Monthly P&amp;L'!$Q$6:$AZ$6,"&lt;="&amp;G$59)</f>
        <v>1788.9</v>
      </c>
      <c r="H9" s="39">
        <f>SUMIFS('Monthly P&amp;L'!$Q$9:$AZ$9,'Monthly P&amp;L'!$Q$6:$AZ$6,"&gt;="&amp;H$58,'Monthly P&amp;L'!$Q$6:$AZ$6,"&lt;="&amp;H$59)</f>
        <v>1964.3</v>
      </c>
      <c r="J9" s="39">
        <f>SUMIFS('Monthly P&amp;L'!$Q$9:$AZ$9,'Monthly P&amp;L'!$Q$6:$AZ$6,"&gt;="&amp;J$58,'Monthly P&amp;L'!$Q$6:$AZ$6,"&lt;="&amp;J$59)</f>
        <v>1788.9</v>
      </c>
      <c r="K9" s="39">
        <f>SUMIFS('Monthly P&amp;L'!$Q$9:$AZ$9,'Monthly P&amp;L'!$Q$6:$AZ$6,"&gt;="&amp;K$58,'Monthly P&amp;L'!$Q$6:$AZ$6,"&lt;="&amp;K$59)</f>
        <v>1964.3</v>
      </c>
      <c r="L9" s="39">
        <f>SUMIFS('Monthly P&amp;L'!$Q$9:$AZ$9,'Monthly P&amp;L'!$Q$6:$AZ$6,"&gt;="&amp;L$58,'Monthly P&amp;L'!$Q$6:$AZ$6,"&lt;="&amp;L$59)</f>
        <v>1964.3</v>
      </c>
      <c r="N9" s="38">
        <f>L9-K9</f>
        <v>0</v>
      </c>
      <c r="O9" s="115">
        <f>IFERROR(L9/K9-1,"n.a.")</f>
        <v>0</v>
      </c>
      <c r="Q9" s="60" t="s">
        <v>335</v>
      </c>
    </row>
    <row r="10" spans="2:17" x14ac:dyDescent="0.25">
      <c r="B10" s="52" t="s">
        <v>336</v>
      </c>
      <c r="C10" s="53">
        <f>SUMIFS('Monthly P&amp;L'!$Q$10:$AZ$10,'Monthly P&amp;L'!$Q$6:$AZ$6,"&gt;="&amp;C$58,'Monthly P&amp;L'!$Q$6:$AZ$6,"&lt;="&amp;C$59)</f>
        <v>598.2</v>
      </c>
      <c r="D10" s="53">
        <f>SUMIFS('Monthly P&amp;L'!$Q$10:$AZ$10,'Monthly P&amp;L'!$Q$6:$AZ$6,"&gt;="&amp;D$58,'Monthly P&amp;L'!$Q$6:$AZ$6,"&lt;="&amp;D$59)</f>
        <v>702.5</v>
      </c>
      <c r="E10" s="53">
        <f>SUMIFS('Monthly P&amp;L'!$Q$10:$AZ$10,'Monthly P&amp;L'!$Q$6:$AZ$6,"&gt;="&amp;E$58,'Monthly P&amp;L'!$Q$6:$AZ$6,"&lt;="&amp;E$59)</f>
        <v>811.7</v>
      </c>
      <c r="G10" s="53">
        <f>SUMIFS('Monthly P&amp;L'!$Q$10:$AZ$10,'Monthly P&amp;L'!$Q$6:$AZ$6,"&gt;="&amp;G$58,'Monthly P&amp;L'!$Q$6:$AZ$6,"&lt;="&amp;G$59)</f>
        <v>702.5</v>
      </c>
      <c r="H10" s="53">
        <f>SUMIFS('Monthly P&amp;L'!$Q$10:$AZ$10,'Monthly P&amp;L'!$Q$6:$AZ$6,"&gt;="&amp;H$58,'Monthly P&amp;L'!$Q$6:$AZ$6,"&lt;="&amp;H$59)</f>
        <v>811.7</v>
      </c>
      <c r="J10" s="53">
        <f>SUMIFS('Monthly P&amp;L'!$Q$10:$AZ$10,'Monthly P&amp;L'!$Q$6:$AZ$6,"&gt;="&amp;J$58,'Monthly P&amp;L'!$Q$6:$AZ$6,"&lt;="&amp;J$59)</f>
        <v>702.5</v>
      </c>
      <c r="K10" s="53">
        <f>SUMIFS('Monthly P&amp;L'!$Q$10:$AZ$10,'Monthly P&amp;L'!$Q$6:$AZ$6,"&gt;="&amp;K$58,'Monthly P&amp;L'!$Q$6:$AZ$6,"&lt;="&amp;K$59)</f>
        <v>811.7</v>
      </c>
      <c r="L10" s="53">
        <f>SUMIFS('Monthly P&amp;L'!$Q$10:$AZ$10,'Monthly P&amp;L'!$Q$6:$AZ$6,"&gt;="&amp;L$58,'Monthly P&amp;L'!$Q$6:$AZ$6,"&lt;="&amp;L$59)</f>
        <v>811.7</v>
      </c>
      <c r="N10" s="52">
        <f>L10-K10</f>
        <v>0</v>
      </c>
      <c r="O10" s="115">
        <f>IFERROR(L10/K10-1,"n.a.")</f>
        <v>0</v>
      </c>
      <c r="Q10" s="60" t="s">
        <v>337</v>
      </c>
    </row>
    <row r="11" spans="2:17" x14ac:dyDescent="0.25">
      <c r="B11" s="52" t="s">
        <v>338</v>
      </c>
      <c r="C11" s="53">
        <f>SUMIFS('Monthly P&amp;L'!$Q$11:$AZ$11,'Monthly P&amp;L'!$Q$6:$AZ$6,"&gt;="&amp;C$58,'Monthly P&amp;L'!$Q$6:$AZ$6,"&lt;="&amp;C$59)</f>
        <v>214.6</v>
      </c>
      <c r="D11" s="53">
        <f>SUMIFS('Monthly P&amp;L'!$Q$11:$AZ$11,'Monthly P&amp;L'!$Q$6:$AZ$6,"&gt;="&amp;D$58,'Monthly P&amp;L'!$Q$6:$AZ$6,"&lt;="&amp;D$59)</f>
        <v>248.3</v>
      </c>
      <c r="E11" s="53">
        <f>SUMIFS('Monthly P&amp;L'!$Q$11:$AZ$11,'Monthly P&amp;L'!$Q$6:$AZ$6,"&gt;="&amp;E$58,'Monthly P&amp;L'!$Q$6:$AZ$6,"&lt;="&amp;E$59)</f>
        <v>289.4</v>
      </c>
      <c r="G11" s="53">
        <f>SUMIFS('Monthly P&amp;L'!$Q$11:$AZ$11,'Monthly P&amp;L'!$Q$6:$AZ$6,"&gt;="&amp;G$58,'Monthly P&amp;L'!$Q$6:$AZ$6,"&lt;="&amp;G$59)</f>
        <v>248.3</v>
      </c>
      <c r="H11" s="53">
        <f>SUMIFS('Monthly P&amp;L'!$Q$11:$AZ$11,'Monthly P&amp;L'!$Q$6:$AZ$6,"&gt;="&amp;H$58,'Monthly P&amp;L'!$Q$6:$AZ$6,"&lt;="&amp;H$59)</f>
        <v>289.4</v>
      </c>
      <c r="J11" s="53">
        <f>SUMIFS('Monthly P&amp;L'!$Q$11:$AZ$11,'Monthly P&amp;L'!$Q$6:$AZ$6,"&gt;="&amp;J$58,'Monthly P&amp;L'!$Q$6:$AZ$6,"&lt;="&amp;J$59)</f>
        <v>248.3</v>
      </c>
      <c r="K11" s="53">
        <f>SUMIFS('Monthly P&amp;L'!$Q$11:$AZ$11,'Monthly P&amp;L'!$Q$6:$AZ$6,"&gt;="&amp;K$58,'Monthly P&amp;L'!$Q$6:$AZ$6,"&lt;="&amp;K$59)</f>
        <v>289.4</v>
      </c>
      <c r="L11" s="53">
        <f>SUMIFS('Monthly P&amp;L'!$Q$11:$AZ$11,'Monthly P&amp;L'!$Q$6:$AZ$6,"&gt;="&amp;L$58,'Monthly P&amp;L'!$Q$6:$AZ$6,"&lt;="&amp;L$59)</f>
        <v>289.4</v>
      </c>
      <c r="N11" s="52">
        <f>L11-K11</f>
        <v>0</v>
      </c>
      <c r="O11" s="115">
        <f>IFERROR(L11/K11-1,"n.a.")</f>
        <v>0</v>
      </c>
      <c r="Q11" s="60" t="s">
        <v>339</v>
      </c>
    </row>
    <row r="12" spans="2:17" x14ac:dyDescent="0.25">
      <c r="B12" s="52" t="s">
        <v>340</v>
      </c>
      <c r="C12" s="53">
        <f>SUMIFS('Monthly P&amp;L'!$Q$12:$AZ$12,'Monthly P&amp;L'!$Q$6:$AZ$6,"&gt;="&amp;C$58,'Monthly P&amp;L'!$Q$6:$AZ$6,"&lt;="&amp;C$59)</f>
        <v>-18.4</v>
      </c>
      <c r="D12" s="53">
        <f>SUMIFS('Monthly P&amp;L'!$Q$12:$AZ$12,'Monthly P&amp;L'!$Q$6:$AZ$6,"&gt;="&amp;D$58,'Monthly P&amp;L'!$Q$6:$AZ$6,"&lt;="&amp;D$59)</f>
        <v>-21.1</v>
      </c>
      <c r="E12" s="53">
        <f>SUMIFS('Monthly P&amp;L'!$Q$12:$AZ$12,'Monthly P&amp;L'!$Q$6:$AZ$6,"&gt;="&amp;E$58,'Monthly P&amp;L'!$Q$6:$AZ$6,"&lt;="&amp;E$59)</f>
        <v>-24.6</v>
      </c>
      <c r="G12" s="53">
        <f>SUMIFS('Monthly P&amp;L'!$Q$12:$AZ$12,'Monthly P&amp;L'!$Q$6:$AZ$6,"&gt;="&amp;G$58,'Monthly P&amp;L'!$Q$6:$AZ$6,"&lt;="&amp;G$59)</f>
        <v>-21.1</v>
      </c>
      <c r="H12" s="53">
        <f>SUMIFS('Monthly P&amp;L'!$Q$12:$AZ$12,'Monthly P&amp;L'!$Q$6:$AZ$6,"&gt;="&amp;H$58,'Monthly P&amp;L'!$Q$6:$AZ$6,"&lt;="&amp;H$59)</f>
        <v>-24.6</v>
      </c>
      <c r="J12" s="53">
        <f>SUMIFS('Monthly P&amp;L'!$Q$12:$AZ$12,'Monthly P&amp;L'!$Q$6:$AZ$6,"&gt;="&amp;J$58,'Monthly P&amp;L'!$Q$6:$AZ$6,"&lt;="&amp;J$59)</f>
        <v>-21.1</v>
      </c>
      <c r="K12" s="53">
        <f>SUMIFS('Monthly P&amp;L'!$Q$12:$AZ$12,'Monthly P&amp;L'!$Q$6:$AZ$6,"&gt;="&amp;K$58,'Monthly P&amp;L'!$Q$6:$AZ$6,"&lt;="&amp;K$59)</f>
        <v>-24.6</v>
      </c>
      <c r="L12" s="53">
        <f>SUMIFS('Monthly P&amp;L'!$Q$12:$AZ$12,'Monthly P&amp;L'!$Q$6:$AZ$6,"&gt;="&amp;L$58,'Monthly P&amp;L'!$Q$6:$AZ$6,"&lt;="&amp;L$59)</f>
        <v>-24.6</v>
      </c>
      <c r="N12" s="52">
        <f>L12-K12</f>
        <v>0</v>
      </c>
      <c r="O12" s="115">
        <f>IFERROR(L12/K12-1,"n.a.")</f>
        <v>0</v>
      </c>
      <c r="Q12" s="60" t="s">
        <v>341</v>
      </c>
    </row>
    <row r="13" ht="3.95" customHeight="1" x14ac:dyDescent="0.25"/>
    <row r="14" spans="2:17" x14ac:dyDescent="0.25">
      <c r="B14" s="116" t="s">
        <v>87</v>
      </c>
      <c r="C14" s="116">
        <f>SUM(C9:C12)</f>
        <v>2406.8</v>
      </c>
      <c r="D14" s="116">
        <f>SUM(D9:D12)</f>
        <v>2718.6</v>
      </c>
      <c r="E14" s="116">
        <f>SUM(E9:E12)</f>
        <v>3040.8</v>
      </c>
      <c r="G14" s="116">
        <f>SUM(G9:G12)</f>
        <v>2718.6</v>
      </c>
      <c r="H14" s="116">
        <f>SUM(H9:H12)</f>
        <v>3040.8</v>
      </c>
      <c r="J14" s="116">
        <f>SUM(J9:J12)</f>
        <v>2718.6</v>
      </c>
      <c r="K14" s="116">
        <f>SUM(K9:K12)</f>
        <v>3040.8</v>
      </c>
      <c r="L14" s="116">
        <f>SUM(L9:L12)</f>
        <v>3040.8</v>
      </c>
      <c r="N14" s="116">
        <f>L14-K14</f>
        <v>0</v>
      </c>
      <c r="O14" s="117">
        <f>IFERROR(L14/K14-1,"n.a.")</f>
        <v>0</v>
      </c>
      <c r="Q14" s="60" t="s">
        <v>342</v>
      </c>
    </row>
    <row r="15" spans="2:17" x14ac:dyDescent="0.25">
      <c r="B15" s="40" t="s">
        <v>88</v>
      </c>
      <c r="C15" s="118" t="s">
        <v>136</v>
      </c>
      <c r="D15" s="115">
        <f>IFERROR(D14/C14-1,"n.a.")</f>
        <v>0.12954960943992022</v>
      </c>
      <c r="E15" s="115">
        <f>IFERROR(E14/D14-1,"n.a.")</f>
        <v>0.11851688369013469</v>
      </c>
      <c r="G15" s="41">
        <f>IFERROR(G14/SUMIFS('Monthly P&amp;L'!$Q$14:$AZ$14,'Monthly P&amp;L'!$Q$6:$AZ$6,"&gt;="&amp;(EOMONTH(G$58,-13)+1),'Monthly P&amp;L'!$Q$6:$AZ$6,"&lt;="&amp;EOMONTH(G$59,-12))-1,"n.a.")</f>
        <v>0.12954960943992022</v>
      </c>
      <c r="H15" s="115">
        <f>IFERROR(H14/G14-1,"n.a.")</f>
        <v>0.11851688369013469</v>
      </c>
      <c r="J15" s="41">
        <f>IFERROR(J14/SUMIFS('Monthly P&amp;L'!$Q$14:$AZ$14,'Monthly P&amp;L'!$Q$6:$AZ$6,"&gt;="&amp;(EOMONTH(J$58,-13)+1),'Monthly P&amp;L'!$Q$6:$AZ$6,"&lt;="&amp;EOMONTH(J$59,-12))-1,"n.a.")</f>
        <v>0.12954960943992022</v>
      </c>
      <c r="K15" s="115">
        <f>IFERROR(K14/J14-1,"n.a.")</f>
        <v>0.11851688369013469</v>
      </c>
      <c r="L15" s="118" t="s">
        <v>136</v>
      </c>
      <c r="Q15" s="60" t="s">
        <v>343</v>
      </c>
    </row>
    <row r="16" spans="2:17" x14ac:dyDescent="0.25">
      <c r="B16" s="52" t="s">
        <v>344</v>
      </c>
      <c r="C16" s="53">
        <f>SUMIFS('Monthly P&amp;L'!$Q$16:$AZ$16,'Monthly P&amp;L'!$Q$6:$AZ$6,"&gt;="&amp;C$58,'Monthly P&amp;L'!$Q$6:$AZ$6,"&lt;="&amp;C$59)</f>
        <v>938.8</v>
      </c>
      <c r="D16" s="53">
        <f>SUMIFS('Monthly P&amp;L'!$Q$16:$AZ$16,'Monthly P&amp;L'!$Q$6:$AZ$6,"&gt;="&amp;D$58,'Monthly P&amp;L'!$Q$6:$AZ$6,"&lt;="&amp;D$59)</f>
        <v>1047.9</v>
      </c>
      <c r="E16" s="53">
        <f>SUMIFS('Monthly P&amp;L'!$Q$16:$AZ$16,'Monthly P&amp;L'!$Q$6:$AZ$6,"&gt;="&amp;E$58,'Monthly P&amp;L'!$Q$6:$AZ$6,"&lt;="&amp;E$59)</f>
        <v>1158.9</v>
      </c>
      <c r="G16" s="53">
        <f>SUMIFS('Monthly P&amp;L'!$Q$16:$AZ$16,'Monthly P&amp;L'!$Q$6:$AZ$6,"&gt;="&amp;G$58,'Monthly P&amp;L'!$Q$6:$AZ$6,"&lt;="&amp;G$59)</f>
        <v>1047.9</v>
      </c>
      <c r="H16" s="53">
        <f>SUMIFS('Monthly P&amp;L'!$Q$16:$AZ$16,'Monthly P&amp;L'!$Q$6:$AZ$6,"&gt;="&amp;H$58,'Monthly P&amp;L'!$Q$6:$AZ$6,"&lt;="&amp;H$59)</f>
        <v>1158.9</v>
      </c>
      <c r="J16" s="53">
        <f>SUMIFS('Monthly P&amp;L'!$Q$16:$AZ$16,'Monthly P&amp;L'!$Q$6:$AZ$6,"&gt;="&amp;J$58,'Monthly P&amp;L'!$Q$6:$AZ$6,"&lt;="&amp;J$59)</f>
        <v>1047.9</v>
      </c>
      <c r="K16" s="53">
        <f>SUMIFS('Monthly P&amp;L'!$Q$16:$AZ$16,'Monthly P&amp;L'!$Q$6:$AZ$6,"&gt;="&amp;K$58,'Monthly P&amp;L'!$Q$6:$AZ$6,"&lt;="&amp;K$59)</f>
        <v>1158.9</v>
      </c>
      <c r="L16" s="53">
        <f>SUMIFS('Monthly P&amp;L'!$Q$16:$AZ$16,'Monthly P&amp;L'!$Q$6:$AZ$6,"&gt;="&amp;L$58,'Monthly P&amp;L'!$Q$6:$AZ$6,"&lt;="&amp;L$59)</f>
        <v>1158.9</v>
      </c>
      <c r="N16" s="52">
        <f>L16-K16</f>
        <v>0</v>
      </c>
      <c r="O16" s="115">
        <f>IFERROR(L16/K16-1,"n.a.")</f>
        <v>0</v>
      </c>
      <c r="Q16" s="60" t="s">
        <v>345</v>
      </c>
    </row>
    <row r="17" ht="3.95" customHeight="1" x14ac:dyDescent="0.25"/>
    <row r="18" spans="2:17" x14ac:dyDescent="0.25">
      <c r="B18" s="42" t="s">
        <v>89</v>
      </c>
      <c r="C18" s="119">
        <f>C14-C16</f>
        <v>1468</v>
      </c>
      <c r="D18" s="120">
        <f>D14-D16</f>
        <v>1670.7</v>
      </c>
      <c r="E18" s="121">
        <f>E14-E16</f>
        <v>1881.9</v>
      </c>
      <c r="G18" s="119">
        <f>G14-G16</f>
        <v>1670.7</v>
      </c>
      <c r="H18" s="121">
        <f>H14-H16</f>
        <v>1881.9</v>
      </c>
      <c r="J18" s="119">
        <f>J14-J16</f>
        <v>1670.7</v>
      </c>
      <c r="K18" s="121">
        <f>K14-K16</f>
        <v>1881.9</v>
      </c>
      <c r="L18" s="42">
        <f>L14-L16</f>
        <v>1881.9</v>
      </c>
      <c r="N18" s="119">
        <f>L18-K18</f>
        <v>0</v>
      </c>
      <c r="O18" s="122">
        <f>IFERROR(L18/K18-1,"n.a.")</f>
        <v>0</v>
      </c>
      <c r="Q18" s="60" t="s">
        <v>346</v>
      </c>
    </row>
    <row r="19" spans="2:17" x14ac:dyDescent="0.25">
      <c r="B19" s="47" t="s">
        <v>90</v>
      </c>
      <c r="C19" s="123">
        <f>IFERROR(C18/C14,"n.m.")</f>
        <v>0.6099385075619079</v>
      </c>
      <c r="D19" s="124">
        <f>IFERROR(D18/D14,"n.m.")</f>
        <v>0.6145442507172809</v>
      </c>
      <c r="E19" s="125">
        <f>IFERROR(E18/E14,"n.m.")</f>
        <v>0.6188831886345698</v>
      </c>
      <c r="G19" s="123">
        <f>IFERROR(G18/G14,"n.m.")</f>
        <v>0.6145442507172809</v>
      </c>
      <c r="H19" s="125">
        <f>IFERROR(H18/H14,"n.m.")</f>
        <v>0.6188831886345698</v>
      </c>
      <c r="J19" s="123">
        <f>IFERROR(J18/J14,"n.m.")</f>
        <v>0.6145442507172809</v>
      </c>
      <c r="K19" s="125">
        <f>IFERROR(K18/K14,"n.m.")</f>
        <v>0.6188831886345698</v>
      </c>
      <c r="L19" s="126">
        <f>IFERROR(L18/L14,"n.m.")</f>
        <v>0.6188831886345698</v>
      </c>
      <c r="N19" s="127"/>
      <c r="O19" s="128"/>
      <c r="Q19" s="60" t="s">
        <v>347</v>
      </c>
    </row>
    <row r="20" ht="3.95" customHeight="1" x14ac:dyDescent="0.25"/>
    <row r="21" spans="2:15" x14ac:dyDescent="0.25">
      <c r="B21" s="37" t="s">
        <v>348</v>
      </c>
      <c r="C21" s="37"/>
      <c r="D21" s="37"/>
      <c r="E21" s="37"/>
      <c r="G21" s="37"/>
      <c r="H21" s="37"/>
      <c r="J21" s="37"/>
      <c r="K21" s="37"/>
      <c r="L21" s="37"/>
      <c r="N21" s="37"/>
      <c r="O21" s="37"/>
    </row>
    <row r="22" spans="2:17" x14ac:dyDescent="0.25">
      <c r="B22" s="52" t="s">
        <v>349</v>
      </c>
      <c r="C22" s="39">
        <f>SUMIFS('Monthly P&amp;L'!$Q$22:$AZ$22,'Monthly P&amp;L'!$Q$6:$AZ$6,"&gt;="&amp;C$58,'Monthly P&amp;L'!$Q$6:$AZ$6,"&lt;="&amp;C$59)</f>
        <v>730.6</v>
      </c>
      <c r="D22" s="39">
        <f>SUMIFS('Monthly P&amp;L'!$Q$22:$AZ$22,'Monthly P&amp;L'!$Q$6:$AZ$6,"&gt;="&amp;D$58,'Monthly P&amp;L'!$Q$6:$AZ$6,"&lt;="&amp;D$59)</f>
        <v>818.1</v>
      </c>
      <c r="E22" s="39">
        <f>SUMIFS('Monthly P&amp;L'!$Q$22:$AZ$22,'Monthly P&amp;L'!$Q$6:$AZ$6,"&gt;="&amp;E$58,'Monthly P&amp;L'!$Q$6:$AZ$6,"&lt;="&amp;E$59)</f>
        <v>904.7</v>
      </c>
      <c r="G22" s="39">
        <f>SUMIFS('Monthly P&amp;L'!$Q$22:$AZ$22,'Monthly P&amp;L'!$Q$6:$AZ$6,"&gt;="&amp;G$58,'Monthly P&amp;L'!$Q$6:$AZ$6,"&lt;="&amp;G$59)</f>
        <v>818.1</v>
      </c>
      <c r="H22" s="39">
        <f>SUMIFS('Monthly P&amp;L'!$Q$22:$AZ$22,'Monthly P&amp;L'!$Q$6:$AZ$6,"&gt;="&amp;H$58,'Monthly P&amp;L'!$Q$6:$AZ$6,"&lt;="&amp;H$59)</f>
        <v>904.7</v>
      </c>
      <c r="J22" s="39">
        <f>SUMIFS('Monthly P&amp;L'!$Q$22:$AZ$22,'Monthly P&amp;L'!$Q$6:$AZ$6,"&gt;="&amp;J$58,'Monthly P&amp;L'!$Q$6:$AZ$6,"&lt;="&amp;J$59)</f>
        <v>818.1</v>
      </c>
      <c r="K22" s="39">
        <f>SUMIFS('Monthly P&amp;L'!$Q$22:$AZ$22,'Monthly P&amp;L'!$Q$6:$AZ$6,"&gt;="&amp;K$58,'Monthly P&amp;L'!$Q$6:$AZ$6,"&lt;="&amp;K$59)</f>
        <v>904.7</v>
      </c>
      <c r="L22" s="39">
        <f>SUMIFS('Monthly P&amp;L'!$Q$22:$AZ$22,'Monthly P&amp;L'!$Q$6:$AZ$6,"&gt;="&amp;L$58,'Monthly P&amp;L'!$Q$6:$AZ$6,"&lt;="&amp;L$59)</f>
        <v>904.7</v>
      </c>
      <c r="N22" s="38">
        <f>L22-K22</f>
        <v>0</v>
      </c>
      <c r="O22" s="115">
        <f>IFERROR(L22/K22-1,"n.a.")</f>
        <v>0</v>
      </c>
      <c r="Q22" s="60" t="s">
        <v>350</v>
      </c>
    </row>
    <row r="23" spans="2:17" x14ac:dyDescent="0.25">
      <c r="B23" s="52" t="s">
        <v>351</v>
      </c>
      <c r="C23" s="53">
        <f>SUMIFS('Monthly P&amp;L'!$Q$23:$AZ$23,'Monthly P&amp;L'!$Q$6:$AZ$6,"&gt;="&amp;C$58,'Monthly P&amp;L'!$Q$6:$AZ$6,"&lt;="&amp;C$59)</f>
        <v>180</v>
      </c>
      <c r="D23" s="53">
        <f>SUMIFS('Monthly P&amp;L'!$Q$23:$AZ$23,'Monthly P&amp;L'!$Q$6:$AZ$6,"&gt;="&amp;D$58,'Monthly P&amp;L'!$Q$6:$AZ$6,"&lt;="&amp;D$59)</f>
        <v>190</v>
      </c>
      <c r="E23" s="53">
        <f>SUMIFS('Monthly P&amp;L'!$Q$23:$AZ$23,'Monthly P&amp;L'!$Q$6:$AZ$6,"&gt;="&amp;E$58,'Monthly P&amp;L'!$Q$6:$AZ$6,"&lt;="&amp;E$59)</f>
        <v>200</v>
      </c>
      <c r="G23" s="53">
        <f>SUMIFS('Monthly P&amp;L'!$Q$23:$AZ$23,'Monthly P&amp;L'!$Q$6:$AZ$6,"&gt;="&amp;G$58,'Monthly P&amp;L'!$Q$6:$AZ$6,"&lt;="&amp;G$59)</f>
        <v>190</v>
      </c>
      <c r="H23" s="53">
        <f>SUMIFS('Monthly P&amp;L'!$Q$23:$AZ$23,'Monthly P&amp;L'!$Q$6:$AZ$6,"&gt;="&amp;H$58,'Monthly P&amp;L'!$Q$6:$AZ$6,"&lt;="&amp;H$59)</f>
        <v>200</v>
      </c>
      <c r="J23" s="53">
        <f>SUMIFS('Monthly P&amp;L'!$Q$23:$AZ$23,'Monthly P&amp;L'!$Q$6:$AZ$6,"&gt;="&amp;J$58,'Monthly P&amp;L'!$Q$6:$AZ$6,"&lt;="&amp;J$59)</f>
        <v>190</v>
      </c>
      <c r="K23" s="53">
        <f>SUMIFS('Monthly P&amp;L'!$Q$23:$AZ$23,'Monthly P&amp;L'!$Q$6:$AZ$6,"&gt;="&amp;K$58,'Monthly P&amp;L'!$Q$6:$AZ$6,"&lt;="&amp;K$59)</f>
        <v>200</v>
      </c>
      <c r="L23" s="53">
        <f>SUMIFS('Monthly P&amp;L'!$Q$23:$AZ$23,'Monthly P&amp;L'!$Q$6:$AZ$6,"&gt;="&amp;L$58,'Monthly P&amp;L'!$Q$6:$AZ$6,"&lt;="&amp;L$59)</f>
        <v>200</v>
      </c>
      <c r="N23" s="52">
        <f>L23-K23</f>
        <v>0</v>
      </c>
      <c r="O23" s="115">
        <f>IFERROR(L23/K23-1,"n.a.")</f>
        <v>0</v>
      </c>
      <c r="Q23" s="60" t="s">
        <v>352</v>
      </c>
    </row>
    <row r="24" spans="2:17" x14ac:dyDescent="0.25">
      <c r="B24" s="52" t="s">
        <v>353</v>
      </c>
      <c r="C24" s="53">
        <f>SUMIFS('Monthly P&amp;L'!$Q$24:$AZ$24,'Monthly P&amp;L'!$Q$6:$AZ$6,"&gt;="&amp;C$58,'Monthly P&amp;L'!$Q$6:$AZ$6,"&lt;="&amp;C$59)</f>
        <v>72</v>
      </c>
      <c r="D24" s="53">
        <f>SUMIFS('Monthly P&amp;L'!$Q$24:$AZ$24,'Monthly P&amp;L'!$Q$6:$AZ$6,"&gt;="&amp;D$58,'Monthly P&amp;L'!$Q$6:$AZ$6,"&lt;="&amp;D$59)</f>
        <v>74.16</v>
      </c>
      <c r="E24" s="53">
        <f>SUMIFS('Monthly P&amp;L'!$Q$24:$AZ$24,'Monthly P&amp;L'!$Q$6:$AZ$6,"&gt;="&amp;E$58,'Monthly P&amp;L'!$Q$6:$AZ$6,"&lt;="&amp;E$59)</f>
        <v>76.385</v>
      </c>
      <c r="G24" s="53">
        <f>SUMIFS('Monthly P&amp;L'!$Q$24:$AZ$24,'Monthly P&amp;L'!$Q$6:$AZ$6,"&gt;="&amp;G$58,'Monthly P&amp;L'!$Q$6:$AZ$6,"&lt;="&amp;G$59)</f>
        <v>74.16</v>
      </c>
      <c r="H24" s="53">
        <f>SUMIFS('Monthly P&amp;L'!$Q$24:$AZ$24,'Monthly P&amp;L'!$Q$6:$AZ$6,"&gt;="&amp;H$58,'Monthly P&amp;L'!$Q$6:$AZ$6,"&lt;="&amp;H$59)</f>
        <v>76.385</v>
      </c>
      <c r="J24" s="53">
        <f>SUMIFS('Monthly P&amp;L'!$Q$24:$AZ$24,'Monthly P&amp;L'!$Q$6:$AZ$6,"&gt;="&amp;J$58,'Monthly P&amp;L'!$Q$6:$AZ$6,"&lt;="&amp;J$59)</f>
        <v>74.16</v>
      </c>
      <c r="K24" s="53">
        <f>SUMIFS('Monthly P&amp;L'!$Q$24:$AZ$24,'Monthly P&amp;L'!$Q$6:$AZ$6,"&gt;="&amp;K$58,'Monthly P&amp;L'!$Q$6:$AZ$6,"&lt;="&amp;K$59)</f>
        <v>76.385</v>
      </c>
      <c r="L24" s="53">
        <f>SUMIFS('Monthly P&amp;L'!$Q$24:$AZ$24,'Monthly P&amp;L'!$Q$6:$AZ$6,"&gt;="&amp;L$58,'Monthly P&amp;L'!$Q$6:$AZ$6,"&lt;="&amp;L$59)</f>
        <v>76.385</v>
      </c>
      <c r="N24" s="52">
        <f>L24-K24</f>
        <v>0</v>
      </c>
      <c r="O24" s="115">
        <f>IFERROR(L24/K24-1,"n.a.")</f>
        <v>0</v>
      </c>
      <c r="Q24" s="60" t="s">
        <v>354</v>
      </c>
    </row>
    <row r="25" spans="2:17" x14ac:dyDescent="0.25">
      <c r="B25" s="52" t="s">
        <v>355</v>
      </c>
      <c r="C25" s="53">
        <f>SUMIFS('Monthly P&amp;L'!$Q$25:$AZ$25,'Monthly P&amp;L'!$Q$6:$AZ$6,"&gt;="&amp;C$58,'Monthly P&amp;L'!$Q$6:$AZ$6,"&lt;="&amp;C$59)</f>
        <v>64.8</v>
      </c>
      <c r="D25" s="53">
        <f>SUMIFS('Monthly P&amp;L'!$Q$25:$AZ$25,'Monthly P&amp;L'!$Q$6:$AZ$6,"&gt;="&amp;D$58,'Monthly P&amp;L'!$Q$6:$AZ$6,"&lt;="&amp;D$59)</f>
        <v>71.2</v>
      </c>
      <c r="E25" s="53">
        <f>SUMIFS('Monthly P&amp;L'!$Q$25:$AZ$25,'Monthly P&amp;L'!$Q$6:$AZ$6,"&gt;="&amp;E$58,'Monthly P&amp;L'!$Q$6:$AZ$6,"&lt;="&amp;E$59)</f>
        <v>79.6</v>
      </c>
      <c r="G25" s="53">
        <f>SUMIFS('Monthly P&amp;L'!$Q$25:$AZ$25,'Monthly P&amp;L'!$Q$6:$AZ$6,"&gt;="&amp;G$58,'Monthly P&amp;L'!$Q$6:$AZ$6,"&lt;="&amp;G$59)</f>
        <v>71.2</v>
      </c>
      <c r="H25" s="53">
        <f>SUMIFS('Monthly P&amp;L'!$Q$25:$AZ$25,'Monthly P&amp;L'!$Q$6:$AZ$6,"&gt;="&amp;H$58,'Monthly P&amp;L'!$Q$6:$AZ$6,"&lt;="&amp;H$59)</f>
        <v>79.6</v>
      </c>
      <c r="J25" s="53">
        <f>SUMIFS('Monthly P&amp;L'!$Q$25:$AZ$25,'Monthly P&amp;L'!$Q$6:$AZ$6,"&gt;="&amp;J$58,'Monthly P&amp;L'!$Q$6:$AZ$6,"&lt;="&amp;J$59)</f>
        <v>71.2</v>
      </c>
      <c r="K25" s="53">
        <f>SUMIFS('Monthly P&amp;L'!$Q$25:$AZ$25,'Monthly P&amp;L'!$Q$6:$AZ$6,"&gt;="&amp;K$58,'Monthly P&amp;L'!$Q$6:$AZ$6,"&lt;="&amp;K$59)</f>
        <v>79.6</v>
      </c>
      <c r="L25" s="53">
        <f>SUMIFS('Monthly P&amp;L'!$Q$25:$AZ$25,'Monthly P&amp;L'!$Q$6:$AZ$6,"&gt;="&amp;L$58,'Monthly P&amp;L'!$Q$6:$AZ$6,"&lt;="&amp;L$59)</f>
        <v>79.6</v>
      </c>
      <c r="N25" s="52">
        <f>L25-K25</f>
        <v>0</v>
      </c>
      <c r="O25" s="115">
        <f>IFERROR(L25/K25-1,"n.a.")</f>
        <v>0</v>
      </c>
      <c r="Q25" s="60" t="s">
        <v>356</v>
      </c>
    </row>
    <row r="26" spans="2:17" x14ac:dyDescent="0.25">
      <c r="B26" s="52" t="s">
        <v>357</v>
      </c>
      <c r="C26" s="53">
        <f>SUMIFS('Monthly P&amp;L'!$Q$26:$AZ$26,'Monthly P&amp;L'!$Q$6:$AZ$6,"&gt;="&amp;C$58,'Monthly P&amp;L'!$Q$6:$AZ$6,"&lt;="&amp;C$59)</f>
        <v>263.6</v>
      </c>
      <c r="D26" s="53">
        <f>SUMIFS('Monthly P&amp;L'!$Q$26:$AZ$26,'Monthly P&amp;L'!$Q$6:$AZ$6,"&gt;="&amp;D$58,'Monthly P&amp;L'!$Q$6:$AZ$6,"&lt;="&amp;D$59)</f>
        <v>305</v>
      </c>
      <c r="E26" s="53">
        <f>SUMIFS('Monthly P&amp;L'!$Q$26:$AZ$26,'Monthly P&amp;L'!$Q$6:$AZ$6,"&gt;="&amp;E$58,'Monthly P&amp;L'!$Q$6:$AZ$6,"&lt;="&amp;E$59)</f>
        <v>304.8</v>
      </c>
      <c r="G26" s="53">
        <f>SUMIFS('Monthly P&amp;L'!$Q$26:$AZ$26,'Monthly P&amp;L'!$Q$6:$AZ$6,"&gt;="&amp;G$58,'Monthly P&amp;L'!$Q$6:$AZ$6,"&lt;="&amp;G$59)</f>
        <v>305</v>
      </c>
      <c r="H26" s="53">
        <f>SUMIFS('Monthly P&amp;L'!$Q$26:$AZ$26,'Monthly P&amp;L'!$Q$6:$AZ$6,"&gt;="&amp;H$58,'Monthly P&amp;L'!$Q$6:$AZ$6,"&lt;="&amp;H$59)</f>
        <v>304.8</v>
      </c>
      <c r="J26" s="53">
        <f>SUMIFS('Monthly P&amp;L'!$Q$26:$AZ$26,'Monthly P&amp;L'!$Q$6:$AZ$6,"&gt;="&amp;J$58,'Monthly P&amp;L'!$Q$6:$AZ$6,"&lt;="&amp;J$59)</f>
        <v>305</v>
      </c>
      <c r="K26" s="53">
        <f>SUMIFS('Monthly P&amp;L'!$Q$26:$AZ$26,'Monthly P&amp;L'!$Q$6:$AZ$6,"&gt;="&amp;K$58,'Monthly P&amp;L'!$Q$6:$AZ$6,"&lt;="&amp;K$59)</f>
        <v>304.8</v>
      </c>
      <c r="L26" s="53">
        <f>SUMIFS('Monthly P&amp;L'!$Q$26:$AZ$26,'Monthly P&amp;L'!$Q$6:$AZ$6,"&gt;="&amp;L$58,'Monthly P&amp;L'!$Q$6:$AZ$6,"&lt;="&amp;L$59)</f>
        <v>304.8</v>
      </c>
      <c r="N26" s="52">
        <f>L26-K26</f>
        <v>0</v>
      </c>
      <c r="O26" s="115">
        <f>IFERROR(L26/K26-1,"n.a.")</f>
        <v>0</v>
      </c>
      <c r="Q26" s="60" t="s">
        <v>358</v>
      </c>
    </row>
    <row r="27" ht="3.95" customHeight="1" x14ac:dyDescent="0.25"/>
    <row r="28" spans="2:17" x14ac:dyDescent="0.25">
      <c r="B28" s="116" t="s">
        <v>359</v>
      </c>
      <c r="C28" s="116">
        <f>SUM(C22:C26)</f>
        <v>1311</v>
      </c>
      <c r="D28" s="116">
        <f>SUM(D22:D26)</f>
        <v>1458.46</v>
      </c>
      <c r="E28" s="116">
        <f>SUM(E22:E26)</f>
        <v>1565.485</v>
      </c>
      <c r="G28" s="116">
        <f>SUM(G22:G26)</f>
        <v>1458.46</v>
      </c>
      <c r="H28" s="116">
        <f>SUM(H22:H26)</f>
        <v>1565.485</v>
      </c>
      <c r="J28" s="116">
        <f>SUM(J22:J26)</f>
        <v>1458.46</v>
      </c>
      <c r="K28" s="116">
        <f>SUM(K22:K26)</f>
        <v>1565.485</v>
      </c>
      <c r="L28" s="116">
        <f>SUM(L22:L26)</f>
        <v>1565.485</v>
      </c>
      <c r="N28" s="116">
        <f>L28-K28</f>
        <v>0</v>
      </c>
      <c r="O28" s="117">
        <f>IFERROR(L28/K28-1,"n.a.")</f>
        <v>0</v>
      </c>
      <c r="Q28" s="60" t="s">
        <v>360</v>
      </c>
    </row>
    <row r="29" spans="2:17" x14ac:dyDescent="0.25">
      <c r="B29" s="52" t="s">
        <v>361</v>
      </c>
      <c r="C29" s="53">
        <f>SUMIFS('Monthly P&amp;L'!$Q$29:$AZ$29,'Monthly P&amp;L'!$Q$6:$AZ$6,"&gt;="&amp;C$58,'Monthly P&amp;L'!$Q$6:$AZ$6,"&lt;="&amp;C$59)</f>
        <v>1.2</v>
      </c>
      <c r="D29" s="53">
        <f>SUMIFS('Monthly P&amp;L'!$Q$29:$AZ$29,'Monthly P&amp;L'!$Q$6:$AZ$6,"&gt;="&amp;D$58,'Monthly P&amp;L'!$Q$6:$AZ$6,"&lt;="&amp;D$59)</f>
        <v>2.4</v>
      </c>
      <c r="E29" s="53">
        <f>SUMIFS('Monthly P&amp;L'!$Q$29:$AZ$29,'Monthly P&amp;L'!$Q$6:$AZ$6,"&gt;="&amp;E$58,'Monthly P&amp;L'!$Q$6:$AZ$6,"&lt;="&amp;E$59)</f>
        <v>3.1</v>
      </c>
      <c r="G29" s="53">
        <f>SUMIFS('Monthly P&amp;L'!$Q$29:$AZ$29,'Monthly P&amp;L'!$Q$6:$AZ$6,"&gt;="&amp;G$58,'Monthly P&amp;L'!$Q$6:$AZ$6,"&lt;="&amp;G$59)</f>
        <v>2.4</v>
      </c>
      <c r="H29" s="53">
        <f>SUMIFS('Monthly P&amp;L'!$Q$29:$AZ$29,'Monthly P&amp;L'!$Q$6:$AZ$6,"&gt;="&amp;H$58,'Monthly P&amp;L'!$Q$6:$AZ$6,"&lt;="&amp;H$59)</f>
        <v>3.1</v>
      </c>
      <c r="J29" s="53">
        <f>SUMIFS('Monthly P&amp;L'!$Q$29:$AZ$29,'Monthly P&amp;L'!$Q$6:$AZ$6,"&gt;="&amp;J$58,'Monthly P&amp;L'!$Q$6:$AZ$6,"&lt;="&amp;J$59)</f>
        <v>2.4</v>
      </c>
      <c r="K29" s="53">
        <f>SUMIFS('Monthly P&amp;L'!$Q$29:$AZ$29,'Monthly P&amp;L'!$Q$6:$AZ$6,"&gt;="&amp;K$58,'Monthly P&amp;L'!$Q$6:$AZ$6,"&lt;="&amp;K$59)</f>
        <v>3.1</v>
      </c>
      <c r="L29" s="53">
        <f>SUMIFS('Monthly P&amp;L'!$Q$29:$AZ$29,'Monthly P&amp;L'!$Q$6:$AZ$6,"&gt;="&amp;L$58,'Monthly P&amp;L'!$Q$6:$AZ$6,"&lt;="&amp;L$59)</f>
        <v>3.1</v>
      </c>
      <c r="N29" s="52">
        <f>L29-K29</f>
        <v>0</v>
      </c>
      <c r="O29" s="115">
        <f>IFERROR(L29/K29-1,"n.a.")</f>
        <v>0</v>
      </c>
      <c r="Q29" s="60" t="s">
        <v>362</v>
      </c>
    </row>
    <row r="30" spans="2:15" x14ac:dyDescent="0.25">
      <c r="B30" s="52" t="s">
        <v>363</v>
      </c>
      <c r="C30" s="53">
        <f>SUMIFS('Monthly P&amp;L'!$Q$30:$AZ$30,'Monthly P&amp;L'!$Q$6:$AZ$6,"&gt;="&amp;C$58,'Monthly P&amp;L'!$Q$6:$AZ$6,"&lt;="&amp;C$59)</f>
        <v>0</v>
      </c>
      <c r="D30" s="53">
        <f>SUMIFS('Monthly P&amp;L'!$Q$30:$AZ$30,'Monthly P&amp;L'!$Q$6:$AZ$6,"&gt;="&amp;D$58,'Monthly P&amp;L'!$Q$6:$AZ$6,"&lt;="&amp;D$59)</f>
        <v>0</v>
      </c>
      <c r="E30" s="53">
        <f>SUMIFS('Monthly P&amp;L'!$Q$30:$AZ$30,'Monthly P&amp;L'!$Q$6:$AZ$6,"&gt;="&amp;E$58,'Monthly P&amp;L'!$Q$6:$AZ$6,"&lt;="&amp;E$59)</f>
        <v>0</v>
      </c>
      <c r="G30" s="53">
        <f>SUMIFS('Monthly P&amp;L'!$Q$30:$AZ$30,'Monthly P&amp;L'!$Q$6:$AZ$6,"&gt;="&amp;G$58,'Monthly P&amp;L'!$Q$6:$AZ$6,"&lt;="&amp;G$59)</f>
        <v>0</v>
      </c>
      <c r="H30" s="53">
        <f>SUMIFS('Monthly P&amp;L'!$Q$30:$AZ$30,'Monthly P&amp;L'!$Q$6:$AZ$6,"&gt;="&amp;H$58,'Monthly P&amp;L'!$Q$6:$AZ$6,"&lt;="&amp;H$59)</f>
        <v>0</v>
      </c>
      <c r="J30" s="53">
        <f>SUMIFS('Monthly P&amp;L'!$Q$30:$AZ$30,'Monthly P&amp;L'!$Q$6:$AZ$6,"&gt;="&amp;J$58,'Monthly P&amp;L'!$Q$6:$AZ$6,"&lt;="&amp;J$59)</f>
        <v>0</v>
      </c>
      <c r="K30" s="53">
        <f>SUMIFS('Monthly P&amp;L'!$Q$30:$AZ$30,'Monthly P&amp;L'!$Q$6:$AZ$6,"&gt;="&amp;K$58,'Monthly P&amp;L'!$Q$6:$AZ$6,"&lt;="&amp;K$59)</f>
        <v>0</v>
      </c>
      <c r="L30" s="53">
        <f>SUMIFS('Monthly P&amp;L'!$Q$30:$AZ$30,'Monthly P&amp;L'!$Q$6:$AZ$6,"&gt;="&amp;L$58,'Monthly P&amp;L'!$Q$6:$AZ$6,"&lt;="&amp;L$59)</f>
        <v>0</v>
      </c>
      <c r="N30" s="52">
        <f>L30-K30</f>
        <v>0</v>
      </c>
      <c r="O30" s="115" t="str">
        <f>IFERROR(L30/K30-1,"n.a.")</f>
        <v>n.a.</v>
      </c>
    </row>
    <row r="31" ht="3.95" customHeight="1" x14ac:dyDescent="0.25"/>
    <row r="32" spans="2:17" x14ac:dyDescent="0.25">
      <c r="B32" s="42" t="s">
        <v>91</v>
      </c>
      <c r="C32" s="119">
        <f>C18-C28+C29-C30</f>
        <v>158.2</v>
      </c>
      <c r="D32" s="120">
        <f>D18-D28+D29-D30</f>
        <v>214.64</v>
      </c>
      <c r="E32" s="121">
        <f>E18-E28+E29-E30</f>
        <v>319.515</v>
      </c>
      <c r="G32" s="119">
        <f>G18-G28+G29-G30</f>
        <v>214.64</v>
      </c>
      <c r="H32" s="121">
        <f>H18-H28+H29-H30</f>
        <v>319.515</v>
      </c>
      <c r="J32" s="119">
        <f>J18-J28+J29-J30</f>
        <v>214.64</v>
      </c>
      <c r="K32" s="121">
        <f>K18-K28+K29-K30</f>
        <v>319.515</v>
      </c>
      <c r="L32" s="42">
        <f>L18-L28+L29-L30</f>
        <v>319.515</v>
      </c>
      <c r="N32" s="119">
        <f>L32-K32</f>
        <v>0</v>
      </c>
      <c r="O32" s="122">
        <f>IFERROR(L32/K32-1,"n.a.")</f>
        <v>0</v>
      </c>
      <c r="Q32" s="60" t="s">
        <v>364</v>
      </c>
    </row>
    <row r="33" spans="2:17" x14ac:dyDescent="0.25">
      <c r="B33" s="47" t="s">
        <v>90</v>
      </c>
      <c r="C33" s="123">
        <f>IFERROR(C32/C14,"n.m.")</f>
        <v>0.06573043044706664</v>
      </c>
      <c r="D33" s="124">
        <f>IFERROR(D32/D14,"n.m.")</f>
        <v>0.07895240197160303</v>
      </c>
      <c r="E33" s="125">
        <f>IFERROR(E32/E14,"n.m.")</f>
        <v>0.10507596685082873</v>
      </c>
      <c r="G33" s="123">
        <f>IFERROR(G32/G14,"n.m.")</f>
        <v>0.07895240197160303</v>
      </c>
      <c r="H33" s="125">
        <f>IFERROR(H32/H14,"n.m.")</f>
        <v>0.10507596685082873</v>
      </c>
      <c r="J33" s="123">
        <f>IFERROR(J32/J14,"n.m.")</f>
        <v>0.07895240197160303</v>
      </c>
      <c r="K33" s="125">
        <f>IFERROR(K32/K14,"n.m.")</f>
        <v>0.10507596685082873</v>
      </c>
      <c r="L33" s="126">
        <f>IFERROR(L32/L14,"n.m.")</f>
        <v>0.10507596685082873</v>
      </c>
      <c r="N33" s="127"/>
      <c r="O33" s="128"/>
      <c r="Q33" s="60" t="s">
        <v>347</v>
      </c>
    </row>
    <row r="34" ht="3.95" customHeight="1" x14ac:dyDescent="0.25"/>
    <row r="35" spans="2:17" x14ac:dyDescent="0.25">
      <c r="B35" s="52" t="s">
        <v>365</v>
      </c>
      <c r="C35" s="39">
        <f>SUMIFS('Monthly P&amp;L'!$Q$35:$AZ$35,'Monthly P&amp;L'!$Q$6:$AZ$6,"&gt;="&amp;C$58,'Monthly P&amp;L'!$Q$6:$AZ$6,"&lt;="&amp;C$59)</f>
        <v>61.2</v>
      </c>
      <c r="D35" s="39">
        <f>SUMIFS('Monthly P&amp;L'!$Q$35:$AZ$35,'Monthly P&amp;L'!$Q$6:$AZ$6,"&gt;="&amp;D$58,'Monthly P&amp;L'!$Q$6:$AZ$6,"&lt;="&amp;D$59)</f>
        <v>66.8</v>
      </c>
      <c r="E35" s="39">
        <f>SUMIFS('Monthly P&amp;L'!$Q$35:$AZ$35,'Monthly P&amp;L'!$Q$6:$AZ$6,"&gt;="&amp;E$58,'Monthly P&amp;L'!$Q$6:$AZ$6,"&lt;="&amp;E$59)</f>
        <v>72.4</v>
      </c>
      <c r="G35" s="39">
        <f>SUMIFS('Monthly P&amp;L'!$Q$35:$AZ$35,'Monthly P&amp;L'!$Q$6:$AZ$6,"&gt;="&amp;G$58,'Monthly P&amp;L'!$Q$6:$AZ$6,"&lt;="&amp;G$59)</f>
        <v>66.8</v>
      </c>
      <c r="H35" s="39">
        <f>SUMIFS('Monthly P&amp;L'!$Q$35:$AZ$35,'Monthly P&amp;L'!$Q$6:$AZ$6,"&gt;="&amp;H$58,'Monthly P&amp;L'!$Q$6:$AZ$6,"&lt;="&amp;H$59)</f>
        <v>72.4</v>
      </c>
      <c r="J35" s="39">
        <f>SUMIFS('Monthly P&amp;L'!$Q$35:$AZ$35,'Monthly P&amp;L'!$Q$6:$AZ$6,"&gt;="&amp;J$58,'Monthly P&amp;L'!$Q$6:$AZ$6,"&lt;="&amp;J$59)</f>
        <v>66.8</v>
      </c>
      <c r="K35" s="39">
        <f>SUMIFS('Monthly P&amp;L'!$Q$35:$AZ$35,'Monthly P&amp;L'!$Q$6:$AZ$6,"&gt;="&amp;K$58,'Monthly P&amp;L'!$Q$6:$AZ$6,"&lt;="&amp;K$59)</f>
        <v>72.4</v>
      </c>
      <c r="L35" s="39">
        <f>SUMIFS('Monthly P&amp;L'!$Q$35:$AZ$35,'Monthly P&amp;L'!$Q$6:$AZ$6,"&gt;="&amp;L$58,'Monthly P&amp;L'!$Q$6:$AZ$6,"&lt;="&amp;L$59)</f>
        <v>72.4</v>
      </c>
      <c r="N35" s="38">
        <f>L35-K35</f>
        <v>0</v>
      </c>
      <c r="O35" s="115">
        <f>IFERROR(L35/K35-1,"n.a.")</f>
        <v>0</v>
      </c>
      <c r="Q35" s="60" t="s">
        <v>366</v>
      </c>
    </row>
    <row r="36" ht="3.95" customHeight="1" x14ac:dyDescent="0.25"/>
    <row r="37" spans="2:17" x14ac:dyDescent="0.25">
      <c r="B37" s="116" t="s">
        <v>367</v>
      </c>
      <c r="C37" s="116">
        <f>C32-C35</f>
        <v>97</v>
      </c>
      <c r="D37" s="116">
        <f>D32-D35</f>
        <v>147.84</v>
      </c>
      <c r="E37" s="116">
        <f>E32-E35</f>
        <v>247.115</v>
      </c>
      <c r="G37" s="116">
        <f>G32-G35</f>
        <v>147.84</v>
      </c>
      <c r="H37" s="116">
        <f>H32-H35</f>
        <v>247.115</v>
      </c>
      <c r="J37" s="116">
        <f>J32-J35</f>
        <v>147.84</v>
      </c>
      <c r="K37" s="116">
        <f>K32-K35</f>
        <v>247.115</v>
      </c>
      <c r="L37" s="116">
        <f>L32-L35</f>
        <v>247.115</v>
      </c>
      <c r="N37" s="116">
        <f>L37-K37</f>
        <v>0</v>
      </c>
      <c r="O37" s="117">
        <f>IFERROR(L37/K37-1,"n.a.")</f>
        <v>0</v>
      </c>
      <c r="Q37" s="60" t="s">
        <v>368</v>
      </c>
    </row>
    <row r="38" spans="2:17" x14ac:dyDescent="0.25">
      <c r="B38" s="52" t="s">
        <v>369</v>
      </c>
      <c r="C38" s="53">
        <f>SUMIFS('Monthly P&amp;L'!$Q$38:$AZ$38,'Monthly P&amp;L'!$Q$6:$AZ$6,"&gt;="&amp;C$58,'Monthly P&amp;L'!$Q$6:$AZ$6,"&lt;="&amp;C$59)</f>
        <v>22.4</v>
      </c>
      <c r="D38" s="53">
        <f>SUMIFS('Monthly P&amp;L'!$Q$38:$AZ$38,'Monthly P&amp;L'!$Q$6:$AZ$6,"&gt;="&amp;D$58,'Monthly P&amp;L'!$Q$6:$AZ$6,"&lt;="&amp;D$59)</f>
        <v>18.6</v>
      </c>
      <c r="E38" s="53">
        <f>SUMIFS('Monthly P&amp;L'!$Q$38:$AZ$38,'Monthly P&amp;L'!$Q$6:$AZ$6,"&gt;="&amp;E$58,'Monthly P&amp;L'!$Q$6:$AZ$6,"&lt;="&amp;E$59)</f>
        <v>14.3</v>
      </c>
      <c r="G38" s="53">
        <f>SUMIFS('Monthly P&amp;L'!$Q$38:$AZ$38,'Monthly P&amp;L'!$Q$6:$AZ$6,"&gt;="&amp;G$58,'Monthly P&amp;L'!$Q$6:$AZ$6,"&lt;="&amp;G$59)</f>
        <v>18.6</v>
      </c>
      <c r="H38" s="53">
        <f>SUMIFS('Monthly P&amp;L'!$Q$38:$AZ$38,'Monthly P&amp;L'!$Q$6:$AZ$6,"&gt;="&amp;H$58,'Monthly P&amp;L'!$Q$6:$AZ$6,"&lt;="&amp;H$59)</f>
        <v>14.3</v>
      </c>
      <c r="J38" s="53">
        <f>SUMIFS('Monthly P&amp;L'!$Q$38:$AZ$38,'Monthly P&amp;L'!$Q$6:$AZ$6,"&gt;="&amp;J$58,'Monthly P&amp;L'!$Q$6:$AZ$6,"&lt;="&amp;J$59)</f>
        <v>18.6</v>
      </c>
      <c r="K38" s="53">
        <f>SUMIFS('Monthly P&amp;L'!$Q$38:$AZ$38,'Monthly P&amp;L'!$Q$6:$AZ$6,"&gt;="&amp;K$58,'Monthly P&amp;L'!$Q$6:$AZ$6,"&lt;="&amp;K$59)</f>
        <v>14.3</v>
      </c>
      <c r="L38" s="53">
        <f>SUMIFS('Monthly P&amp;L'!$Q$38:$AZ$38,'Monthly P&amp;L'!$Q$6:$AZ$6,"&gt;="&amp;L$58,'Monthly P&amp;L'!$Q$6:$AZ$6,"&lt;="&amp;L$59)</f>
        <v>14.3</v>
      </c>
      <c r="N38" s="52">
        <f>L38-K38</f>
        <v>0</v>
      </c>
      <c r="O38" s="115">
        <f>IFERROR(L38/K38-1,"n.a.")</f>
        <v>0</v>
      </c>
      <c r="Q38" s="60" t="s">
        <v>370</v>
      </c>
    </row>
    <row r="39" ht="3.95" customHeight="1" x14ac:dyDescent="0.25"/>
    <row r="40" spans="2:17" x14ac:dyDescent="0.25">
      <c r="B40" s="116" t="s">
        <v>371</v>
      </c>
      <c r="C40" s="116">
        <f>C37-C38</f>
        <v>74.6</v>
      </c>
      <c r="D40" s="116">
        <f>D37-D38</f>
        <v>129.24</v>
      </c>
      <c r="E40" s="116">
        <f>E37-E38</f>
        <v>232.815</v>
      </c>
      <c r="G40" s="116">
        <f>G37-G38</f>
        <v>129.24</v>
      </c>
      <c r="H40" s="116">
        <f>H37-H38</f>
        <v>232.815</v>
      </c>
      <c r="J40" s="116">
        <f>J37-J38</f>
        <v>129.24</v>
      </c>
      <c r="K40" s="116">
        <f>K37-K38</f>
        <v>232.815</v>
      </c>
      <c r="L40" s="116">
        <f>L37-L38</f>
        <v>232.815</v>
      </c>
      <c r="N40" s="116">
        <f>L40-K40</f>
        <v>0</v>
      </c>
      <c r="O40" s="117">
        <f>IFERROR(L40/K40-1,"n.a.")</f>
        <v>0</v>
      </c>
      <c r="Q40" s="60" t="s">
        <v>372</v>
      </c>
    </row>
    <row r="41" spans="2:15" x14ac:dyDescent="0.25">
      <c r="B41" s="52" t="s">
        <v>373</v>
      </c>
      <c r="C41" s="53">
        <f>SUMIFS('Monthly P&amp;L'!$Q$41:$AZ$41,'Monthly P&amp;L'!$Q$6:$AZ$6,"&gt;="&amp;C$58,'Monthly P&amp;L'!$Q$6:$AZ$6,"&lt;="&amp;C$59)</f>
        <v>0</v>
      </c>
      <c r="D41" s="53">
        <f>SUMIFS('Monthly P&amp;L'!$Q$41:$AZ$41,'Monthly P&amp;L'!$Q$6:$AZ$6,"&gt;="&amp;D$58,'Monthly P&amp;L'!$Q$6:$AZ$6,"&lt;="&amp;D$59)</f>
        <v>0</v>
      </c>
      <c r="E41" s="53">
        <f>SUMIFS('Monthly P&amp;L'!$Q$41:$AZ$41,'Monthly P&amp;L'!$Q$6:$AZ$6,"&gt;="&amp;E$58,'Monthly P&amp;L'!$Q$6:$AZ$6,"&lt;="&amp;E$59)</f>
        <v>0</v>
      </c>
      <c r="G41" s="53">
        <f>SUMIFS('Monthly P&amp;L'!$Q$41:$AZ$41,'Monthly P&amp;L'!$Q$6:$AZ$6,"&gt;="&amp;G$58,'Monthly P&amp;L'!$Q$6:$AZ$6,"&lt;="&amp;G$59)</f>
        <v>0</v>
      </c>
      <c r="H41" s="53">
        <f>SUMIFS('Monthly P&amp;L'!$Q$41:$AZ$41,'Monthly P&amp;L'!$Q$6:$AZ$6,"&gt;="&amp;H$58,'Monthly P&amp;L'!$Q$6:$AZ$6,"&lt;="&amp;H$59)</f>
        <v>0</v>
      </c>
      <c r="J41" s="53">
        <f>SUMIFS('Monthly P&amp;L'!$Q$41:$AZ$41,'Monthly P&amp;L'!$Q$6:$AZ$6,"&gt;="&amp;J$58,'Monthly P&amp;L'!$Q$6:$AZ$6,"&lt;="&amp;J$59)</f>
        <v>0</v>
      </c>
      <c r="K41" s="53">
        <f>SUMIFS('Monthly P&amp;L'!$Q$41:$AZ$41,'Monthly P&amp;L'!$Q$6:$AZ$6,"&gt;="&amp;K$58,'Monthly P&amp;L'!$Q$6:$AZ$6,"&lt;="&amp;K$59)</f>
        <v>0</v>
      </c>
      <c r="L41" s="53">
        <f>SUMIFS('Monthly P&amp;L'!$Q$41:$AZ$41,'Monthly P&amp;L'!$Q$6:$AZ$6,"&gt;="&amp;L$58,'Monthly P&amp;L'!$Q$6:$AZ$6,"&lt;="&amp;L$59)</f>
        <v>0</v>
      </c>
      <c r="N41" s="52">
        <f>L41-K41</f>
        <v>0</v>
      </c>
      <c r="O41" s="115" t="str">
        <f>IFERROR(L41/K41-1,"n.a.")</f>
        <v>n.a.</v>
      </c>
    </row>
    <row r="42" ht="3.95" customHeight="1" x14ac:dyDescent="0.25"/>
    <row r="43" spans="2:17" x14ac:dyDescent="0.25">
      <c r="B43" s="42" t="s">
        <v>92</v>
      </c>
      <c r="C43" s="119">
        <f>C40-C41</f>
        <v>74.6</v>
      </c>
      <c r="D43" s="120">
        <f>D40-D41</f>
        <v>129.24</v>
      </c>
      <c r="E43" s="121">
        <f>E40-E41</f>
        <v>232.815</v>
      </c>
      <c r="G43" s="119">
        <f>G40-G41</f>
        <v>129.24</v>
      </c>
      <c r="H43" s="121">
        <f>H40-H41</f>
        <v>232.815</v>
      </c>
      <c r="J43" s="119">
        <f>J40-J41</f>
        <v>129.24</v>
      </c>
      <c r="K43" s="121">
        <f>K40-K41</f>
        <v>232.815</v>
      </c>
      <c r="L43" s="42">
        <f>L40-L41</f>
        <v>232.815</v>
      </c>
      <c r="N43" s="119">
        <f>L43-K43</f>
        <v>0</v>
      </c>
      <c r="O43" s="122">
        <f>IFERROR(L43/K43-1,"n.a.")</f>
        <v>0</v>
      </c>
      <c r="Q43" s="60" t="s">
        <v>374</v>
      </c>
    </row>
    <row r="44" spans="2:17" x14ac:dyDescent="0.25">
      <c r="B44" s="47" t="s">
        <v>90</v>
      </c>
      <c r="C44" s="123">
        <f>IFERROR(C43/C14,"n.m.")</f>
        <v>0.030995512713977064</v>
      </c>
      <c r="D44" s="124">
        <f>IFERROR(D43/D14,"n.m.")</f>
        <v>0.047539174575148974</v>
      </c>
      <c r="E44" s="125">
        <f>IFERROR(E43/E14,"n.m.")</f>
        <v>0.07656373322809787</v>
      </c>
      <c r="G44" s="123">
        <f>IFERROR(G43/G14,"n.m.")</f>
        <v>0.047539174575148974</v>
      </c>
      <c r="H44" s="125">
        <f>IFERROR(H43/H14,"n.m.")</f>
        <v>0.07656373322809787</v>
      </c>
      <c r="J44" s="123">
        <f>IFERROR(J43/J14,"n.m.")</f>
        <v>0.047539174575148974</v>
      </c>
      <c r="K44" s="125">
        <f>IFERROR(K43/K14,"n.m.")</f>
        <v>0.07656373322809787</v>
      </c>
      <c r="L44" s="126">
        <f>IFERROR(L43/L14,"n.m.")</f>
        <v>0.07656373322809787</v>
      </c>
      <c r="N44" s="127"/>
      <c r="O44" s="128"/>
      <c r="Q44" s="60" t="s">
        <v>347</v>
      </c>
    </row>
    <row r="46" spans="2:15" x14ac:dyDescent="0.25">
      <c r="B46" s="37" t="s">
        <v>375</v>
      </c>
      <c r="C46" s="37"/>
      <c r="D46" s="37"/>
      <c r="E46" s="37"/>
      <c r="G46" s="37"/>
      <c r="H46" s="37"/>
      <c r="J46" s="37"/>
      <c r="K46" s="37"/>
      <c r="L46" s="37"/>
      <c r="N46" s="37"/>
      <c r="O46" s="37"/>
    </row>
    <row r="47" spans="2:12" x14ac:dyDescent="0.25">
      <c r="B47" s="52" t="s">
        <v>100</v>
      </c>
      <c r="C47" s="53">
        <f>COUNTIFS('Raw - Customers'!$E:$E,"&lt;="&amp;C$59,'Raw - Customers'!$F:$F,"")+COUNTIFS('Raw - Customers'!$E:$E,"&lt;="&amp;C$59,'Raw - Customers'!$F:$F,"&gt;"&amp;C$59)+COUNTIFS('Raw - Customers'!$E:$E,"",'Raw - Customers'!$I:$I,"&gt;0",'Raw - Customers'!$A:$A,"&lt;&gt;Residual")</f>
        <v>44</v>
      </c>
      <c r="D47" s="53">
        <f>COUNTIFS('Raw - Customers'!$E:$E,"&lt;="&amp;D$59,'Raw - Customers'!$F:$F,"")+COUNTIFS('Raw - Customers'!$E:$E,"&lt;="&amp;D$59,'Raw - Customers'!$F:$F,"&gt;"&amp;D$59)+COUNTIFS('Raw - Customers'!$E:$E,"",'Raw - Customers'!$J:$J,"&gt;0",'Raw - Customers'!$A:$A,"&lt;&gt;Residual")</f>
        <v>49</v>
      </c>
      <c r="E47" s="53">
        <f>COUNTIFS('Raw - Customers'!$E:$E,"&lt;="&amp;E$59,'Raw - Customers'!$F:$F,"")+COUNTIFS('Raw - Customers'!$E:$E,"&lt;="&amp;E$59,'Raw - Customers'!$F:$F,"&gt;"&amp;E$59)+COUNTIFS('Raw - Customers'!$E:$E,"",'Raw - Customers'!$K:$K,"&gt;0",'Raw - Customers'!$A:$A,"&lt;&gt;Residual")</f>
        <v>52</v>
      </c>
      <c r="G47" s="53">
        <f>COUNTIFS('Raw - Customers'!$E:$E,"&lt;="&amp;G$59,'Raw - Customers'!$F:$F,"")+COUNTIFS('Raw - Customers'!$E:$E,"&lt;="&amp;G$59,'Raw - Customers'!$F:$F,"&gt;"&amp;G$59)+COUNTIFS('Raw - Customers'!$E:$E,"",'Raw - Customers'!$J:$J,"&gt;0",'Raw - Customers'!$A:$A,"&lt;&gt;Residual")</f>
        <v>49</v>
      </c>
      <c r="H47" s="53">
        <f>COUNTIFS('Raw - Customers'!$E:$E,"&lt;="&amp;H$59,'Raw - Customers'!$F:$F,"")+COUNTIFS('Raw - Customers'!$E:$E,"&lt;="&amp;H$59,'Raw - Customers'!$F:$F,"&gt;"&amp;H$59)+COUNTIFS('Raw - Customers'!$E:$E,"",'Raw - Customers'!$K:$K,"&gt;0",'Raw - Customers'!$A:$A,"&lt;&gt;Residual")</f>
        <v>52</v>
      </c>
      <c r="J47" s="53">
        <f>COUNTIFS('Raw - Customers'!$E:$E,"&lt;="&amp;J$59,'Raw - Customers'!$F:$F,"")+COUNTIFS('Raw - Customers'!$E:$E,"&lt;="&amp;J$59,'Raw - Customers'!$F:$F,"&gt;"&amp;J$59)+COUNTIFS('Raw - Customers'!$E:$E,"",'Raw - Customers'!$J:$J,"&gt;0",'Raw - Customers'!$A:$A,"&lt;&gt;Residual")</f>
        <v>49</v>
      </c>
      <c r="K47" s="53">
        <f>COUNTIFS('Raw - Customers'!$E:$E,"&lt;="&amp;K$59,'Raw - Customers'!$F:$F,"")+COUNTIFS('Raw - Customers'!$E:$E,"&lt;="&amp;K$59,'Raw - Customers'!$F:$F,"&gt;"&amp;K$59)+COUNTIFS('Raw - Customers'!$E:$E,"",'Raw - Customers'!$K:$K,"&gt;0",'Raw - Customers'!$A:$A,"&lt;&gt;Residual")</f>
        <v>52</v>
      </c>
      <c r="L47" s="53">
        <f>COUNTIFS('Raw - Customers'!$E:$E,"&lt;="&amp;L$59,'Raw - Customers'!$F:$F,"")+COUNTIFS('Raw - Customers'!$E:$E,"&lt;="&amp;L$59,'Raw - Customers'!$F:$F,"&gt;"&amp;L$59)+COUNTIFS('Raw - Customers'!$E:$E,"",'Raw - Customers'!$K:$K,"&gt;0",'Raw - Customers'!$A:$A,"&lt;&gt;Residual")</f>
        <v>52</v>
      </c>
    </row>
    <row r="48" spans="2:12" x14ac:dyDescent="0.25">
      <c r="B48" s="52" t="s">
        <v>376</v>
      </c>
      <c r="C48" s="39">
        <f>IFERROR((SUMIFS('Raw - Customers'!$I:$I,'Raw - Customers'!$A:$A,"&lt;&gt;Residual")*C61+SUMIFS('Raw - Customers'!$J:$J,'Raw - Customers'!$A:$A,"&lt;&gt;Residual")*C62+SUMIFS('Raw - Customers'!$K:$K,'Raw - Customers'!$A:$A,"&lt;&gt;Residual")*C63)/C47,"n.a.")</f>
        <v>13595.454545454546</v>
      </c>
      <c r="D48" s="39">
        <f>IFERROR((SUMIFS('Raw - Customers'!$I:$I,'Raw - Customers'!$A:$A,"&lt;&gt;Residual")*D61+SUMIFS('Raw - Customers'!$J:$J,'Raw - Customers'!$A:$A,"&lt;&gt;Residual")*D62+SUMIFS('Raw - Customers'!$K:$K,'Raw - Customers'!$A:$A,"&lt;&gt;Residual")*D63)/D47,"n.a.")</f>
        <v>14336.734693877552</v>
      </c>
      <c r="E48" s="39">
        <f>IFERROR((SUMIFS('Raw - Customers'!$I:$I,'Raw - Customers'!$A:$A,"&lt;&gt;Residual")*E61+SUMIFS('Raw - Customers'!$J:$J,'Raw - Customers'!$A:$A,"&lt;&gt;Residual")*E62+SUMIFS('Raw - Customers'!$K:$K,'Raw - Customers'!$A:$A,"&lt;&gt;Residual")*E63)/E47,"n.a.")</f>
        <v>15609.615384615385</v>
      </c>
      <c r="G48" s="39">
        <f>IFERROR((SUMIFS('Raw - Customers'!$I:$I,'Raw - Customers'!$A:$A,"&lt;&gt;Residual")*G61+SUMIFS('Raw - Customers'!$J:$J,'Raw - Customers'!$A:$A,"&lt;&gt;Residual")*G62+SUMIFS('Raw - Customers'!$K:$K,'Raw - Customers'!$A:$A,"&lt;&gt;Residual")*G63)/G47,"n.a.")</f>
        <v>14336.734693877552</v>
      </c>
      <c r="H48" s="39">
        <f>IFERROR((SUMIFS('Raw - Customers'!$I:$I,'Raw - Customers'!$A:$A,"&lt;&gt;Residual")*H61+SUMIFS('Raw - Customers'!$J:$J,'Raw - Customers'!$A:$A,"&lt;&gt;Residual")*H62+SUMIFS('Raw - Customers'!$K:$K,'Raw - Customers'!$A:$A,"&lt;&gt;Residual")*H63)/H47,"n.a.")</f>
        <v>15609.615384615385</v>
      </c>
      <c r="J48" s="39">
        <f>IFERROR((SUMIFS('Raw - Customers'!$I:$I,'Raw - Customers'!$A:$A,"&lt;&gt;Residual")*J61+SUMIFS('Raw - Customers'!$J:$J,'Raw - Customers'!$A:$A,"&lt;&gt;Residual")*J62+SUMIFS('Raw - Customers'!$K:$K,'Raw - Customers'!$A:$A,"&lt;&gt;Residual")*J63)/J47,"n.a.")</f>
        <v>14336.734693877552</v>
      </c>
      <c r="K48" s="39">
        <f>IFERROR((SUMIFS('Raw - Customers'!$I:$I,'Raw - Customers'!$A:$A,"&lt;&gt;Residual")*K61+SUMIFS('Raw - Customers'!$J:$J,'Raw - Customers'!$A:$A,"&lt;&gt;Residual")*K62+SUMIFS('Raw - Customers'!$K:$K,'Raw - Customers'!$A:$A,"&lt;&gt;Residual")*K63)/K47,"n.a.")</f>
        <v>15609.615384615385</v>
      </c>
      <c r="L48" s="39">
        <f>IFERROR((SUMIFS('Raw - Customers'!$I:$I,'Raw - Customers'!$A:$A,"&lt;&gt;Residual")*L61+SUMIFS('Raw - Customers'!$J:$J,'Raw - Customers'!$A:$A,"&lt;&gt;Residual")*L62+SUMIFS('Raw - Customers'!$K:$K,'Raw - Customers'!$A:$A,"&lt;&gt;Residual")*L63)/L47,"n.a.")</f>
        <v>15609.615384615385</v>
      </c>
    </row>
    <row r="49" spans="2:12" x14ac:dyDescent="0.25">
      <c r="B49" s="52" t="s">
        <v>101</v>
      </c>
      <c r="C49" s="55">
        <f>SUMIFS('Raw - Payroll'!$Q:$Q,'Raw - Payroll'!$D:$D,"&lt;="&amp;C$59,'Raw - Payroll'!$O:$O,"No",'Raw - Payroll'!$E:$E,"")+SUMIFS('Raw - Payroll'!$Q:$Q,'Raw - Payroll'!$D:$D,"&lt;="&amp;C$59,'Raw - Payroll'!$O:$O,"No",'Raw - Payroll'!$E:$E,"&gt;"&amp;C$59)</f>
        <v>21</v>
      </c>
      <c r="D49" s="55">
        <f>SUMIFS('Raw - Payroll'!$Q:$Q,'Raw - Payroll'!$D:$D,"&lt;="&amp;D$59,'Raw - Payroll'!$O:$O,"No",'Raw - Payroll'!$E:$E,"")+SUMIFS('Raw - Payroll'!$Q:$Q,'Raw - Payroll'!$D:$D,"&lt;="&amp;D$59,'Raw - Payroll'!$O:$O,"No",'Raw - Payroll'!$E:$E,"&gt;"&amp;D$59)</f>
        <v>23</v>
      </c>
      <c r="E49" s="55">
        <f>SUMIFS('Raw - Payroll'!$Q:$Q,'Raw - Payroll'!$D:$D,"&lt;="&amp;E$59,'Raw - Payroll'!$O:$O,"No",'Raw - Payroll'!$E:$E,"")+SUMIFS('Raw - Payroll'!$Q:$Q,'Raw - Payroll'!$D:$D,"&lt;="&amp;E$59,'Raw - Payroll'!$O:$O,"No",'Raw - Payroll'!$E:$E,"&gt;"&amp;E$59)</f>
        <v>23</v>
      </c>
      <c r="G49" s="55">
        <f>SUMIFS('Raw - Payroll'!$Q:$Q,'Raw - Payroll'!$D:$D,"&lt;="&amp;G$59,'Raw - Payroll'!$O:$O,"No",'Raw - Payroll'!$E:$E,"")+SUMIFS('Raw - Payroll'!$Q:$Q,'Raw - Payroll'!$D:$D,"&lt;="&amp;G$59,'Raw - Payroll'!$O:$O,"No",'Raw - Payroll'!$E:$E,"&gt;"&amp;G$59)</f>
        <v>23</v>
      </c>
      <c r="H49" s="55">
        <f>SUMIFS('Raw - Payroll'!$Q:$Q,'Raw - Payroll'!$D:$D,"&lt;="&amp;H$59,'Raw - Payroll'!$O:$O,"No",'Raw - Payroll'!$E:$E,"")+SUMIFS('Raw - Payroll'!$Q:$Q,'Raw - Payroll'!$D:$D,"&lt;="&amp;H$59,'Raw - Payroll'!$O:$O,"No",'Raw - Payroll'!$E:$E,"&gt;"&amp;H$59)</f>
        <v>23</v>
      </c>
      <c r="J49" s="55">
        <f>SUMIFS('Raw - Payroll'!$Q:$Q,'Raw - Payroll'!$D:$D,"&lt;="&amp;J$59,'Raw - Payroll'!$O:$O,"No",'Raw - Payroll'!$E:$E,"")+SUMIFS('Raw - Payroll'!$Q:$Q,'Raw - Payroll'!$D:$D,"&lt;="&amp;J$59,'Raw - Payroll'!$O:$O,"No",'Raw - Payroll'!$E:$E,"&gt;"&amp;J$59)</f>
        <v>23</v>
      </c>
      <c r="K49" s="55">
        <f>SUMIFS('Raw - Payroll'!$Q:$Q,'Raw - Payroll'!$D:$D,"&lt;="&amp;K$59,'Raw - Payroll'!$O:$O,"No",'Raw - Payroll'!$E:$E,"")+SUMIFS('Raw - Payroll'!$Q:$Q,'Raw - Payroll'!$D:$D,"&lt;="&amp;K$59,'Raw - Payroll'!$O:$O,"No",'Raw - Payroll'!$E:$E,"&gt;"&amp;K$59)</f>
        <v>23</v>
      </c>
      <c r="L49" s="55">
        <f>SUMIFS('Raw - Payroll'!$Q:$Q,'Raw - Payroll'!$D:$D,"&lt;="&amp;L$59,'Raw - Payroll'!$O:$O,"No",'Raw - Payroll'!$E:$E,"")+SUMIFS('Raw - Payroll'!$Q:$Q,'Raw - Payroll'!$D:$D,"&lt;="&amp;L$59,'Raw - Payroll'!$O:$O,"No",'Raw - Payroll'!$E:$E,"&gt;"&amp;L$59)</f>
        <v>23</v>
      </c>
    </row>
    <row r="50" spans="2:12" x14ac:dyDescent="0.25">
      <c r="B50" s="52" t="s">
        <v>102</v>
      </c>
      <c r="C50" s="38">
        <f>IFERROR(C14*1000/C49,"n.a.")</f>
        <v>114609.52380952382</v>
      </c>
      <c r="D50" s="38">
        <f>IFERROR(D14*1000/D49,"n.a.")</f>
        <v>118200</v>
      </c>
      <c r="E50" s="38">
        <f>IFERROR(E14*1000/E49,"n.a.")</f>
        <v>132208.69565217392</v>
      </c>
      <c r="G50" s="38">
        <f>IFERROR(G14*1000/G49,"n.a.")</f>
        <v>118200</v>
      </c>
      <c r="H50" s="38">
        <f>IFERROR(H14*1000/H49,"n.a.")</f>
        <v>132208.69565217392</v>
      </c>
      <c r="J50" s="38">
        <f>IFERROR(J14*1000/J49,"n.a.")</f>
        <v>118200</v>
      </c>
      <c r="K50" s="38">
        <f>IFERROR(K14*1000/K49,"n.a.")</f>
        <v>132208.69565217392</v>
      </c>
      <c r="L50" s="38">
        <f>IFERROR(L14*1000/L49,"n.a.")</f>
        <v>132208.69565217392</v>
      </c>
    </row>
    <row r="51" spans="2:12" x14ac:dyDescent="0.25">
      <c r="B51" s="52" t="s">
        <v>103</v>
      </c>
      <c r="C51" s="56">
        <f>IFERROR((C22-'Adjustments'!N44)/C14,"n.a.")</f>
        <v>0.29832807046701015</v>
      </c>
      <c r="D51" s="56">
        <f>IFERROR((D22-'Adjustments'!O44)/D14,"n.a.")</f>
        <v>0.2960531155741926</v>
      </c>
      <c r="E51" s="56">
        <f>IFERROR((E22-'Adjustments'!P44)/E14,"n.a.")</f>
        <v>0.29296237832149435</v>
      </c>
      <c r="G51" s="56">
        <f>IFERROR((G22-'Adjustments'!R44)/G14,"n.a.")</f>
        <v>0.2960531155741926</v>
      </c>
      <c r="H51" s="56">
        <f>IFERROR((H22-'Adjustments'!S44)/H14,"n.a.")</f>
        <v>0.29296237832149435</v>
      </c>
      <c r="J51" s="56">
        <f>IFERROR((J22-'Adjustments'!U44)/J14,"n.a.")</f>
        <v>0.2960531155741926</v>
      </c>
      <c r="K51" s="56">
        <f>IFERROR((K22-'Adjustments'!V44)/K14,"n.a.")</f>
        <v>0.29296237832149435</v>
      </c>
      <c r="L51" s="56">
        <f>IFERROR((L22-'Adjustments'!W44)/L14,"n.a.")</f>
        <v>0.29296237832149435</v>
      </c>
    </row>
    <row r="52" spans="2:12" x14ac:dyDescent="0.25">
      <c r="B52" s="52" t="s">
        <v>104</v>
      </c>
      <c r="C52" s="129">
        <f>IFERROR((C11)/C14,"n.a.")</f>
        <v>0.08916403523350507</v>
      </c>
      <c r="D52" s="129">
        <f>IFERROR((D11)/D14,"n.a.")</f>
        <v>0.09133377473699698</v>
      </c>
      <c r="E52" s="129">
        <f>IFERROR((E11)/E14,"n.a.")</f>
        <v>0.09517232307287556</v>
      </c>
      <c r="G52" s="129">
        <f>IFERROR((G11)/G14,"n.a.")</f>
        <v>0.09133377473699698</v>
      </c>
      <c r="H52" s="129">
        <f>IFERROR((H11)/H14,"n.a.")</f>
        <v>0.09517232307287556</v>
      </c>
      <c r="J52" s="129">
        <f>IFERROR((J11)/J14,"n.a.")</f>
        <v>0.09133377473699698</v>
      </c>
      <c r="K52" s="129">
        <f>IFERROR((K11)/K14,"n.a.")</f>
        <v>0.09517232307287556</v>
      </c>
      <c r="L52" s="129">
        <f>IFERROR((L11)/L14,"n.a.")</f>
        <v>0.09517232307287556</v>
      </c>
    </row>
    <row r="54" spans="2:12" x14ac:dyDescent="0.25">
      <c r="B54" s="130" t="s">
        <v>377</v>
      </c>
      <c r="C54" s="130">
        <f>ROUND(C43-'Monthly P&amp;L'!C43,6)</f>
        <v>0</v>
      </c>
      <c r="D54" s="130">
        <f>ROUND(D43-'Monthly P&amp;L'!D43,6)</f>
        <v>0</v>
      </c>
      <c r="E54" s="130">
        <f>ROUND(E43-'Monthly P&amp;L'!E43,6)</f>
        <v>0</v>
      </c>
      <c r="G54" s="130">
        <f>ROUND(G43-'Monthly P&amp;L'!G43,6)</f>
        <v>0</v>
      </c>
      <c r="H54" s="130">
        <f>ROUND(H43-'Monthly P&amp;L'!H43,6)</f>
        <v>0</v>
      </c>
      <c r="J54" s="130">
        <f>ROUND(J43-'Monthly P&amp;L'!J43,6)</f>
        <v>0</v>
      </c>
      <c r="K54" s="130">
        <f>ROUND(K43-'Monthly P&amp;L'!K43,6)</f>
        <v>0</v>
      </c>
      <c r="L54" s="130">
        <f>ROUND(L43-'Monthly P&amp;L'!L43,6)</f>
        <v>0</v>
      </c>
    </row>
    <row r="55" spans="2:12" x14ac:dyDescent="0.25">
      <c r="B55" s="130" t="s">
        <v>378</v>
      </c>
      <c r="C55" s="130">
        <f>ROUND(SUM(C65:C86),6)</f>
        <v>0</v>
      </c>
      <c r="D55" s="130">
        <f>ROUND(SUM(D65:D86),6)</f>
        <v>0</v>
      </c>
      <c r="E55" s="130">
        <f>ROUND(SUM(E65:E86),6)</f>
        <v>0</v>
      </c>
      <c r="G55" s="130">
        <f>ROUND(SUM(G65:G86),6)</f>
        <v>0</v>
      </c>
      <c r="H55" s="130">
        <f>ROUND(SUM(H65:H86),6)</f>
        <v>0</v>
      </c>
      <c r="J55" s="130">
        <f>ROUND(SUM(J65:J86),6)</f>
        <v>0</v>
      </c>
      <c r="K55" s="130">
        <f>ROUND(SUM(K65:K86),6)</f>
        <v>0</v>
      </c>
      <c r="L55" s="130">
        <f>ROUND(SUM(L65:L86),6)</f>
        <v>0</v>
      </c>
    </row>
    <row r="56" ht="12.75" customHeight="1" spans="2:15" x14ac:dyDescent="0.25">
      <c r="B56" s="60" t="s">
        <v>379</v>
      </c>
      <c r="C56" s="60"/>
      <c r="D56" s="60"/>
      <c r="E56" s="60"/>
      <c r="F56" s="60"/>
      <c r="G56" s="60"/>
      <c r="H56" s="60"/>
      <c r="I56" s="60"/>
      <c r="J56" s="60"/>
      <c r="K56" s="60"/>
      <c r="L56" s="60"/>
      <c r="M56" s="60"/>
      <c r="N56" s="60"/>
      <c r="O56" s="60"/>
    </row>
    <row r="58" spans="2:12" x14ac:dyDescent="0.25">
      <c r="B58" s="131" t="s">
        <v>380</v>
      </c>
      <c r="C58" s="132">
        <f>EOMONTH(EOMONTH(DATE('Assumptions'!$C$15-2,'Assumptions'!$C$14,1),0),-12)+1</f>
        <v>44927</v>
      </c>
      <c r="D58" s="132">
        <f>EOMONTH(EOMONTH(DATE('Assumptions'!$C$15-1,'Assumptions'!$C$14,1),0),-12)+1</f>
        <v>45292</v>
      </c>
      <c r="E58" s="132">
        <f>EOMONTH(EOMONTH(DATE('Assumptions'!$C$15-0,'Assumptions'!$C$14,1),0),-12)+1</f>
        <v>45658</v>
      </c>
      <c r="G58" s="132">
        <f>EOMONTH(EOMONTH(DATE(YEAR('Assumptions'!$C$9)-IF(MONTH('Assumptions'!$C$9)&gt;'Assumptions'!$C$14,0,1),'Assumptions'!$C$14,1),0)+1,-13)+1</f>
        <v>45292</v>
      </c>
      <c r="H58" s="132">
        <f>EOMONTH(DATE(YEAR('Assumptions'!$C$9)-IF(MONTH('Assumptions'!$C$9)&gt;'Assumptions'!$C$14,0,1),'Assumptions'!$C$14,1),0)+1</f>
        <v>45658</v>
      </c>
      <c r="J58" s="132">
        <f>EOMONTH('Assumptions'!$C$9,-24)+1</f>
        <v>45292</v>
      </c>
      <c r="K58" s="132">
        <f>EOMONTH('Assumptions'!$C$9,-12)+1</f>
        <v>45658</v>
      </c>
      <c r="L58" s="132">
        <f>EOMONTH('Assumptions'!$C$9,-12)+1</f>
        <v>45658</v>
      </c>
    </row>
    <row r="59" spans="2:12" x14ac:dyDescent="0.25">
      <c r="B59" s="131" t="s">
        <v>381</v>
      </c>
      <c r="C59" s="132">
        <f>EOMONTH(DATE('Assumptions'!$C$15-2,'Assumptions'!$C$14,1),0)</f>
        <v>45291</v>
      </c>
      <c r="D59" s="132">
        <f>EOMONTH(DATE('Assumptions'!$C$15-1,'Assumptions'!$C$14,1),0)</f>
        <v>45657</v>
      </c>
      <c r="E59" s="132">
        <f>EOMONTH(DATE('Assumptions'!$C$15-0,'Assumptions'!$C$14,1),0)</f>
        <v>46022</v>
      </c>
      <c r="G59" s="132">
        <f>EOMONTH('Assumptions'!$C$9,-12)</f>
        <v>45657</v>
      </c>
      <c r="H59" s="132">
        <f>EOMONTH('Assumptions'!$C$9,0)</f>
        <v>46022</v>
      </c>
      <c r="J59" s="132">
        <f>EOMONTH('Assumptions'!$C$9,-12)</f>
        <v>45657</v>
      </c>
      <c r="K59" s="132">
        <f>EOMONTH('Assumptions'!$C$9,0)</f>
        <v>46022</v>
      </c>
      <c r="L59" s="132">
        <f>EOMONTH('Assumptions'!$C$9,0)</f>
        <v>46022</v>
      </c>
    </row>
    <row r="61" spans="2:12" x14ac:dyDescent="0.25">
      <c r="B61" s="131" t="s">
        <v>382</v>
      </c>
      <c r="C61" s="133">
        <f>MAX(0,(YEAR(MIN(C$59,EOMONTH(DATE('Assumptions'!$C$15-2,'Assumptions'!$C$14,1),0)))-YEAR(MAX(C$58,EOMONTH(EOMONTH(DATE('Assumptions'!$C$15-2,'Assumptions'!$C$14,1),0),-12)+1)))*12+MONTH(MIN(C$59,EOMONTH(DATE('Assumptions'!$C$15-2,'Assumptions'!$C$14,1),0)))-MONTH(MAX(C$58,EOMONTH(EOMONTH(DATE('Assumptions'!$C$15-2,'Assumptions'!$C$14,1),0),-12)+1))+1)/12</f>
        <v>1</v>
      </c>
      <c r="D61" s="133">
        <f>MAX(0,(YEAR(MIN(D$59,EOMONTH(DATE('Assumptions'!$C$15-2,'Assumptions'!$C$14,1),0)))-YEAR(MAX(D$58,EOMONTH(EOMONTH(DATE('Assumptions'!$C$15-2,'Assumptions'!$C$14,1),0),-12)+1)))*12+MONTH(MIN(D$59,EOMONTH(DATE('Assumptions'!$C$15-2,'Assumptions'!$C$14,1),0)))-MONTH(MAX(D$58,EOMONTH(EOMONTH(DATE('Assumptions'!$C$15-2,'Assumptions'!$C$14,1),0),-12)+1))+1)/12</f>
        <v>0</v>
      </c>
      <c r="E61" s="133">
        <f>MAX(0,(YEAR(MIN(E$59,EOMONTH(DATE('Assumptions'!$C$15-2,'Assumptions'!$C$14,1),0)))-YEAR(MAX(E$58,EOMONTH(EOMONTH(DATE('Assumptions'!$C$15-2,'Assumptions'!$C$14,1),0),-12)+1)))*12+MONTH(MIN(E$59,EOMONTH(DATE('Assumptions'!$C$15-2,'Assumptions'!$C$14,1),0)))-MONTH(MAX(E$58,EOMONTH(EOMONTH(DATE('Assumptions'!$C$15-2,'Assumptions'!$C$14,1),0),-12)+1))+1)/12</f>
        <v>0</v>
      </c>
      <c r="G61" s="133">
        <f>MAX(0,(YEAR(MIN(G$59,EOMONTH(DATE('Assumptions'!$C$15-2,'Assumptions'!$C$14,1),0)))-YEAR(MAX(G$58,EOMONTH(EOMONTH(DATE('Assumptions'!$C$15-2,'Assumptions'!$C$14,1),0),-12)+1)))*12+MONTH(MIN(G$59,EOMONTH(DATE('Assumptions'!$C$15-2,'Assumptions'!$C$14,1),0)))-MONTH(MAX(G$58,EOMONTH(EOMONTH(DATE('Assumptions'!$C$15-2,'Assumptions'!$C$14,1),0),-12)+1))+1)/12</f>
        <v>0</v>
      </c>
      <c r="H61" s="133">
        <f>MAX(0,(YEAR(MIN(H$59,EOMONTH(DATE('Assumptions'!$C$15-2,'Assumptions'!$C$14,1),0)))-YEAR(MAX(H$58,EOMONTH(EOMONTH(DATE('Assumptions'!$C$15-2,'Assumptions'!$C$14,1),0),-12)+1)))*12+MONTH(MIN(H$59,EOMONTH(DATE('Assumptions'!$C$15-2,'Assumptions'!$C$14,1),0)))-MONTH(MAX(H$58,EOMONTH(EOMONTH(DATE('Assumptions'!$C$15-2,'Assumptions'!$C$14,1),0),-12)+1))+1)/12</f>
        <v>0</v>
      </c>
      <c r="J61" s="133">
        <f>MAX(0,(YEAR(MIN(J$59,EOMONTH(DATE('Assumptions'!$C$15-2,'Assumptions'!$C$14,1),0)))-YEAR(MAX(J$58,EOMONTH(EOMONTH(DATE('Assumptions'!$C$15-2,'Assumptions'!$C$14,1),0),-12)+1)))*12+MONTH(MIN(J$59,EOMONTH(DATE('Assumptions'!$C$15-2,'Assumptions'!$C$14,1),0)))-MONTH(MAX(J$58,EOMONTH(EOMONTH(DATE('Assumptions'!$C$15-2,'Assumptions'!$C$14,1),0),-12)+1))+1)/12</f>
        <v>0</v>
      </c>
      <c r="K61" s="133">
        <f>MAX(0,(YEAR(MIN(K$59,EOMONTH(DATE('Assumptions'!$C$15-2,'Assumptions'!$C$14,1),0)))-YEAR(MAX(K$58,EOMONTH(EOMONTH(DATE('Assumptions'!$C$15-2,'Assumptions'!$C$14,1),0),-12)+1)))*12+MONTH(MIN(K$59,EOMONTH(DATE('Assumptions'!$C$15-2,'Assumptions'!$C$14,1),0)))-MONTH(MAX(K$58,EOMONTH(EOMONTH(DATE('Assumptions'!$C$15-2,'Assumptions'!$C$14,1),0),-12)+1))+1)/12</f>
        <v>0</v>
      </c>
      <c r="L61" s="133">
        <f>MAX(0,(YEAR(MIN(L$59,EOMONTH(DATE('Assumptions'!$C$15-2,'Assumptions'!$C$14,1),0)))-YEAR(MAX(L$58,EOMONTH(EOMONTH(DATE('Assumptions'!$C$15-2,'Assumptions'!$C$14,1),0),-12)+1)))*12+MONTH(MIN(L$59,EOMONTH(DATE('Assumptions'!$C$15-2,'Assumptions'!$C$14,1),0)))-MONTH(MAX(L$58,EOMONTH(EOMONTH(DATE('Assumptions'!$C$15-2,'Assumptions'!$C$14,1),0),-12)+1))+1)/12</f>
        <v>0</v>
      </c>
    </row>
    <row r="62" spans="2:12" x14ac:dyDescent="0.25">
      <c r="B62" s="131" t="s">
        <v>383</v>
      </c>
      <c r="C62" s="133">
        <f>MAX(0,(YEAR(MIN(C$59,EOMONTH(DATE('Assumptions'!$C$15-1,'Assumptions'!$C$14,1),0)))-YEAR(MAX(C$58,EOMONTH(EOMONTH(DATE('Assumptions'!$C$15-1,'Assumptions'!$C$14,1),0),-12)+1)))*12+MONTH(MIN(C$59,EOMONTH(DATE('Assumptions'!$C$15-1,'Assumptions'!$C$14,1),0)))-MONTH(MAX(C$58,EOMONTH(EOMONTH(DATE('Assumptions'!$C$15-1,'Assumptions'!$C$14,1),0),-12)+1))+1)/12</f>
        <v>0</v>
      </c>
      <c r="D62" s="133">
        <f>MAX(0,(YEAR(MIN(D$59,EOMONTH(DATE('Assumptions'!$C$15-1,'Assumptions'!$C$14,1),0)))-YEAR(MAX(D$58,EOMONTH(EOMONTH(DATE('Assumptions'!$C$15-1,'Assumptions'!$C$14,1),0),-12)+1)))*12+MONTH(MIN(D$59,EOMONTH(DATE('Assumptions'!$C$15-1,'Assumptions'!$C$14,1),0)))-MONTH(MAX(D$58,EOMONTH(EOMONTH(DATE('Assumptions'!$C$15-1,'Assumptions'!$C$14,1),0),-12)+1))+1)/12</f>
        <v>1</v>
      </c>
      <c r="E62" s="133">
        <f>MAX(0,(YEAR(MIN(E$59,EOMONTH(DATE('Assumptions'!$C$15-1,'Assumptions'!$C$14,1),0)))-YEAR(MAX(E$58,EOMONTH(EOMONTH(DATE('Assumptions'!$C$15-1,'Assumptions'!$C$14,1),0),-12)+1)))*12+MONTH(MIN(E$59,EOMONTH(DATE('Assumptions'!$C$15-1,'Assumptions'!$C$14,1),0)))-MONTH(MAX(E$58,EOMONTH(EOMONTH(DATE('Assumptions'!$C$15-1,'Assumptions'!$C$14,1),0),-12)+1))+1)/12</f>
        <v>0</v>
      </c>
      <c r="G62" s="133">
        <f>MAX(0,(YEAR(MIN(G$59,EOMONTH(DATE('Assumptions'!$C$15-1,'Assumptions'!$C$14,1),0)))-YEAR(MAX(G$58,EOMONTH(EOMONTH(DATE('Assumptions'!$C$15-1,'Assumptions'!$C$14,1),0),-12)+1)))*12+MONTH(MIN(G$59,EOMONTH(DATE('Assumptions'!$C$15-1,'Assumptions'!$C$14,1),0)))-MONTH(MAX(G$58,EOMONTH(EOMONTH(DATE('Assumptions'!$C$15-1,'Assumptions'!$C$14,1),0),-12)+1))+1)/12</f>
        <v>1</v>
      </c>
      <c r="H62" s="133">
        <f>MAX(0,(YEAR(MIN(H$59,EOMONTH(DATE('Assumptions'!$C$15-1,'Assumptions'!$C$14,1),0)))-YEAR(MAX(H$58,EOMONTH(EOMONTH(DATE('Assumptions'!$C$15-1,'Assumptions'!$C$14,1),0),-12)+1)))*12+MONTH(MIN(H$59,EOMONTH(DATE('Assumptions'!$C$15-1,'Assumptions'!$C$14,1),0)))-MONTH(MAX(H$58,EOMONTH(EOMONTH(DATE('Assumptions'!$C$15-1,'Assumptions'!$C$14,1),0),-12)+1))+1)/12</f>
        <v>0</v>
      </c>
      <c r="J62" s="133">
        <f>MAX(0,(YEAR(MIN(J$59,EOMONTH(DATE('Assumptions'!$C$15-1,'Assumptions'!$C$14,1),0)))-YEAR(MAX(J$58,EOMONTH(EOMONTH(DATE('Assumptions'!$C$15-1,'Assumptions'!$C$14,1),0),-12)+1)))*12+MONTH(MIN(J$59,EOMONTH(DATE('Assumptions'!$C$15-1,'Assumptions'!$C$14,1),0)))-MONTH(MAX(J$58,EOMONTH(EOMONTH(DATE('Assumptions'!$C$15-1,'Assumptions'!$C$14,1),0),-12)+1))+1)/12</f>
        <v>1</v>
      </c>
      <c r="K62" s="133">
        <f>MAX(0,(YEAR(MIN(K$59,EOMONTH(DATE('Assumptions'!$C$15-1,'Assumptions'!$C$14,1),0)))-YEAR(MAX(K$58,EOMONTH(EOMONTH(DATE('Assumptions'!$C$15-1,'Assumptions'!$C$14,1),0),-12)+1)))*12+MONTH(MIN(K$59,EOMONTH(DATE('Assumptions'!$C$15-1,'Assumptions'!$C$14,1),0)))-MONTH(MAX(K$58,EOMONTH(EOMONTH(DATE('Assumptions'!$C$15-1,'Assumptions'!$C$14,1),0),-12)+1))+1)/12</f>
        <v>0</v>
      </c>
      <c r="L62" s="133">
        <f>MAX(0,(YEAR(MIN(L$59,EOMONTH(DATE('Assumptions'!$C$15-1,'Assumptions'!$C$14,1),0)))-YEAR(MAX(L$58,EOMONTH(EOMONTH(DATE('Assumptions'!$C$15-1,'Assumptions'!$C$14,1),0),-12)+1)))*12+MONTH(MIN(L$59,EOMONTH(DATE('Assumptions'!$C$15-1,'Assumptions'!$C$14,1),0)))-MONTH(MAX(L$58,EOMONTH(EOMONTH(DATE('Assumptions'!$C$15-1,'Assumptions'!$C$14,1),0),-12)+1))+1)/12</f>
        <v>0</v>
      </c>
    </row>
    <row r="63" spans="2:12" x14ac:dyDescent="0.25">
      <c r="B63" s="131" t="s">
        <v>384</v>
      </c>
      <c r="C63" s="133">
        <f>MAX(0,(YEAR(MIN(C$59,EOMONTH(DATE('Assumptions'!$C$15-0,'Assumptions'!$C$14,1),0)))-YEAR(MAX(C$58,EOMONTH(EOMONTH(DATE('Assumptions'!$C$15-0,'Assumptions'!$C$14,1),0),-12)+1)))*12+MONTH(MIN(C$59,EOMONTH(DATE('Assumptions'!$C$15-0,'Assumptions'!$C$14,1),0)))-MONTH(MAX(C$58,EOMONTH(EOMONTH(DATE('Assumptions'!$C$15-0,'Assumptions'!$C$14,1),0),-12)+1))+1)/12</f>
        <v>0</v>
      </c>
      <c r="D63" s="133">
        <f>MAX(0,(YEAR(MIN(D$59,EOMONTH(DATE('Assumptions'!$C$15-0,'Assumptions'!$C$14,1),0)))-YEAR(MAX(D$58,EOMONTH(EOMONTH(DATE('Assumptions'!$C$15-0,'Assumptions'!$C$14,1),0),-12)+1)))*12+MONTH(MIN(D$59,EOMONTH(DATE('Assumptions'!$C$15-0,'Assumptions'!$C$14,1),0)))-MONTH(MAX(D$58,EOMONTH(EOMONTH(DATE('Assumptions'!$C$15-0,'Assumptions'!$C$14,1),0),-12)+1))+1)/12</f>
        <v>0</v>
      </c>
      <c r="E63" s="133">
        <f>MAX(0,(YEAR(MIN(E$59,EOMONTH(DATE('Assumptions'!$C$15-0,'Assumptions'!$C$14,1),0)))-YEAR(MAX(E$58,EOMONTH(EOMONTH(DATE('Assumptions'!$C$15-0,'Assumptions'!$C$14,1),0),-12)+1)))*12+MONTH(MIN(E$59,EOMONTH(DATE('Assumptions'!$C$15-0,'Assumptions'!$C$14,1),0)))-MONTH(MAX(E$58,EOMONTH(EOMONTH(DATE('Assumptions'!$C$15-0,'Assumptions'!$C$14,1),0),-12)+1))+1)/12</f>
        <v>1</v>
      </c>
      <c r="G63" s="133">
        <f>MAX(0,(YEAR(MIN(G$59,EOMONTH(DATE('Assumptions'!$C$15-0,'Assumptions'!$C$14,1),0)))-YEAR(MAX(G$58,EOMONTH(EOMONTH(DATE('Assumptions'!$C$15-0,'Assumptions'!$C$14,1),0),-12)+1)))*12+MONTH(MIN(G$59,EOMONTH(DATE('Assumptions'!$C$15-0,'Assumptions'!$C$14,1),0)))-MONTH(MAX(G$58,EOMONTH(EOMONTH(DATE('Assumptions'!$C$15-0,'Assumptions'!$C$14,1),0),-12)+1))+1)/12</f>
        <v>0</v>
      </c>
      <c r="H63" s="133">
        <f>MAX(0,(YEAR(MIN(H$59,EOMONTH(DATE('Assumptions'!$C$15-0,'Assumptions'!$C$14,1),0)))-YEAR(MAX(H$58,EOMONTH(EOMONTH(DATE('Assumptions'!$C$15-0,'Assumptions'!$C$14,1),0),-12)+1)))*12+MONTH(MIN(H$59,EOMONTH(DATE('Assumptions'!$C$15-0,'Assumptions'!$C$14,1),0)))-MONTH(MAX(H$58,EOMONTH(EOMONTH(DATE('Assumptions'!$C$15-0,'Assumptions'!$C$14,1),0),-12)+1))+1)/12</f>
        <v>1</v>
      </c>
      <c r="J63" s="133">
        <f>MAX(0,(YEAR(MIN(J$59,EOMONTH(DATE('Assumptions'!$C$15-0,'Assumptions'!$C$14,1),0)))-YEAR(MAX(J$58,EOMONTH(EOMONTH(DATE('Assumptions'!$C$15-0,'Assumptions'!$C$14,1),0),-12)+1)))*12+MONTH(MIN(J$59,EOMONTH(DATE('Assumptions'!$C$15-0,'Assumptions'!$C$14,1),0)))-MONTH(MAX(J$58,EOMONTH(EOMONTH(DATE('Assumptions'!$C$15-0,'Assumptions'!$C$14,1),0),-12)+1))+1)/12</f>
        <v>0</v>
      </c>
      <c r="K63" s="133">
        <f>MAX(0,(YEAR(MIN(K$59,EOMONTH(DATE('Assumptions'!$C$15-0,'Assumptions'!$C$14,1),0)))-YEAR(MAX(K$58,EOMONTH(EOMONTH(DATE('Assumptions'!$C$15-0,'Assumptions'!$C$14,1),0),-12)+1)))*12+MONTH(MIN(K$59,EOMONTH(DATE('Assumptions'!$C$15-0,'Assumptions'!$C$14,1),0)))-MONTH(MAX(K$58,EOMONTH(EOMONTH(DATE('Assumptions'!$C$15-0,'Assumptions'!$C$14,1),0),-12)+1))+1)/12</f>
        <v>1</v>
      </c>
      <c r="L63" s="133">
        <f>MAX(0,(YEAR(MIN(L$59,EOMONTH(DATE('Assumptions'!$C$15-0,'Assumptions'!$C$14,1),0)))-YEAR(MAX(L$58,EOMONTH(EOMONTH(DATE('Assumptions'!$C$15-0,'Assumptions'!$C$14,1),0),-12)+1)))*12+MONTH(MIN(L$59,EOMONTH(DATE('Assumptions'!$C$15-0,'Assumptions'!$C$14,1),0)))-MONTH(MAX(L$58,EOMONTH(EOMONTH(DATE('Assumptions'!$C$15-0,'Assumptions'!$C$14,1),0),-12)+1))+1)/12</f>
        <v>1</v>
      </c>
    </row>
    <row r="64" spans="2:2" x14ac:dyDescent="0.25">
      <c r="B64" s="131" t="s">
        <v>385</v>
      </c>
    </row>
    <row r="65" spans="2:12" x14ac:dyDescent="0.25">
      <c r="B65" s="131" t="s">
        <v>386</v>
      </c>
      <c r="C65" s="134">
        <f>ABS(C9-(SUMIF('Monthly P&amp;L'!$Q$6:$AZ$6,"&lt;="&amp;C$59,'Monthly P&amp;L'!$Q$9:$AZ$9)-SUMIF('Monthly P&amp;L'!$Q$6:$AZ$6,"&lt;"&amp;C$58,'Monthly P&amp;L'!$Q$9:$AZ$9)))</f>
        <v>0</v>
      </c>
      <c r="D65" s="134">
        <f>ABS(D9-(SUMIF('Monthly P&amp;L'!$Q$6:$AZ$6,"&lt;="&amp;D$59,'Monthly P&amp;L'!$Q$9:$AZ$9)-SUMIF('Monthly P&amp;L'!$Q$6:$AZ$6,"&lt;"&amp;D$58,'Monthly P&amp;L'!$Q$9:$AZ$9)))</f>
        <v>0</v>
      </c>
      <c r="E65" s="134">
        <f>ABS(E9-(SUMIF('Monthly P&amp;L'!$Q$6:$AZ$6,"&lt;="&amp;E$59,'Monthly P&amp;L'!$Q$9:$AZ$9)-SUMIF('Monthly P&amp;L'!$Q$6:$AZ$6,"&lt;"&amp;E$58,'Monthly P&amp;L'!$Q$9:$AZ$9)))</f>
        <v>0</v>
      </c>
      <c r="G65" s="134">
        <f>ABS(G9-(SUMIF('Monthly P&amp;L'!$Q$6:$AZ$6,"&lt;="&amp;G$59,'Monthly P&amp;L'!$Q$9:$AZ$9)-SUMIF('Monthly P&amp;L'!$Q$6:$AZ$6,"&lt;"&amp;G$58,'Monthly P&amp;L'!$Q$9:$AZ$9)))</f>
        <v>0</v>
      </c>
      <c r="H65" s="134">
        <f>ABS(H9-(SUMIF('Monthly P&amp;L'!$Q$6:$AZ$6,"&lt;="&amp;H$59,'Monthly P&amp;L'!$Q$9:$AZ$9)-SUMIF('Monthly P&amp;L'!$Q$6:$AZ$6,"&lt;"&amp;H$58,'Monthly P&amp;L'!$Q$9:$AZ$9)))</f>
        <v>0</v>
      </c>
      <c r="J65" s="134">
        <f>ABS(J9-(SUMIF('Monthly P&amp;L'!$Q$6:$AZ$6,"&lt;="&amp;J$59,'Monthly P&amp;L'!$Q$9:$AZ$9)-SUMIF('Monthly P&amp;L'!$Q$6:$AZ$6,"&lt;"&amp;J$58,'Monthly P&amp;L'!$Q$9:$AZ$9)))</f>
        <v>0</v>
      </c>
      <c r="K65" s="134">
        <f>ABS(K9-(SUMIF('Monthly P&amp;L'!$Q$6:$AZ$6,"&lt;="&amp;K$59,'Monthly P&amp;L'!$Q$9:$AZ$9)-SUMIF('Monthly P&amp;L'!$Q$6:$AZ$6,"&lt;"&amp;K$58,'Monthly P&amp;L'!$Q$9:$AZ$9)))</f>
        <v>0</v>
      </c>
      <c r="L65" s="134">
        <f>ABS(L9-(SUMIF('Monthly P&amp;L'!$Q$6:$AZ$6,"&lt;="&amp;L$59,'Monthly P&amp;L'!$Q$9:$AZ$9)-SUMIF('Monthly P&amp;L'!$Q$6:$AZ$6,"&lt;"&amp;L$58,'Monthly P&amp;L'!$Q$9:$AZ$9)))</f>
        <v>0</v>
      </c>
    </row>
    <row r="66" spans="2:12" x14ac:dyDescent="0.25">
      <c r="B66" s="131" t="s">
        <v>387</v>
      </c>
      <c r="C66" s="134">
        <f>ABS(C10-(SUMIF('Monthly P&amp;L'!$Q$6:$AZ$6,"&lt;="&amp;C$59,'Monthly P&amp;L'!$Q$10:$AZ$10)-SUMIF('Monthly P&amp;L'!$Q$6:$AZ$6,"&lt;"&amp;C$58,'Monthly P&amp;L'!$Q$10:$AZ$10)))</f>
        <v>0</v>
      </c>
      <c r="D66" s="134">
        <f>ABS(D10-(SUMIF('Monthly P&amp;L'!$Q$6:$AZ$6,"&lt;="&amp;D$59,'Monthly P&amp;L'!$Q$10:$AZ$10)-SUMIF('Monthly P&amp;L'!$Q$6:$AZ$6,"&lt;"&amp;D$58,'Monthly P&amp;L'!$Q$10:$AZ$10)))</f>
        <v>0</v>
      </c>
      <c r="E66" s="134">
        <f>ABS(E10-(SUMIF('Monthly P&amp;L'!$Q$6:$AZ$6,"&lt;="&amp;E$59,'Monthly P&amp;L'!$Q$10:$AZ$10)-SUMIF('Monthly P&amp;L'!$Q$6:$AZ$6,"&lt;"&amp;E$58,'Monthly P&amp;L'!$Q$10:$AZ$10)))</f>
        <v>0</v>
      </c>
      <c r="G66" s="134">
        <f>ABS(G10-(SUMIF('Monthly P&amp;L'!$Q$6:$AZ$6,"&lt;="&amp;G$59,'Monthly P&amp;L'!$Q$10:$AZ$10)-SUMIF('Monthly P&amp;L'!$Q$6:$AZ$6,"&lt;"&amp;G$58,'Monthly P&amp;L'!$Q$10:$AZ$10)))</f>
        <v>0</v>
      </c>
      <c r="H66" s="134">
        <f>ABS(H10-(SUMIF('Monthly P&amp;L'!$Q$6:$AZ$6,"&lt;="&amp;H$59,'Monthly P&amp;L'!$Q$10:$AZ$10)-SUMIF('Monthly P&amp;L'!$Q$6:$AZ$6,"&lt;"&amp;H$58,'Monthly P&amp;L'!$Q$10:$AZ$10)))</f>
        <v>0</v>
      </c>
      <c r="J66" s="134">
        <f>ABS(J10-(SUMIF('Monthly P&amp;L'!$Q$6:$AZ$6,"&lt;="&amp;J$59,'Monthly P&amp;L'!$Q$10:$AZ$10)-SUMIF('Monthly P&amp;L'!$Q$6:$AZ$6,"&lt;"&amp;J$58,'Monthly P&amp;L'!$Q$10:$AZ$10)))</f>
        <v>0</v>
      </c>
      <c r="K66" s="134">
        <f>ABS(K10-(SUMIF('Monthly P&amp;L'!$Q$6:$AZ$6,"&lt;="&amp;K$59,'Monthly P&amp;L'!$Q$10:$AZ$10)-SUMIF('Monthly P&amp;L'!$Q$6:$AZ$6,"&lt;"&amp;K$58,'Monthly P&amp;L'!$Q$10:$AZ$10)))</f>
        <v>0</v>
      </c>
      <c r="L66" s="134">
        <f>ABS(L10-(SUMIF('Monthly P&amp;L'!$Q$6:$AZ$6,"&lt;="&amp;L$59,'Monthly P&amp;L'!$Q$10:$AZ$10)-SUMIF('Monthly P&amp;L'!$Q$6:$AZ$6,"&lt;"&amp;L$58,'Monthly P&amp;L'!$Q$10:$AZ$10)))</f>
        <v>0</v>
      </c>
    </row>
    <row r="67" spans="2:12" x14ac:dyDescent="0.25">
      <c r="B67" s="131" t="s">
        <v>388</v>
      </c>
      <c r="C67" s="134">
        <f>ABS(C11-(SUMIF('Monthly P&amp;L'!$Q$6:$AZ$6,"&lt;="&amp;C$59,'Monthly P&amp;L'!$Q$11:$AZ$11)-SUMIF('Monthly P&amp;L'!$Q$6:$AZ$6,"&lt;"&amp;C$58,'Monthly P&amp;L'!$Q$11:$AZ$11)))</f>
        <v>0</v>
      </c>
      <c r="D67" s="134">
        <f>ABS(D11-(SUMIF('Monthly P&amp;L'!$Q$6:$AZ$6,"&lt;="&amp;D$59,'Monthly P&amp;L'!$Q$11:$AZ$11)-SUMIF('Monthly P&amp;L'!$Q$6:$AZ$6,"&lt;"&amp;D$58,'Monthly P&amp;L'!$Q$11:$AZ$11)))</f>
        <v>0</v>
      </c>
      <c r="E67" s="134">
        <f>ABS(E11-(SUMIF('Monthly P&amp;L'!$Q$6:$AZ$6,"&lt;="&amp;E$59,'Monthly P&amp;L'!$Q$11:$AZ$11)-SUMIF('Monthly P&amp;L'!$Q$6:$AZ$6,"&lt;"&amp;E$58,'Monthly P&amp;L'!$Q$11:$AZ$11)))</f>
        <v>0</v>
      </c>
      <c r="G67" s="134">
        <f>ABS(G11-(SUMIF('Monthly P&amp;L'!$Q$6:$AZ$6,"&lt;="&amp;G$59,'Monthly P&amp;L'!$Q$11:$AZ$11)-SUMIF('Monthly P&amp;L'!$Q$6:$AZ$6,"&lt;"&amp;G$58,'Monthly P&amp;L'!$Q$11:$AZ$11)))</f>
        <v>0</v>
      </c>
      <c r="H67" s="134">
        <f>ABS(H11-(SUMIF('Monthly P&amp;L'!$Q$6:$AZ$6,"&lt;="&amp;H$59,'Monthly P&amp;L'!$Q$11:$AZ$11)-SUMIF('Monthly P&amp;L'!$Q$6:$AZ$6,"&lt;"&amp;H$58,'Monthly P&amp;L'!$Q$11:$AZ$11)))</f>
        <v>0</v>
      </c>
      <c r="J67" s="134">
        <f>ABS(J11-(SUMIF('Monthly P&amp;L'!$Q$6:$AZ$6,"&lt;="&amp;J$59,'Monthly P&amp;L'!$Q$11:$AZ$11)-SUMIF('Monthly P&amp;L'!$Q$6:$AZ$6,"&lt;"&amp;J$58,'Monthly P&amp;L'!$Q$11:$AZ$11)))</f>
        <v>0</v>
      </c>
      <c r="K67" s="134">
        <f>ABS(K11-(SUMIF('Monthly P&amp;L'!$Q$6:$AZ$6,"&lt;="&amp;K$59,'Monthly P&amp;L'!$Q$11:$AZ$11)-SUMIF('Monthly P&amp;L'!$Q$6:$AZ$6,"&lt;"&amp;K$58,'Monthly P&amp;L'!$Q$11:$AZ$11)))</f>
        <v>0</v>
      </c>
      <c r="L67" s="134">
        <f>ABS(L11-(SUMIF('Monthly P&amp;L'!$Q$6:$AZ$6,"&lt;="&amp;L$59,'Monthly P&amp;L'!$Q$11:$AZ$11)-SUMIF('Monthly P&amp;L'!$Q$6:$AZ$6,"&lt;"&amp;L$58,'Monthly P&amp;L'!$Q$11:$AZ$11)))</f>
        <v>0</v>
      </c>
    </row>
    <row r="68" spans="2:12" x14ac:dyDescent="0.25">
      <c r="B68" s="131" t="s">
        <v>389</v>
      </c>
      <c r="C68" s="134">
        <f>ABS(C12-(SUMIF('Monthly P&amp;L'!$Q$6:$AZ$6,"&lt;="&amp;C$59,'Monthly P&amp;L'!$Q$12:$AZ$12)-SUMIF('Monthly P&amp;L'!$Q$6:$AZ$6,"&lt;"&amp;C$58,'Monthly P&amp;L'!$Q$12:$AZ$12)))</f>
        <v>0</v>
      </c>
      <c r="D68" s="134">
        <f>ABS(D12-(SUMIF('Monthly P&amp;L'!$Q$6:$AZ$6,"&lt;="&amp;D$59,'Monthly P&amp;L'!$Q$12:$AZ$12)-SUMIF('Monthly P&amp;L'!$Q$6:$AZ$6,"&lt;"&amp;D$58,'Monthly P&amp;L'!$Q$12:$AZ$12)))</f>
        <v>0</v>
      </c>
      <c r="E68" s="134">
        <f>ABS(E12-(SUMIF('Monthly P&amp;L'!$Q$6:$AZ$6,"&lt;="&amp;E$59,'Monthly P&amp;L'!$Q$12:$AZ$12)-SUMIF('Monthly P&amp;L'!$Q$6:$AZ$6,"&lt;"&amp;E$58,'Monthly P&amp;L'!$Q$12:$AZ$12)))</f>
        <v>0</v>
      </c>
      <c r="G68" s="134">
        <f>ABS(G12-(SUMIF('Monthly P&amp;L'!$Q$6:$AZ$6,"&lt;="&amp;G$59,'Monthly P&amp;L'!$Q$12:$AZ$12)-SUMIF('Monthly P&amp;L'!$Q$6:$AZ$6,"&lt;"&amp;G$58,'Monthly P&amp;L'!$Q$12:$AZ$12)))</f>
        <v>0</v>
      </c>
      <c r="H68" s="134">
        <f>ABS(H12-(SUMIF('Monthly P&amp;L'!$Q$6:$AZ$6,"&lt;="&amp;H$59,'Monthly P&amp;L'!$Q$12:$AZ$12)-SUMIF('Monthly P&amp;L'!$Q$6:$AZ$6,"&lt;"&amp;H$58,'Monthly P&amp;L'!$Q$12:$AZ$12)))</f>
        <v>0</v>
      </c>
      <c r="J68" s="134">
        <f>ABS(J12-(SUMIF('Monthly P&amp;L'!$Q$6:$AZ$6,"&lt;="&amp;J$59,'Monthly P&amp;L'!$Q$12:$AZ$12)-SUMIF('Monthly P&amp;L'!$Q$6:$AZ$6,"&lt;"&amp;J$58,'Monthly P&amp;L'!$Q$12:$AZ$12)))</f>
        <v>0</v>
      </c>
      <c r="K68" s="134">
        <f>ABS(K12-(SUMIF('Monthly P&amp;L'!$Q$6:$AZ$6,"&lt;="&amp;K$59,'Monthly P&amp;L'!$Q$12:$AZ$12)-SUMIF('Monthly P&amp;L'!$Q$6:$AZ$6,"&lt;"&amp;K$58,'Monthly P&amp;L'!$Q$12:$AZ$12)))</f>
        <v>0</v>
      </c>
      <c r="L68" s="134">
        <f>ABS(L12-(SUMIF('Monthly P&amp;L'!$Q$6:$AZ$6,"&lt;="&amp;L$59,'Monthly P&amp;L'!$Q$12:$AZ$12)-SUMIF('Monthly P&amp;L'!$Q$6:$AZ$6,"&lt;"&amp;L$58,'Monthly P&amp;L'!$Q$12:$AZ$12)))</f>
        <v>0</v>
      </c>
    </row>
    <row r="69" spans="2:12" x14ac:dyDescent="0.25">
      <c r="B69" s="131" t="s">
        <v>390</v>
      </c>
      <c r="C69" s="134">
        <f>ABS(C14-(SUMIF('Monthly P&amp;L'!$Q$6:$AZ$6,"&lt;="&amp;C$59,'Monthly P&amp;L'!$Q$14:$AZ$14)-SUMIF('Monthly P&amp;L'!$Q$6:$AZ$6,"&lt;"&amp;C$58,'Monthly P&amp;L'!$Q$14:$AZ$14)))</f>
        <v>0</v>
      </c>
      <c r="D69" s="134">
        <f>ABS(D14-(SUMIF('Monthly P&amp;L'!$Q$6:$AZ$6,"&lt;="&amp;D$59,'Monthly P&amp;L'!$Q$14:$AZ$14)-SUMIF('Monthly P&amp;L'!$Q$6:$AZ$6,"&lt;"&amp;D$58,'Monthly P&amp;L'!$Q$14:$AZ$14)))</f>
        <v>0</v>
      </c>
      <c r="E69" s="134">
        <f>ABS(E14-(SUMIF('Monthly P&amp;L'!$Q$6:$AZ$6,"&lt;="&amp;E$59,'Monthly P&amp;L'!$Q$14:$AZ$14)-SUMIF('Monthly P&amp;L'!$Q$6:$AZ$6,"&lt;"&amp;E$58,'Monthly P&amp;L'!$Q$14:$AZ$14)))</f>
        <v>0</v>
      </c>
      <c r="G69" s="134">
        <f>ABS(G14-(SUMIF('Monthly P&amp;L'!$Q$6:$AZ$6,"&lt;="&amp;G$59,'Monthly P&amp;L'!$Q$14:$AZ$14)-SUMIF('Monthly P&amp;L'!$Q$6:$AZ$6,"&lt;"&amp;G$58,'Monthly P&amp;L'!$Q$14:$AZ$14)))</f>
        <v>0</v>
      </c>
      <c r="H69" s="134">
        <f>ABS(H14-(SUMIF('Monthly P&amp;L'!$Q$6:$AZ$6,"&lt;="&amp;H$59,'Monthly P&amp;L'!$Q$14:$AZ$14)-SUMIF('Monthly P&amp;L'!$Q$6:$AZ$6,"&lt;"&amp;H$58,'Monthly P&amp;L'!$Q$14:$AZ$14)))</f>
        <v>0</v>
      </c>
      <c r="J69" s="134">
        <f>ABS(J14-(SUMIF('Monthly P&amp;L'!$Q$6:$AZ$6,"&lt;="&amp;J$59,'Monthly P&amp;L'!$Q$14:$AZ$14)-SUMIF('Monthly P&amp;L'!$Q$6:$AZ$6,"&lt;"&amp;J$58,'Monthly P&amp;L'!$Q$14:$AZ$14)))</f>
        <v>0</v>
      </c>
      <c r="K69" s="134">
        <f>ABS(K14-(SUMIF('Monthly P&amp;L'!$Q$6:$AZ$6,"&lt;="&amp;K$59,'Monthly P&amp;L'!$Q$14:$AZ$14)-SUMIF('Monthly P&amp;L'!$Q$6:$AZ$6,"&lt;"&amp;K$58,'Monthly P&amp;L'!$Q$14:$AZ$14)))</f>
        <v>0</v>
      </c>
      <c r="L69" s="134">
        <f>ABS(L14-(SUMIF('Monthly P&amp;L'!$Q$6:$AZ$6,"&lt;="&amp;L$59,'Monthly P&amp;L'!$Q$14:$AZ$14)-SUMIF('Monthly P&amp;L'!$Q$6:$AZ$6,"&lt;"&amp;L$58,'Monthly P&amp;L'!$Q$14:$AZ$14)))</f>
        <v>0</v>
      </c>
    </row>
    <row r="70" spans="2:12" x14ac:dyDescent="0.25">
      <c r="B70" s="131" t="s">
        <v>391</v>
      </c>
      <c r="C70" s="134">
        <f>ABS(C16-(SUMIF('Monthly P&amp;L'!$Q$6:$AZ$6,"&lt;="&amp;C$59,'Monthly P&amp;L'!$Q$16:$AZ$16)-SUMIF('Monthly P&amp;L'!$Q$6:$AZ$6,"&lt;"&amp;C$58,'Monthly P&amp;L'!$Q$16:$AZ$16)))</f>
        <v>0</v>
      </c>
      <c r="D70" s="134">
        <f>ABS(D16-(SUMIF('Monthly P&amp;L'!$Q$6:$AZ$6,"&lt;="&amp;D$59,'Monthly P&amp;L'!$Q$16:$AZ$16)-SUMIF('Monthly P&amp;L'!$Q$6:$AZ$6,"&lt;"&amp;D$58,'Monthly P&amp;L'!$Q$16:$AZ$16)))</f>
        <v>0</v>
      </c>
      <c r="E70" s="134">
        <f>ABS(E16-(SUMIF('Monthly P&amp;L'!$Q$6:$AZ$6,"&lt;="&amp;E$59,'Monthly P&amp;L'!$Q$16:$AZ$16)-SUMIF('Monthly P&amp;L'!$Q$6:$AZ$6,"&lt;"&amp;E$58,'Monthly P&amp;L'!$Q$16:$AZ$16)))</f>
        <v>0</v>
      </c>
      <c r="G70" s="134">
        <f>ABS(G16-(SUMIF('Monthly P&amp;L'!$Q$6:$AZ$6,"&lt;="&amp;G$59,'Monthly P&amp;L'!$Q$16:$AZ$16)-SUMIF('Monthly P&amp;L'!$Q$6:$AZ$6,"&lt;"&amp;G$58,'Monthly P&amp;L'!$Q$16:$AZ$16)))</f>
        <v>0</v>
      </c>
      <c r="H70" s="134">
        <f>ABS(H16-(SUMIF('Monthly P&amp;L'!$Q$6:$AZ$6,"&lt;="&amp;H$59,'Monthly P&amp;L'!$Q$16:$AZ$16)-SUMIF('Monthly P&amp;L'!$Q$6:$AZ$6,"&lt;"&amp;H$58,'Monthly P&amp;L'!$Q$16:$AZ$16)))</f>
        <v>0</v>
      </c>
      <c r="J70" s="134">
        <f>ABS(J16-(SUMIF('Monthly P&amp;L'!$Q$6:$AZ$6,"&lt;="&amp;J$59,'Monthly P&amp;L'!$Q$16:$AZ$16)-SUMIF('Monthly P&amp;L'!$Q$6:$AZ$6,"&lt;"&amp;J$58,'Monthly P&amp;L'!$Q$16:$AZ$16)))</f>
        <v>0</v>
      </c>
      <c r="K70" s="134">
        <f>ABS(K16-(SUMIF('Monthly P&amp;L'!$Q$6:$AZ$6,"&lt;="&amp;K$59,'Monthly P&amp;L'!$Q$16:$AZ$16)-SUMIF('Monthly P&amp;L'!$Q$6:$AZ$6,"&lt;"&amp;K$58,'Monthly P&amp;L'!$Q$16:$AZ$16)))</f>
        <v>0</v>
      </c>
      <c r="L70" s="134">
        <f>ABS(L16-(SUMIF('Monthly P&amp;L'!$Q$6:$AZ$6,"&lt;="&amp;L$59,'Monthly P&amp;L'!$Q$16:$AZ$16)-SUMIF('Monthly P&amp;L'!$Q$6:$AZ$6,"&lt;"&amp;L$58,'Monthly P&amp;L'!$Q$16:$AZ$16)))</f>
        <v>0</v>
      </c>
    </row>
    <row r="71" spans="2:12" x14ac:dyDescent="0.25">
      <c r="B71" s="131" t="s">
        <v>392</v>
      </c>
      <c r="C71" s="134">
        <f>ABS(C18-(SUMIF('Monthly P&amp;L'!$Q$6:$AZ$6,"&lt;="&amp;C$59,'Monthly P&amp;L'!$Q$18:$AZ$18)-SUMIF('Monthly P&amp;L'!$Q$6:$AZ$6,"&lt;"&amp;C$58,'Monthly P&amp;L'!$Q$18:$AZ$18)))</f>
        <v>0</v>
      </c>
      <c r="D71" s="134">
        <f>ABS(D18-(SUMIF('Monthly P&amp;L'!$Q$6:$AZ$6,"&lt;="&amp;D$59,'Monthly P&amp;L'!$Q$18:$AZ$18)-SUMIF('Monthly P&amp;L'!$Q$6:$AZ$6,"&lt;"&amp;D$58,'Monthly P&amp;L'!$Q$18:$AZ$18)))</f>
        <v>0</v>
      </c>
      <c r="E71" s="134">
        <f>ABS(E18-(SUMIF('Monthly P&amp;L'!$Q$6:$AZ$6,"&lt;="&amp;E$59,'Monthly P&amp;L'!$Q$18:$AZ$18)-SUMIF('Monthly P&amp;L'!$Q$6:$AZ$6,"&lt;"&amp;E$58,'Monthly P&amp;L'!$Q$18:$AZ$18)))</f>
        <v>0</v>
      </c>
      <c r="G71" s="134">
        <f>ABS(G18-(SUMIF('Monthly P&amp;L'!$Q$6:$AZ$6,"&lt;="&amp;G$59,'Monthly P&amp;L'!$Q$18:$AZ$18)-SUMIF('Monthly P&amp;L'!$Q$6:$AZ$6,"&lt;"&amp;G$58,'Monthly P&amp;L'!$Q$18:$AZ$18)))</f>
        <v>0</v>
      </c>
      <c r="H71" s="134">
        <f>ABS(H18-(SUMIF('Monthly P&amp;L'!$Q$6:$AZ$6,"&lt;="&amp;H$59,'Monthly P&amp;L'!$Q$18:$AZ$18)-SUMIF('Monthly P&amp;L'!$Q$6:$AZ$6,"&lt;"&amp;H$58,'Monthly P&amp;L'!$Q$18:$AZ$18)))</f>
        <v>0</v>
      </c>
      <c r="J71" s="134">
        <f>ABS(J18-(SUMIF('Monthly P&amp;L'!$Q$6:$AZ$6,"&lt;="&amp;J$59,'Monthly P&amp;L'!$Q$18:$AZ$18)-SUMIF('Monthly P&amp;L'!$Q$6:$AZ$6,"&lt;"&amp;J$58,'Monthly P&amp;L'!$Q$18:$AZ$18)))</f>
        <v>0</v>
      </c>
      <c r="K71" s="134">
        <f>ABS(K18-(SUMIF('Monthly P&amp;L'!$Q$6:$AZ$6,"&lt;="&amp;K$59,'Monthly P&amp;L'!$Q$18:$AZ$18)-SUMIF('Monthly P&amp;L'!$Q$6:$AZ$6,"&lt;"&amp;K$58,'Monthly P&amp;L'!$Q$18:$AZ$18)))</f>
        <v>0</v>
      </c>
      <c r="L71" s="134">
        <f>ABS(L18-(SUMIF('Monthly P&amp;L'!$Q$6:$AZ$6,"&lt;="&amp;L$59,'Monthly P&amp;L'!$Q$18:$AZ$18)-SUMIF('Monthly P&amp;L'!$Q$6:$AZ$6,"&lt;"&amp;L$58,'Monthly P&amp;L'!$Q$18:$AZ$18)))</f>
        <v>0</v>
      </c>
    </row>
    <row r="72" spans="2:12" x14ac:dyDescent="0.25">
      <c r="B72" s="131" t="s">
        <v>393</v>
      </c>
      <c r="C72" s="134">
        <f>ABS(C22-(SUMIF('Monthly P&amp;L'!$Q$6:$AZ$6,"&lt;="&amp;C$59,'Monthly P&amp;L'!$Q$22:$AZ$22)-SUMIF('Monthly P&amp;L'!$Q$6:$AZ$6,"&lt;"&amp;C$58,'Monthly P&amp;L'!$Q$22:$AZ$22)))</f>
        <v>0</v>
      </c>
      <c r="D72" s="134">
        <f>ABS(D22-(SUMIF('Monthly P&amp;L'!$Q$6:$AZ$6,"&lt;="&amp;D$59,'Monthly P&amp;L'!$Q$22:$AZ$22)-SUMIF('Monthly P&amp;L'!$Q$6:$AZ$6,"&lt;"&amp;D$58,'Monthly P&amp;L'!$Q$22:$AZ$22)))</f>
        <v>0</v>
      </c>
      <c r="E72" s="134">
        <f>ABS(E22-(SUMIF('Monthly P&amp;L'!$Q$6:$AZ$6,"&lt;="&amp;E$59,'Monthly P&amp;L'!$Q$22:$AZ$22)-SUMIF('Monthly P&amp;L'!$Q$6:$AZ$6,"&lt;"&amp;E$58,'Monthly P&amp;L'!$Q$22:$AZ$22)))</f>
        <v>0</v>
      </c>
      <c r="G72" s="134">
        <f>ABS(G22-(SUMIF('Monthly P&amp;L'!$Q$6:$AZ$6,"&lt;="&amp;G$59,'Monthly P&amp;L'!$Q$22:$AZ$22)-SUMIF('Monthly P&amp;L'!$Q$6:$AZ$6,"&lt;"&amp;G$58,'Monthly P&amp;L'!$Q$22:$AZ$22)))</f>
        <v>0</v>
      </c>
      <c r="H72" s="134">
        <f>ABS(H22-(SUMIF('Monthly P&amp;L'!$Q$6:$AZ$6,"&lt;="&amp;H$59,'Monthly P&amp;L'!$Q$22:$AZ$22)-SUMIF('Monthly P&amp;L'!$Q$6:$AZ$6,"&lt;"&amp;H$58,'Monthly P&amp;L'!$Q$22:$AZ$22)))</f>
        <v>0</v>
      </c>
      <c r="J72" s="134">
        <f>ABS(J22-(SUMIF('Monthly P&amp;L'!$Q$6:$AZ$6,"&lt;="&amp;J$59,'Monthly P&amp;L'!$Q$22:$AZ$22)-SUMIF('Monthly P&amp;L'!$Q$6:$AZ$6,"&lt;"&amp;J$58,'Monthly P&amp;L'!$Q$22:$AZ$22)))</f>
        <v>0</v>
      </c>
      <c r="K72" s="134">
        <f>ABS(K22-(SUMIF('Monthly P&amp;L'!$Q$6:$AZ$6,"&lt;="&amp;K$59,'Monthly P&amp;L'!$Q$22:$AZ$22)-SUMIF('Monthly P&amp;L'!$Q$6:$AZ$6,"&lt;"&amp;K$58,'Monthly P&amp;L'!$Q$22:$AZ$22)))</f>
        <v>0</v>
      </c>
      <c r="L72" s="134">
        <f>ABS(L22-(SUMIF('Monthly P&amp;L'!$Q$6:$AZ$6,"&lt;="&amp;L$59,'Monthly P&amp;L'!$Q$22:$AZ$22)-SUMIF('Monthly P&amp;L'!$Q$6:$AZ$6,"&lt;"&amp;L$58,'Monthly P&amp;L'!$Q$22:$AZ$22)))</f>
        <v>0</v>
      </c>
    </row>
    <row r="73" spans="2:12" x14ac:dyDescent="0.25">
      <c r="B73" s="131" t="s">
        <v>394</v>
      </c>
      <c r="C73" s="134">
        <f>ABS(C23-(SUMIF('Monthly P&amp;L'!$Q$6:$AZ$6,"&lt;="&amp;C$59,'Monthly P&amp;L'!$Q$23:$AZ$23)-SUMIF('Monthly P&amp;L'!$Q$6:$AZ$6,"&lt;"&amp;C$58,'Monthly P&amp;L'!$Q$23:$AZ$23)))</f>
        <v>0</v>
      </c>
      <c r="D73" s="134">
        <f>ABS(D23-(SUMIF('Monthly P&amp;L'!$Q$6:$AZ$6,"&lt;="&amp;D$59,'Monthly P&amp;L'!$Q$23:$AZ$23)-SUMIF('Monthly P&amp;L'!$Q$6:$AZ$6,"&lt;"&amp;D$58,'Monthly P&amp;L'!$Q$23:$AZ$23)))</f>
        <v>0</v>
      </c>
      <c r="E73" s="134">
        <f>ABS(E23-(SUMIF('Monthly P&amp;L'!$Q$6:$AZ$6,"&lt;="&amp;E$59,'Monthly P&amp;L'!$Q$23:$AZ$23)-SUMIF('Monthly P&amp;L'!$Q$6:$AZ$6,"&lt;"&amp;E$58,'Monthly P&amp;L'!$Q$23:$AZ$23)))</f>
        <v>0</v>
      </c>
      <c r="G73" s="134">
        <f>ABS(G23-(SUMIF('Monthly P&amp;L'!$Q$6:$AZ$6,"&lt;="&amp;G$59,'Monthly P&amp;L'!$Q$23:$AZ$23)-SUMIF('Monthly P&amp;L'!$Q$6:$AZ$6,"&lt;"&amp;G$58,'Monthly P&amp;L'!$Q$23:$AZ$23)))</f>
        <v>0</v>
      </c>
      <c r="H73" s="134">
        <f>ABS(H23-(SUMIF('Monthly P&amp;L'!$Q$6:$AZ$6,"&lt;="&amp;H$59,'Monthly P&amp;L'!$Q$23:$AZ$23)-SUMIF('Monthly P&amp;L'!$Q$6:$AZ$6,"&lt;"&amp;H$58,'Monthly P&amp;L'!$Q$23:$AZ$23)))</f>
        <v>0</v>
      </c>
      <c r="J73" s="134">
        <f>ABS(J23-(SUMIF('Monthly P&amp;L'!$Q$6:$AZ$6,"&lt;="&amp;J$59,'Monthly P&amp;L'!$Q$23:$AZ$23)-SUMIF('Monthly P&amp;L'!$Q$6:$AZ$6,"&lt;"&amp;J$58,'Monthly P&amp;L'!$Q$23:$AZ$23)))</f>
        <v>0</v>
      </c>
      <c r="K73" s="134">
        <f>ABS(K23-(SUMIF('Monthly P&amp;L'!$Q$6:$AZ$6,"&lt;="&amp;K$59,'Monthly P&amp;L'!$Q$23:$AZ$23)-SUMIF('Monthly P&amp;L'!$Q$6:$AZ$6,"&lt;"&amp;K$58,'Monthly P&amp;L'!$Q$23:$AZ$23)))</f>
        <v>0</v>
      </c>
      <c r="L73" s="134">
        <f>ABS(L23-(SUMIF('Monthly P&amp;L'!$Q$6:$AZ$6,"&lt;="&amp;L$59,'Monthly P&amp;L'!$Q$23:$AZ$23)-SUMIF('Monthly P&amp;L'!$Q$6:$AZ$6,"&lt;"&amp;L$58,'Monthly P&amp;L'!$Q$23:$AZ$23)))</f>
        <v>0</v>
      </c>
    </row>
    <row r="74" spans="2:12" x14ac:dyDescent="0.25">
      <c r="B74" s="131" t="s">
        <v>395</v>
      </c>
      <c r="C74" s="134">
        <f>ABS(C24-(SUMIF('Monthly P&amp;L'!$Q$6:$AZ$6,"&lt;="&amp;C$59,'Monthly P&amp;L'!$Q$24:$AZ$24)-SUMIF('Monthly P&amp;L'!$Q$6:$AZ$6,"&lt;"&amp;C$58,'Monthly P&amp;L'!$Q$24:$AZ$24)))</f>
        <v>0</v>
      </c>
      <c r="D74" s="134">
        <f>ABS(D24-(SUMIF('Monthly P&amp;L'!$Q$6:$AZ$6,"&lt;="&amp;D$59,'Monthly P&amp;L'!$Q$24:$AZ$24)-SUMIF('Monthly P&amp;L'!$Q$6:$AZ$6,"&lt;"&amp;D$58,'Monthly P&amp;L'!$Q$24:$AZ$24)))</f>
        <v>0</v>
      </c>
      <c r="E74" s="134">
        <f>ABS(E24-(SUMIF('Monthly P&amp;L'!$Q$6:$AZ$6,"&lt;="&amp;E$59,'Monthly P&amp;L'!$Q$24:$AZ$24)-SUMIF('Monthly P&amp;L'!$Q$6:$AZ$6,"&lt;"&amp;E$58,'Monthly P&amp;L'!$Q$24:$AZ$24)))</f>
        <v>0</v>
      </c>
      <c r="G74" s="134">
        <f>ABS(G24-(SUMIF('Monthly P&amp;L'!$Q$6:$AZ$6,"&lt;="&amp;G$59,'Monthly P&amp;L'!$Q$24:$AZ$24)-SUMIF('Monthly P&amp;L'!$Q$6:$AZ$6,"&lt;"&amp;G$58,'Monthly P&amp;L'!$Q$24:$AZ$24)))</f>
        <v>0</v>
      </c>
      <c r="H74" s="134">
        <f>ABS(H24-(SUMIF('Monthly P&amp;L'!$Q$6:$AZ$6,"&lt;="&amp;H$59,'Monthly P&amp;L'!$Q$24:$AZ$24)-SUMIF('Monthly P&amp;L'!$Q$6:$AZ$6,"&lt;"&amp;H$58,'Monthly P&amp;L'!$Q$24:$AZ$24)))</f>
        <v>0</v>
      </c>
      <c r="J74" s="134">
        <f>ABS(J24-(SUMIF('Monthly P&amp;L'!$Q$6:$AZ$6,"&lt;="&amp;J$59,'Monthly P&amp;L'!$Q$24:$AZ$24)-SUMIF('Monthly P&amp;L'!$Q$6:$AZ$6,"&lt;"&amp;J$58,'Monthly P&amp;L'!$Q$24:$AZ$24)))</f>
        <v>0</v>
      </c>
      <c r="K74" s="134">
        <f>ABS(K24-(SUMIF('Monthly P&amp;L'!$Q$6:$AZ$6,"&lt;="&amp;K$59,'Monthly P&amp;L'!$Q$24:$AZ$24)-SUMIF('Monthly P&amp;L'!$Q$6:$AZ$6,"&lt;"&amp;K$58,'Monthly P&amp;L'!$Q$24:$AZ$24)))</f>
        <v>0</v>
      </c>
      <c r="L74" s="134">
        <f>ABS(L24-(SUMIF('Monthly P&amp;L'!$Q$6:$AZ$6,"&lt;="&amp;L$59,'Monthly P&amp;L'!$Q$24:$AZ$24)-SUMIF('Monthly P&amp;L'!$Q$6:$AZ$6,"&lt;"&amp;L$58,'Monthly P&amp;L'!$Q$24:$AZ$24)))</f>
        <v>0</v>
      </c>
    </row>
    <row r="75" spans="2:12" x14ac:dyDescent="0.25">
      <c r="B75" s="131" t="s">
        <v>396</v>
      </c>
      <c r="C75" s="134">
        <f>ABS(C25-(SUMIF('Monthly P&amp;L'!$Q$6:$AZ$6,"&lt;="&amp;C$59,'Monthly P&amp;L'!$Q$25:$AZ$25)-SUMIF('Monthly P&amp;L'!$Q$6:$AZ$6,"&lt;"&amp;C$58,'Monthly P&amp;L'!$Q$25:$AZ$25)))</f>
        <v>0</v>
      </c>
      <c r="D75" s="134">
        <f>ABS(D25-(SUMIF('Monthly P&amp;L'!$Q$6:$AZ$6,"&lt;="&amp;D$59,'Monthly P&amp;L'!$Q$25:$AZ$25)-SUMIF('Monthly P&amp;L'!$Q$6:$AZ$6,"&lt;"&amp;D$58,'Monthly P&amp;L'!$Q$25:$AZ$25)))</f>
        <v>0</v>
      </c>
      <c r="E75" s="134">
        <f>ABS(E25-(SUMIF('Monthly P&amp;L'!$Q$6:$AZ$6,"&lt;="&amp;E$59,'Monthly P&amp;L'!$Q$25:$AZ$25)-SUMIF('Monthly P&amp;L'!$Q$6:$AZ$6,"&lt;"&amp;E$58,'Monthly P&amp;L'!$Q$25:$AZ$25)))</f>
        <v>0</v>
      </c>
      <c r="G75" s="134">
        <f>ABS(G25-(SUMIF('Monthly P&amp;L'!$Q$6:$AZ$6,"&lt;="&amp;G$59,'Monthly P&amp;L'!$Q$25:$AZ$25)-SUMIF('Monthly P&amp;L'!$Q$6:$AZ$6,"&lt;"&amp;G$58,'Monthly P&amp;L'!$Q$25:$AZ$25)))</f>
        <v>0</v>
      </c>
      <c r="H75" s="134">
        <f>ABS(H25-(SUMIF('Monthly P&amp;L'!$Q$6:$AZ$6,"&lt;="&amp;H$59,'Monthly P&amp;L'!$Q$25:$AZ$25)-SUMIF('Monthly P&amp;L'!$Q$6:$AZ$6,"&lt;"&amp;H$58,'Monthly P&amp;L'!$Q$25:$AZ$25)))</f>
        <v>0</v>
      </c>
      <c r="J75" s="134">
        <f>ABS(J25-(SUMIF('Monthly P&amp;L'!$Q$6:$AZ$6,"&lt;="&amp;J$59,'Monthly P&amp;L'!$Q$25:$AZ$25)-SUMIF('Monthly P&amp;L'!$Q$6:$AZ$6,"&lt;"&amp;J$58,'Monthly P&amp;L'!$Q$25:$AZ$25)))</f>
        <v>0</v>
      </c>
      <c r="K75" s="134">
        <f>ABS(K25-(SUMIF('Monthly P&amp;L'!$Q$6:$AZ$6,"&lt;="&amp;K$59,'Monthly P&amp;L'!$Q$25:$AZ$25)-SUMIF('Monthly P&amp;L'!$Q$6:$AZ$6,"&lt;"&amp;K$58,'Monthly P&amp;L'!$Q$25:$AZ$25)))</f>
        <v>0</v>
      </c>
      <c r="L75" s="134">
        <f>ABS(L25-(SUMIF('Monthly P&amp;L'!$Q$6:$AZ$6,"&lt;="&amp;L$59,'Monthly P&amp;L'!$Q$25:$AZ$25)-SUMIF('Monthly P&amp;L'!$Q$6:$AZ$6,"&lt;"&amp;L$58,'Monthly P&amp;L'!$Q$25:$AZ$25)))</f>
        <v>0</v>
      </c>
    </row>
    <row r="76" spans="2:12" x14ac:dyDescent="0.25">
      <c r="B76" s="131" t="s">
        <v>397</v>
      </c>
      <c r="C76" s="134">
        <f>ABS(C26-(SUMIF('Monthly P&amp;L'!$Q$6:$AZ$6,"&lt;="&amp;C$59,'Monthly P&amp;L'!$Q$26:$AZ$26)-SUMIF('Monthly P&amp;L'!$Q$6:$AZ$6,"&lt;"&amp;C$58,'Monthly P&amp;L'!$Q$26:$AZ$26)))</f>
        <v>0</v>
      </c>
      <c r="D76" s="134">
        <f>ABS(D26-(SUMIF('Monthly P&amp;L'!$Q$6:$AZ$6,"&lt;="&amp;D$59,'Monthly P&amp;L'!$Q$26:$AZ$26)-SUMIF('Monthly P&amp;L'!$Q$6:$AZ$6,"&lt;"&amp;D$58,'Monthly P&amp;L'!$Q$26:$AZ$26)))</f>
        <v>0</v>
      </c>
      <c r="E76" s="134">
        <f>ABS(E26-(SUMIF('Monthly P&amp;L'!$Q$6:$AZ$6,"&lt;="&amp;E$59,'Monthly P&amp;L'!$Q$26:$AZ$26)-SUMIF('Monthly P&amp;L'!$Q$6:$AZ$6,"&lt;"&amp;E$58,'Monthly P&amp;L'!$Q$26:$AZ$26)))</f>
        <v>0</v>
      </c>
      <c r="G76" s="134">
        <f>ABS(G26-(SUMIF('Monthly P&amp;L'!$Q$6:$AZ$6,"&lt;="&amp;G$59,'Monthly P&amp;L'!$Q$26:$AZ$26)-SUMIF('Monthly P&amp;L'!$Q$6:$AZ$6,"&lt;"&amp;G$58,'Monthly P&amp;L'!$Q$26:$AZ$26)))</f>
        <v>0</v>
      </c>
      <c r="H76" s="134">
        <f>ABS(H26-(SUMIF('Monthly P&amp;L'!$Q$6:$AZ$6,"&lt;="&amp;H$59,'Monthly P&amp;L'!$Q$26:$AZ$26)-SUMIF('Monthly P&amp;L'!$Q$6:$AZ$6,"&lt;"&amp;H$58,'Monthly P&amp;L'!$Q$26:$AZ$26)))</f>
        <v>0</v>
      </c>
      <c r="J76" s="134">
        <f>ABS(J26-(SUMIF('Monthly P&amp;L'!$Q$6:$AZ$6,"&lt;="&amp;J$59,'Monthly P&amp;L'!$Q$26:$AZ$26)-SUMIF('Monthly P&amp;L'!$Q$6:$AZ$6,"&lt;"&amp;J$58,'Monthly P&amp;L'!$Q$26:$AZ$26)))</f>
        <v>0</v>
      </c>
      <c r="K76" s="134">
        <f>ABS(K26-(SUMIF('Monthly P&amp;L'!$Q$6:$AZ$6,"&lt;="&amp;K$59,'Monthly P&amp;L'!$Q$26:$AZ$26)-SUMIF('Monthly P&amp;L'!$Q$6:$AZ$6,"&lt;"&amp;K$58,'Monthly P&amp;L'!$Q$26:$AZ$26)))</f>
        <v>0</v>
      </c>
      <c r="L76" s="134">
        <f>ABS(L26-(SUMIF('Monthly P&amp;L'!$Q$6:$AZ$6,"&lt;="&amp;L$59,'Monthly P&amp;L'!$Q$26:$AZ$26)-SUMIF('Monthly P&amp;L'!$Q$6:$AZ$6,"&lt;"&amp;L$58,'Monthly P&amp;L'!$Q$26:$AZ$26)))</f>
        <v>0</v>
      </c>
    </row>
    <row r="77" spans="2:12" x14ac:dyDescent="0.25">
      <c r="B77" s="131" t="s">
        <v>398</v>
      </c>
      <c r="C77" s="134">
        <f>ABS(C28-(SUMIF('Monthly P&amp;L'!$Q$6:$AZ$6,"&lt;="&amp;C$59,'Monthly P&amp;L'!$Q$28:$AZ$28)-SUMIF('Monthly P&amp;L'!$Q$6:$AZ$6,"&lt;"&amp;C$58,'Monthly P&amp;L'!$Q$28:$AZ$28)))</f>
        <v>0</v>
      </c>
      <c r="D77" s="134">
        <f>ABS(D28-(SUMIF('Monthly P&amp;L'!$Q$6:$AZ$6,"&lt;="&amp;D$59,'Monthly P&amp;L'!$Q$28:$AZ$28)-SUMIF('Monthly P&amp;L'!$Q$6:$AZ$6,"&lt;"&amp;D$58,'Monthly P&amp;L'!$Q$28:$AZ$28)))</f>
        <v>0</v>
      </c>
      <c r="E77" s="134">
        <f>ABS(E28-(SUMIF('Monthly P&amp;L'!$Q$6:$AZ$6,"&lt;="&amp;E$59,'Monthly P&amp;L'!$Q$28:$AZ$28)-SUMIF('Monthly P&amp;L'!$Q$6:$AZ$6,"&lt;"&amp;E$58,'Monthly P&amp;L'!$Q$28:$AZ$28)))</f>
        <v>0</v>
      </c>
      <c r="G77" s="134">
        <f>ABS(G28-(SUMIF('Monthly P&amp;L'!$Q$6:$AZ$6,"&lt;="&amp;G$59,'Monthly P&amp;L'!$Q$28:$AZ$28)-SUMIF('Monthly P&amp;L'!$Q$6:$AZ$6,"&lt;"&amp;G$58,'Monthly P&amp;L'!$Q$28:$AZ$28)))</f>
        <v>0</v>
      </c>
      <c r="H77" s="134">
        <f>ABS(H28-(SUMIF('Monthly P&amp;L'!$Q$6:$AZ$6,"&lt;="&amp;H$59,'Monthly P&amp;L'!$Q$28:$AZ$28)-SUMIF('Monthly P&amp;L'!$Q$6:$AZ$6,"&lt;"&amp;H$58,'Monthly P&amp;L'!$Q$28:$AZ$28)))</f>
        <v>0</v>
      </c>
      <c r="J77" s="134">
        <f>ABS(J28-(SUMIF('Monthly P&amp;L'!$Q$6:$AZ$6,"&lt;="&amp;J$59,'Monthly P&amp;L'!$Q$28:$AZ$28)-SUMIF('Monthly P&amp;L'!$Q$6:$AZ$6,"&lt;"&amp;J$58,'Monthly P&amp;L'!$Q$28:$AZ$28)))</f>
        <v>0</v>
      </c>
      <c r="K77" s="134">
        <f>ABS(K28-(SUMIF('Monthly P&amp;L'!$Q$6:$AZ$6,"&lt;="&amp;K$59,'Monthly P&amp;L'!$Q$28:$AZ$28)-SUMIF('Monthly P&amp;L'!$Q$6:$AZ$6,"&lt;"&amp;K$58,'Monthly P&amp;L'!$Q$28:$AZ$28)))</f>
        <v>0</v>
      </c>
      <c r="L77" s="134">
        <f>ABS(L28-(SUMIF('Monthly P&amp;L'!$Q$6:$AZ$6,"&lt;="&amp;L$59,'Monthly P&amp;L'!$Q$28:$AZ$28)-SUMIF('Monthly P&amp;L'!$Q$6:$AZ$6,"&lt;"&amp;L$58,'Monthly P&amp;L'!$Q$28:$AZ$28)))</f>
        <v>0</v>
      </c>
    </row>
    <row r="78" spans="2:12" x14ac:dyDescent="0.25">
      <c r="B78" s="131" t="s">
        <v>399</v>
      </c>
      <c r="C78" s="134">
        <f>ABS(C29-(SUMIF('Monthly P&amp;L'!$Q$6:$AZ$6,"&lt;="&amp;C$59,'Monthly P&amp;L'!$Q$29:$AZ$29)-SUMIF('Monthly P&amp;L'!$Q$6:$AZ$6,"&lt;"&amp;C$58,'Monthly P&amp;L'!$Q$29:$AZ$29)))</f>
        <v>0</v>
      </c>
      <c r="D78" s="134">
        <f>ABS(D29-(SUMIF('Monthly P&amp;L'!$Q$6:$AZ$6,"&lt;="&amp;D$59,'Monthly P&amp;L'!$Q$29:$AZ$29)-SUMIF('Monthly P&amp;L'!$Q$6:$AZ$6,"&lt;"&amp;D$58,'Monthly P&amp;L'!$Q$29:$AZ$29)))</f>
        <v>0</v>
      </c>
      <c r="E78" s="134">
        <f>ABS(E29-(SUMIF('Monthly P&amp;L'!$Q$6:$AZ$6,"&lt;="&amp;E$59,'Monthly P&amp;L'!$Q$29:$AZ$29)-SUMIF('Monthly P&amp;L'!$Q$6:$AZ$6,"&lt;"&amp;E$58,'Monthly P&amp;L'!$Q$29:$AZ$29)))</f>
        <v>0</v>
      </c>
      <c r="G78" s="134">
        <f>ABS(G29-(SUMIF('Monthly P&amp;L'!$Q$6:$AZ$6,"&lt;="&amp;G$59,'Monthly P&amp;L'!$Q$29:$AZ$29)-SUMIF('Monthly P&amp;L'!$Q$6:$AZ$6,"&lt;"&amp;G$58,'Monthly P&amp;L'!$Q$29:$AZ$29)))</f>
        <v>0</v>
      </c>
      <c r="H78" s="134">
        <f>ABS(H29-(SUMIF('Monthly P&amp;L'!$Q$6:$AZ$6,"&lt;="&amp;H$59,'Monthly P&amp;L'!$Q$29:$AZ$29)-SUMIF('Monthly P&amp;L'!$Q$6:$AZ$6,"&lt;"&amp;H$58,'Monthly P&amp;L'!$Q$29:$AZ$29)))</f>
        <v>0</v>
      </c>
      <c r="J78" s="134">
        <f>ABS(J29-(SUMIF('Monthly P&amp;L'!$Q$6:$AZ$6,"&lt;="&amp;J$59,'Monthly P&amp;L'!$Q$29:$AZ$29)-SUMIF('Monthly P&amp;L'!$Q$6:$AZ$6,"&lt;"&amp;J$58,'Monthly P&amp;L'!$Q$29:$AZ$29)))</f>
        <v>0</v>
      </c>
      <c r="K78" s="134">
        <f>ABS(K29-(SUMIF('Monthly P&amp;L'!$Q$6:$AZ$6,"&lt;="&amp;K$59,'Monthly P&amp;L'!$Q$29:$AZ$29)-SUMIF('Monthly P&amp;L'!$Q$6:$AZ$6,"&lt;"&amp;K$58,'Monthly P&amp;L'!$Q$29:$AZ$29)))</f>
        <v>0</v>
      </c>
      <c r="L78" s="134">
        <f>ABS(L29-(SUMIF('Monthly P&amp;L'!$Q$6:$AZ$6,"&lt;="&amp;L$59,'Monthly P&amp;L'!$Q$29:$AZ$29)-SUMIF('Monthly P&amp;L'!$Q$6:$AZ$6,"&lt;"&amp;L$58,'Monthly P&amp;L'!$Q$29:$AZ$29)))</f>
        <v>0</v>
      </c>
    </row>
    <row r="79" spans="2:12" x14ac:dyDescent="0.25">
      <c r="B79" s="131" t="s">
        <v>400</v>
      </c>
      <c r="C79" s="134">
        <f>ABS(C30-(SUMIF('Monthly P&amp;L'!$Q$6:$AZ$6,"&lt;="&amp;C$59,'Monthly P&amp;L'!$Q$30:$AZ$30)-SUMIF('Monthly P&amp;L'!$Q$6:$AZ$6,"&lt;"&amp;C$58,'Monthly P&amp;L'!$Q$30:$AZ$30)))</f>
        <v>0</v>
      </c>
      <c r="D79" s="134">
        <f>ABS(D30-(SUMIF('Monthly P&amp;L'!$Q$6:$AZ$6,"&lt;="&amp;D$59,'Monthly P&amp;L'!$Q$30:$AZ$30)-SUMIF('Monthly P&amp;L'!$Q$6:$AZ$6,"&lt;"&amp;D$58,'Monthly P&amp;L'!$Q$30:$AZ$30)))</f>
        <v>0</v>
      </c>
      <c r="E79" s="134">
        <f>ABS(E30-(SUMIF('Monthly P&amp;L'!$Q$6:$AZ$6,"&lt;="&amp;E$59,'Monthly P&amp;L'!$Q$30:$AZ$30)-SUMIF('Monthly P&amp;L'!$Q$6:$AZ$6,"&lt;"&amp;E$58,'Monthly P&amp;L'!$Q$30:$AZ$30)))</f>
        <v>0</v>
      </c>
      <c r="G79" s="134">
        <f>ABS(G30-(SUMIF('Monthly P&amp;L'!$Q$6:$AZ$6,"&lt;="&amp;G$59,'Monthly P&amp;L'!$Q$30:$AZ$30)-SUMIF('Monthly P&amp;L'!$Q$6:$AZ$6,"&lt;"&amp;G$58,'Monthly P&amp;L'!$Q$30:$AZ$30)))</f>
        <v>0</v>
      </c>
      <c r="H79" s="134">
        <f>ABS(H30-(SUMIF('Monthly P&amp;L'!$Q$6:$AZ$6,"&lt;="&amp;H$59,'Monthly P&amp;L'!$Q$30:$AZ$30)-SUMIF('Monthly P&amp;L'!$Q$6:$AZ$6,"&lt;"&amp;H$58,'Monthly P&amp;L'!$Q$30:$AZ$30)))</f>
        <v>0</v>
      </c>
      <c r="J79" s="134">
        <f>ABS(J30-(SUMIF('Monthly P&amp;L'!$Q$6:$AZ$6,"&lt;="&amp;J$59,'Monthly P&amp;L'!$Q$30:$AZ$30)-SUMIF('Monthly P&amp;L'!$Q$6:$AZ$6,"&lt;"&amp;J$58,'Monthly P&amp;L'!$Q$30:$AZ$30)))</f>
        <v>0</v>
      </c>
      <c r="K79" s="134">
        <f>ABS(K30-(SUMIF('Monthly P&amp;L'!$Q$6:$AZ$6,"&lt;="&amp;K$59,'Monthly P&amp;L'!$Q$30:$AZ$30)-SUMIF('Monthly P&amp;L'!$Q$6:$AZ$6,"&lt;"&amp;K$58,'Monthly P&amp;L'!$Q$30:$AZ$30)))</f>
        <v>0</v>
      </c>
      <c r="L79" s="134">
        <f>ABS(L30-(SUMIF('Monthly P&amp;L'!$Q$6:$AZ$6,"&lt;="&amp;L$59,'Monthly P&amp;L'!$Q$30:$AZ$30)-SUMIF('Monthly P&amp;L'!$Q$6:$AZ$6,"&lt;"&amp;L$58,'Monthly P&amp;L'!$Q$30:$AZ$30)))</f>
        <v>0</v>
      </c>
    </row>
    <row r="80" spans="2:12" x14ac:dyDescent="0.25">
      <c r="B80" s="131" t="s">
        <v>401</v>
      </c>
      <c r="C80" s="134">
        <f>ABS(C32-(SUMIF('Monthly P&amp;L'!$Q$6:$AZ$6,"&lt;="&amp;C$59,'Monthly P&amp;L'!$Q$32:$AZ$32)-SUMIF('Monthly P&amp;L'!$Q$6:$AZ$6,"&lt;"&amp;C$58,'Monthly P&amp;L'!$Q$32:$AZ$32)))</f>
        <v>0</v>
      </c>
      <c r="D80" s="134">
        <f>ABS(D32-(SUMIF('Monthly P&amp;L'!$Q$6:$AZ$6,"&lt;="&amp;D$59,'Monthly P&amp;L'!$Q$32:$AZ$32)-SUMIF('Monthly P&amp;L'!$Q$6:$AZ$6,"&lt;"&amp;D$58,'Monthly P&amp;L'!$Q$32:$AZ$32)))</f>
        <v>0</v>
      </c>
      <c r="E80" s="134">
        <f>ABS(E32-(SUMIF('Monthly P&amp;L'!$Q$6:$AZ$6,"&lt;="&amp;E$59,'Monthly P&amp;L'!$Q$32:$AZ$32)-SUMIF('Monthly P&amp;L'!$Q$6:$AZ$6,"&lt;"&amp;E$58,'Monthly P&amp;L'!$Q$32:$AZ$32)))</f>
        <v>0</v>
      </c>
      <c r="G80" s="134">
        <f>ABS(G32-(SUMIF('Monthly P&amp;L'!$Q$6:$AZ$6,"&lt;="&amp;G$59,'Monthly P&amp;L'!$Q$32:$AZ$32)-SUMIF('Monthly P&amp;L'!$Q$6:$AZ$6,"&lt;"&amp;G$58,'Monthly P&amp;L'!$Q$32:$AZ$32)))</f>
        <v>0</v>
      </c>
      <c r="H80" s="134">
        <f>ABS(H32-(SUMIF('Monthly P&amp;L'!$Q$6:$AZ$6,"&lt;="&amp;H$59,'Monthly P&amp;L'!$Q$32:$AZ$32)-SUMIF('Monthly P&amp;L'!$Q$6:$AZ$6,"&lt;"&amp;H$58,'Monthly P&amp;L'!$Q$32:$AZ$32)))</f>
        <v>0</v>
      </c>
      <c r="J80" s="134">
        <f>ABS(J32-(SUMIF('Monthly P&amp;L'!$Q$6:$AZ$6,"&lt;="&amp;J$59,'Monthly P&amp;L'!$Q$32:$AZ$32)-SUMIF('Monthly P&amp;L'!$Q$6:$AZ$6,"&lt;"&amp;J$58,'Monthly P&amp;L'!$Q$32:$AZ$32)))</f>
        <v>0</v>
      </c>
      <c r="K80" s="134">
        <f>ABS(K32-(SUMIF('Monthly P&amp;L'!$Q$6:$AZ$6,"&lt;="&amp;K$59,'Monthly P&amp;L'!$Q$32:$AZ$32)-SUMIF('Monthly P&amp;L'!$Q$6:$AZ$6,"&lt;"&amp;K$58,'Monthly P&amp;L'!$Q$32:$AZ$32)))</f>
        <v>0</v>
      </c>
      <c r="L80" s="134">
        <f>ABS(L32-(SUMIF('Monthly P&amp;L'!$Q$6:$AZ$6,"&lt;="&amp;L$59,'Monthly P&amp;L'!$Q$32:$AZ$32)-SUMIF('Monthly P&amp;L'!$Q$6:$AZ$6,"&lt;"&amp;L$58,'Monthly P&amp;L'!$Q$32:$AZ$32)))</f>
        <v>0</v>
      </c>
    </row>
    <row r="81" spans="2:12" x14ac:dyDescent="0.25">
      <c r="B81" s="131" t="s">
        <v>402</v>
      </c>
      <c r="C81" s="134">
        <f>ABS(C35-(SUMIF('Monthly P&amp;L'!$Q$6:$AZ$6,"&lt;="&amp;C$59,'Monthly P&amp;L'!$Q$35:$AZ$35)-SUMIF('Monthly P&amp;L'!$Q$6:$AZ$6,"&lt;"&amp;C$58,'Monthly P&amp;L'!$Q$35:$AZ$35)))</f>
        <v>0</v>
      </c>
      <c r="D81" s="134">
        <f>ABS(D35-(SUMIF('Monthly P&amp;L'!$Q$6:$AZ$6,"&lt;="&amp;D$59,'Monthly P&amp;L'!$Q$35:$AZ$35)-SUMIF('Monthly P&amp;L'!$Q$6:$AZ$6,"&lt;"&amp;D$58,'Monthly P&amp;L'!$Q$35:$AZ$35)))</f>
        <v>0</v>
      </c>
      <c r="E81" s="134">
        <f>ABS(E35-(SUMIF('Monthly P&amp;L'!$Q$6:$AZ$6,"&lt;="&amp;E$59,'Monthly P&amp;L'!$Q$35:$AZ$35)-SUMIF('Monthly P&amp;L'!$Q$6:$AZ$6,"&lt;"&amp;E$58,'Monthly P&amp;L'!$Q$35:$AZ$35)))</f>
        <v>0</v>
      </c>
      <c r="G81" s="134">
        <f>ABS(G35-(SUMIF('Monthly P&amp;L'!$Q$6:$AZ$6,"&lt;="&amp;G$59,'Monthly P&amp;L'!$Q$35:$AZ$35)-SUMIF('Monthly P&amp;L'!$Q$6:$AZ$6,"&lt;"&amp;G$58,'Monthly P&amp;L'!$Q$35:$AZ$35)))</f>
        <v>0</v>
      </c>
      <c r="H81" s="134">
        <f>ABS(H35-(SUMIF('Monthly P&amp;L'!$Q$6:$AZ$6,"&lt;="&amp;H$59,'Monthly P&amp;L'!$Q$35:$AZ$35)-SUMIF('Monthly P&amp;L'!$Q$6:$AZ$6,"&lt;"&amp;H$58,'Monthly P&amp;L'!$Q$35:$AZ$35)))</f>
        <v>0</v>
      </c>
      <c r="J81" s="134">
        <f>ABS(J35-(SUMIF('Monthly P&amp;L'!$Q$6:$AZ$6,"&lt;="&amp;J$59,'Monthly P&amp;L'!$Q$35:$AZ$35)-SUMIF('Monthly P&amp;L'!$Q$6:$AZ$6,"&lt;"&amp;J$58,'Monthly P&amp;L'!$Q$35:$AZ$35)))</f>
        <v>0</v>
      </c>
      <c r="K81" s="134">
        <f>ABS(K35-(SUMIF('Monthly P&amp;L'!$Q$6:$AZ$6,"&lt;="&amp;K$59,'Monthly P&amp;L'!$Q$35:$AZ$35)-SUMIF('Monthly P&amp;L'!$Q$6:$AZ$6,"&lt;"&amp;K$58,'Monthly P&amp;L'!$Q$35:$AZ$35)))</f>
        <v>0</v>
      </c>
      <c r="L81" s="134">
        <f>ABS(L35-(SUMIF('Monthly P&amp;L'!$Q$6:$AZ$6,"&lt;="&amp;L$59,'Monthly P&amp;L'!$Q$35:$AZ$35)-SUMIF('Monthly P&amp;L'!$Q$6:$AZ$6,"&lt;"&amp;L$58,'Monthly P&amp;L'!$Q$35:$AZ$35)))</f>
        <v>0</v>
      </c>
    </row>
    <row r="82" spans="2:12" x14ac:dyDescent="0.25">
      <c r="B82" s="131" t="s">
        <v>403</v>
      </c>
      <c r="C82" s="134">
        <f>ABS(C37-(SUMIF('Monthly P&amp;L'!$Q$6:$AZ$6,"&lt;="&amp;C$59,'Monthly P&amp;L'!$Q$37:$AZ$37)-SUMIF('Monthly P&amp;L'!$Q$6:$AZ$6,"&lt;"&amp;C$58,'Monthly P&amp;L'!$Q$37:$AZ$37)))</f>
        <v>0</v>
      </c>
      <c r="D82" s="134">
        <f>ABS(D37-(SUMIF('Monthly P&amp;L'!$Q$6:$AZ$6,"&lt;="&amp;D$59,'Monthly P&amp;L'!$Q$37:$AZ$37)-SUMIF('Monthly P&amp;L'!$Q$6:$AZ$6,"&lt;"&amp;D$58,'Monthly P&amp;L'!$Q$37:$AZ$37)))</f>
        <v>0</v>
      </c>
      <c r="E82" s="134">
        <f>ABS(E37-(SUMIF('Monthly P&amp;L'!$Q$6:$AZ$6,"&lt;="&amp;E$59,'Monthly P&amp;L'!$Q$37:$AZ$37)-SUMIF('Monthly P&amp;L'!$Q$6:$AZ$6,"&lt;"&amp;E$58,'Monthly P&amp;L'!$Q$37:$AZ$37)))</f>
        <v>0</v>
      </c>
      <c r="G82" s="134">
        <f>ABS(G37-(SUMIF('Monthly P&amp;L'!$Q$6:$AZ$6,"&lt;="&amp;G$59,'Monthly P&amp;L'!$Q$37:$AZ$37)-SUMIF('Monthly P&amp;L'!$Q$6:$AZ$6,"&lt;"&amp;G$58,'Monthly P&amp;L'!$Q$37:$AZ$37)))</f>
        <v>0</v>
      </c>
      <c r="H82" s="134">
        <f>ABS(H37-(SUMIF('Monthly P&amp;L'!$Q$6:$AZ$6,"&lt;="&amp;H$59,'Monthly P&amp;L'!$Q$37:$AZ$37)-SUMIF('Monthly P&amp;L'!$Q$6:$AZ$6,"&lt;"&amp;H$58,'Monthly P&amp;L'!$Q$37:$AZ$37)))</f>
        <v>0</v>
      </c>
      <c r="J82" s="134">
        <f>ABS(J37-(SUMIF('Monthly P&amp;L'!$Q$6:$AZ$6,"&lt;="&amp;J$59,'Monthly P&amp;L'!$Q$37:$AZ$37)-SUMIF('Monthly P&amp;L'!$Q$6:$AZ$6,"&lt;"&amp;J$58,'Monthly P&amp;L'!$Q$37:$AZ$37)))</f>
        <v>0</v>
      </c>
      <c r="K82" s="134">
        <f>ABS(K37-(SUMIF('Monthly P&amp;L'!$Q$6:$AZ$6,"&lt;="&amp;K$59,'Monthly P&amp;L'!$Q$37:$AZ$37)-SUMIF('Monthly P&amp;L'!$Q$6:$AZ$6,"&lt;"&amp;K$58,'Monthly P&amp;L'!$Q$37:$AZ$37)))</f>
        <v>0</v>
      </c>
      <c r="L82" s="134">
        <f>ABS(L37-(SUMIF('Monthly P&amp;L'!$Q$6:$AZ$6,"&lt;="&amp;L$59,'Monthly P&amp;L'!$Q$37:$AZ$37)-SUMIF('Monthly P&amp;L'!$Q$6:$AZ$6,"&lt;"&amp;L$58,'Monthly P&amp;L'!$Q$37:$AZ$37)))</f>
        <v>0</v>
      </c>
    </row>
    <row r="83" spans="2:12" x14ac:dyDescent="0.25">
      <c r="B83" s="131" t="s">
        <v>404</v>
      </c>
      <c r="C83" s="134">
        <f>ABS(C38-(SUMIF('Monthly P&amp;L'!$Q$6:$AZ$6,"&lt;="&amp;C$59,'Monthly P&amp;L'!$Q$38:$AZ$38)-SUMIF('Monthly P&amp;L'!$Q$6:$AZ$6,"&lt;"&amp;C$58,'Monthly P&amp;L'!$Q$38:$AZ$38)))</f>
        <v>0</v>
      </c>
      <c r="D83" s="134">
        <f>ABS(D38-(SUMIF('Monthly P&amp;L'!$Q$6:$AZ$6,"&lt;="&amp;D$59,'Monthly P&amp;L'!$Q$38:$AZ$38)-SUMIF('Monthly P&amp;L'!$Q$6:$AZ$6,"&lt;"&amp;D$58,'Monthly P&amp;L'!$Q$38:$AZ$38)))</f>
        <v>0</v>
      </c>
      <c r="E83" s="134">
        <f>ABS(E38-(SUMIF('Monthly P&amp;L'!$Q$6:$AZ$6,"&lt;="&amp;E$59,'Monthly P&amp;L'!$Q$38:$AZ$38)-SUMIF('Monthly P&amp;L'!$Q$6:$AZ$6,"&lt;"&amp;E$58,'Monthly P&amp;L'!$Q$38:$AZ$38)))</f>
        <v>0</v>
      </c>
      <c r="G83" s="134">
        <f>ABS(G38-(SUMIF('Monthly P&amp;L'!$Q$6:$AZ$6,"&lt;="&amp;G$59,'Monthly P&amp;L'!$Q$38:$AZ$38)-SUMIF('Monthly P&amp;L'!$Q$6:$AZ$6,"&lt;"&amp;G$58,'Monthly P&amp;L'!$Q$38:$AZ$38)))</f>
        <v>0</v>
      </c>
      <c r="H83" s="134">
        <f>ABS(H38-(SUMIF('Monthly P&amp;L'!$Q$6:$AZ$6,"&lt;="&amp;H$59,'Monthly P&amp;L'!$Q$38:$AZ$38)-SUMIF('Monthly P&amp;L'!$Q$6:$AZ$6,"&lt;"&amp;H$58,'Monthly P&amp;L'!$Q$38:$AZ$38)))</f>
        <v>0</v>
      </c>
      <c r="J83" s="134">
        <f>ABS(J38-(SUMIF('Monthly P&amp;L'!$Q$6:$AZ$6,"&lt;="&amp;J$59,'Monthly P&amp;L'!$Q$38:$AZ$38)-SUMIF('Monthly P&amp;L'!$Q$6:$AZ$6,"&lt;"&amp;J$58,'Monthly P&amp;L'!$Q$38:$AZ$38)))</f>
        <v>0</v>
      </c>
      <c r="K83" s="134">
        <f>ABS(K38-(SUMIF('Monthly P&amp;L'!$Q$6:$AZ$6,"&lt;="&amp;K$59,'Monthly P&amp;L'!$Q$38:$AZ$38)-SUMIF('Monthly P&amp;L'!$Q$6:$AZ$6,"&lt;"&amp;K$58,'Monthly P&amp;L'!$Q$38:$AZ$38)))</f>
        <v>0</v>
      </c>
      <c r="L83" s="134">
        <f>ABS(L38-(SUMIF('Monthly P&amp;L'!$Q$6:$AZ$6,"&lt;="&amp;L$59,'Monthly P&amp;L'!$Q$38:$AZ$38)-SUMIF('Monthly P&amp;L'!$Q$6:$AZ$6,"&lt;"&amp;L$58,'Monthly P&amp;L'!$Q$38:$AZ$38)))</f>
        <v>0</v>
      </c>
    </row>
    <row r="84" spans="2:12" x14ac:dyDescent="0.25">
      <c r="B84" s="131" t="s">
        <v>405</v>
      </c>
      <c r="C84" s="134">
        <f>ABS(C40-(SUMIF('Monthly P&amp;L'!$Q$6:$AZ$6,"&lt;="&amp;C$59,'Monthly P&amp;L'!$Q$40:$AZ$40)-SUMIF('Monthly P&amp;L'!$Q$6:$AZ$6,"&lt;"&amp;C$58,'Monthly P&amp;L'!$Q$40:$AZ$40)))</f>
        <v>0</v>
      </c>
      <c r="D84" s="134">
        <f>ABS(D40-(SUMIF('Monthly P&amp;L'!$Q$6:$AZ$6,"&lt;="&amp;D$59,'Monthly P&amp;L'!$Q$40:$AZ$40)-SUMIF('Monthly P&amp;L'!$Q$6:$AZ$6,"&lt;"&amp;D$58,'Monthly P&amp;L'!$Q$40:$AZ$40)))</f>
        <v>0</v>
      </c>
      <c r="E84" s="134">
        <f>ABS(E40-(SUMIF('Monthly P&amp;L'!$Q$6:$AZ$6,"&lt;="&amp;E$59,'Monthly P&amp;L'!$Q$40:$AZ$40)-SUMIF('Monthly P&amp;L'!$Q$6:$AZ$6,"&lt;"&amp;E$58,'Monthly P&amp;L'!$Q$40:$AZ$40)))</f>
        <v>0</v>
      </c>
      <c r="G84" s="134">
        <f>ABS(G40-(SUMIF('Monthly P&amp;L'!$Q$6:$AZ$6,"&lt;="&amp;G$59,'Monthly P&amp;L'!$Q$40:$AZ$40)-SUMIF('Monthly P&amp;L'!$Q$6:$AZ$6,"&lt;"&amp;G$58,'Monthly P&amp;L'!$Q$40:$AZ$40)))</f>
        <v>0</v>
      </c>
      <c r="H84" s="134">
        <f>ABS(H40-(SUMIF('Monthly P&amp;L'!$Q$6:$AZ$6,"&lt;="&amp;H$59,'Monthly P&amp;L'!$Q$40:$AZ$40)-SUMIF('Monthly P&amp;L'!$Q$6:$AZ$6,"&lt;"&amp;H$58,'Monthly P&amp;L'!$Q$40:$AZ$40)))</f>
        <v>0</v>
      </c>
      <c r="J84" s="134">
        <f>ABS(J40-(SUMIF('Monthly P&amp;L'!$Q$6:$AZ$6,"&lt;="&amp;J$59,'Monthly P&amp;L'!$Q$40:$AZ$40)-SUMIF('Monthly P&amp;L'!$Q$6:$AZ$6,"&lt;"&amp;J$58,'Monthly P&amp;L'!$Q$40:$AZ$40)))</f>
        <v>0</v>
      </c>
      <c r="K84" s="134">
        <f>ABS(K40-(SUMIF('Monthly P&amp;L'!$Q$6:$AZ$6,"&lt;="&amp;K$59,'Monthly P&amp;L'!$Q$40:$AZ$40)-SUMIF('Monthly P&amp;L'!$Q$6:$AZ$6,"&lt;"&amp;K$58,'Monthly P&amp;L'!$Q$40:$AZ$40)))</f>
        <v>0</v>
      </c>
      <c r="L84" s="134">
        <f>ABS(L40-(SUMIF('Monthly P&amp;L'!$Q$6:$AZ$6,"&lt;="&amp;L$59,'Monthly P&amp;L'!$Q$40:$AZ$40)-SUMIF('Monthly P&amp;L'!$Q$6:$AZ$6,"&lt;"&amp;L$58,'Monthly P&amp;L'!$Q$40:$AZ$40)))</f>
        <v>0</v>
      </c>
    </row>
    <row r="85" spans="2:12" x14ac:dyDescent="0.25">
      <c r="B85" s="131" t="s">
        <v>406</v>
      </c>
      <c r="C85" s="134">
        <f>ABS(C41-(SUMIF('Monthly P&amp;L'!$Q$6:$AZ$6,"&lt;="&amp;C$59,'Monthly P&amp;L'!$Q$41:$AZ$41)-SUMIF('Monthly P&amp;L'!$Q$6:$AZ$6,"&lt;"&amp;C$58,'Monthly P&amp;L'!$Q$41:$AZ$41)))</f>
        <v>0</v>
      </c>
      <c r="D85" s="134">
        <f>ABS(D41-(SUMIF('Monthly P&amp;L'!$Q$6:$AZ$6,"&lt;="&amp;D$59,'Monthly P&amp;L'!$Q$41:$AZ$41)-SUMIF('Monthly P&amp;L'!$Q$6:$AZ$6,"&lt;"&amp;D$58,'Monthly P&amp;L'!$Q$41:$AZ$41)))</f>
        <v>0</v>
      </c>
      <c r="E85" s="134">
        <f>ABS(E41-(SUMIF('Monthly P&amp;L'!$Q$6:$AZ$6,"&lt;="&amp;E$59,'Monthly P&amp;L'!$Q$41:$AZ$41)-SUMIF('Monthly P&amp;L'!$Q$6:$AZ$6,"&lt;"&amp;E$58,'Monthly P&amp;L'!$Q$41:$AZ$41)))</f>
        <v>0</v>
      </c>
      <c r="G85" s="134">
        <f>ABS(G41-(SUMIF('Monthly P&amp;L'!$Q$6:$AZ$6,"&lt;="&amp;G$59,'Monthly P&amp;L'!$Q$41:$AZ$41)-SUMIF('Monthly P&amp;L'!$Q$6:$AZ$6,"&lt;"&amp;G$58,'Monthly P&amp;L'!$Q$41:$AZ$41)))</f>
        <v>0</v>
      </c>
      <c r="H85" s="134">
        <f>ABS(H41-(SUMIF('Monthly P&amp;L'!$Q$6:$AZ$6,"&lt;="&amp;H$59,'Monthly P&amp;L'!$Q$41:$AZ$41)-SUMIF('Monthly P&amp;L'!$Q$6:$AZ$6,"&lt;"&amp;H$58,'Monthly P&amp;L'!$Q$41:$AZ$41)))</f>
        <v>0</v>
      </c>
      <c r="J85" s="134">
        <f>ABS(J41-(SUMIF('Monthly P&amp;L'!$Q$6:$AZ$6,"&lt;="&amp;J$59,'Monthly P&amp;L'!$Q$41:$AZ$41)-SUMIF('Monthly P&amp;L'!$Q$6:$AZ$6,"&lt;"&amp;J$58,'Monthly P&amp;L'!$Q$41:$AZ$41)))</f>
        <v>0</v>
      </c>
      <c r="K85" s="134">
        <f>ABS(K41-(SUMIF('Monthly P&amp;L'!$Q$6:$AZ$6,"&lt;="&amp;K$59,'Monthly P&amp;L'!$Q$41:$AZ$41)-SUMIF('Monthly P&amp;L'!$Q$6:$AZ$6,"&lt;"&amp;K$58,'Monthly P&amp;L'!$Q$41:$AZ$41)))</f>
        <v>0</v>
      </c>
      <c r="L85" s="134">
        <f>ABS(L41-(SUMIF('Monthly P&amp;L'!$Q$6:$AZ$6,"&lt;="&amp;L$59,'Monthly P&amp;L'!$Q$41:$AZ$41)-SUMIF('Monthly P&amp;L'!$Q$6:$AZ$6,"&lt;"&amp;L$58,'Monthly P&amp;L'!$Q$41:$AZ$41)))</f>
        <v>0</v>
      </c>
    </row>
    <row r="86" spans="2:12" x14ac:dyDescent="0.25">
      <c r="B86" s="131" t="s">
        <v>407</v>
      </c>
      <c r="C86" s="134">
        <f>ABS(C43-(SUMIF('Monthly P&amp;L'!$Q$6:$AZ$6,"&lt;="&amp;C$59,'Monthly P&amp;L'!$Q$43:$AZ$43)-SUMIF('Monthly P&amp;L'!$Q$6:$AZ$6,"&lt;"&amp;C$58,'Monthly P&amp;L'!$Q$43:$AZ$43)))</f>
        <v>0</v>
      </c>
      <c r="D86" s="134">
        <f>ABS(D43-(SUMIF('Monthly P&amp;L'!$Q$6:$AZ$6,"&lt;="&amp;D$59,'Monthly P&amp;L'!$Q$43:$AZ$43)-SUMIF('Monthly P&amp;L'!$Q$6:$AZ$6,"&lt;"&amp;D$58,'Monthly P&amp;L'!$Q$43:$AZ$43)))</f>
        <v>0</v>
      </c>
      <c r="E86" s="134">
        <f>ABS(E43-(SUMIF('Monthly P&amp;L'!$Q$6:$AZ$6,"&lt;="&amp;E$59,'Monthly P&amp;L'!$Q$43:$AZ$43)-SUMIF('Monthly P&amp;L'!$Q$6:$AZ$6,"&lt;"&amp;E$58,'Monthly P&amp;L'!$Q$43:$AZ$43)))</f>
        <v>0</v>
      </c>
      <c r="G86" s="134">
        <f>ABS(G43-(SUMIF('Monthly P&amp;L'!$Q$6:$AZ$6,"&lt;="&amp;G$59,'Monthly P&amp;L'!$Q$43:$AZ$43)-SUMIF('Monthly P&amp;L'!$Q$6:$AZ$6,"&lt;"&amp;G$58,'Monthly P&amp;L'!$Q$43:$AZ$43)))</f>
        <v>0</v>
      </c>
      <c r="H86" s="134">
        <f>ABS(H43-(SUMIF('Monthly P&amp;L'!$Q$6:$AZ$6,"&lt;="&amp;H$59,'Monthly P&amp;L'!$Q$43:$AZ$43)-SUMIF('Monthly P&amp;L'!$Q$6:$AZ$6,"&lt;"&amp;H$58,'Monthly P&amp;L'!$Q$43:$AZ$43)))</f>
        <v>0</v>
      </c>
      <c r="J86" s="134">
        <f>ABS(J43-(SUMIF('Monthly P&amp;L'!$Q$6:$AZ$6,"&lt;="&amp;J$59,'Monthly P&amp;L'!$Q$43:$AZ$43)-SUMIF('Monthly P&amp;L'!$Q$6:$AZ$6,"&lt;"&amp;J$58,'Monthly P&amp;L'!$Q$43:$AZ$43)))</f>
        <v>0</v>
      </c>
      <c r="K86" s="134">
        <f>ABS(K43-(SUMIF('Monthly P&amp;L'!$Q$6:$AZ$6,"&lt;="&amp;K$59,'Monthly P&amp;L'!$Q$43:$AZ$43)-SUMIF('Monthly P&amp;L'!$Q$6:$AZ$6,"&lt;"&amp;K$58,'Monthly P&amp;L'!$Q$43:$AZ$43)))</f>
        <v>0</v>
      </c>
      <c r="L86" s="134">
        <f>ABS(L43-(SUMIF('Monthly P&amp;L'!$Q$6:$AZ$6,"&lt;="&amp;L$59,'Monthly P&amp;L'!$Q$43:$AZ$43)-SUMIF('Monthly P&amp;L'!$Q$6:$AZ$6,"&lt;"&amp;L$58,'Monthly P&amp;L'!$Q$43:$AZ$43)))</f>
        <v>0</v>
      </c>
    </row>
  </sheetData>
  <mergeCells count="1">
    <mergeCell ref="B56:O56"/>
  </mergeCells>
  <conditionalFormatting sqref="C54:O54">
    <cfRule type="expression" dxfId="4" priority="1">
      <formula>ROUND(C54,3)&lt;&gt;0</formula>
    </cfRule>
  </conditionalFormatting>
  <conditionalFormatting sqref="C55:O55">
    <cfRule type="expression" dxfId="5" priority="2">
      <formula>ROUND(C55,3)&lt;&gt;0</formula>
    </cfRule>
  </conditionalFormatting>
  <conditionalFormatting sqref="B2 O3 C9:E12 G9:H12 J9:L12 G15 J15 C16:E16 G16:H16 J16:L16 C22:E26 G22:H26 J22:L26 C29:E30 G29:H30 J29:L30 C35:E35 G35:H35 J35:L35 C38:E38 G38:H38 J38:L38 C41:E41 G41:H41 J41:L41 C47:E49 G47:H49 J47:L49 G51:H51 J51:L51 C51:E51 G54:H55 J54:L55 B54:E55">
    <cfRule type="expression" dxfId="6" priority="3">
      <formula>$O$3=1</formula>
    </cfRule>
  </conditionalFormatting>
  <printOptions horizontalCentered="1"/>
  <pageMargins left="0.5" right="0.5" top="0.6" bottom="0.7" header="0.3" footer="0.3"/>
  <pageSetup paperSize="1" orientation="landscape" fitToWidth="1" fitToHeight="0"/>
  <headerFooter>
    <oddHeader>&amp;RProject Ridgeline | As of 12/31/25</oddHeader>
    <oddFooter>&amp;LAMB Advisory Services | Strictly confidential&amp;C&amp;A&amp;RPage &amp;P of &amp;N</oddFooter>
  </headerFooter>
  <rowBreaks count="1" manualBreakCount="1">
    <brk id="45"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O59"/>
  <sheetViews>
    <sheetView workbookViewId="0" showGridLines="0" zoomScale="100">
      <pane xSplit="2" ySplit="6" topLeftCell="C7" activePane="bottomRight" state="frozen"/>
      <selection pane="bottomRight"/>
    </sheetView>
  </sheetViews>
  <sheetFormatPr defaultRowHeight="12.75" outlineLevelRow="0" outlineLevelCol="0" x14ac:dyDescent="55" customHeight="1"/>
  <cols>
    <col min="1" max="1" width="1.7" customWidth="1"/>
    <col min="2" max="2" width="45" customWidth="1"/>
    <col min="3" max="5" width="9.1" customWidth="1"/>
    <col min="6" max="6" width="0.9" customWidth="1"/>
    <col min="7" max="8" width="9.1" customWidth="1"/>
    <col min="9" max="9" width="0.9" customWidth="1"/>
    <col min="10" max="12" width="9.1" customWidth="1"/>
    <col min="13" max="13" width="0.9" customWidth="1"/>
    <col min="14" max="15" width="9.1" customWidth="1"/>
  </cols>
  <sheetData>
    <row r="2" ht="16.5" customHeight="1" spans="2:2" x14ac:dyDescent="0.25">
      <c r="B2" s="9">
        <f>Cover!B24</f>
      </c>
    </row>
    <row r="3" spans="2:15" x14ac:dyDescent="0.25">
      <c r="B3" s="10" t="s">
        <v>408</v>
      </c>
      <c r="C3" s="11"/>
      <c r="D3" s="11"/>
      <c r="E3" s="11"/>
      <c r="F3" s="11"/>
      <c r="G3" s="11"/>
      <c r="H3" s="11"/>
      <c r="I3" s="11"/>
      <c r="J3" s="11"/>
      <c r="K3" s="11"/>
      <c r="L3" s="11"/>
      <c r="M3" s="11"/>
      <c r="N3" s="34" t="s">
        <v>80</v>
      </c>
      <c r="O3" s="35">
        <f>'Contents'!$I$18</f>
      </c>
    </row>
    <row r="5" spans="2:15" x14ac:dyDescent="0.25">
      <c r="B5" s="36"/>
      <c r="C5" s="36" t="s">
        <v>81</v>
      </c>
      <c r="D5" s="36"/>
      <c r="E5" s="36"/>
      <c r="G5" s="36" t="s">
        <v>327</v>
      </c>
      <c r="H5" s="36"/>
      <c r="J5" s="36" t="s">
        <v>82</v>
      </c>
      <c r="K5" s="36"/>
      <c r="L5" s="36" t="s">
        <v>83</v>
      </c>
      <c r="N5" s="36" t="s">
        <v>328</v>
      </c>
      <c r="O5" s="36"/>
    </row>
    <row r="6" spans="2:15" x14ac:dyDescent="0.25">
      <c r="B6" s="13" t="s">
        <v>96</v>
      </c>
      <c r="C6" s="12" t="str">
        <f>"FY"&amp;YEAR(C$59)</f>
        <v>FY2023</v>
      </c>
      <c r="D6" s="12" t="str">
        <f>"FY"&amp;YEAR(D$59)</f>
        <v>FY2024</v>
      </c>
      <c r="E6" s="12" t="str">
        <f>"FY"&amp;YEAR(E$59)</f>
        <v>FY2025</v>
      </c>
      <c r="G6" s="12" t="str">
        <f>TEXT(G$59,"mmm-yy")</f>
        <v>Dec-24</v>
      </c>
      <c r="H6" s="12" t="str">
        <f>TEXT(H$59,"mmm-yy")</f>
        <v>Dec-25</v>
      </c>
      <c r="J6" s="12" t="str">
        <f>TEXT(J$59,"mmm-yy")</f>
        <v>Dec-24</v>
      </c>
      <c r="K6" s="12" t="str">
        <f>TEXT(K$59,"mmm-yy")</f>
        <v>Dec-25</v>
      </c>
      <c r="L6" s="12" t="str">
        <f>TEXT(L$59,"mmm-yy")</f>
        <v>Dec-25</v>
      </c>
      <c r="N6" s="12" t="s">
        <v>330</v>
      </c>
      <c r="O6" s="12" t="s">
        <v>331</v>
      </c>
    </row>
    <row r="8" spans="2:15" x14ac:dyDescent="0.25">
      <c r="B8" s="38" t="s">
        <v>92</v>
      </c>
      <c r="C8" s="39">
        <f>'P&amp;L Summary'!C43</f>
        <v>74.6</v>
      </c>
      <c r="D8" s="39">
        <f>'P&amp;L Summary'!D43</f>
        <v>129.24</v>
      </c>
      <c r="E8" s="39">
        <f>'P&amp;L Summary'!E43</f>
        <v>232.815</v>
      </c>
      <c r="G8" s="39">
        <f>'P&amp;L Summary'!G43</f>
        <v>129.24</v>
      </c>
      <c r="H8" s="39">
        <f>'P&amp;L Summary'!H43</f>
        <v>232.815</v>
      </c>
      <c r="J8" s="39">
        <f>'P&amp;L Summary'!J43</f>
        <v>129.24</v>
      </c>
      <c r="K8" s="39">
        <f>'P&amp;L Summary'!K43</f>
        <v>232.815</v>
      </c>
      <c r="L8" s="39">
        <f>'P&amp;L Summary'!K43</f>
        <v>232.815</v>
      </c>
      <c r="N8" s="52">
        <f>L8-K8</f>
        <v>0</v>
      </c>
      <c r="O8" s="115">
        <f>IFERROR(L8/K8-1,"n.a.")</f>
        <v>0</v>
      </c>
    </row>
    <row r="9" spans="2:15" x14ac:dyDescent="0.25">
      <c r="B9" s="37" t="s">
        <v>409</v>
      </c>
      <c r="C9" s="37"/>
      <c r="D9" s="37"/>
      <c r="E9" s="37"/>
      <c r="G9" s="37"/>
      <c r="H9" s="37"/>
      <c r="J9" s="37"/>
      <c r="K9" s="37"/>
      <c r="L9" s="37"/>
      <c r="N9" s="37"/>
      <c r="O9" s="37"/>
    </row>
    <row r="10" spans="2:15" x14ac:dyDescent="0.25">
      <c r="B10" s="53" t="str">
        <f>"(+) Interest Expense"&amp;IF('Adjustments'!$I8="Accepted"," "&amp;'Adjustments'!$B8,"")</f>
        <v>(+) Interest Expense [D1]</v>
      </c>
      <c r="C10" s="53">
        <f>SUMIFS('Adjustments'!$N:$N,'Adjustments'!$D:$D,"Definitional",'Adjustments'!$E:$E,"Interest",'Adjustments'!$I:$I,"Accepted")</f>
        <v>22.4</v>
      </c>
      <c r="D10" s="53">
        <f>SUMIFS('Adjustments'!$O:$O,'Adjustments'!$D:$D,"Definitional",'Adjustments'!$E:$E,"Interest",'Adjustments'!$I:$I,"Accepted")</f>
        <v>18.6</v>
      </c>
      <c r="E10" s="53">
        <f>SUMIFS('Adjustments'!$P:$P,'Adjustments'!$D:$D,"Definitional",'Adjustments'!$E:$E,"Interest",'Adjustments'!$I:$I,"Accepted")</f>
        <v>14.3</v>
      </c>
      <c r="G10" s="53">
        <f>SUMIFS('Adjustments'!$R:$R,'Adjustments'!$D:$D,"Definitional",'Adjustments'!$E:$E,"Interest",'Adjustments'!$I:$I,"Accepted")</f>
        <v>18.6</v>
      </c>
      <c r="H10" s="53">
        <f>SUMIFS('Adjustments'!$S:$S,'Adjustments'!$D:$D,"Definitional",'Adjustments'!$E:$E,"Interest",'Adjustments'!$I:$I,"Accepted")</f>
        <v>14.3</v>
      </c>
      <c r="J10" s="53">
        <f>SUMIFS('Adjustments'!$U:$U,'Adjustments'!$D:$D,"Definitional",'Adjustments'!$E:$E,"Interest",'Adjustments'!$I:$I,"Accepted")</f>
        <v>18.6</v>
      </c>
      <c r="K10" s="53">
        <f>SUMIFS('Adjustments'!$V:$V,'Adjustments'!$D:$D,"Definitional",'Adjustments'!$E:$E,"Interest",'Adjustments'!$I:$I,"Accepted")</f>
        <v>14.3</v>
      </c>
      <c r="L10" s="53">
        <f>SUMIFS('Adjustments'!$W:$W,'Adjustments'!$D:$D,"Definitional",'Adjustments'!$E:$E,"Interest",'Adjustments'!$I:$I,"Accepted")</f>
        <v>14.3</v>
      </c>
      <c r="N10" s="52">
        <f>L10-K10</f>
        <v>0</v>
      </c>
      <c r="O10" s="115">
        <f>IFERROR(L10/K10-1,"n.a.")</f>
        <v>0</v>
      </c>
    </row>
    <row r="11" spans="2:15" x14ac:dyDescent="0.25">
      <c r="B11" s="53" t="str">
        <f>"(+) Income Taxes"&amp;IF('Adjustments'!$I9="Accepted"," "&amp;'Adjustments'!$B9,"")</f>
        <v>(+) Income Taxes [D2]</v>
      </c>
      <c r="C11" s="53">
        <f>SUMIFS('Adjustments'!$N:$N,'Adjustments'!$D:$D,"Definitional",'Adjustments'!$E:$E,"Taxes",'Adjustments'!$I:$I,"Accepted")</f>
        <v>0</v>
      </c>
      <c r="D11" s="53">
        <f>SUMIFS('Adjustments'!$O:$O,'Adjustments'!$D:$D,"Definitional",'Adjustments'!$E:$E,"Taxes",'Adjustments'!$I:$I,"Accepted")</f>
        <v>0</v>
      </c>
      <c r="E11" s="53">
        <f>SUMIFS('Adjustments'!$P:$P,'Adjustments'!$D:$D,"Definitional",'Adjustments'!$E:$E,"Taxes",'Adjustments'!$I:$I,"Accepted")</f>
        <v>0</v>
      </c>
      <c r="G11" s="53">
        <f>SUMIFS('Adjustments'!$R:$R,'Adjustments'!$D:$D,"Definitional",'Adjustments'!$E:$E,"Taxes",'Adjustments'!$I:$I,"Accepted")</f>
        <v>0</v>
      </c>
      <c r="H11" s="53">
        <f>SUMIFS('Adjustments'!$S:$S,'Adjustments'!$D:$D,"Definitional",'Adjustments'!$E:$E,"Taxes",'Adjustments'!$I:$I,"Accepted")</f>
        <v>0</v>
      </c>
      <c r="J11" s="53">
        <f>SUMIFS('Adjustments'!$U:$U,'Adjustments'!$D:$D,"Definitional",'Adjustments'!$E:$E,"Taxes",'Adjustments'!$I:$I,"Accepted")</f>
        <v>0</v>
      </c>
      <c r="K11" s="53">
        <f>SUMIFS('Adjustments'!$V:$V,'Adjustments'!$D:$D,"Definitional",'Adjustments'!$E:$E,"Taxes",'Adjustments'!$I:$I,"Accepted")</f>
        <v>0</v>
      </c>
      <c r="L11" s="53">
        <f>SUMIFS('Adjustments'!$W:$W,'Adjustments'!$D:$D,"Definitional",'Adjustments'!$E:$E,"Taxes",'Adjustments'!$I:$I,"Accepted")</f>
        <v>0</v>
      </c>
      <c r="N11" s="52">
        <f>L11-K11</f>
        <v>0</v>
      </c>
      <c r="O11" s="115" t="str">
        <f>IFERROR(L11/K11-1,"n.a.")</f>
        <v>n.a.</v>
      </c>
    </row>
    <row r="12" spans="2:15" x14ac:dyDescent="0.25">
      <c r="B12" s="53" t="str">
        <f>"(+) Depreciation &amp; Amortization"&amp;IF('Adjustments'!$I10="Accepted"," "&amp;'Adjustments'!$B10,"")</f>
        <v>(+) Depreciation &amp; Amortization [D3]</v>
      </c>
      <c r="C12" s="53">
        <f>SUMIFS('Adjustments'!$N:$N,'Adjustments'!$D:$D,"Definitional",'Adjustments'!$E:$E,"D&amp;A",'Adjustments'!$I:$I,"Accepted")</f>
        <v>61.2</v>
      </c>
      <c r="D12" s="53">
        <f>SUMIFS('Adjustments'!$O:$O,'Adjustments'!$D:$D,"Definitional",'Adjustments'!$E:$E,"D&amp;A",'Adjustments'!$I:$I,"Accepted")</f>
        <v>66.8</v>
      </c>
      <c r="E12" s="53">
        <f>SUMIFS('Adjustments'!$P:$P,'Adjustments'!$D:$D,"Definitional",'Adjustments'!$E:$E,"D&amp;A",'Adjustments'!$I:$I,"Accepted")</f>
        <v>72.4</v>
      </c>
      <c r="G12" s="53">
        <f>SUMIFS('Adjustments'!$R:$R,'Adjustments'!$D:$D,"Definitional",'Adjustments'!$E:$E,"D&amp;A",'Adjustments'!$I:$I,"Accepted")</f>
        <v>66.8</v>
      </c>
      <c r="H12" s="53">
        <f>SUMIFS('Adjustments'!$S:$S,'Adjustments'!$D:$D,"Definitional",'Adjustments'!$E:$E,"D&amp;A",'Adjustments'!$I:$I,"Accepted")</f>
        <v>72.4</v>
      </c>
      <c r="J12" s="53">
        <f>SUMIFS('Adjustments'!$U:$U,'Adjustments'!$D:$D,"Definitional",'Adjustments'!$E:$E,"D&amp;A",'Adjustments'!$I:$I,"Accepted")</f>
        <v>66.8</v>
      </c>
      <c r="K12" s="53">
        <f>SUMIFS('Adjustments'!$V:$V,'Adjustments'!$D:$D,"Definitional",'Adjustments'!$E:$E,"D&amp;A",'Adjustments'!$I:$I,"Accepted")</f>
        <v>72.4</v>
      </c>
      <c r="L12" s="53">
        <f>SUMIFS('Adjustments'!$W:$W,'Adjustments'!$D:$D,"Definitional",'Adjustments'!$E:$E,"D&amp;A",'Adjustments'!$I:$I,"Accepted")</f>
        <v>72.4</v>
      </c>
      <c r="N12" s="52">
        <f>L12-K12</f>
        <v>0</v>
      </c>
      <c r="O12" s="115">
        <f>IFERROR(L12/K12-1,"n.a.")</f>
        <v>0</v>
      </c>
    </row>
    <row r="13" spans="2:15" x14ac:dyDescent="0.25">
      <c r="B13" s="42" t="s">
        <v>91</v>
      </c>
      <c r="C13" s="119">
        <f>C8+C10+C11+C12</f>
        <v>158.2</v>
      </c>
      <c r="D13" s="120">
        <f>D8+D10+D11+D12</f>
        <v>214.64</v>
      </c>
      <c r="E13" s="121">
        <f>E8+E10+E11+E12</f>
        <v>319.515</v>
      </c>
      <c r="G13" s="119">
        <f>G8+G10+G11+G12</f>
        <v>214.64</v>
      </c>
      <c r="H13" s="121">
        <f>H8+H10+H11+H12</f>
        <v>319.515</v>
      </c>
      <c r="J13" s="119">
        <f>J8+J10+J11+J12</f>
        <v>214.64</v>
      </c>
      <c r="K13" s="121">
        <f>K8+K10+K11+K12</f>
        <v>319.515</v>
      </c>
      <c r="L13" s="42">
        <f>L8+L10+L11+L12</f>
        <v>319.515</v>
      </c>
      <c r="N13" s="119">
        <f>L13-K13</f>
        <v>0</v>
      </c>
      <c r="O13" s="122">
        <f>IFERROR(L13/K13-1,"n.a.")</f>
        <v>0</v>
      </c>
    </row>
    <row r="14" spans="2:15" x14ac:dyDescent="0.25">
      <c r="B14" s="47" t="s">
        <v>90</v>
      </c>
      <c r="C14" s="48">
        <f>IFERROR(C13/'P&amp;L Summary'!C14,"n.m.")</f>
        <v>0.06573043044706664</v>
      </c>
      <c r="D14" s="49">
        <f>IFERROR(D13/'P&amp;L Summary'!D14,"n.m.")</f>
        <v>0.07895240197160303</v>
      </c>
      <c r="E14" s="50">
        <f>IFERROR(E13/'P&amp;L Summary'!E14,"n.m.")</f>
        <v>0.10507596685082873</v>
      </c>
      <c r="G14" s="48">
        <f>IFERROR(G13/'P&amp;L Summary'!G14,"n.m.")</f>
        <v>0.07895240197160303</v>
      </c>
      <c r="H14" s="50">
        <f>IFERROR(H13/'P&amp;L Summary'!H14,"n.m.")</f>
        <v>0.10507596685082873</v>
      </c>
      <c r="J14" s="48">
        <f>IFERROR(J13/'P&amp;L Summary'!J14,"n.m.")</f>
        <v>0.07895240197160303</v>
      </c>
      <c r="K14" s="50">
        <f>IFERROR(K13/'P&amp;L Summary'!K14,"n.m.")</f>
        <v>0.10507596685082873</v>
      </c>
      <c r="L14" s="51">
        <f>IFERROR(L13/'P&amp;L Summary'!L14,"n.m.")</f>
        <v>0.10507596685082873</v>
      </c>
      <c r="N14" s="127"/>
      <c r="O14" s="128"/>
    </row>
    <row r="15" spans="2:15" x14ac:dyDescent="0.25">
      <c r="B15" s="37" t="s">
        <v>410</v>
      </c>
      <c r="C15" s="37"/>
      <c r="D15" s="37"/>
      <c r="E15" s="37"/>
      <c r="G15" s="37"/>
      <c r="H15" s="37"/>
      <c r="J15" s="37"/>
      <c r="K15" s="37"/>
      <c r="L15" s="37"/>
      <c r="N15" s="37"/>
      <c r="O15" s="37"/>
    </row>
    <row r="16" spans="2:15" x14ac:dyDescent="0.25">
      <c r="B16" s="53" t="str">
        <f>IF(SUM('Adjustments'!$N32:$P32)&lt;0,"(-) ","(+) ")&amp;'Adjustments'!$C11&amp;" "&amp;'Adjustments'!$B11</f>
        <v>(+) Owner's personal vehicle [N1]</v>
      </c>
      <c r="C16" s="53">
        <f>IF('Adjustments'!$I11="Accepted",N('Adjustments'!N32),0)</f>
        <v>16</v>
      </c>
      <c r="D16" s="53">
        <f>IF('Adjustments'!$I11="Accepted",N('Adjustments'!O32),0)</f>
        <v>17</v>
      </c>
      <c r="E16" s="53">
        <f>IF('Adjustments'!$I11="Accepted",N('Adjustments'!P32),0)</f>
        <v>18</v>
      </c>
      <c r="G16" s="53">
        <f>IF('Adjustments'!$I11="Accepted",N('Adjustments'!R32),0)</f>
        <v>17</v>
      </c>
      <c r="H16" s="53">
        <f>IF('Adjustments'!$I11="Accepted",N('Adjustments'!S32),0)</f>
        <v>18</v>
      </c>
      <c r="J16" s="53">
        <f>IF('Adjustments'!$I11="Accepted",N('Adjustments'!U32),0)</f>
        <v>17</v>
      </c>
      <c r="K16" s="53">
        <f>IF('Adjustments'!$I11="Accepted",N('Adjustments'!V32),0)</f>
        <v>18</v>
      </c>
      <c r="L16" s="53">
        <f>IF('Adjustments'!$I11="Accepted",N('Adjustments'!W32),0)</f>
        <v>18</v>
      </c>
      <c r="N16" s="52">
        <f>L16-K16</f>
        <v>0</v>
      </c>
      <c r="O16" s="115">
        <f>IFERROR(L16/K16-1,"n.a.")</f>
        <v>0</v>
      </c>
    </row>
    <row r="17" spans="2:15" x14ac:dyDescent="0.25">
      <c r="B17" s="53" t="str">
        <f>IF(SUM('Adjustments'!$N33:$P33)&lt;0,"(-) ","(+) ")&amp;'Adjustments'!$C12&amp;" "&amp;'Adjustments'!$B12</f>
        <v>(+) Legal fees: settled customer dispute [N2]</v>
      </c>
      <c r="C17" s="53">
        <f>IF('Adjustments'!$I12="Accepted",N('Adjustments'!N33),0)</f>
        <v>0</v>
      </c>
      <c r="D17" s="53">
        <f>IF('Adjustments'!$I12="Accepted",N('Adjustments'!O33),0)</f>
        <v>24</v>
      </c>
      <c r="E17" s="53">
        <f>IF('Adjustments'!$I12="Accepted",N('Adjustments'!P33),0)</f>
        <v>0</v>
      </c>
      <c r="G17" s="53">
        <f>IF('Adjustments'!$I12="Accepted",N('Adjustments'!R33),0)</f>
        <v>24</v>
      </c>
      <c r="H17" s="53">
        <f>IF('Adjustments'!$I12="Accepted",N('Adjustments'!S33),0)</f>
        <v>0</v>
      </c>
      <c r="J17" s="53">
        <f>IF('Adjustments'!$I12="Accepted",N('Adjustments'!U33),0)</f>
        <v>24</v>
      </c>
      <c r="K17" s="53">
        <f>IF('Adjustments'!$I12="Accepted",N('Adjustments'!V33),0)</f>
        <v>0</v>
      </c>
      <c r="L17" s="53">
        <f>IF('Adjustments'!$I12="Accepted",N('Adjustments'!W33),0)</f>
        <v>0</v>
      </c>
      <c r="N17" s="52">
        <f>L17-K17</f>
        <v>0</v>
      </c>
      <c r="O17" s="115" t="str">
        <f>IFERROR(L17/K17-1,"n.a.")</f>
        <v>n.a.</v>
      </c>
    </row>
    <row r="18" spans="2:15" x14ac:dyDescent="0.25">
      <c r="B18" s="53" t="str">
        <f>IF(SUM('Adjustments'!$N34:$P34)&lt;0,"(-) ","(+) ")&amp;'Adjustments'!$C13&amp;" "&amp;'Adjustments'!$B13</f>
        <v>(+) Owner family phones and meals [N3]</v>
      </c>
      <c r="C18" s="53">
        <f>IF('Adjustments'!$I13="Accepted",N('Adjustments'!N34),0)</f>
        <v>0</v>
      </c>
      <c r="D18" s="53">
        <f>IF('Adjustments'!$I13="Accepted",N('Adjustments'!O34),0)</f>
        <v>0</v>
      </c>
      <c r="E18" s="53">
        <f>IF('Adjustments'!$I13="Accepted",N('Adjustments'!P34),0)</f>
        <v>6</v>
      </c>
      <c r="G18" s="53">
        <f>IF('Adjustments'!$I13="Accepted",N('Adjustments'!R34),0)</f>
        <v>0</v>
      </c>
      <c r="H18" s="53">
        <f>IF('Adjustments'!$I13="Accepted",N('Adjustments'!S34),0)</f>
        <v>6</v>
      </c>
      <c r="J18" s="53">
        <f>IF('Adjustments'!$I13="Accepted",N('Adjustments'!U34),0)</f>
        <v>0</v>
      </c>
      <c r="K18" s="53">
        <f>IF('Adjustments'!$I13="Accepted",N('Adjustments'!V34),0)</f>
        <v>6</v>
      </c>
      <c r="L18" s="53">
        <f>IF('Adjustments'!$I13="Accepted",N('Adjustments'!W34),0)</f>
        <v>6</v>
      </c>
      <c r="N18" s="52">
        <f>L18-K18</f>
        <v>0</v>
      </c>
      <c r="O18" s="115">
        <f>IFERROR(L18/K18-1,"n.a.")</f>
        <v>0</v>
      </c>
    </row>
    <row r="19" spans="2:15" x14ac:dyDescent="0.25">
      <c r="B19" s="53" t="str">
        <f>IF(SUM('Adjustments'!$N35:$P35)&lt;0,"(-) ","(+) ")&amp;'Adjustments'!$C14&amp;" "&amp;'Adjustments'!$B14</f>
        <v>(+) Charitable contributions [N4]</v>
      </c>
      <c r="C19" s="53">
        <f>IF('Adjustments'!$I14="Accepted",N('Adjustments'!N35),0)</f>
        <v>5</v>
      </c>
      <c r="D19" s="53">
        <f>IF('Adjustments'!$I14="Accepted",N('Adjustments'!O35),0)</f>
        <v>6</v>
      </c>
      <c r="E19" s="53">
        <f>IF('Adjustments'!$I14="Accepted",N('Adjustments'!P35),0)</f>
        <v>7.5</v>
      </c>
      <c r="G19" s="53">
        <f>IF('Adjustments'!$I14="Accepted",N('Adjustments'!R35),0)</f>
        <v>6</v>
      </c>
      <c r="H19" s="53">
        <f>IF('Adjustments'!$I14="Accepted",N('Adjustments'!S35),0)</f>
        <v>7.5</v>
      </c>
      <c r="J19" s="53">
        <f>IF('Adjustments'!$I14="Accepted",N('Adjustments'!U35),0)</f>
        <v>6</v>
      </c>
      <c r="K19" s="53">
        <f>IF('Adjustments'!$I14="Accepted",N('Adjustments'!V35),0)</f>
        <v>7.5</v>
      </c>
      <c r="L19" s="53">
        <f>IF('Adjustments'!$I14="Accepted",N('Adjustments'!W35),0)</f>
        <v>7.5</v>
      </c>
      <c r="N19" s="52">
        <f>L19-K19</f>
        <v>0</v>
      </c>
      <c r="O19" s="115">
        <f>IFERROR(L19/K19-1,"n.a.")</f>
        <v>0</v>
      </c>
    </row>
    <row r="20" spans="2:15" x14ac:dyDescent="0.25">
      <c r="B20" s="53" t="str">
        <f>IF(SUM('Adjustments'!$N36:$P36)&lt;0,"(-) ","(+) ")&amp;'Adjustments'!$C15&amp;" "&amp;'Adjustments'!$B15</f>
        <v>(-) Interest income (non-operating) [N5]</v>
      </c>
      <c r="C20" s="53">
        <f>IF('Adjustments'!$I15="Accepted",N('Adjustments'!N36),0)</f>
        <v>-1.2</v>
      </c>
      <c r="D20" s="53">
        <f>IF('Adjustments'!$I15="Accepted",N('Adjustments'!O36),0)</f>
        <v>-2.4</v>
      </c>
      <c r="E20" s="53">
        <f>IF('Adjustments'!$I15="Accepted",N('Adjustments'!P36),0)</f>
        <v>-3.1</v>
      </c>
      <c r="G20" s="53">
        <f>IF('Adjustments'!$I15="Accepted",N('Adjustments'!R36),0)</f>
        <v>-2.4</v>
      </c>
      <c r="H20" s="53">
        <f>IF('Adjustments'!$I15="Accepted",N('Adjustments'!S36),0)</f>
        <v>-3.1</v>
      </c>
      <c r="J20" s="53">
        <f>IF('Adjustments'!$I15="Accepted",N('Adjustments'!U36),0)</f>
        <v>-2.4</v>
      </c>
      <c r="K20" s="53">
        <f>IF('Adjustments'!$I15="Accepted",N('Adjustments'!V36),0)</f>
        <v>-3.1</v>
      </c>
      <c r="L20" s="53">
        <f>IF('Adjustments'!$I15="Accepted",N('Adjustments'!W36),0)</f>
        <v>-3.1</v>
      </c>
      <c r="N20" s="52">
        <f>L20-K20</f>
        <v>0</v>
      </c>
      <c r="O20" s="115">
        <f>IFERROR(L20/K20-1,"n.a.")</f>
        <v>0</v>
      </c>
    </row>
    <row r="21" spans="2:15" x14ac:dyDescent="0.25">
      <c r="B21" s="116" t="s">
        <v>411</v>
      </c>
      <c r="C21" s="135">
        <f>SUMIFS('Adjustments'!$N:$N,'Adjustments'!$D:$D,"Normalization",'Adjustments'!$I:$I,"Accepted")</f>
        <v>19.8</v>
      </c>
      <c r="D21" s="135">
        <f>SUMIFS('Adjustments'!$O:$O,'Adjustments'!$D:$D,"Normalization",'Adjustments'!$I:$I,"Accepted")</f>
        <v>44.6</v>
      </c>
      <c r="E21" s="135">
        <f>SUMIFS('Adjustments'!$P:$P,'Adjustments'!$D:$D,"Normalization",'Adjustments'!$I:$I,"Accepted")</f>
        <v>28.4</v>
      </c>
      <c r="G21" s="135">
        <f>SUMIFS('Adjustments'!$R:$R,'Adjustments'!$D:$D,"Normalization",'Adjustments'!$I:$I,"Accepted")</f>
        <v>44.6</v>
      </c>
      <c r="H21" s="135">
        <f>SUMIFS('Adjustments'!$S:$S,'Adjustments'!$D:$D,"Normalization",'Adjustments'!$I:$I,"Accepted")</f>
        <v>28.4</v>
      </c>
      <c r="J21" s="135">
        <f>SUMIFS('Adjustments'!$U:$U,'Adjustments'!$D:$D,"Normalization",'Adjustments'!$I:$I,"Accepted")</f>
        <v>44.6</v>
      </c>
      <c r="K21" s="135">
        <f>SUMIFS('Adjustments'!$V:$V,'Adjustments'!$D:$D,"Normalization",'Adjustments'!$I:$I,"Accepted")</f>
        <v>28.4</v>
      </c>
      <c r="L21" s="135">
        <f>SUMIFS('Adjustments'!$W:$W,'Adjustments'!$D:$D,"Normalization",'Adjustments'!$I:$I,"Accepted")</f>
        <v>28.4</v>
      </c>
      <c r="N21" s="116">
        <f>L21-K21</f>
        <v>0</v>
      </c>
      <c r="O21" s="117">
        <f>IFERROR(L21/K21-1,"n.a.")</f>
        <v>0</v>
      </c>
    </row>
    <row r="22" spans="2:15" x14ac:dyDescent="0.25">
      <c r="B22" s="37" t="s">
        <v>412</v>
      </c>
      <c r="C22" s="37"/>
      <c r="D22" s="37"/>
      <c r="E22" s="37"/>
      <c r="G22" s="37"/>
      <c r="H22" s="37"/>
      <c r="J22" s="37"/>
      <c r="K22" s="37"/>
      <c r="L22" s="37"/>
      <c r="N22" s="37"/>
      <c r="O22" s="37"/>
    </row>
    <row r="23" spans="2:15" x14ac:dyDescent="0.25">
      <c r="B23" s="53" t="str">
        <f>"(+) Owner Compensation"&amp;IF('Adjustments'!$I20="Accepted"," "&amp;'Adjustments'!$B20,"")&amp;IF('Adjustments'!$I23="Accepted"," "&amp;'Adjustments'!$B23,"")</f>
        <v>(+) Owner Compensation [S1] [S4]</v>
      </c>
      <c r="C23" s="53">
        <f>SUMIFS('Adjustments'!$N:$N,'Adjustments'!$D:$D,"Owner compensation",'Adjustments'!$E:$E,"Owner compensation",'Adjustments'!$I:$I,"Accepted")</f>
        <v>192.584</v>
      </c>
      <c r="D23" s="53">
        <f>SUMIFS('Adjustments'!$O:$O,'Adjustments'!$D:$D,"Owner compensation",'Adjustments'!$E:$E,"Owner compensation",'Adjustments'!$I:$I,"Accepted")</f>
        <v>203.25</v>
      </c>
      <c r="E23" s="53">
        <f>SUMIFS('Adjustments'!$P:$P,'Adjustments'!$D:$D,"Owner compensation",'Adjustments'!$E:$E,"Owner compensation",'Adjustments'!$I:$I,"Accepted")</f>
        <v>213.86</v>
      </c>
      <c r="G23" s="53">
        <f>SUMIFS('Adjustments'!$R:$R,'Adjustments'!$D:$D,"Owner compensation",'Adjustments'!$E:$E,"Owner compensation",'Adjustments'!$I:$I,"Accepted")</f>
        <v>203.25</v>
      </c>
      <c r="H23" s="53">
        <f>SUMIFS('Adjustments'!$S:$S,'Adjustments'!$D:$D,"Owner compensation",'Adjustments'!$E:$E,"Owner compensation",'Adjustments'!$I:$I,"Accepted")</f>
        <v>213.86</v>
      </c>
      <c r="J23" s="53">
        <f>SUMIFS('Adjustments'!$U:$U,'Adjustments'!$D:$D,"Owner compensation",'Adjustments'!$E:$E,"Owner compensation",'Adjustments'!$I:$I,"Accepted")</f>
        <v>203.25</v>
      </c>
      <c r="K23" s="53">
        <f>SUMIFS('Adjustments'!$V:$V,'Adjustments'!$D:$D,"Owner compensation",'Adjustments'!$E:$E,"Owner compensation",'Adjustments'!$I:$I,"Accepted")</f>
        <v>213.86</v>
      </c>
      <c r="L23" s="53">
        <f>SUMIFS('Adjustments'!$W:$W,'Adjustments'!$D:$D,"Owner compensation",'Adjustments'!$E:$E,"Owner compensation",'Adjustments'!$I:$I,"Accepted")</f>
        <v>213.86</v>
      </c>
      <c r="N23" s="52">
        <f>L23-K23</f>
        <v>0</v>
      </c>
      <c r="O23" s="115">
        <f>IFERROR(L23/K23-1,"n.a.")</f>
        <v>0</v>
      </c>
    </row>
    <row r="24" spans="2:15" x14ac:dyDescent="0.25">
      <c r="B24" s="42" t="s">
        <v>95</v>
      </c>
      <c r="C24" s="119">
        <f>C13+C21+C23</f>
        <v>370.584</v>
      </c>
      <c r="D24" s="120">
        <f>D13+D21+D23</f>
        <v>462.49</v>
      </c>
      <c r="E24" s="121">
        <f>E13+E21+E23</f>
        <v>561.775</v>
      </c>
      <c r="G24" s="119">
        <f>G13+G21+G23</f>
        <v>462.49</v>
      </c>
      <c r="H24" s="121">
        <f>H13+H21+H23</f>
        <v>561.775</v>
      </c>
      <c r="J24" s="119">
        <f>J13+J21+J23</f>
        <v>462.49</v>
      </c>
      <c r="K24" s="121">
        <f>K13+K21+K23</f>
        <v>561.775</v>
      </c>
      <c r="L24" s="42">
        <f>L13+L21+L23</f>
        <v>561.775</v>
      </c>
      <c r="N24" s="119">
        <f>L24-K24</f>
        <v>0</v>
      </c>
      <c r="O24" s="122">
        <f>IFERROR(L24/K24-1,"n.a.")</f>
        <v>0</v>
      </c>
    </row>
    <row r="25" spans="2:15" x14ac:dyDescent="0.25">
      <c r="B25" s="47" t="s">
        <v>90</v>
      </c>
      <c r="C25" s="48">
        <f>IFERROR(C24/'P&amp;L Summary'!C14,"n.m.")</f>
        <v>0.1539737410669769</v>
      </c>
      <c r="D25" s="49">
        <f>IFERROR(D24/'P&amp;L Summary'!D14,"n.m.")</f>
        <v>0.17012065033473112</v>
      </c>
      <c r="E25" s="50">
        <f>IFERROR(E24/'P&amp;L Summary'!E14,"n.m.")</f>
        <v>0.18474579058142593</v>
      </c>
      <c r="G25" s="48">
        <f>IFERROR(G24/'P&amp;L Summary'!G14,"n.m.")</f>
        <v>0.17012065033473112</v>
      </c>
      <c r="H25" s="50">
        <f>IFERROR(H24/'P&amp;L Summary'!H14,"n.m.")</f>
        <v>0.18474579058142593</v>
      </c>
      <c r="J25" s="48">
        <f>IFERROR(J24/'P&amp;L Summary'!J14,"n.m.")</f>
        <v>0.17012065033473112</v>
      </c>
      <c r="K25" s="50">
        <f>IFERROR(K24/'P&amp;L Summary'!K14,"n.m.")</f>
        <v>0.18474579058142593</v>
      </c>
      <c r="L25" s="51">
        <f>IFERROR(L24/'P&amp;L Summary'!L14,"n.m.")</f>
        <v>0.18474579058142593</v>
      </c>
      <c r="N25" s="127"/>
      <c r="O25" s="128"/>
    </row>
    <row r="26" spans="2:15" x14ac:dyDescent="0.25">
      <c r="B26" s="53" t="str">
        <f>"(-) Market Replacement Compensation"&amp;IF('Adjustments'!$I21="Accepted"," "&amp;'Adjustments'!$B21,"")</f>
        <v>(-) Market Replacement Compensation [S2]</v>
      </c>
      <c r="C26" s="53">
        <f>SUMIFS('Adjustments'!$N:$N,'Adjustments'!$D:$D,"Owner compensation",'Adjustments'!$E:$E,"Replacement cost",'Adjustments'!$I:$I,"Accepted")</f>
        <v>-109.24999999999999</v>
      </c>
      <c r="D26" s="53">
        <f>SUMIFS('Adjustments'!$O:$O,'Adjustments'!$D:$D,"Owner compensation",'Adjustments'!$E:$E,"Replacement cost",'Adjustments'!$I:$I,"Accepted")</f>
        <v>-109.24999999999999</v>
      </c>
      <c r="E26" s="53">
        <f>SUMIFS('Adjustments'!$P:$P,'Adjustments'!$D:$D,"Owner compensation",'Adjustments'!$E:$E,"Replacement cost",'Adjustments'!$I:$I,"Accepted")</f>
        <v>-109.24999999999999</v>
      </c>
      <c r="G26" s="53">
        <f>SUMIFS('Adjustments'!$R:$R,'Adjustments'!$D:$D,"Owner compensation",'Adjustments'!$E:$E,"Replacement cost",'Adjustments'!$I:$I,"Accepted")</f>
        <v>-109.25000000000001</v>
      </c>
      <c r="H26" s="53">
        <f>SUMIFS('Adjustments'!$S:$S,'Adjustments'!$D:$D,"Owner compensation",'Adjustments'!$E:$E,"Replacement cost",'Adjustments'!$I:$I,"Accepted")</f>
        <v>-109.25000000000001</v>
      </c>
      <c r="J26" s="53">
        <f>SUMIFS('Adjustments'!$U:$U,'Adjustments'!$D:$D,"Owner compensation",'Adjustments'!$E:$E,"Replacement cost",'Adjustments'!$I:$I,"Accepted")</f>
        <v>-109.25000000000001</v>
      </c>
      <c r="K26" s="53">
        <f>SUMIFS('Adjustments'!$V:$V,'Adjustments'!$D:$D,"Owner compensation",'Adjustments'!$E:$E,"Replacement cost",'Adjustments'!$I:$I,"Accepted")</f>
        <v>-109.25000000000001</v>
      </c>
      <c r="L26" s="53">
        <f>SUMIFS('Adjustments'!$W:$W,'Adjustments'!$D:$D,"Owner compensation",'Adjustments'!$E:$E,"Replacement cost",'Adjustments'!$I:$I,"Accepted")</f>
        <v>-109.25000000000001</v>
      </c>
      <c r="N26" s="52">
        <f>L26-K26</f>
        <v>0</v>
      </c>
      <c r="O26" s="115">
        <f>IFERROR(L26/K26-1,"n.a.")</f>
        <v>0</v>
      </c>
    </row>
    <row r="27" spans="2:15" x14ac:dyDescent="0.25">
      <c r="B27" s="53" t="str">
        <f>"(-) Capital Reserve (Maintenance Capex)"&amp;IF('Adjustments'!$I22="Accepted"," "&amp;'Adjustments'!$B22,"")</f>
        <v>(-) Capital Reserve (Maintenance Capex) [S3]</v>
      </c>
      <c r="C27" s="53">
        <f>SUMIFS('Adjustments'!$N:$N,'Adjustments'!$D:$D,"Owner compensation",'Adjustments'!$E:$E,"Capital reserve",'Adjustments'!$I:$I,"Accepted")</f>
        <v>-66.8</v>
      </c>
      <c r="D27" s="53">
        <f>SUMIFS('Adjustments'!$O:$O,'Adjustments'!$D:$D,"Owner compensation",'Adjustments'!$E:$E,"Capital reserve",'Adjustments'!$I:$I,"Accepted")</f>
        <v>-66.8</v>
      </c>
      <c r="E27" s="53">
        <f>SUMIFS('Adjustments'!$P:$P,'Adjustments'!$D:$D,"Owner compensation",'Adjustments'!$E:$E,"Capital reserve",'Adjustments'!$I:$I,"Accepted")</f>
        <v>-66.8</v>
      </c>
      <c r="G27" s="53">
        <f>SUMIFS('Adjustments'!$R:$R,'Adjustments'!$D:$D,"Owner compensation",'Adjustments'!$E:$E,"Capital reserve",'Adjustments'!$I:$I,"Accepted")</f>
        <v>-66.79999999999998</v>
      </c>
      <c r="H27" s="53">
        <f>SUMIFS('Adjustments'!$S:$S,'Adjustments'!$D:$D,"Owner compensation",'Adjustments'!$E:$E,"Capital reserve",'Adjustments'!$I:$I,"Accepted")</f>
        <v>-66.79999999999998</v>
      </c>
      <c r="J27" s="53">
        <f>SUMIFS('Adjustments'!$U:$U,'Adjustments'!$D:$D,"Owner compensation",'Adjustments'!$E:$E,"Capital reserve",'Adjustments'!$I:$I,"Accepted")</f>
        <v>-66.79999999999998</v>
      </c>
      <c r="K27" s="53">
        <f>SUMIFS('Adjustments'!$V:$V,'Adjustments'!$D:$D,"Owner compensation",'Adjustments'!$E:$E,"Capital reserve",'Adjustments'!$I:$I,"Accepted")</f>
        <v>-66.79999999999998</v>
      </c>
      <c r="L27" s="53">
        <f>SUMIFS('Adjustments'!$W:$W,'Adjustments'!$D:$D,"Owner compensation",'Adjustments'!$E:$E,"Capital reserve",'Adjustments'!$I:$I,"Accepted")</f>
        <v>-66.79999999999998</v>
      </c>
      <c r="N27" s="52">
        <f>L27-K27</f>
        <v>0</v>
      </c>
      <c r="O27" s="115">
        <f>IFERROR(L27/K27-1,"n.a.")</f>
        <v>0</v>
      </c>
    </row>
    <row r="28" spans="2:15" x14ac:dyDescent="0.25">
      <c r="B28" s="42" t="s">
        <v>96</v>
      </c>
      <c r="C28" s="119">
        <f>C24+C26+C27</f>
        <v>194.534</v>
      </c>
      <c r="D28" s="120">
        <f>D24+D26+D27</f>
        <v>286.44</v>
      </c>
      <c r="E28" s="121">
        <f>E24+E26+E27</f>
        <v>385.725</v>
      </c>
      <c r="G28" s="119">
        <f>G24+G26+G27</f>
        <v>286.44</v>
      </c>
      <c r="H28" s="121">
        <f>H24+H26+H27</f>
        <v>385.725</v>
      </c>
      <c r="J28" s="119">
        <f>J24+J26+J27</f>
        <v>286.44</v>
      </c>
      <c r="K28" s="121">
        <f>K24+K26+K27</f>
        <v>385.725</v>
      </c>
      <c r="L28" s="42">
        <f>L24+L26+L27</f>
        <v>385.725</v>
      </c>
      <c r="N28" s="119">
        <f>L28-K28</f>
        <v>0</v>
      </c>
      <c r="O28" s="122">
        <f>IFERROR(L28/K28-1,"n.a.")</f>
        <v>0</v>
      </c>
    </row>
    <row r="29" spans="2:15" x14ac:dyDescent="0.25">
      <c r="B29" s="47" t="s">
        <v>90</v>
      </c>
      <c r="C29" s="48">
        <f>IFERROR(C28/'P&amp;L Summary'!C14,"n.m.")</f>
        <v>0.08082682399867043</v>
      </c>
      <c r="D29" s="49">
        <f>IFERROR(D28/'P&amp;L Summary'!D14,"n.m.")</f>
        <v>0.10536305451335246</v>
      </c>
      <c r="E29" s="50">
        <f>IFERROR(E28/'P&amp;L Summary'!E14,"n.m.")</f>
        <v>0.12684984214680348</v>
      </c>
      <c r="G29" s="48">
        <f>IFERROR(G28/'P&amp;L Summary'!G14,"n.m.")</f>
        <v>0.10536305451335246</v>
      </c>
      <c r="H29" s="50">
        <f>IFERROR(H28/'P&amp;L Summary'!H14,"n.m.")</f>
        <v>0.12684984214680348</v>
      </c>
      <c r="J29" s="48">
        <f>IFERROR(J28/'P&amp;L Summary'!J14,"n.m.")</f>
        <v>0.10536305451335246</v>
      </c>
      <c r="K29" s="50">
        <f>IFERROR(K28/'P&amp;L Summary'!K14,"n.m.")</f>
        <v>0.12684984214680348</v>
      </c>
      <c r="L29" s="51">
        <f>IFERROR(L28/'P&amp;L Summary'!L14,"n.m.")</f>
        <v>0.12684984214680348</v>
      </c>
      <c r="N29" s="127"/>
      <c r="O29" s="128"/>
    </row>
    <row r="30" spans="2:15" x14ac:dyDescent="0.25">
      <c r="B30" s="37" t="s">
        <v>413</v>
      </c>
      <c r="C30" s="37"/>
      <c r="D30" s="37"/>
      <c r="E30" s="37"/>
      <c r="G30" s="37"/>
      <c r="H30" s="37"/>
      <c r="J30" s="37"/>
      <c r="K30" s="37"/>
      <c r="L30" s="37"/>
      <c r="N30" s="37"/>
      <c r="O30" s="37"/>
    </row>
    <row r="31" spans="2:15" x14ac:dyDescent="0.25">
      <c r="B31" s="116" t="s">
        <v>414</v>
      </c>
      <c r="C31" s="135">
        <f>SUMIFS('Adjustments'!$N:$N,'Adjustments'!$D:$D,"Pro forma",'Adjustments'!$I:$I,"Accepted")</f>
        <v>0</v>
      </c>
      <c r="D31" s="135">
        <f>SUMIFS('Adjustments'!$O:$O,'Adjustments'!$D:$D,"Pro forma",'Adjustments'!$I:$I,"Accepted")</f>
        <v>0</v>
      </c>
      <c r="E31" s="135">
        <f>SUMIFS('Adjustments'!$P:$P,'Adjustments'!$D:$D,"Pro forma",'Adjustments'!$I:$I,"Accepted")</f>
        <v>0</v>
      </c>
      <c r="G31" s="135">
        <f>SUMIFS('Adjustments'!$R:$R,'Adjustments'!$D:$D,"Pro forma",'Adjustments'!$I:$I,"Accepted")</f>
        <v>0</v>
      </c>
      <c r="H31" s="135">
        <f>SUMIFS('Adjustments'!$S:$S,'Adjustments'!$D:$D,"Pro forma",'Adjustments'!$I:$I,"Accepted")</f>
        <v>0</v>
      </c>
      <c r="J31" s="135">
        <f>SUMIFS('Adjustments'!$U:$U,'Adjustments'!$D:$D,"Pro forma",'Adjustments'!$I:$I,"Accepted")</f>
        <v>0</v>
      </c>
      <c r="K31" s="135">
        <f>SUMIFS('Adjustments'!$V:$V,'Adjustments'!$D:$D,"Pro forma",'Adjustments'!$I:$I,"Accepted")</f>
        <v>0</v>
      </c>
      <c r="L31" s="135">
        <f>SUMIFS('Adjustments'!$W:$W,'Adjustments'!$D:$D,"Pro forma",'Adjustments'!$I:$I,"Accepted")</f>
        <v>0</v>
      </c>
      <c r="N31" s="116">
        <f>L31-K31</f>
        <v>0</v>
      </c>
      <c r="O31" s="117" t="str">
        <f>IFERROR(L31/K31-1,"n.a.")</f>
        <v>n.a.</v>
      </c>
    </row>
    <row r="32" spans="2:15" x14ac:dyDescent="0.25">
      <c r="B32" s="42" t="s">
        <v>98</v>
      </c>
      <c r="C32" s="119">
        <f>C28+C31</f>
        <v>194.534</v>
      </c>
      <c r="D32" s="120">
        <f>D28+D31</f>
        <v>286.44</v>
      </c>
      <c r="E32" s="121">
        <f>E28+E31</f>
        <v>385.725</v>
      </c>
      <c r="G32" s="119">
        <f>G28+G31</f>
        <v>286.44</v>
      </c>
      <c r="H32" s="121">
        <f>H28+H31</f>
        <v>385.725</v>
      </c>
      <c r="J32" s="119">
        <f>J28+J31</f>
        <v>286.44</v>
      </c>
      <c r="K32" s="121">
        <f>K28+K31</f>
        <v>385.725</v>
      </c>
      <c r="L32" s="42">
        <f>L28+L31</f>
        <v>385.725</v>
      </c>
      <c r="N32" s="119">
        <f>L32-K32</f>
        <v>0</v>
      </c>
      <c r="O32" s="122">
        <f>IFERROR(L32/K32-1,"n.a.")</f>
        <v>0</v>
      </c>
    </row>
    <row r="33" spans="2:15" x14ac:dyDescent="0.25">
      <c r="B33" s="47" t="s">
        <v>90</v>
      </c>
      <c r="C33" s="48">
        <f>IFERROR(C32/'P&amp;L Summary'!C14,"n.m.")</f>
        <v>0.08082682399867043</v>
      </c>
      <c r="D33" s="49">
        <f>IFERROR(D32/'P&amp;L Summary'!D14,"n.m.")</f>
        <v>0.10536305451335246</v>
      </c>
      <c r="E33" s="50">
        <f>IFERROR(E32/'P&amp;L Summary'!E14,"n.m.")</f>
        <v>0.12684984214680348</v>
      </c>
      <c r="G33" s="48">
        <f>IFERROR(G32/'P&amp;L Summary'!G14,"n.m.")</f>
        <v>0.10536305451335246</v>
      </c>
      <c r="H33" s="50">
        <f>IFERROR(H32/'P&amp;L Summary'!H14,"n.m.")</f>
        <v>0.12684984214680348</v>
      </c>
      <c r="J33" s="48">
        <f>IFERROR(J32/'P&amp;L Summary'!J14,"n.m.")</f>
        <v>0.10536305451335246</v>
      </c>
      <c r="K33" s="50">
        <f>IFERROR(K32/'P&amp;L Summary'!K14,"n.m.")</f>
        <v>0.12684984214680348</v>
      </c>
      <c r="L33" s="51">
        <f>IFERROR(L32/'P&amp;L Summary'!L14,"n.m.")</f>
        <v>0.12684984214680348</v>
      </c>
      <c r="N33" s="127"/>
      <c r="O33" s="128"/>
    </row>
    <row r="34" spans="2:15" x14ac:dyDescent="0.25">
      <c r="B34" s="37" t="s">
        <v>415</v>
      </c>
      <c r="C34" s="37"/>
      <c r="D34" s="37"/>
      <c r="E34" s="37"/>
      <c r="G34" s="37"/>
      <c r="H34" s="37"/>
      <c r="J34" s="37"/>
      <c r="K34" s="37"/>
      <c r="L34" s="37"/>
      <c r="N34" s="37"/>
      <c r="O34" s="37"/>
    </row>
    <row r="35" spans="2:15" x14ac:dyDescent="0.25">
      <c r="B35" s="53" t="str">
        <f>'Adjustments'!$C24&amp;" "&amp;'Adjustments'!$B24</f>
        <v>After-hours emergency plumbing [M1]</v>
      </c>
      <c r="C35" s="53">
        <f>N('Adjustments'!N45)</f>
        <v>0</v>
      </c>
      <c r="D35" s="53">
        <f>N('Adjustments'!O45)</f>
        <v>0</v>
      </c>
      <c r="E35" s="53">
        <f>N('Adjustments'!P45)</f>
        <v>0</v>
      </c>
      <c r="G35" s="53">
        <f>N('Adjustments'!R45)</f>
        <v>0</v>
      </c>
      <c r="H35" s="53">
        <f>N('Adjustments'!S45)</f>
        <v>0</v>
      </c>
      <c r="J35" s="53">
        <f>N('Adjustments'!U45)</f>
        <v>0</v>
      </c>
      <c r="K35" s="53">
        <f>N('Adjustments'!V45)</f>
        <v>0</v>
      </c>
      <c r="L35" s="53">
        <f>N('Adjustments'!W45)</f>
        <v>0</v>
      </c>
      <c r="N35" s="52">
        <f>L35-K35</f>
        <v>0</v>
      </c>
      <c r="O35" s="115" t="str">
        <f>IFERROR(L35/K35-1,"n.a.")</f>
        <v>n.a.</v>
      </c>
    </row>
    <row r="36" ht="3.95" customHeight="1" x14ac:dyDescent="0.25"/>
    <row r="37" spans="2:12" x14ac:dyDescent="0.25">
      <c r="B37" s="130" t="s">
        <v>416</v>
      </c>
      <c r="C37" s="130">
        <f>ROUND(C13-'P&amp;L Summary'!C32,6)</f>
        <v>0</v>
      </c>
      <c r="D37" s="130">
        <f>ROUND(D13-'P&amp;L Summary'!D32,6)</f>
        <v>0</v>
      </c>
      <c r="E37" s="130">
        <f>ROUND(E13-'P&amp;L Summary'!E32,6)</f>
        <v>0</v>
      </c>
      <c r="G37" s="130">
        <f>ROUND(G13-'P&amp;L Summary'!G32,6)</f>
        <v>0</v>
      </c>
      <c r="H37" s="130">
        <f>ROUND(H13-'P&amp;L Summary'!H32,6)</f>
        <v>0</v>
      </c>
      <c r="J37" s="130">
        <f>ROUND(J13-'P&amp;L Summary'!J32,6)</f>
        <v>0</v>
      </c>
      <c r="K37" s="130">
        <f>ROUND(K13-'P&amp;L Summary'!K32,6)</f>
        <v>0</v>
      </c>
      <c r="L37" s="130">
        <f>ROUND(L13-'P&amp;L Summary'!K32,6)</f>
        <v>0</v>
      </c>
    </row>
    <row r="38" spans="2:12" x14ac:dyDescent="0.25">
      <c r="B38" s="130" t="s">
        <v>417</v>
      </c>
      <c r="C38" s="130">
        <f>ROUND(ABS(SUMIFS('Adjustments'!$N:$N,'Adjustments'!$D:$D,"Definitional",'Adjustments'!$I:$I,"Accepted")-(C10+C11+C12))+ABS(SUMIFS('Adjustments'!$N:$N,'Adjustments'!$D:$D,"Normalization",'Adjustments'!$I:$I,"Accepted")-SUM(C16:C20))+ABS(SUMIFS('Adjustments'!$N:$N,'Adjustments'!$D:$D,"Owner compensation",'Adjustments'!$I:$I,"Accepted")-(C23+C26+C27))+ABS(SUMIFS('Adjustments'!$N:$N,'Adjustments'!$D:$D,"Pro forma",'Adjustments'!$I:$I,"Accepted")-N(0)),6)</f>
        <v>0</v>
      </c>
      <c r="D38" s="130">
        <f>ROUND(ABS(SUMIFS('Adjustments'!$O:$O,'Adjustments'!$D:$D,"Definitional",'Adjustments'!$I:$I,"Accepted")-(D10+D11+D12))+ABS(SUMIFS('Adjustments'!$O:$O,'Adjustments'!$D:$D,"Normalization",'Adjustments'!$I:$I,"Accepted")-SUM(D16:D20))+ABS(SUMIFS('Adjustments'!$O:$O,'Adjustments'!$D:$D,"Owner compensation",'Adjustments'!$I:$I,"Accepted")-(D23+D26+D27))+ABS(SUMIFS('Adjustments'!$O:$O,'Adjustments'!$D:$D,"Pro forma",'Adjustments'!$I:$I,"Accepted")-N(0)),6)</f>
        <v>0</v>
      </c>
      <c r="E38" s="130">
        <f>ROUND(ABS(SUMIFS('Adjustments'!$P:$P,'Adjustments'!$D:$D,"Definitional",'Adjustments'!$I:$I,"Accepted")-(E10+E11+E12))+ABS(SUMIFS('Adjustments'!$P:$P,'Adjustments'!$D:$D,"Normalization",'Adjustments'!$I:$I,"Accepted")-SUM(E16:E20))+ABS(SUMIFS('Adjustments'!$P:$P,'Adjustments'!$D:$D,"Owner compensation",'Adjustments'!$I:$I,"Accepted")-(E23+E26+E27))+ABS(SUMIFS('Adjustments'!$P:$P,'Adjustments'!$D:$D,"Pro forma",'Adjustments'!$I:$I,"Accepted")-N(0)),6)</f>
        <v>0</v>
      </c>
      <c r="G38" s="130">
        <f>ROUND(ABS(SUMIFS('Adjustments'!$R:$R,'Adjustments'!$D:$D,"Definitional",'Adjustments'!$I:$I,"Accepted")-(G10+G11+G12))+ABS(SUMIFS('Adjustments'!$R:$R,'Adjustments'!$D:$D,"Normalization",'Adjustments'!$I:$I,"Accepted")-SUM(G16:G20))+ABS(SUMIFS('Adjustments'!$R:$R,'Adjustments'!$D:$D,"Owner compensation",'Adjustments'!$I:$I,"Accepted")-(G23+G26+G27))+ABS(SUMIFS('Adjustments'!$R:$R,'Adjustments'!$D:$D,"Pro forma",'Adjustments'!$I:$I,"Accepted")-N(0)),6)</f>
        <v>0</v>
      </c>
      <c r="H38" s="130">
        <f>ROUND(ABS(SUMIFS('Adjustments'!$S:$S,'Adjustments'!$D:$D,"Definitional",'Adjustments'!$I:$I,"Accepted")-(H10+H11+H12))+ABS(SUMIFS('Adjustments'!$S:$S,'Adjustments'!$D:$D,"Normalization",'Adjustments'!$I:$I,"Accepted")-SUM(H16:H20))+ABS(SUMIFS('Adjustments'!$S:$S,'Adjustments'!$D:$D,"Owner compensation",'Adjustments'!$I:$I,"Accepted")-(H23+H26+H27))+ABS(SUMIFS('Adjustments'!$S:$S,'Adjustments'!$D:$D,"Pro forma",'Adjustments'!$I:$I,"Accepted")-N(0)),6)</f>
        <v>0</v>
      </c>
      <c r="J38" s="130">
        <f>ROUND(ABS(SUMIFS('Adjustments'!$U:$U,'Adjustments'!$D:$D,"Definitional",'Adjustments'!$I:$I,"Accepted")-(J10+J11+J12))+ABS(SUMIFS('Adjustments'!$U:$U,'Adjustments'!$D:$D,"Normalization",'Adjustments'!$I:$I,"Accepted")-SUM(J16:J20))+ABS(SUMIFS('Adjustments'!$U:$U,'Adjustments'!$D:$D,"Owner compensation",'Adjustments'!$I:$I,"Accepted")-(J23+J26+J27))+ABS(SUMIFS('Adjustments'!$U:$U,'Adjustments'!$D:$D,"Pro forma",'Adjustments'!$I:$I,"Accepted")-N(0)),6)</f>
        <v>0</v>
      </c>
      <c r="K38" s="130">
        <f>ROUND(ABS(SUMIFS('Adjustments'!$V:$V,'Adjustments'!$D:$D,"Definitional",'Adjustments'!$I:$I,"Accepted")-(K10+K11+K12))+ABS(SUMIFS('Adjustments'!$V:$V,'Adjustments'!$D:$D,"Normalization",'Adjustments'!$I:$I,"Accepted")-SUM(K16:K20))+ABS(SUMIFS('Adjustments'!$V:$V,'Adjustments'!$D:$D,"Owner compensation",'Adjustments'!$I:$I,"Accepted")-(K23+K26+K27))+ABS(SUMIFS('Adjustments'!$V:$V,'Adjustments'!$D:$D,"Pro forma",'Adjustments'!$I:$I,"Accepted")-N(0)),6)</f>
        <v>0</v>
      </c>
      <c r="L38" s="130">
        <f>ROUND(ABS(SUMIFS('Adjustments'!$W:$W,'Adjustments'!$D:$D,"Definitional",'Adjustments'!$I:$I,"Accepted")-(L10+L11+L12))+ABS(SUMIFS('Adjustments'!$W:$W,'Adjustments'!$D:$D,"Normalization",'Adjustments'!$I:$I,"Accepted")-SUM(L16:L20))+ABS(SUMIFS('Adjustments'!$W:$W,'Adjustments'!$D:$D,"Owner compensation",'Adjustments'!$I:$I,"Accepted")-(L23+L26+L27))+ABS(SUMIFS('Adjustments'!$W:$W,'Adjustments'!$D:$D,"Pro forma",'Adjustments'!$I:$I,"Accepted")-N(0)),6)</f>
        <v>0</v>
      </c>
    </row>
    <row r="40" ht="25" customHeight="1" spans="2:15" x14ac:dyDescent="0.25">
      <c r="B40" s="60" t="s">
        <v>418</v>
      </c>
      <c r="C40" s="60"/>
      <c r="D40" s="60"/>
      <c r="E40" s="60"/>
      <c r="F40" s="60"/>
      <c r="G40" s="60"/>
      <c r="H40" s="60"/>
      <c r="I40" s="60"/>
      <c r="J40" s="60"/>
      <c r="K40" s="60"/>
      <c r="L40" s="60"/>
      <c r="M40" s="60"/>
      <c r="N40" s="60"/>
      <c r="O40" s="60"/>
    </row>
    <row r="42" spans="2:2" x14ac:dyDescent="0.25">
      <c r="B42" s="136" t="s">
        <v>419</v>
      </c>
    </row>
    <row r="43" ht="12.75" customHeight="1" spans="2:15" x14ac:dyDescent="0.25">
      <c r="B43" s="137" t="str">
        <f>'Adjustments'!$B8&amp;" "&amp;'Adjustments'!$C8</f>
        <v>[D1] Interest expense</v>
      </c>
      <c r="C43" s="71" t="str">
        <f>'Adjustments'!$F8</f>
        <v>Adds back interest on the Company's debt, $14.3K in FY2025, per the P&amp;L Interest Expense account.</v>
      </c>
      <c r="D43" s="71"/>
      <c r="E43" s="71"/>
      <c r="F43" s="71"/>
      <c r="G43" s="71"/>
      <c r="H43" s="71"/>
      <c r="I43" s="71"/>
      <c r="J43" s="71"/>
      <c r="K43" s="71"/>
      <c r="L43" s="71"/>
      <c r="M43" s="71"/>
      <c r="N43" s="71"/>
      <c r="O43" s="71"/>
    </row>
    <row r="44" ht="12.75" customHeight="1" spans="2:15" x14ac:dyDescent="0.25">
      <c r="B44" s="137" t="str">
        <f>'Adjustments'!$B9&amp;" "&amp;'Adjustments'!$C9</f>
        <v>[D2] Income taxes</v>
      </c>
      <c r="C44" s="71" t="str">
        <f>'Adjustments'!$F9</f>
        <v>None: the Company is a pass-through entity, so income tax is paid by the owner and the ladder shows a dash.</v>
      </c>
      <c r="D44" s="71"/>
      <c r="E44" s="71"/>
      <c r="F44" s="71"/>
      <c r="G44" s="71"/>
      <c r="H44" s="71"/>
      <c r="I44" s="71"/>
      <c r="J44" s="71"/>
      <c r="K44" s="71"/>
      <c r="L44" s="71"/>
      <c r="M44" s="71"/>
      <c r="N44" s="71"/>
      <c r="O44" s="71"/>
    </row>
    <row r="45" ht="12.75" customHeight="1" spans="2:15" x14ac:dyDescent="0.25">
      <c r="B45" s="137" t="str">
        <f>'Adjustments'!$B10&amp;" "&amp;'Adjustments'!$C10</f>
        <v>[D3] Depreciation and amortization</v>
      </c>
      <c r="C45" s="71" t="str">
        <f>'Adjustments'!$F10</f>
        <v>Adds back depreciation and amortization, $72.4K in FY2025, per the P&amp;L Depreciation Expense account.</v>
      </c>
      <c r="D45" s="71"/>
      <c r="E45" s="71"/>
      <c r="F45" s="71"/>
      <c r="G45" s="71"/>
      <c r="H45" s="71"/>
      <c r="I45" s="71"/>
      <c r="J45" s="71"/>
      <c r="K45" s="71"/>
      <c r="L45" s="71"/>
      <c r="M45" s="71"/>
      <c r="N45" s="71"/>
      <c r="O45" s="71"/>
    </row>
    <row r="46" ht="12.75" customHeight="1" spans="2:15" x14ac:dyDescent="0.25">
      <c r="B46" s="137" t="str">
        <f>'Adjustments'!$B11&amp;" "&amp;'Adjustments'!$C11</f>
        <v>[N1] Owner's personal vehicle</v>
      </c>
      <c r="C46" s="71" t="str">
        <f>'Adjustments'!$F11</f>
        <v>Removes the owner's personal vehicle costs coded to Vehicle Expenses, $18.0K in FY2025, per the seller's add-back list.</v>
      </c>
      <c r="D46" s="71"/>
      <c r="E46" s="71"/>
      <c r="F46" s="71"/>
      <c r="G46" s="71"/>
      <c r="H46" s="71"/>
      <c r="I46" s="71"/>
      <c r="J46" s="71"/>
      <c r="K46" s="71"/>
      <c r="L46" s="71"/>
      <c r="M46" s="71"/>
      <c r="N46" s="71"/>
      <c r="O46" s="71"/>
    </row>
    <row r="47" ht="25" customHeight="1" spans="2:15" x14ac:dyDescent="0.25">
      <c r="B47" s="137" t="str">
        <f>'Adjustments'!$B12&amp;" "&amp;'Adjustments'!$C12</f>
        <v>[N2] Legal fees: settled customer dispute</v>
      </c>
      <c r="C47" s="71" t="str">
        <f>'Adjustments'!$F12</f>
        <v>Removes the one-time cost of settling a customer dispute, $24.0K in FY2024, visible as the spike in Legal &amp; Professional Fees ($38.9K against $16.4K and $17.2K in the adjacent years).</v>
      </c>
      <c r="D47" s="71"/>
      <c r="E47" s="71"/>
      <c r="F47" s="71"/>
      <c r="G47" s="71"/>
      <c r="H47" s="71"/>
      <c r="I47" s="71"/>
      <c r="J47" s="71"/>
      <c r="K47" s="71"/>
      <c r="L47" s="71"/>
      <c r="M47" s="71"/>
      <c r="N47" s="71"/>
      <c r="O47" s="71"/>
    </row>
    <row r="48" ht="12.75" customHeight="1" spans="2:15" x14ac:dyDescent="0.25">
      <c r="B48" s="137" t="str">
        <f>'Adjustments'!$B13&amp;" "&amp;'Adjustments'!$C13</f>
        <v>[N3] Owner family phones and meals</v>
      </c>
      <c r="C48" s="71" t="str">
        <f>'Adjustments'!$F13</f>
        <v>Removes family phone lines and personal meals expensed through the Company, $6.0K in FY2025, per the seller's add-back list.</v>
      </c>
      <c r="D48" s="71"/>
      <c r="E48" s="71"/>
      <c r="F48" s="71"/>
      <c r="G48" s="71"/>
      <c r="H48" s="71"/>
      <c r="I48" s="71"/>
      <c r="J48" s="71"/>
      <c r="K48" s="71"/>
      <c r="L48" s="71"/>
      <c r="M48" s="71"/>
      <c r="N48" s="71"/>
      <c r="O48" s="71"/>
    </row>
    <row r="49" ht="12.75" customHeight="1" spans="2:15" x14ac:dyDescent="0.25">
      <c r="B49" s="137" t="str">
        <f>'Adjustments'!$B14&amp;" "&amp;'Adjustments'!$C14</f>
        <v>[N4] Charitable contributions</v>
      </c>
      <c r="C49" s="71" t="str">
        <f>'Adjustments'!$F14</f>
        <v>Removes discretionary charitable giving, $7.5K in FY2025, equal to the P&amp;L Charitable Contributions account.</v>
      </c>
      <c r="D49" s="71"/>
      <c r="E49" s="71"/>
      <c r="F49" s="71"/>
      <c r="G49" s="71"/>
      <c r="H49" s="71"/>
      <c r="I49" s="71"/>
      <c r="J49" s="71"/>
      <c r="K49" s="71"/>
      <c r="L49" s="71"/>
      <c r="M49" s="71"/>
      <c r="N49" s="71"/>
      <c r="O49" s="71"/>
    </row>
    <row r="50" ht="12.75" customHeight="1" spans="2:15" x14ac:dyDescent="0.25">
      <c r="B50" s="137" t="str">
        <f>'Adjustments'!$B15&amp;" "&amp;'Adjustments'!$C15</f>
        <v>[N5] Interest income (non-operating)</v>
      </c>
      <c r="C50" s="71" t="str">
        <f>'Adjustments'!$F15</f>
        <v>Removes interest income, $3.1K in FY2025, which is non-operating income, per the P&amp;L Interest Income account.</v>
      </c>
      <c r="D50" s="71"/>
      <c r="E50" s="71"/>
      <c r="F50" s="71"/>
      <c r="G50" s="71"/>
      <c r="H50" s="71"/>
      <c r="I50" s="71"/>
      <c r="J50" s="71"/>
      <c r="K50" s="71"/>
      <c r="L50" s="71"/>
      <c r="M50" s="71"/>
      <c r="N50" s="71"/>
      <c r="O50" s="71"/>
    </row>
    <row r="51" ht="12.75" customHeight="1" spans="2:15" x14ac:dyDescent="0.25">
      <c r="B51" s="137" t="str">
        <f>'Adjustments'!$B20&amp;" "&amp;'Adjustments'!$C20</f>
        <v>[S1] Owner compensation</v>
      </c>
      <c r="C51" s="71" t="str">
        <f>'Adjustments'!$F20</f>
        <v>Adds back the owner's salary as paid, $200.0K in FY2025, per the P&amp;L Officer Compensation account.</v>
      </c>
      <c r="D51" s="71"/>
      <c r="E51" s="71"/>
      <c r="F51" s="71"/>
      <c r="G51" s="71"/>
      <c r="H51" s="71"/>
      <c r="I51" s="71"/>
      <c r="J51" s="71"/>
      <c r="K51" s="71"/>
      <c r="L51" s="71"/>
      <c r="M51" s="71"/>
      <c r="N51" s="71"/>
      <c r="O51" s="71"/>
    </row>
    <row r="52" ht="12.75" customHeight="1" spans="2:15" x14ac:dyDescent="0.25">
      <c r="B52" s="137" t="str">
        <f>'Adjustments'!$B21&amp;" "&amp;'Adjustments'!$C21</f>
        <v>[S2] Market replacement compensation</v>
      </c>
      <c r="C52" s="71" t="str">
        <f>'Adjustments'!$F21</f>
        <v>Deducts a general manager at the $95,000 market salary, plus payroll taxes and benefits at 15% of salary, $109,250 a year.</v>
      </c>
      <c r="D52" s="71"/>
      <c r="E52" s="71"/>
      <c r="F52" s="71"/>
      <c r="G52" s="71"/>
      <c r="H52" s="71"/>
      <c r="I52" s="71"/>
      <c r="J52" s="71"/>
      <c r="K52" s="71"/>
      <c r="L52" s="71"/>
      <c r="M52" s="71"/>
      <c r="N52" s="71"/>
      <c r="O52" s="71"/>
    </row>
    <row r="53" ht="25" customHeight="1" spans="2:15" x14ac:dyDescent="0.25">
      <c r="B53" s="137" t="str">
        <f>'Adjustments'!$B22&amp;" "&amp;'Adjustments'!$C22</f>
        <v>[S3] Capital reserve (maintenance capex)</v>
      </c>
      <c r="C53" s="71" t="str">
        <f>'Adjustments'!$F22</f>
        <v>Deducts a reserve for equipment replacement of $66,800 a year, equal to the three-year average of depreciation expense, FY2023–FY2025.</v>
      </c>
      <c r="D53" s="71"/>
      <c r="E53" s="71"/>
      <c r="F53" s="71"/>
      <c r="G53" s="71"/>
      <c r="H53" s="71"/>
      <c r="I53" s="71"/>
      <c r="J53" s="71"/>
      <c r="K53" s="71"/>
      <c r="L53" s="71"/>
      <c r="M53" s="71"/>
      <c r="N53" s="71"/>
      <c r="O53" s="71"/>
    </row>
    <row r="54" ht="36.5" customHeight="1" spans="2:15" x14ac:dyDescent="0.25">
      <c r="B54" s="137" t="str">
        <f>'Adjustments'!$B23&amp;" "&amp;'Adjustments'!$C23</f>
        <v>[S4] Payroll taxes and benefits on owner compensation</v>
      </c>
      <c r="C54" s="71" t="str">
        <f>'Adjustments'!$F23</f>
        <v>Adds back employer payroll taxes on Mark Delaney's salary at statutory rates, $13.9K in FY2025 (Social Security to the $176,100 wage base, Medicare, federal unemployment); the P&amp;L carries them in payroll. Owner benefits and state unemployment are not included.</v>
      </c>
      <c r="D54" s="71"/>
      <c r="E54" s="71"/>
      <c r="F54" s="71"/>
      <c r="G54" s="71"/>
      <c r="H54" s="71"/>
      <c r="I54" s="71"/>
      <c r="J54" s="71"/>
      <c r="K54" s="71"/>
      <c r="L54" s="71"/>
      <c r="M54" s="71"/>
      <c r="N54" s="71"/>
      <c r="O54" s="71"/>
    </row>
    <row r="55" ht="12.75" customHeight="1" spans="2:15" x14ac:dyDescent="0.25">
      <c r="B55" s="137" t="str">
        <f>'Adjustments'!$B24&amp;" "&amp;'Adjustments'!$C24</f>
        <v>[M1] After-hours emergency plumbing</v>
      </c>
      <c r="C55" s="71" t="str">
        <f>'Adjustments'!$F24</f>
        <v>Calls after 7 pm are turned away today; no revenue from an after-hours service is included in any figure above, per management.</v>
      </c>
      <c r="D55" s="71"/>
      <c r="E55" s="71"/>
      <c r="F55" s="71"/>
      <c r="G55" s="71"/>
      <c r="H55" s="71"/>
      <c r="I55" s="71"/>
      <c r="J55" s="71"/>
      <c r="K55" s="71"/>
      <c r="L55" s="71"/>
      <c r="M55" s="71"/>
      <c r="N55" s="71"/>
      <c r="O55" s="71"/>
    </row>
    <row r="58" spans="2:12" x14ac:dyDescent="0.25">
      <c r="B58" s="131" t="s">
        <v>380</v>
      </c>
      <c r="C58" s="132">
        <f>EOMONTH(EOMONTH(DATE('Assumptions'!$C$15-2,'Assumptions'!$C$14,1),0),-12)+1</f>
        <v>44927</v>
      </c>
      <c r="D58" s="132">
        <f>EOMONTH(EOMONTH(DATE('Assumptions'!$C$15-1,'Assumptions'!$C$14,1),0),-12)+1</f>
        <v>45292</v>
      </c>
      <c r="E58" s="132">
        <f>EOMONTH(EOMONTH(DATE('Assumptions'!$C$15-0,'Assumptions'!$C$14,1),0),-12)+1</f>
        <v>45658</v>
      </c>
      <c r="G58" s="132">
        <f>EOMONTH(EOMONTH(DATE(YEAR('Assumptions'!$C$9)-IF(MONTH('Assumptions'!$C$9)&gt;'Assumptions'!$C$14,0,1),'Assumptions'!$C$14,1),0)+1,-13)+1</f>
        <v>45292</v>
      </c>
      <c r="H58" s="132">
        <f>EOMONTH(DATE(YEAR('Assumptions'!$C$9)-IF(MONTH('Assumptions'!$C$9)&gt;'Assumptions'!$C$14,0,1),'Assumptions'!$C$14,1),0)+1</f>
        <v>45658</v>
      </c>
      <c r="J58" s="132">
        <f>EOMONTH('Assumptions'!$C$9,-24)+1</f>
        <v>45292</v>
      </c>
      <c r="K58" s="132">
        <f>EOMONTH('Assumptions'!$C$9,-12)+1</f>
        <v>45658</v>
      </c>
      <c r="L58" s="132">
        <f>EOMONTH('Assumptions'!$C$9,-12)+1</f>
        <v>45658</v>
      </c>
    </row>
    <row r="59" spans="2:12" x14ac:dyDescent="0.25">
      <c r="B59" s="131" t="s">
        <v>381</v>
      </c>
      <c r="C59" s="132">
        <f>EOMONTH(DATE('Assumptions'!$C$15-2,'Assumptions'!$C$14,1),0)</f>
        <v>45291</v>
      </c>
      <c r="D59" s="132">
        <f>EOMONTH(DATE('Assumptions'!$C$15-1,'Assumptions'!$C$14,1),0)</f>
        <v>45657</v>
      </c>
      <c r="E59" s="132">
        <f>EOMONTH(DATE('Assumptions'!$C$15-0,'Assumptions'!$C$14,1),0)</f>
        <v>46022</v>
      </c>
      <c r="G59" s="132">
        <f>EOMONTH('Assumptions'!$C$9,-12)</f>
        <v>45657</v>
      </c>
      <c r="H59" s="132">
        <f>EOMONTH('Assumptions'!$C$9,0)</f>
        <v>46022</v>
      </c>
      <c r="J59" s="132">
        <f>EOMONTH('Assumptions'!$C$9,-12)</f>
        <v>45657</v>
      </c>
      <c r="K59" s="132">
        <f>EOMONTH('Assumptions'!$C$9,0)</f>
        <v>46022</v>
      </c>
      <c r="L59" s="132">
        <f>EOMONTH('Assumptions'!$C$9,0)</f>
        <v>46022</v>
      </c>
    </row>
  </sheetData>
  <mergeCells count="14">
    <mergeCell ref="B40:O40"/>
    <mergeCell ref="C43:O43"/>
    <mergeCell ref="C44:O44"/>
    <mergeCell ref="C45:O45"/>
    <mergeCell ref="C46:O46"/>
    <mergeCell ref="C47:O47"/>
    <mergeCell ref="C48:O48"/>
    <mergeCell ref="C49:O49"/>
    <mergeCell ref="C50:O50"/>
    <mergeCell ref="C51:O51"/>
    <mergeCell ref="C52:O52"/>
    <mergeCell ref="C53:O53"/>
    <mergeCell ref="C54:O54"/>
    <mergeCell ref="C55:O55"/>
  </mergeCells>
  <conditionalFormatting sqref="C37:O37">
    <cfRule type="expression" dxfId="7" priority="1">
      <formula>ROUND(C37,3)&lt;&gt;0</formula>
    </cfRule>
  </conditionalFormatting>
  <conditionalFormatting sqref="C38:O38">
    <cfRule type="expression" dxfId="8" priority="2">
      <formula>ROUND(C38,3)&lt;&gt;0</formula>
    </cfRule>
  </conditionalFormatting>
  <conditionalFormatting sqref="B2 O3 G8:H8 J8:L8 C8:E8 G10:H12 J10:L12 B10:E12 G14:H14 J14:L14 C14:E14 B16:E20 G16:H21 J16:L21 C21:E21 G23:H23 J23:L23 B23:E23 C25:E25 G25:H27 J25:L27 B26:E27 C29:E29 G29:H29 J29:L29 C31:E31 G31:H31 J31:L31 G33:H33 J33:L33 C33:E33 B35:E35 G35:H35 J35:L35 G37:H38 J37:L38 B37:E38 B43:C55">
    <cfRule type="expression" dxfId="9" priority="3">
      <formula>$O$3=1</formula>
    </cfRule>
  </conditionalFormatting>
  <printOptions horizontalCentered="1"/>
  <pageMargins left="0.5" right="0.5" top="0.6" bottom="0.7" header="0.3" footer="0.3"/>
  <pageSetup paperSize="1" orientation="landscape" fitToWidth="1" fitToHeight="0"/>
  <headerFooter>
    <oddHeader>&amp;RProject Ridgeline | As of 12/31/25</oddHeader>
    <oddFooter>&amp;LAMB Advisory Services | Strictly confidential&amp;C&amp;A&amp;RPage &amp;P of &amp;N</oddFooter>
  </headerFooter>
  <rowBreaks count="1" manualBreakCount="1">
    <brk id="40"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BH58"/>
  <sheetViews>
    <sheetView workbookViewId="0" showGridLines="0" zoomScale="100">
      <pane xSplit="2" ySplit="6" topLeftCell="C7" activePane="bottomRight" state="frozen"/>
      <selection pane="bottomRight"/>
    </sheetView>
  </sheetViews>
  <sheetFormatPr defaultRowHeight="12.75" outlineLevelRow="0" outlineLevelCol="0" x14ac:dyDescent="55" customHeight="1"/>
  <cols>
    <col min="1" max="1" width="1.7" customWidth="1"/>
    <col min="2" max="2" width="7" customWidth="1"/>
    <col min="3" max="3" width="38" customWidth="1"/>
    <col min="4" max="4" width="11" customWidth="1"/>
    <col min="5" max="5" width="12" customWidth="1"/>
    <col min="6" max="6" width="26" customWidth="1"/>
    <col min="7" max="7" width="16" customWidth="1"/>
    <col min="8" max="8" width="12" customWidth="1"/>
    <col min="10" max="10" width="6" customWidth="1"/>
    <col min="11" max="11" width="8" customWidth="1"/>
    <col min="12" max="12" width="10" customWidth="1"/>
    <col min="13" max="13" width="0.9" customWidth="1"/>
    <col min="14" max="16" width="9.1" customWidth="1"/>
    <col min="17" max="17" width="0.9" customWidth="1"/>
    <col min="18" max="19" width="9.1" customWidth="1"/>
    <col min="20" max="20" width="0.9" customWidth="1"/>
    <col min="21" max="23" width="9.1" customWidth="1"/>
    <col min="24" max="24" width="0.9" customWidth="1"/>
    <col min="25" max="60" width="9.1" outlineLevel="1" collapsed="1" customWidth="1"/>
  </cols>
  <sheetData>
    <row r="2" ht="16.5" customHeight="1" spans="2:2" x14ac:dyDescent="0.25">
      <c r="B2" s="9">
        <f>Cover!B24</f>
      </c>
    </row>
    <row r="3" spans="2:23" x14ac:dyDescent="0.25">
      <c r="B3" s="10" t="s">
        <v>420</v>
      </c>
      <c r="C3" s="11"/>
      <c r="D3" s="11"/>
      <c r="E3" s="11"/>
      <c r="F3" s="11"/>
      <c r="G3" s="11"/>
      <c r="H3" s="11"/>
      <c r="I3" s="11"/>
      <c r="J3" s="11"/>
      <c r="K3" s="11"/>
      <c r="L3" s="11"/>
      <c r="M3" s="11"/>
      <c r="N3" s="11"/>
      <c r="O3" s="11"/>
      <c r="P3" s="11"/>
      <c r="Q3" s="11"/>
      <c r="R3" s="11"/>
      <c r="S3" s="11"/>
      <c r="T3" s="11"/>
      <c r="U3" s="11"/>
      <c r="V3" s="34" t="s">
        <v>80</v>
      </c>
      <c r="W3" s="35">
        <f>'Contents'!$I$18</f>
      </c>
    </row>
    <row r="5" spans="2:60" x14ac:dyDescent="0.25">
      <c r="B5" s="36" t="s">
        <v>421</v>
      </c>
      <c r="C5" s="36"/>
      <c r="D5" s="36"/>
      <c r="E5" s="36"/>
      <c r="F5" s="36"/>
      <c r="G5" s="36"/>
      <c r="H5" s="36"/>
      <c r="I5" s="36"/>
      <c r="J5" s="36"/>
      <c r="K5" s="36"/>
      <c r="L5" s="36"/>
      <c r="N5" s="36" t="s">
        <v>81</v>
      </c>
      <c r="O5" s="36"/>
      <c r="P5" s="36"/>
      <c r="R5" s="36" t="s">
        <v>327</v>
      </c>
      <c r="S5" s="36"/>
      <c r="U5" s="36" t="s">
        <v>82</v>
      </c>
      <c r="V5" s="36"/>
      <c r="W5" s="36" t="s">
        <v>83</v>
      </c>
      <c r="Y5" s="36" t="s">
        <v>422</v>
      </c>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row>
    <row r="6" spans="2:60" x14ac:dyDescent="0.25">
      <c r="B6" s="13" t="s">
        <v>423</v>
      </c>
      <c r="C6" s="13" t="s">
        <v>424</v>
      </c>
      <c r="D6" s="13" t="s">
        <v>425</v>
      </c>
      <c r="E6" s="13" t="s">
        <v>426</v>
      </c>
      <c r="F6" s="13" t="s">
        <v>284</v>
      </c>
      <c r="G6" s="13" t="s">
        <v>427</v>
      </c>
      <c r="H6" s="13" t="s">
        <v>428</v>
      </c>
      <c r="I6" s="13" t="s">
        <v>429</v>
      </c>
      <c r="J6" s="12" t="s">
        <v>430</v>
      </c>
      <c r="K6" s="12" t="s">
        <v>431</v>
      </c>
      <c r="L6" s="12" t="s">
        <v>432</v>
      </c>
      <c r="N6" s="12" t="str">
        <f>"FY"&amp;YEAR(N$58)</f>
        <v>FY2023</v>
      </c>
      <c r="O6" s="12" t="str">
        <f>"FY"&amp;YEAR(O$58)</f>
        <v>FY2024</v>
      </c>
      <c r="P6" s="12" t="str">
        <f>"FY"&amp;YEAR(P$58)</f>
        <v>FY2025</v>
      </c>
      <c r="R6" s="12" t="str">
        <f>TEXT(R$58,"mmm-yy")</f>
        <v>Dec-24</v>
      </c>
      <c r="S6" s="12" t="str">
        <f>TEXT(S$58,"mmm-yy")</f>
        <v>Dec-25</v>
      </c>
      <c r="U6" s="12" t="str">
        <f>TEXT(U$58,"mmm-yy")</f>
        <v>Dec-24</v>
      </c>
      <c r="V6" s="12" t="str">
        <f>TEXT(V$58,"mmm-yy")</f>
        <v>Dec-25</v>
      </c>
      <c r="W6" s="12" t="str">
        <f>TEXT(W$58,"mmm-yy")</f>
        <v>Dec-25</v>
      </c>
      <c r="Y6" s="138">
        <f>'Assumptions'!$C$10</f>
        <v>44927</v>
      </c>
      <c r="Z6" s="138">
        <f>EOMONTH(Y6,0)+1</f>
        <v>44958</v>
      </c>
      <c r="AA6" s="138">
        <f>EOMONTH(Z6,0)+1</f>
        <v>44986</v>
      </c>
      <c r="AB6" s="138">
        <f>EOMONTH(AA6,0)+1</f>
        <v>45017</v>
      </c>
      <c r="AC6" s="138">
        <f>EOMONTH(AB6,0)+1</f>
        <v>45047</v>
      </c>
      <c r="AD6" s="138">
        <f>EOMONTH(AC6,0)+1</f>
        <v>45078</v>
      </c>
      <c r="AE6" s="138">
        <f>EOMONTH(AD6,0)+1</f>
        <v>45108</v>
      </c>
      <c r="AF6" s="138">
        <f>EOMONTH(AE6,0)+1</f>
        <v>45139</v>
      </c>
      <c r="AG6" s="138">
        <f>EOMONTH(AF6,0)+1</f>
        <v>45170</v>
      </c>
      <c r="AH6" s="138">
        <f>EOMONTH(AG6,0)+1</f>
        <v>45200</v>
      </c>
      <c r="AI6" s="138">
        <f>EOMONTH(AH6,0)+1</f>
        <v>45231</v>
      </c>
      <c r="AJ6" s="138">
        <f>EOMONTH(AI6,0)+1</f>
        <v>45261</v>
      </c>
      <c r="AK6" s="138">
        <f>EOMONTH(AJ6,0)+1</f>
        <v>45292</v>
      </c>
      <c r="AL6" s="138">
        <f>EOMONTH(AK6,0)+1</f>
        <v>45323</v>
      </c>
      <c r="AM6" s="138">
        <f>EOMONTH(AL6,0)+1</f>
        <v>45352</v>
      </c>
      <c r="AN6" s="138">
        <f>EOMONTH(AM6,0)+1</f>
        <v>45383</v>
      </c>
      <c r="AO6" s="138">
        <f>EOMONTH(AN6,0)+1</f>
        <v>45413</v>
      </c>
      <c r="AP6" s="138">
        <f>EOMONTH(AO6,0)+1</f>
        <v>45444</v>
      </c>
      <c r="AQ6" s="138">
        <f>EOMONTH(AP6,0)+1</f>
        <v>45474</v>
      </c>
      <c r="AR6" s="138">
        <f>EOMONTH(AQ6,0)+1</f>
        <v>45505</v>
      </c>
      <c r="AS6" s="138">
        <f>EOMONTH(AR6,0)+1</f>
        <v>45536</v>
      </c>
      <c r="AT6" s="138">
        <f>EOMONTH(AS6,0)+1</f>
        <v>45566</v>
      </c>
      <c r="AU6" s="138">
        <f>EOMONTH(AT6,0)+1</f>
        <v>45597</v>
      </c>
      <c r="AV6" s="138">
        <f>EOMONTH(AU6,0)+1</f>
        <v>45627</v>
      </c>
      <c r="AW6" s="138">
        <f>EOMONTH(AV6,0)+1</f>
        <v>45658</v>
      </c>
      <c r="AX6" s="138">
        <f>EOMONTH(AW6,0)+1</f>
        <v>45689</v>
      </c>
      <c r="AY6" s="138">
        <f>EOMONTH(AX6,0)+1</f>
        <v>45717</v>
      </c>
      <c r="AZ6" s="138">
        <f>EOMONTH(AY6,0)+1</f>
        <v>45748</v>
      </c>
      <c r="BA6" s="138">
        <f>EOMONTH(AZ6,0)+1</f>
        <v>45778</v>
      </c>
      <c r="BB6" s="138">
        <f>EOMONTH(BA6,0)+1</f>
        <v>45809</v>
      </c>
      <c r="BC6" s="138">
        <f>EOMONTH(BB6,0)+1</f>
        <v>45839</v>
      </c>
      <c r="BD6" s="138">
        <f>EOMONTH(BC6,0)+1</f>
        <v>45870</v>
      </c>
      <c r="BE6" s="138">
        <f>EOMONTH(BD6,0)+1</f>
        <v>45901</v>
      </c>
      <c r="BF6" s="138">
        <f>EOMONTH(BE6,0)+1</f>
        <v>45931</v>
      </c>
      <c r="BG6" s="138">
        <f>EOMONTH(BF6,0)+1</f>
        <v>45962</v>
      </c>
      <c r="BH6" s="138">
        <f>EOMONTH(BG6,0)+1</f>
        <v>45992</v>
      </c>
    </row>
    <row r="8" spans="2:12" x14ac:dyDescent="0.25">
      <c r="B8" s="28" t="str">
        <f>"["&amp;CHOOSE(MATCH(D8,{"Definitional","Normalization","Owner compensation","Pro forma","Memo"},0),"D","N","S","PF","M")&amp;COUNTIF($D$8:D8,D8)&amp;"]"</f>
        <v>[D1]</v>
      </c>
      <c r="C8" s="24" t="s">
        <v>433</v>
      </c>
      <c r="D8" s="139" t="s">
        <v>434</v>
      </c>
      <c r="E8" s="139" t="s">
        <v>435</v>
      </c>
      <c r="F8" s="24" t="s">
        <v>436</v>
      </c>
      <c r="G8" s="24" t="s">
        <v>437</v>
      </c>
      <c r="H8" s="139" t="s">
        <v>438</v>
      </c>
      <c r="I8" s="140" t="s">
        <v>439</v>
      </c>
      <c r="J8" s="25" t="str">
        <f>IF(I8="Accepted","Yes","No")</f>
        <v>Yes</v>
      </c>
      <c r="K8" s="25" t="s">
        <v>11</v>
      </c>
      <c r="L8" s="24" t="s">
        <v>11</v>
      </c>
    </row>
    <row r="9" spans="2:12" x14ac:dyDescent="0.25">
      <c r="B9" s="28" t="str">
        <f>"["&amp;CHOOSE(MATCH(D9,{"Definitional","Normalization","Owner compensation","Pro forma","Memo"},0),"D","N","S","PF","M")&amp;COUNTIF($D$8:D9,D9)&amp;"]"</f>
        <v>[D2]</v>
      </c>
      <c r="C9" s="24" t="s">
        <v>440</v>
      </c>
      <c r="D9" s="139" t="s">
        <v>434</v>
      </c>
      <c r="E9" s="139" t="s">
        <v>441</v>
      </c>
      <c r="F9" s="24" t="s">
        <v>442</v>
      </c>
      <c r="G9" s="24" t="s">
        <v>443</v>
      </c>
      <c r="H9" s="139" t="s">
        <v>438</v>
      </c>
      <c r="I9" s="140" t="s">
        <v>439</v>
      </c>
      <c r="J9" s="25" t="str">
        <f>IF(I9="Accepted","Yes","No")</f>
        <v>Yes</v>
      </c>
      <c r="K9" s="25" t="s">
        <v>11</v>
      </c>
      <c r="L9" s="24" t="s">
        <v>11</v>
      </c>
    </row>
    <row r="10" spans="2:12" x14ac:dyDescent="0.25">
      <c r="B10" s="28" t="str">
        <f>"["&amp;CHOOSE(MATCH(D10,{"Definitional","Normalization","Owner compensation","Pro forma","Memo"},0),"D","N","S","PF","M")&amp;COUNTIF($D$8:D10,D10)&amp;"]"</f>
        <v>[D3]</v>
      </c>
      <c r="C10" s="24" t="s">
        <v>444</v>
      </c>
      <c r="D10" s="139" t="s">
        <v>434</v>
      </c>
      <c r="E10" s="139" t="s">
        <v>445</v>
      </c>
      <c r="F10" s="24" t="s">
        <v>446</v>
      </c>
      <c r="G10" s="24" t="s">
        <v>447</v>
      </c>
      <c r="H10" s="139" t="s">
        <v>438</v>
      </c>
      <c r="I10" s="140" t="s">
        <v>439</v>
      </c>
      <c r="J10" s="25" t="str">
        <f>IF(I10="Accepted","Yes","No")</f>
        <v>Yes</v>
      </c>
      <c r="K10" s="25" t="s">
        <v>11</v>
      </c>
      <c r="L10" s="24" t="s">
        <v>11</v>
      </c>
    </row>
    <row r="11" spans="2:12" x14ac:dyDescent="0.25">
      <c r="B11" s="141" t="str">
        <f>"["&amp;CHOOSE(MATCH(D11,{"Definitional","Normalization","Owner compensation","Pro forma","Memo"},0),"D","N","S","PF","M")&amp;COUNTIF($D$8:D11,D11)&amp;"]"</f>
        <v>[N1]</v>
      </c>
      <c r="C11" s="142" t="s">
        <v>448</v>
      </c>
      <c r="D11" s="143" t="s">
        <v>449</v>
      </c>
      <c r="E11" s="143" t="s">
        <v>450</v>
      </c>
      <c r="F11" s="142" t="s">
        <v>451</v>
      </c>
      <c r="G11" s="142" t="s">
        <v>452</v>
      </c>
      <c r="H11" s="143" t="s">
        <v>453</v>
      </c>
      <c r="I11" s="144" t="s">
        <v>439</v>
      </c>
      <c r="J11" s="145" t="str">
        <f>IF(I11="Accepted","Yes","No")</f>
        <v>Yes</v>
      </c>
      <c r="K11" s="145" t="s">
        <v>11</v>
      </c>
      <c r="L11" s="142" t="s">
        <v>11</v>
      </c>
    </row>
    <row r="12" spans="2:12" x14ac:dyDescent="0.25">
      <c r="B12" s="28" t="str">
        <f>"["&amp;CHOOSE(MATCH(D12,{"Definitional","Normalization","Owner compensation","Pro forma","Memo"},0),"D","N","S","PF","M")&amp;COUNTIF($D$8:D12,D12)&amp;"]"</f>
        <v>[N2]</v>
      </c>
      <c r="C12" s="24" t="s">
        <v>454</v>
      </c>
      <c r="D12" s="139" t="s">
        <v>449</v>
      </c>
      <c r="E12" s="139" t="s">
        <v>455</v>
      </c>
      <c r="F12" s="24" t="s">
        <v>456</v>
      </c>
      <c r="G12" s="24" t="s">
        <v>457</v>
      </c>
      <c r="H12" s="139" t="s">
        <v>438</v>
      </c>
      <c r="I12" s="140" t="s">
        <v>439</v>
      </c>
      <c r="J12" s="25" t="str">
        <f>IF(I12="Accepted","Yes","No")</f>
        <v>Yes</v>
      </c>
      <c r="K12" s="25" t="s">
        <v>11</v>
      </c>
      <c r="L12" s="24" t="s">
        <v>11</v>
      </c>
    </row>
    <row r="13" spans="2:12" x14ac:dyDescent="0.25">
      <c r="B13" s="28" t="str">
        <f>"["&amp;CHOOSE(MATCH(D13,{"Definitional","Normalization","Owner compensation","Pro forma","Memo"},0),"D","N","S","PF","M")&amp;COUNTIF($D$8:D13,D13)&amp;"]"</f>
        <v>[N3]</v>
      </c>
      <c r="C13" s="24" t="s">
        <v>458</v>
      </c>
      <c r="D13" s="139" t="s">
        <v>449</v>
      </c>
      <c r="E13" s="139" t="s">
        <v>450</v>
      </c>
      <c r="F13" s="24" t="s">
        <v>459</v>
      </c>
      <c r="G13" s="24" t="s">
        <v>460</v>
      </c>
      <c r="H13" s="139" t="s">
        <v>453</v>
      </c>
      <c r="I13" s="140" t="s">
        <v>439</v>
      </c>
      <c r="J13" s="25" t="str">
        <f>IF(I13="Accepted","Yes","No")</f>
        <v>Yes</v>
      </c>
      <c r="K13" s="25" t="s">
        <v>11</v>
      </c>
      <c r="L13" s="24" t="s">
        <v>11</v>
      </c>
    </row>
    <row r="14" spans="2:12" x14ac:dyDescent="0.25">
      <c r="B14" s="28" t="str">
        <f>"["&amp;CHOOSE(MATCH(D14,{"Definitional","Normalization","Owner compensation","Pro forma","Memo"},0),"D","N","S","PF","M")&amp;COUNTIF($D$8:D14,D14)&amp;"]"</f>
        <v>[N4]</v>
      </c>
      <c r="C14" s="24" t="s">
        <v>461</v>
      </c>
      <c r="D14" s="139" t="s">
        <v>449</v>
      </c>
      <c r="E14" s="139" t="s">
        <v>450</v>
      </c>
      <c r="F14" s="24" t="s">
        <v>462</v>
      </c>
      <c r="G14" s="24" t="s">
        <v>463</v>
      </c>
      <c r="H14" s="139" t="s">
        <v>438</v>
      </c>
      <c r="I14" s="140" t="s">
        <v>439</v>
      </c>
      <c r="J14" s="25" t="str">
        <f>IF(I14="Accepted","Yes","No")</f>
        <v>Yes</v>
      </c>
      <c r="K14" s="25" t="s">
        <v>11</v>
      </c>
      <c r="L14" s="24" t="s">
        <v>11</v>
      </c>
    </row>
    <row r="15" spans="2:12" x14ac:dyDescent="0.25">
      <c r="B15" s="28" t="str">
        <f>"["&amp;CHOOSE(MATCH(D15,{"Definitional","Normalization","Owner compensation","Pro forma","Memo"},0),"D","N","S","PF","M")&amp;COUNTIF($D$8:D15,D15)&amp;"]"</f>
        <v>[N5]</v>
      </c>
      <c r="C15" s="24" t="s">
        <v>464</v>
      </c>
      <c r="D15" s="139" t="s">
        <v>449</v>
      </c>
      <c r="E15" s="139" t="s">
        <v>465</v>
      </c>
      <c r="F15" s="24" t="s">
        <v>466</v>
      </c>
      <c r="G15" s="24" t="s">
        <v>467</v>
      </c>
      <c r="H15" s="139" t="s">
        <v>438</v>
      </c>
      <c r="I15" s="140" t="s">
        <v>439</v>
      </c>
      <c r="J15" s="25" t="str">
        <f>IF(I15="Accepted","Yes","No")</f>
        <v>Yes</v>
      </c>
      <c r="K15" s="25" t="s">
        <v>11</v>
      </c>
      <c r="L15" s="24" t="s">
        <v>11</v>
      </c>
    </row>
    <row r="16" spans="2:12" x14ac:dyDescent="0.25">
      <c r="B16" s="28" t="str">
        <f>"["&amp;CHOOSE(MATCH(D16,{"Definitional","Normalization","Owner compensation","Pro forma","Memo"},0),"D","N","S","PF","M")&amp;COUNTIF($D$8:D16,D16)&amp;"]"</f>
        <v>[N6]</v>
      </c>
      <c r="C16" s="24" t="s">
        <v>468</v>
      </c>
      <c r="D16" s="139" t="s">
        <v>449</v>
      </c>
      <c r="E16" s="139" t="s">
        <v>450</v>
      </c>
      <c r="F16" s="24" t="s">
        <v>469</v>
      </c>
      <c r="G16" s="24" t="s">
        <v>470</v>
      </c>
      <c r="H16" s="139" t="s">
        <v>471</v>
      </c>
      <c r="I16" s="140" t="s">
        <v>472</v>
      </c>
      <c r="J16" s="25" t="str">
        <f>IF(I16="Accepted","Yes","No")</f>
        <v>No</v>
      </c>
      <c r="K16" s="25" t="s">
        <v>11</v>
      </c>
      <c r="L16" s="24" t="s">
        <v>11</v>
      </c>
    </row>
    <row r="17" spans="2:12" x14ac:dyDescent="0.25">
      <c r="B17" s="28" t="str">
        <f>"["&amp;CHOOSE(MATCH(D17,{"Definitional","Normalization","Owner compensation","Pro forma","Memo"},0),"D","N","S","PF","M")&amp;COUNTIF($D$8:D17,D17)&amp;"]"</f>
        <v>[N7]</v>
      </c>
      <c r="C17" s="24" t="s">
        <v>473</v>
      </c>
      <c r="D17" s="139" t="s">
        <v>449</v>
      </c>
      <c r="E17" s="139" t="s">
        <v>450</v>
      </c>
      <c r="F17" s="24" t="s">
        <v>474</v>
      </c>
      <c r="G17" s="24" t="s">
        <v>475</v>
      </c>
      <c r="H17" s="139" t="s">
        <v>471</v>
      </c>
      <c r="I17" s="140" t="s">
        <v>472</v>
      </c>
      <c r="J17" s="25" t="str">
        <f>IF(I17="Accepted","Yes","No")</f>
        <v>No</v>
      </c>
      <c r="K17" s="25" t="s">
        <v>11</v>
      </c>
      <c r="L17" s="24" t="s">
        <v>11</v>
      </c>
    </row>
    <row r="18" spans="2:12" x14ac:dyDescent="0.25">
      <c r="B18" s="28" t="str">
        <f>"["&amp;CHOOSE(MATCH(D18,{"Definitional","Normalization","Owner compensation","Pro forma","Memo"},0),"D","N","S","PF","M")&amp;COUNTIF($D$8:D18,D18)&amp;"]"</f>
        <v>[N8]</v>
      </c>
      <c r="C18" s="24" t="s">
        <v>476</v>
      </c>
      <c r="D18" s="139" t="s">
        <v>449</v>
      </c>
      <c r="E18" s="139" t="s">
        <v>450</v>
      </c>
      <c r="F18" s="24" t="s">
        <v>477</v>
      </c>
      <c r="G18" s="24" t="s">
        <v>478</v>
      </c>
      <c r="H18" s="139" t="s">
        <v>471</v>
      </c>
      <c r="I18" s="140" t="s">
        <v>472</v>
      </c>
      <c r="J18" s="25" t="str">
        <f>IF(I18="Accepted","Yes","No")</f>
        <v>No</v>
      </c>
      <c r="K18" s="25" t="s">
        <v>11</v>
      </c>
      <c r="L18" s="24" t="s">
        <v>11</v>
      </c>
    </row>
    <row r="19" spans="2:12" x14ac:dyDescent="0.25">
      <c r="B19" s="28" t="str">
        <f>"["&amp;CHOOSE(MATCH(D19,{"Definitional","Normalization","Owner compensation","Pro forma","Memo"},0),"D","N","S","PF","M")&amp;COUNTIF($D$8:D19,D19)&amp;"]"</f>
        <v>[N9]</v>
      </c>
      <c r="C19" s="24" t="s">
        <v>479</v>
      </c>
      <c r="D19" s="139" t="s">
        <v>449</v>
      </c>
      <c r="E19" s="139" t="s">
        <v>450</v>
      </c>
      <c r="F19" s="24" t="s">
        <v>480</v>
      </c>
      <c r="G19" s="24" t="s">
        <v>481</v>
      </c>
      <c r="H19" s="139" t="s">
        <v>471</v>
      </c>
      <c r="I19" s="140" t="s">
        <v>472</v>
      </c>
      <c r="J19" s="25" t="str">
        <f>IF(I19="Accepted","Yes","No")</f>
        <v>No</v>
      </c>
      <c r="K19" s="25" t="s">
        <v>11</v>
      </c>
      <c r="L19" s="24" t="s">
        <v>11</v>
      </c>
    </row>
    <row r="20" spans="2:12" x14ac:dyDescent="0.25">
      <c r="B20" s="141" t="str">
        <f>"["&amp;CHOOSE(MATCH(D20,{"Definitional","Normalization","Owner compensation","Pro forma","Memo"},0),"D","N","S","PF","M")&amp;COUNTIF($D$8:D20,D20)&amp;"]"</f>
        <v>[S1]</v>
      </c>
      <c r="C20" s="142" t="s">
        <v>482</v>
      </c>
      <c r="D20" s="143" t="s">
        <v>482</v>
      </c>
      <c r="E20" s="143" t="s">
        <v>482</v>
      </c>
      <c r="F20" s="142" t="s">
        <v>483</v>
      </c>
      <c r="G20" s="142" t="s">
        <v>484</v>
      </c>
      <c r="H20" s="143" t="s">
        <v>438</v>
      </c>
      <c r="I20" s="144" t="s">
        <v>439</v>
      </c>
      <c r="J20" s="145" t="str">
        <f>IF(I20="Accepted","Yes","No")</f>
        <v>Yes</v>
      </c>
      <c r="K20" s="145" t="s">
        <v>11</v>
      </c>
      <c r="L20" s="142" t="s">
        <v>11</v>
      </c>
    </row>
    <row r="21" spans="2:12" x14ac:dyDescent="0.25">
      <c r="B21" s="28" t="str">
        <f>"["&amp;CHOOSE(MATCH(D21,{"Definitional","Normalization","Owner compensation","Pro forma","Memo"},0),"D","N","S","PF","M")&amp;COUNTIF($D$8:D21,D21)&amp;"]"</f>
        <v>[S2]</v>
      </c>
      <c r="C21" s="24" t="s">
        <v>485</v>
      </c>
      <c r="D21" s="139" t="s">
        <v>482</v>
      </c>
      <c r="E21" s="139" t="s">
        <v>486</v>
      </c>
      <c r="F21" s="24" t="s">
        <v>487</v>
      </c>
      <c r="G21" s="24" t="s">
        <v>488</v>
      </c>
      <c r="H21" s="139" t="s">
        <v>453</v>
      </c>
      <c r="I21" s="140" t="s">
        <v>439</v>
      </c>
      <c r="J21" s="25" t="str">
        <f>IF(I21="Accepted","Yes","No")</f>
        <v>Yes</v>
      </c>
      <c r="K21" s="25" t="s">
        <v>11</v>
      </c>
      <c r="L21" s="24" t="s">
        <v>11</v>
      </c>
    </row>
    <row r="22" spans="2:12" x14ac:dyDescent="0.25">
      <c r="B22" s="28" t="str">
        <f>"["&amp;CHOOSE(MATCH(D22,{"Definitional","Normalization","Owner compensation","Pro forma","Memo"},0),"D","N","S","PF","M")&amp;COUNTIF($D$8:D22,D22)&amp;"]"</f>
        <v>[S3]</v>
      </c>
      <c r="C22" s="24" t="s">
        <v>489</v>
      </c>
      <c r="D22" s="139" t="s">
        <v>482</v>
      </c>
      <c r="E22" s="139" t="s">
        <v>490</v>
      </c>
      <c r="F22" s="24" t="s">
        <v>491</v>
      </c>
      <c r="G22" s="24" t="s">
        <v>492</v>
      </c>
      <c r="H22" s="139" t="s">
        <v>438</v>
      </c>
      <c r="I22" s="140" t="s">
        <v>439</v>
      </c>
      <c r="J22" s="25" t="str">
        <f>IF(I22="Accepted","Yes","No")</f>
        <v>Yes</v>
      </c>
      <c r="K22" s="25" t="s">
        <v>11</v>
      </c>
      <c r="L22" s="24" t="s">
        <v>11</v>
      </c>
    </row>
    <row r="23" spans="2:12" x14ac:dyDescent="0.25">
      <c r="B23" s="28" t="str">
        <f>"["&amp;CHOOSE(MATCH(D23,{"Definitional","Normalization","Owner compensation","Pro forma","Memo"},0),"D","N","S","PF","M")&amp;COUNTIF($D$8:D23,D23)&amp;"]"</f>
        <v>[S4]</v>
      </c>
      <c r="C23" s="24" t="s">
        <v>493</v>
      </c>
      <c r="D23" s="139" t="s">
        <v>482</v>
      </c>
      <c r="E23" s="139" t="s">
        <v>482</v>
      </c>
      <c r="F23" s="24" t="s">
        <v>494</v>
      </c>
      <c r="G23" s="24" t="s">
        <v>495</v>
      </c>
      <c r="H23" s="139" t="s">
        <v>471</v>
      </c>
      <c r="I23" s="140" t="s">
        <v>439</v>
      </c>
      <c r="J23" s="25" t="str">
        <f>IF(I23="Accepted","Yes","No")</f>
        <v>Yes</v>
      </c>
      <c r="K23" s="25" t="s">
        <v>11</v>
      </c>
      <c r="L23" s="24" t="s">
        <v>11</v>
      </c>
    </row>
    <row r="24" spans="2:12" x14ac:dyDescent="0.25">
      <c r="B24" s="141" t="str">
        <f>"["&amp;CHOOSE(MATCH(D24,{"Definitional","Normalization","Owner compensation","Pro forma","Memo"},0),"D","N","S","PF","M")&amp;COUNTIF($D$8:D24,D24)&amp;"]"</f>
        <v>[M1]</v>
      </c>
      <c r="C24" s="142" t="s">
        <v>496</v>
      </c>
      <c r="D24" s="143" t="s">
        <v>497</v>
      </c>
      <c r="E24" s="143" t="s">
        <v>498</v>
      </c>
      <c r="F24" s="142" t="s">
        <v>499</v>
      </c>
      <c r="G24" s="142" t="s">
        <v>500</v>
      </c>
      <c r="H24" s="143" t="s">
        <v>453</v>
      </c>
      <c r="I24" s="144" t="s">
        <v>472</v>
      </c>
      <c r="J24" s="145" t="str">
        <f>IF(I24="Accepted","Yes","No")</f>
        <v>No</v>
      </c>
      <c r="K24" s="145" t="s">
        <v>11</v>
      </c>
      <c r="L24" s="142" t="s">
        <v>11</v>
      </c>
    </row>
    <row r="26" ht="36.5" customHeight="1" spans="2:12" x14ac:dyDescent="0.25">
      <c r="B26" s="60" t="s">
        <v>501</v>
      </c>
      <c r="C26" s="60"/>
      <c r="D26" s="60"/>
      <c r="E26" s="60"/>
      <c r="F26" s="60"/>
      <c r="G26" s="60"/>
      <c r="H26" s="60"/>
      <c r="I26" s="60"/>
      <c r="J26" s="60"/>
      <c r="K26" s="60"/>
      <c r="L26" s="60"/>
    </row>
    <row r="28" spans="3:3" x14ac:dyDescent="0.25">
      <c r="C28" s="136" t="s">
        <v>502</v>
      </c>
    </row>
    <row r="29" spans="2:60" x14ac:dyDescent="0.25">
      <c r="B29" s="146" t="str">
        <f>B8</f>
        <v>[D1]</v>
      </c>
      <c r="C29" s="147" t="str">
        <f>C8</f>
        <v>Interest expense</v>
      </c>
      <c r="D29" s="148" t="str">
        <f>D8</f>
        <v>Definitional</v>
      </c>
      <c r="E29" s="148" t="str">
        <f>E8</f>
        <v>Interest</v>
      </c>
      <c r="I29" s="149" t="str">
        <f>I8</f>
        <v>Accepted</v>
      </c>
      <c r="N29" s="150">
        <f>SUMIFS($Y29:$BH29,$Y$6:$BH$6,"&gt;="&amp;N$57,$Y$6:$BH$6,"&lt;="&amp;N$58)</f>
        <v>22.4</v>
      </c>
      <c r="O29" s="150">
        <f>SUMIFS($Y29:$BH29,$Y$6:$BH$6,"&gt;="&amp;O$57,$Y$6:$BH$6,"&lt;="&amp;O$58)</f>
        <v>18.6</v>
      </c>
      <c r="P29" s="150">
        <f>SUMIFS($Y29:$BH29,$Y$6:$BH$6,"&gt;="&amp;P$57,$Y$6:$BH$6,"&lt;="&amp;P$58)</f>
        <v>14.3</v>
      </c>
      <c r="R29" s="150">
        <f>SUMIFS($Y29:$BH29,$Y$6:$BH$6,"&gt;="&amp;R$57,$Y$6:$BH$6,"&lt;="&amp;R$58)</f>
        <v>18.6</v>
      </c>
      <c r="S29" s="150">
        <f>SUMIFS($Y29:$BH29,$Y$6:$BH$6,"&gt;="&amp;S$57,$Y$6:$BH$6,"&lt;="&amp;S$58)</f>
        <v>14.3</v>
      </c>
      <c r="U29" s="150">
        <f>SUMIFS($Y29:$BH29,$Y$6:$BH$6,"&gt;="&amp;U$57,$Y$6:$BH$6,"&lt;="&amp;U$58)</f>
        <v>18.6</v>
      </c>
      <c r="V29" s="150">
        <f>SUMIFS($Y29:$BH29,$Y$6:$BH$6,"&gt;="&amp;V$57,$Y$6:$BH$6,"&lt;="&amp;V$58)</f>
        <v>14.3</v>
      </c>
      <c r="W29" s="150">
        <f>SUMIFS($Y29:$BH29,$Y$6:$BH$6,"&gt;="&amp;W$57,$Y$6:$BH$6,"&lt;="&amp;W$58)</f>
        <v>14.3</v>
      </c>
      <c r="Y29" s="151">
        <f>'Monthly P&amp;L'!Q38</f>
        <v>2.074</v>
      </c>
      <c r="Z29" s="151">
        <f>'Monthly P&amp;L'!R38</f>
        <v>2.036</v>
      </c>
      <c r="AA29" s="151">
        <f>'Monthly P&amp;L'!S38</f>
        <v>1.999</v>
      </c>
      <c r="AB29" s="151">
        <f>'Monthly P&amp;L'!T38</f>
        <v>1.961</v>
      </c>
      <c r="AC29" s="151">
        <f>'Monthly P&amp;L'!U38</f>
        <v>1.923</v>
      </c>
      <c r="AD29" s="151">
        <f>'Monthly P&amp;L'!V38</f>
        <v>1.886</v>
      </c>
      <c r="AE29" s="151">
        <f>'Monthly P&amp;L'!W38</f>
        <v>1.848</v>
      </c>
      <c r="AF29" s="151">
        <f>'Monthly P&amp;L'!X38</f>
        <v>1.81</v>
      </c>
      <c r="AG29" s="151">
        <f>'Monthly P&amp;L'!Y38</f>
        <v>1.772</v>
      </c>
      <c r="AH29" s="151">
        <f>'Monthly P&amp;L'!Z38</f>
        <v>1.735</v>
      </c>
      <c r="AI29" s="151">
        <f>'Monthly P&amp;L'!AA38</f>
        <v>1.697</v>
      </c>
      <c r="AJ29" s="151">
        <f>'Monthly P&amp;L'!AB38</f>
        <v>1.659</v>
      </c>
      <c r="AK29" s="151">
        <f>'Monthly P&amp;L'!AC38</f>
        <v>1.722</v>
      </c>
      <c r="AL29" s="151">
        <f>'Monthly P&amp;L'!AD38</f>
        <v>1.691</v>
      </c>
      <c r="AM29" s="151">
        <f>'Monthly P&amp;L'!AE38</f>
        <v>1.66</v>
      </c>
      <c r="AN29" s="151">
        <f>'Monthly P&amp;L'!AF38</f>
        <v>1.628</v>
      </c>
      <c r="AO29" s="151">
        <f>'Monthly P&amp;L'!AG38</f>
        <v>1.597</v>
      </c>
      <c r="AP29" s="151">
        <f>'Monthly P&amp;L'!AH38</f>
        <v>1.566</v>
      </c>
      <c r="AQ29" s="151">
        <f>'Monthly P&amp;L'!AI38</f>
        <v>1.534</v>
      </c>
      <c r="AR29" s="151">
        <f>'Monthly P&amp;L'!AJ38</f>
        <v>1.503</v>
      </c>
      <c r="AS29" s="151">
        <f>'Monthly P&amp;L'!AK38</f>
        <v>1.472</v>
      </c>
      <c r="AT29" s="151">
        <f>'Monthly P&amp;L'!AL38</f>
        <v>1.44</v>
      </c>
      <c r="AU29" s="151">
        <f>'Monthly P&amp;L'!AM38</f>
        <v>1.409</v>
      </c>
      <c r="AV29" s="151">
        <f>'Monthly P&amp;L'!AN38</f>
        <v>1.378</v>
      </c>
      <c r="AW29" s="151">
        <f>'Monthly P&amp;L'!AO38</f>
        <v>1.324</v>
      </c>
      <c r="AX29" s="151">
        <f>'Monthly P&amp;L'!AP38</f>
        <v>1.3</v>
      </c>
      <c r="AY29" s="151">
        <f>'Monthly P&amp;L'!AQ38</f>
        <v>1.276</v>
      </c>
      <c r="AZ29" s="151">
        <f>'Monthly P&amp;L'!AR38</f>
        <v>1.252</v>
      </c>
      <c r="BA29" s="151">
        <f>'Monthly P&amp;L'!AS38</f>
        <v>1.228</v>
      </c>
      <c r="BB29" s="151">
        <f>'Monthly P&amp;L'!AT38</f>
        <v>1.204</v>
      </c>
      <c r="BC29" s="151">
        <f>'Monthly P&amp;L'!AU38</f>
        <v>1.18</v>
      </c>
      <c r="BD29" s="151">
        <f>'Monthly P&amp;L'!AV38</f>
        <v>1.156</v>
      </c>
      <c r="BE29" s="151">
        <f>'Monthly P&amp;L'!AW38</f>
        <v>1.131</v>
      </c>
      <c r="BF29" s="151">
        <f>'Monthly P&amp;L'!AX38</f>
        <v>1.107</v>
      </c>
      <c r="BG29" s="151">
        <f>'Monthly P&amp;L'!AY38</f>
        <v>1.083</v>
      </c>
      <c r="BH29" s="151">
        <f>'Monthly P&amp;L'!AZ38</f>
        <v>1.059</v>
      </c>
    </row>
    <row r="30" spans="2:60" x14ac:dyDescent="0.25">
      <c r="B30" s="146" t="str">
        <f>B9</f>
        <v>[D2]</v>
      </c>
      <c r="C30" s="147" t="str">
        <f>C9</f>
        <v>Income taxes</v>
      </c>
      <c r="D30" s="148" t="str">
        <f>D9</f>
        <v>Definitional</v>
      </c>
      <c r="E30" s="148" t="str">
        <f>E9</f>
        <v>Taxes</v>
      </c>
      <c r="I30" s="149" t="str">
        <f>I9</f>
        <v>Accepted</v>
      </c>
      <c r="N30" s="150">
        <f>SUMIFS($Y30:$BH30,$Y$6:$BH$6,"&gt;="&amp;N$57,$Y$6:$BH$6,"&lt;="&amp;N$58)</f>
        <v>0</v>
      </c>
      <c r="O30" s="150">
        <f>SUMIFS($Y30:$BH30,$Y$6:$BH$6,"&gt;="&amp;O$57,$Y$6:$BH$6,"&lt;="&amp;O$58)</f>
        <v>0</v>
      </c>
      <c r="P30" s="150">
        <f>SUMIFS($Y30:$BH30,$Y$6:$BH$6,"&gt;="&amp;P$57,$Y$6:$BH$6,"&lt;="&amp;P$58)</f>
        <v>0</v>
      </c>
      <c r="R30" s="150">
        <f>SUMIFS($Y30:$BH30,$Y$6:$BH$6,"&gt;="&amp;R$57,$Y$6:$BH$6,"&lt;="&amp;R$58)</f>
        <v>0</v>
      </c>
      <c r="S30" s="150">
        <f>SUMIFS($Y30:$BH30,$Y$6:$BH$6,"&gt;="&amp;S$57,$Y$6:$BH$6,"&lt;="&amp;S$58)</f>
        <v>0</v>
      </c>
      <c r="U30" s="150">
        <f>SUMIFS($Y30:$BH30,$Y$6:$BH$6,"&gt;="&amp;U$57,$Y$6:$BH$6,"&lt;="&amp;U$58)</f>
        <v>0</v>
      </c>
      <c r="V30" s="150">
        <f>SUMIFS($Y30:$BH30,$Y$6:$BH$6,"&gt;="&amp;V$57,$Y$6:$BH$6,"&lt;="&amp;V$58)</f>
        <v>0</v>
      </c>
      <c r="W30" s="150">
        <f>SUMIFS($Y30:$BH30,$Y$6:$BH$6,"&gt;="&amp;W$57,$Y$6:$BH$6,"&lt;="&amp;W$58)</f>
        <v>0</v>
      </c>
      <c r="Y30" s="151">
        <f>'Monthly P&amp;L'!Q41</f>
        <v>0</v>
      </c>
      <c r="Z30" s="151">
        <f>'Monthly P&amp;L'!R41</f>
        <v>0</v>
      </c>
      <c r="AA30" s="151">
        <f>'Monthly P&amp;L'!S41</f>
        <v>0</v>
      </c>
      <c r="AB30" s="151">
        <f>'Monthly P&amp;L'!T41</f>
        <v>0</v>
      </c>
      <c r="AC30" s="151">
        <f>'Monthly P&amp;L'!U41</f>
        <v>0</v>
      </c>
      <c r="AD30" s="151">
        <f>'Monthly P&amp;L'!V41</f>
        <v>0</v>
      </c>
      <c r="AE30" s="151">
        <f>'Monthly P&amp;L'!W41</f>
        <v>0</v>
      </c>
      <c r="AF30" s="151">
        <f>'Monthly P&amp;L'!X41</f>
        <v>0</v>
      </c>
      <c r="AG30" s="151">
        <f>'Monthly P&amp;L'!Y41</f>
        <v>0</v>
      </c>
      <c r="AH30" s="151">
        <f>'Monthly P&amp;L'!Z41</f>
        <v>0</v>
      </c>
      <c r="AI30" s="151">
        <f>'Monthly P&amp;L'!AA41</f>
        <v>0</v>
      </c>
      <c r="AJ30" s="151">
        <f>'Monthly P&amp;L'!AB41</f>
        <v>0</v>
      </c>
      <c r="AK30" s="151">
        <f>'Monthly P&amp;L'!AC41</f>
        <v>0</v>
      </c>
      <c r="AL30" s="151">
        <f>'Monthly P&amp;L'!AD41</f>
        <v>0</v>
      </c>
      <c r="AM30" s="151">
        <f>'Monthly P&amp;L'!AE41</f>
        <v>0</v>
      </c>
      <c r="AN30" s="151">
        <f>'Monthly P&amp;L'!AF41</f>
        <v>0</v>
      </c>
      <c r="AO30" s="151">
        <f>'Monthly P&amp;L'!AG41</f>
        <v>0</v>
      </c>
      <c r="AP30" s="151">
        <f>'Monthly P&amp;L'!AH41</f>
        <v>0</v>
      </c>
      <c r="AQ30" s="151">
        <f>'Monthly P&amp;L'!AI41</f>
        <v>0</v>
      </c>
      <c r="AR30" s="151">
        <f>'Monthly P&amp;L'!AJ41</f>
        <v>0</v>
      </c>
      <c r="AS30" s="151">
        <f>'Monthly P&amp;L'!AK41</f>
        <v>0</v>
      </c>
      <c r="AT30" s="151">
        <f>'Monthly P&amp;L'!AL41</f>
        <v>0</v>
      </c>
      <c r="AU30" s="151">
        <f>'Monthly P&amp;L'!AM41</f>
        <v>0</v>
      </c>
      <c r="AV30" s="151">
        <f>'Monthly P&amp;L'!AN41</f>
        <v>0</v>
      </c>
      <c r="AW30" s="151">
        <f>'Monthly P&amp;L'!AO41</f>
        <v>0</v>
      </c>
      <c r="AX30" s="151">
        <f>'Monthly P&amp;L'!AP41</f>
        <v>0</v>
      </c>
      <c r="AY30" s="151">
        <f>'Monthly P&amp;L'!AQ41</f>
        <v>0</v>
      </c>
      <c r="AZ30" s="151">
        <f>'Monthly P&amp;L'!AR41</f>
        <v>0</v>
      </c>
      <c r="BA30" s="151">
        <f>'Monthly P&amp;L'!AS41</f>
        <v>0</v>
      </c>
      <c r="BB30" s="151">
        <f>'Monthly P&amp;L'!AT41</f>
        <v>0</v>
      </c>
      <c r="BC30" s="151">
        <f>'Monthly P&amp;L'!AU41</f>
        <v>0</v>
      </c>
      <c r="BD30" s="151">
        <f>'Monthly P&amp;L'!AV41</f>
        <v>0</v>
      </c>
      <c r="BE30" s="151">
        <f>'Monthly P&amp;L'!AW41</f>
        <v>0</v>
      </c>
      <c r="BF30" s="151">
        <f>'Monthly P&amp;L'!AX41</f>
        <v>0</v>
      </c>
      <c r="BG30" s="151">
        <f>'Monthly P&amp;L'!AY41</f>
        <v>0</v>
      </c>
      <c r="BH30" s="151">
        <f>'Monthly P&amp;L'!AZ41</f>
        <v>0</v>
      </c>
    </row>
    <row r="31" spans="2:60" x14ac:dyDescent="0.25">
      <c r="B31" s="146" t="str">
        <f>B10</f>
        <v>[D3]</v>
      </c>
      <c r="C31" s="147" t="str">
        <f>C10</f>
        <v>Depreciation and amortization</v>
      </c>
      <c r="D31" s="148" t="str">
        <f>D10</f>
        <v>Definitional</v>
      </c>
      <c r="E31" s="148" t="str">
        <f>E10</f>
        <v>D&amp;A</v>
      </c>
      <c r="I31" s="149" t="str">
        <f>I10</f>
        <v>Accepted</v>
      </c>
      <c r="N31" s="150">
        <f>SUMIFS($Y31:$BH31,$Y$6:$BH$6,"&gt;="&amp;N$57,$Y$6:$BH$6,"&lt;="&amp;N$58)</f>
        <v>61.2</v>
      </c>
      <c r="O31" s="150">
        <f>SUMIFS($Y31:$BH31,$Y$6:$BH$6,"&gt;="&amp;O$57,$Y$6:$BH$6,"&lt;="&amp;O$58)</f>
        <v>66.8</v>
      </c>
      <c r="P31" s="150">
        <f>SUMIFS($Y31:$BH31,$Y$6:$BH$6,"&gt;="&amp;P$57,$Y$6:$BH$6,"&lt;="&amp;P$58)</f>
        <v>72.4</v>
      </c>
      <c r="R31" s="150">
        <f>SUMIFS($Y31:$BH31,$Y$6:$BH$6,"&gt;="&amp;R$57,$Y$6:$BH$6,"&lt;="&amp;R$58)</f>
        <v>66.8</v>
      </c>
      <c r="S31" s="150">
        <f>SUMIFS($Y31:$BH31,$Y$6:$BH$6,"&gt;="&amp;S$57,$Y$6:$BH$6,"&lt;="&amp;S$58)</f>
        <v>72.4</v>
      </c>
      <c r="U31" s="150">
        <f>SUMIFS($Y31:$BH31,$Y$6:$BH$6,"&gt;="&amp;U$57,$Y$6:$BH$6,"&lt;="&amp;U$58)</f>
        <v>66.8</v>
      </c>
      <c r="V31" s="150">
        <f>SUMIFS($Y31:$BH31,$Y$6:$BH$6,"&gt;="&amp;V$57,$Y$6:$BH$6,"&lt;="&amp;V$58)</f>
        <v>72.4</v>
      </c>
      <c r="W31" s="150">
        <f>SUMIFS($Y31:$BH31,$Y$6:$BH$6,"&gt;="&amp;W$57,$Y$6:$BH$6,"&lt;="&amp;W$58)</f>
        <v>72.4</v>
      </c>
      <c r="Y31" s="151">
        <f>'Monthly P&amp;L'!Q35</f>
        <v>5.1</v>
      </c>
      <c r="Z31" s="151">
        <f>'Monthly P&amp;L'!R35</f>
        <v>5.1</v>
      </c>
      <c r="AA31" s="151">
        <f>'Monthly P&amp;L'!S35</f>
        <v>5.1</v>
      </c>
      <c r="AB31" s="151">
        <f>'Monthly P&amp;L'!T35</f>
        <v>5.1</v>
      </c>
      <c r="AC31" s="151">
        <f>'Monthly P&amp;L'!U35</f>
        <v>5.1</v>
      </c>
      <c r="AD31" s="151">
        <f>'Monthly P&amp;L'!V35</f>
        <v>5.1</v>
      </c>
      <c r="AE31" s="151">
        <f>'Monthly P&amp;L'!W35</f>
        <v>5.1</v>
      </c>
      <c r="AF31" s="151">
        <f>'Monthly P&amp;L'!X35</f>
        <v>5.1</v>
      </c>
      <c r="AG31" s="151">
        <f>'Monthly P&amp;L'!Y35</f>
        <v>5.1</v>
      </c>
      <c r="AH31" s="151">
        <f>'Monthly P&amp;L'!Z35</f>
        <v>5.1</v>
      </c>
      <c r="AI31" s="151">
        <f>'Monthly P&amp;L'!AA35</f>
        <v>5.1</v>
      </c>
      <c r="AJ31" s="151">
        <f>'Monthly P&amp;L'!AB35</f>
        <v>5.1</v>
      </c>
      <c r="AK31" s="151">
        <f>'Monthly P&amp;L'!AC35</f>
        <v>5.567</v>
      </c>
      <c r="AL31" s="151">
        <f>'Monthly P&amp;L'!AD35</f>
        <v>5.567</v>
      </c>
      <c r="AM31" s="151">
        <f>'Monthly P&amp;L'!AE35</f>
        <v>5.567</v>
      </c>
      <c r="AN31" s="151">
        <f>'Monthly P&amp;L'!AF35</f>
        <v>5.567</v>
      </c>
      <c r="AO31" s="151">
        <f>'Monthly P&amp;L'!AG35</f>
        <v>5.567</v>
      </c>
      <c r="AP31" s="151">
        <f>'Monthly P&amp;L'!AH35</f>
        <v>5.567</v>
      </c>
      <c r="AQ31" s="151">
        <f>'Monthly P&amp;L'!AI35</f>
        <v>5.567</v>
      </c>
      <c r="AR31" s="151">
        <f>'Monthly P&amp;L'!AJ35</f>
        <v>5.567</v>
      </c>
      <c r="AS31" s="151">
        <f>'Monthly P&amp;L'!AK35</f>
        <v>5.566</v>
      </c>
      <c r="AT31" s="151">
        <f>'Monthly P&amp;L'!AL35</f>
        <v>5.566</v>
      </c>
      <c r="AU31" s="151">
        <f>'Monthly P&amp;L'!AM35</f>
        <v>5.566</v>
      </c>
      <c r="AV31" s="151">
        <f>'Monthly P&amp;L'!AN35</f>
        <v>5.566</v>
      </c>
      <c r="AW31" s="151">
        <f>'Monthly P&amp;L'!AO35</f>
        <v>6.034</v>
      </c>
      <c r="AX31" s="151">
        <f>'Monthly P&amp;L'!AP35</f>
        <v>6.034</v>
      </c>
      <c r="AY31" s="151">
        <f>'Monthly P&amp;L'!AQ35</f>
        <v>6.034</v>
      </c>
      <c r="AZ31" s="151">
        <f>'Monthly P&amp;L'!AR35</f>
        <v>6.034</v>
      </c>
      <c r="BA31" s="151">
        <f>'Monthly P&amp;L'!AS35</f>
        <v>6.033</v>
      </c>
      <c r="BB31" s="151">
        <f>'Monthly P&amp;L'!AT35</f>
        <v>6.033</v>
      </c>
      <c r="BC31" s="151">
        <f>'Monthly P&amp;L'!AU35</f>
        <v>6.033</v>
      </c>
      <c r="BD31" s="151">
        <f>'Monthly P&amp;L'!AV35</f>
        <v>6.033</v>
      </c>
      <c r="BE31" s="151">
        <f>'Monthly P&amp;L'!AW35</f>
        <v>6.033</v>
      </c>
      <c r="BF31" s="151">
        <f>'Monthly P&amp;L'!AX35</f>
        <v>6.033</v>
      </c>
      <c r="BG31" s="151">
        <f>'Monthly P&amp;L'!AY35</f>
        <v>6.033</v>
      </c>
      <c r="BH31" s="151">
        <f>'Monthly P&amp;L'!AZ35</f>
        <v>6.033</v>
      </c>
    </row>
    <row r="32" spans="2:60" x14ac:dyDescent="0.25">
      <c r="B32" s="152" t="str">
        <f>B11</f>
        <v>[N1]</v>
      </c>
      <c r="C32" s="153" t="str">
        <f>C11</f>
        <v>Owner's personal vehicle</v>
      </c>
      <c r="D32" s="148" t="str">
        <f>D11</f>
        <v>Normalization</v>
      </c>
      <c r="E32" s="148" t="str">
        <f>E11</f>
        <v>Personal / discretionary</v>
      </c>
      <c r="I32" s="149" t="str">
        <f>I11</f>
        <v>Accepted</v>
      </c>
      <c r="N32" s="154">
        <v>16</v>
      </c>
      <c r="O32" s="154">
        <v>17</v>
      </c>
      <c r="P32" s="154">
        <v>18</v>
      </c>
      <c r="Q32" s="3"/>
      <c r="R32" s="155">
        <f>SUMIFS($Y32:$BH32,$Y$6:$BH$6,"&gt;="&amp;R$57,$Y$6:$BH$6,"&lt;="&amp;R$58)</f>
        <v>17</v>
      </c>
      <c r="S32" s="155">
        <f>SUMIFS($Y32:$BH32,$Y$6:$BH$6,"&gt;="&amp;S$57,$Y$6:$BH$6,"&lt;="&amp;S$58)</f>
        <v>18</v>
      </c>
      <c r="T32" s="3"/>
      <c r="U32" s="155">
        <f>SUMIFS($Y32:$BH32,$Y$6:$BH$6,"&gt;="&amp;U$57,$Y$6:$BH$6,"&lt;="&amp;U$58)</f>
        <v>17</v>
      </c>
      <c r="V32" s="155">
        <f>SUMIFS($Y32:$BH32,$Y$6:$BH$6,"&gt;="&amp;V$57,$Y$6:$BH$6,"&lt;="&amp;V$58)</f>
        <v>18</v>
      </c>
      <c r="W32" s="155">
        <f>SUMIFS($Y32:$BH32,$Y$6:$BH$6,"&gt;="&amp;W$57,$Y$6:$BH$6,"&lt;="&amp;W$58)</f>
        <v>18</v>
      </c>
      <c r="X32" s="3"/>
      <c r="Y32" s="156">
        <f>IFERROR((SUMIFS('Databook'!$Q$8:$Q$33,'Databook'!$B$8:$B$33,"Vehicle Expenses"))*N32/(SUMIFS('Databook'!$I$8:$I$33,'Databook'!$B$8:$B$33,"Vehicle Expenses")),N32/12)</f>
        <v>1.226606334841629</v>
      </c>
      <c r="Z32" s="156">
        <f>IFERROR((SUMIFS('Databook'!$R$8:$R$33,'Databook'!$B$8:$B$33,"Vehicle Expenses"))*N32/(SUMIFS('Databook'!$I$8:$I$33,'Databook'!$B$8:$B$33,"Vehicle Expenses")),N32/12)</f>
        <v>1.2</v>
      </c>
      <c r="AA32" s="156">
        <f>IFERROR((SUMIFS('Databook'!$S$8:$S$33,'Databook'!$B$8:$B$33,"Vehicle Expenses"))*N32/(SUMIFS('Databook'!$I$8:$I$33,'Databook'!$B$8:$B$33,"Vehicle Expenses")),N32/12)</f>
        <v>1.266606334841629</v>
      </c>
      <c r="AB32" s="156">
        <f>IFERROR((SUMIFS('Databook'!$T$8:$T$33,'Databook'!$B$8:$B$33,"Vehicle Expenses"))*N32/(SUMIFS('Databook'!$I$8:$I$33,'Databook'!$B$8:$B$33,"Vehicle Expenses")),N32/12)</f>
        <v>1.306606334841629</v>
      </c>
      <c r="AC32" s="156">
        <f>IFERROR((SUMIFS('Databook'!$U$8:$U$33,'Databook'!$B$8:$B$33,"Vehicle Expenses"))*N32/(SUMIFS('Databook'!$I$8:$I$33,'Databook'!$B$8:$B$33,"Vehicle Expenses")),N32/12)</f>
        <v>1.36</v>
      </c>
      <c r="AD32" s="156">
        <f>IFERROR((SUMIFS('Databook'!$V$8:$V$33,'Databook'!$B$8:$B$33,"Vehicle Expenses"))*N32/(SUMIFS('Databook'!$I$8:$I$33,'Databook'!$B$8:$B$33,"Vehicle Expenses")),N32/12)</f>
        <v>1.466787330316742</v>
      </c>
      <c r="AE32" s="156">
        <f>IFERROR((SUMIFS('Databook'!$W$8:$W$33,'Databook'!$B$8:$B$33,"Vehicle Expenses"))*N32/(SUMIFS('Databook'!$I$8:$I$33,'Databook'!$B$8:$B$33,"Vehicle Expenses")),N32/12)</f>
        <v>1.533393665158371</v>
      </c>
      <c r="AF32" s="156">
        <f>IFERROR((SUMIFS('Databook'!$X$8:$X$33,'Databook'!$B$8:$B$33,"Vehicle Expenses"))*N32/(SUMIFS('Databook'!$I$8:$I$33,'Databook'!$B$8:$B$33,"Vehicle Expenses")),N32/12)</f>
        <v>1.466606334841629</v>
      </c>
      <c r="AG32" s="156">
        <f>IFERROR((SUMIFS('Databook'!$Y$8:$Y$33,'Databook'!$B$8:$B$33,"Vehicle Expenses"))*N32/(SUMIFS('Databook'!$I$8:$I$33,'Databook'!$B$8:$B$33,"Vehicle Expenses")),N32/12)</f>
        <v>1.36</v>
      </c>
      <c r="AH32" s="156">
        <f>IFERROR((SUMIFS('Databook'!$Z$8:$Z$33,'Databook'!$B$8:$B$33,"Vehicle Expenses"))*N32/(SUMIFS('Databook'!$I$8:$I$33,'Databook'!$B$8:$B$33,"Vehicle Expenses")),N32/12)</f>
        <v>1.28</v>
      </c>
      <c r="AI32" s="156">
        <f>IFERROR((SUMIFS('Databook'!$AA$8:$AA$33,'Databook'!$B$8:$B$33,"Vehicle Expenses"))*N32/(SUMIFS('Databook'!$I$8:$I$33,'Databook'!$B$8:$B$33,"Vehicle Expenses")),N32/12)</f>
        <v>1.253393665158371</v>
      </c>
      <c r="AJ32" s="156">
        <f>IFERROR((SUMIFS('Databook'!$AB$8:$AB$33,'Databook'!$B$8:$B$33,"Vehicle Expenses"))*N32/(SUMIFS('Databook'!$I$8:$I$33,'Databook'!$B$8:$B$33,"Vehicle Expenses")),N32/12)</f>
        <v>1.28</v>
      </c>
      <c r="AK32" s="156">
        <f>IFERROR((SUMIFS('Databook'!$AC$8:$AC$33,'Databook'!$B$8:$B$33,"Vehicle Expenses"))*O32/(SUMIFS('Databook'!$J$8:$J$33,'Databook'!$B$8:$B$33,"Vehicle Expenses")),O32/12)</f>
        <v>1.3032734952481522</v>
      </c>
      <c r="AL32" s="156">
        <f>IFERROR((SUMIFS('Databook'!$AD$8:$AD$33,'Databook'!$B$8:$B$33,"Vehicle Expenses"))*O32/(SUMIFS('Databook'!$J$8:$J$33,'Databook'!$B$8:$B$33,"Vehicle Expenses")),O32/12)</f>
        <v>1.274910242872228</v>
      </c>
      <c r="AM32" s="156">
        <f>IFERROR((SUMIFS('Databook'!$AE$8:$AE$33,'Databook'!$B$8:$B$33,"Vehicle Expenses"))*O32/(SUMIFS('Databook'!$J$8:$J$33,'Databook'!$B$8:$B$33,"Vehicle Expenses")),O32/12)</f>
        <v>1.3458183738120382</v>
      </c>
      <c r="AN32" s="156">
        <f>IFERROR((SUMIFS('Databook'!$AF$8:$AF$33,'Databook'!$B$8:$B$33,"Vehicle Expenses"))*O32/(SUMIFS('Databook'!$J$8:$J$33,'Databook'!$B$8:$B$33,"Vehicle Expenses")),O32/12)</f>
        <v>1.388363252375924</v>
      </c>
      <c r="AO32" s="156">
        <f>IFERROR((SUMIFS('Databook'!$AG$8:$AG$33,'Databook'!$B$8:$B$33,"Vehicle Expenses"))*O32/(SUMIFS('Databook'!$J$8:$J$33,'Databook'!$B$8:$B$33,"Vehicle Expenses")),O32/12)</f>
        <v>1.4450897571277719</v>
      </c>
      <c r="AP32" s="156">
        <f>IFERROR((SUMIFS('Databook'!$AH$8:$AH$33,'Databook'!$B$8:$B$33,"Vehicle Expenses"))*O32/(SUMIFS('Databook'!$J$8:$J$33,'Databook'!$B$8:$B$33,"Vehicle Expenses")),O32/12)</f>
        <v>1.558363252375924</v>
      </c>
      <c r="AQ32" s="156">
        <f>IFERROR((SUMIFS('Databook'!$AI$8:$AI$33,'Databook'!$B$8:$B$33,"Vehicle Expenses"))*O32/(SUMIFS('Databook'!$J$8:$J$33,'Databook'!$B$8:$B$33,"Vehicle Expenses")),O32/12)</f>
        <v>1.62909186906019</v>
      </c>
      <c r="AR32" s="156">
        <f>IFERROR((SUMIFS('Databook'!$AJ$8:$AJ$33,'Databook'!$B$8:$B$33,"Vehicle Expenses"))*O32/(SUMIFS('Databook'!$J$8:$J$33,'Databook'!$B$8:$B$33,"Vehicle Expenses")),O32/12)</f>
        <v>1.558363252375924</v>
      </c>
      <c r="AS32" s="156">
        <f>IFERROR((SUMIFS('Databook'!$AK$8:$AK$33,'Databook'!$B$8:$B$33,"Vehicle Expenses"))*O32/(SUMIFS('Databook'!$J$8:$J$33,'Databook'!$B$8:$B$33,"Vehicle Expenses")),O32/12)</f>
        <v>1.4450897571277719</v>
      </c>
      <c r="AT32" s="156">
        <f>IFERROR((SUMIFS('Databook'!$AL$8:$AL$33,'Databook'!$B$8:$B$33,"Vehicle Expenses"))*O32/(SUMIFS('Databook'!$J$8:$J$33,'Databook'!$B$8:$B$33,"Vehicle Expenses")),O32/12)</f>
        <v>1.36</v>
      </c>
      <c r="AU32" s="156">
        <f>IFERROR((SUMIFS('Databook'!$AM$8:$AM$33,'Databook'!$B$8:$B$33,"Vehicle Expenses"))*O32/(SUMIFS('Databook'!$J$8:$J$33,'Databook'!$B$8:$B$33,"Vehicle Expenses")),O32/12)</f>
        <v>1.331636747624076</v>
      </c>
      <c r="AV32" s="156">
        <f>IFERROR((SUMIFS('Databook'!$AN$8:$AN$33,'Databook'!$B$8:$B$33,"Vehicle Expenses"))*O32/(SUMIFS('Databook'!$J$8:$J$33,'Databook'!$B$8:$B$33,"Vehicle Expenses")),O32/12)</f>
        <v>1.36</v>
      </c>
      <c r="AW32" s="156">
        <f>IFERROR((SUMIFS('Databook'!$AO$8:$AO$33,'Databook'!$B$8:$B$33,"Vehicle Expenses"))*P32/(SUMIFS('Databook'!$K$8:$K$33,'Databook'!$B$8:$B$33,"Vehicle Expenses")),P32/12)</f>
        <v>1.3800592885375496</v>
      </c>
      <c r="AX32" s="156">
        <f>IFERROR((SUMIFS('Databook'!$AP$8:$AP$33,'Databook'!$B$8:$B$33,"Vehicle Expenses"))*P32/(SUMIFS('Databook'!$K$8:$K$33,'Databook'!$B$8:$B$33,"Vehicle Expenses")),P32/12)</f>
        <v>1.35</v>
      </c>
      <c r="AY32" s="156">
        <f>IFERROR((SUMIFS('Databook'!$AQ$8:$AQ$33,'Databook'!$B$8:$B$33,"Vehicle Expenses"))*P32/(SUMIFS('Databook'!$K$8:$K$33,'Databook'!$B$8:$B$33,"Vehicle Expenses")),P32/12)</f>
        <v>1.4248814229249012</v>
      </c>
      <c r="AZ32" s="156">
        <f>IFERROR((SUMIFS('Databook'!$AR$8:$AR$33,'Databook'!$B$8:$B$33,"Vehicle Expenses"))*P32/(SUMIFS('Databook'!$K$8:$K$33,'Databook'!$B$8:$B$33,"Vehicle Expenses")),P32/12)</f>
        <v>1.4700592885375494</v>
      </c>
      <c r="BA32" s="156">
        <f>IFERROR((SUMIFS('Databook'!$AS$8:$AS$33,'Databook'!$B$8:$B$33,"Vehicle Expenses"))*P32/(SUMIFS('Databook'!$K$8:$K$33,'Databook'!$B$8:$B$33,"Vehicle Expenses")),P32/12)</f>
        <v>1.53</v>
      </c>
      <c r="BB32" s="156">
        <f>IFERROR((SUMIFS('Databook'!$AT$8:$AT$33,'Databook'!$B$8:$B$33,"Vehicle Expenses"))*P32/(SUMIFS('Databook'!$K$8:$K$33,'Databook'!$B$8:$B$33,"Vehicle Expenses")),P32/12)</f>
        <v>1.6500592885375496</v>
      </c>
      <c r="BC32" s="156">
        <f>IFERROR((SUMIFS('Databook'!$AU$8:$AU$33,'Databook'!$B$8:$B$33,"Vehicle Expenses"))*P32/(SUMIFS('Databook'!$K$8:$K$33,'Databook'!$B$8:$B$33,"Vehicle Expenses")),P32/12)</f>
        <v>1.7249407114624504</v>
      </c>
      <c r="BD32" s="156">
        <f>IFERROR((SUMIFS('Databook'!$AV$8:$AV$33,'Databook'!$B$8:$B$33,"Vehicle Expenses"))*P32/(SUMIFS('Databook'!$K$8:$K$33,'Databook'!$B$8:$B$33,"Vehicle Expenses")),P32/12)</f>
        <v>1.6500592885375496</v>
      </c>
      <c r="BE32" s="156">
        <f>IFERROR((SUMIFS('Databook'!$AW$8:$AW$33,'Databook'!$B$8:$B$33,"Vehicle Expenses"))*P32/(SUMIFS('Databook'!$K$8:$K$33,'Databook'!$B$8:$B$33,"Vehicle Expenses")),P32/12)</f>
        <v>1.53</v>
      </c>
      <c r="BF32" s="156">
        <f>IFERROR((SUMIFS('Databook'!$AX$8:$AX$33,'Databook'!$B$8:$B$33,"Vehicle Expenses"))*P32/(SUMIFS('Databook'!$K$8:$K$33,'Databook'!$B$8:$B$33,"Vehicle Expenses")),P32/12)</f>
        <v>1.44</v>
      </c>
      <c r="BG32" s="156">
        <f>IFERROR((SUMIFS('Databook'!$AY$8:$AY$33,'Databook'!$B$8:$B$33,"Vehicle Expenses"))*P32/(SUMIFS('Databook'!$K$8:$K$33,'Databook'!$B$8:$B$33,"Vehicle Expenses")),P32/12)</f>
        <v>1.4099407114624505</v>
      </c>
      <c r="BH32" s="156">
        <f>IFERROR((SUMIFS('Databook'!$AZ$8:$AZ$33,'Databook'!$B$8:$B$33,"Vehicle Expenses"))*P32/(SUMIFS('Databook'!$K$8:$K$33,'Databook'!$B$8:$B$33,"Vehicle Expenses")),P32/12)</f>
        <v>1.44</v>
      </c>
    </row>
    <row r="33" spans="2:60" x14ac:dyDescent="0.25">
      <c r="B33" s="146" t="str">
        <f>B12</f>
        <v>[N2]</v>
      </c>
      <c r="C33" s="147" t="str">
        <f>C12</f>
        <v>Legal fees: settled customer dispute</v>
      </c>
      <c r="D33" s="148" t="str">
        <f>D12</f>
        <v>Normalization</v>
      </c>
      <c r="E33" s="148" t="str">
        <f>E12</f>
        <v>Non-recurring</v>
      </c>
      <c r="I33" s="149" t="str">
        <f>I12</f>
        <v>Accepted</v>
      </c>
      <c r="N33" s="150">
        <f>SUMIFS($Y33:$BH33,$Y$6:$BH$6,"&gt;="&amp;N$57,$Y$6:$BH$6,"&lt;="&amp;N$58)</f>
        <v>0</v>
      </c>
      <c r="O33" s="150">
        <f>SUMIFS($Y33:$BH33,$Y$6:$BH$6,"&gt;="&amp;O$57,$Y$6:$BH$6,"&lt;="&amp;O$58)</f>
        <v>24</v>
      </c>
      <c r="P33" s="150">
        <f>SUMIFS($Y33:$BH33,$Y$6:$BH$6,"&gt;="&amp;P$57,$Y$6:$BH$6,"&lt;="&amp;P$58)</f>
        <v>0</v>
      </c>
      <c r="R33" s="150">
        <f>SUMIFS($Y33:$BH33,$Y$6:$BH$6,"&gt;="&amp;R$57,$Y$6:$BH$6,"&lt;="&amp;R$58)</f>
        <v>24</v>
      </c>
      <c r="S33" s="150">
        <f>SUMIFS($Y33:$BH33,$Y$6:$BH$6,"&gt;="&amp;S$57,$Y$6:$BH$6,"&lt;="&amp;S$58)</f>
        <v>0</v>
      </c>
      <c r="U33" s="150">
        <f>SUMIFS($Y33:$BH33,$Y$6:$BH$6,"&gt;="&amp;U$57,$Y$6:$BH$6,"&lt;="&amp;U$58)</f>
        <v>24</v>
      </c>
      <c r="V33" s="150">
        <f>SUMIFS($Y33:$BH33,$Y$6:$BH$6,"&gt;="&amp;V$57,$Y$6:$BH$6,"&lt;="&amp;V$58)</f>
        <v>0</v>
      </c>
      <c r="W33" s="150">
        <f>SUMIFS($Y33:$BH33,$Y$6:$BH$6,"&gt;="&amp;W$57,$Y$6:$BH$6,"&lt;="&amp;W$58)</f>
        <v>0</v>
      </c>
      <c r="Y33" s="114">
        <v>0</v>
      </c>
      <c r="Z33" s="114">
        <v>0</v>
      </c>
      <c r="AA33" s="114">
        <v>0</v>
      </c>
      <c r="AB33" s="114">
        <v>0</v>
      </c>
      <c r="AC33" s="114">
        <v>0</v>
      </c>
      <c r="AD33" s="114">
        <v>0</v>
      </c>
      <c r="AE33" s="114">
        <v>0</v>
      </c>
      <c r="AF33" s="114">
        <v>0</v>
      </c>
      <c r="AG33" s="114">
        <v>0</v>
      </c>
      <c r="AH33" s="114">
        <v>0</v>
      </c>
      <c r="AI33" s="114">
        <v>0</v>
      </c>
      <c r="AJ33" s="114">
        <v>0</v>
      </c>
      <c r="AK33" s="114">
        <v>0</v>
      </c>
      <c r="AL33" s="114">
        <v>0</v>
      </c>
      <c r="AM33" s="114">
        <v>0</v>
      </c>
      <c r="AN33" s="114">
        <v>0</v>
      </c>
      <c r="AO33" s="114">
        <v>0</v>
      </c>
      <c r="AP33" s="114">
        <v>12</v>
      </c>
      <c r="AQ33" s="114">
        <v>12</v>
      </c>
      <c r="AR33" s="114">
        <v>0</v>
      </c>
      <c r="AS33" s="114">
        <v>0</v>
      </c>
      <c r="AT33" s="114">
        <v>0</v>
      </c>
      <c r="AU33" s="114">
        <v>0</v>
      </c>
      <c r="AV33" s="114">
        <v>0</v>
      </c>
      <c r="AW33" s="114">
        <v>0</v>
      </c>
      <c r="AX33" s="114">
        <v>0</v>
      </c>
      <c r="AY33" s="114">
        <v>0</v>
      </c>
      <c r="AZ33" s="114">
        <v>0</v>
      </c>
      <c r="BA33" s="114">
        <v>0</v>
      </c>
      <c r="BB33" s="114">
        <v>0</v>
      </c>
      <c r="BC33" s="114">
        <v>0</v>
      </c>
      <c r="BD33" s="114">
        <v>0</v>
      </c>
      <c r="BE33" s="114">
        <v>0</v>
      </c>
      <c r="BF33" s="114">
        <v>0</v>
      </c>
      <c r="BG33" s="114">
        <v>0</v>
      </c>
      <c r="BH33" s="114">
        <v>0</v>
      </c>
    </row>
    <row r="34" spans="2:60" x14ac:dyDescent="0.25">
      <c r="B34" s="146" t="str">
        <f>B13</f>
        <v>[N3]</v>
      </c>
      <c r="C34" s="147" t="str">
        <f>C13</f>
        <v>Owner family phones and meals</v>
      </c>
      <c r="D34" s="148" t="str">
        <f>D13</f>
        <v>Normalization</v>
      </c>
      <c r="E34" s="148" t="str">
        <f>E13</f>
        <v>Personal / discretionary</v>
      </c>
      <c r="I34" s="149" t="str">
        <f>I13</f>
        <v>Accepted</v>
      </c>
      <c r="N34" s="114">
        <v>0</v>
      </c>
      <c r="O34" s="114">
        <v>0</v>
      </c>
      <c r="P34" s="114">
        <v>6</v>
      </c>
      <c r="R34" s="150">
        <f>SUMIFS($Y34:$BH34,$Y$6:$BH$6,"&gt;="&amp;R$57,$Y$6:$BH$6,"&lt;="&amp;R$58)</f>
        <v>0</v>
      </c>
      <c r="S34" s="150">
        <f>SUMIFS($Y34:$BH34,$Y$6:$BH$6,"&gt;="&amp;S$57,$Y$6:$BH$6,"&lt;="&amp;S$58)</f>
        <v>6</v>
      </c>
      <c r="U34" s="150">
        <f>SUMIFS($Y34:$BH34,$Y$6:$BH$6,"&gt;="&amp;U$57,$Y$6:$BH$6,"&lt;="&amp;U$58)</f>
        <v>0</v>
      </c>
      <c r="V34" s="150">
        <f>SUMIFS($Y34:$BH34,$Y$6:$BH$6,"&gt;="&amp;V$57,$Y$6:$BH$6,"&lt;="&amp;V$58)</f>
        <v>6</v>
      </c>
      <c r="W34" s="150">
        <f>SUMIFS($Y34:$BH34,$Y$6:$BH$6,"&gt;="&amp;W$57,$Y$6:$BH$6,"&lt;="&amp;W$58)</f>
        <v>6</v>
      </c>
      <c r="Y34" s="150">
        <f>N34/12</f>
        <v>0</v>
      </c>
      <c r="Z34" s="150">
        <f>N34/12</f>
        <v>0</v>
      </c>
      <c r="AA34" s="150">
        <f>N34/12</f>
        <v>0</v>
      </c>
      <c r="AB34" s="150">
        <f>N34/12</f>
        <v>0</v>
      </c>
      <c r="AC34" s="150">
        <f>N34/12</f>
        <v>0</v>
      </c>
      <c r="AD34" s="150">
        <f>N34/12</f>
        <v>0</v>
      </c>
      <c r="AE34" s="150">
        <f>N34/12</f>
        <v>0</v>
      </c>
      <c r="AF34" s="150">
        <f>N34/12</f>
        <v>0</v>
      </c>
      <c r="AG34" s="150">
        <f>N34/12</f>
        <v>0</v>
      </c>
      <c r="AH34" s="150">
        <f>N34/12</f>
        <v>0</v>
      </c>
      <c r="AI34" s="150">
        <f>N34/12</f>
        <v>0</v>
      </c>
      <c r="AJ34" s="150">
        <f>N34/12</f>
        <v>0</v>
      </c>
      <c r="AK34" s="150">
        <f>O34/12</f>
        <v>0</v>
      </c>
      <c r="AL34" s="150">
        <f>O34/12</f>
        <v>0</v>
      </c>
      <c r="AM34" s="150">
        <f>O34/12</f>
        <v>0</v>
      </c>
      <c r="AN34" s="150">
        <f>O34/12</f>
        <v>0</v>
      </c>
      <c r="AO34" s="150">
        <f>O34/12</f>
        <v>0</v>
      </c>
      <c r="AP34" s="150">
        <f>O34/12</f>
        <v>0</v>
      </c>
      <c r="AQ34" s="150">
        <f>O34/12</f>
        <v>0</v>
      </c>
      <c r="AR34" s="150">
        <f>O34/12</f>
        <v>0</v>
      </c>
      <c r="AS34" s="150">
        <f>O34/12</f>
        <v>0</v>
      </c>
      <c r="AT34" s="150">
        <f>O34/12</f>
        <v>0</v>
      </c>
      <c r="AU34" s="150">
        <f>O34/12</f>
        <v>0</v>
      </c>
      <c r="AV34" s="150">
        <f>O34/12</f>
        <v>0</v>
      </c>
      <c r="AW34" s="150">
        <f>P34/12</f>
        <v>0.5</v>
      </c>
      <c r="AX34" s="150">
        <f>P34/12</f>
        <v>0.5</v>
      </c>
      <c r="AY34" s="150">
        <f>P34/12</f>
        <v>0.5</v>
      </c>
      <c r="AZ34" s="150">
        <f>P34/12</f>
        <v>0.5</v>
      </c>
      <c r="BA34" s="150">
        <f>P34/12</f>
        <v>0.5</v>
      </c>
      <c r="BB34" s="150">
        <f>P34/12</f>
        <v>0.5</v>
      </c>
      <c r="BC34" s="150">
        <f>P34/12</f>
        <v>0.5</v>
      </c>
      <c r="BD34" s="150">
        <f>P34/12</f>
        <v>0.5</v>
      </c>
      <c r="BE34" s="150">
        <f>P34/12</f>
        <v>0.5</v>
      </c>
      <c r="BF34" s="150">
        <f>P34/12</f>
        <v>0.5</v>
      </c>
      <c r="BG34" s="150">
        <f>P34/12</f>
        <v>0.5</v>
      </c>
      <c r="BH34" s="150">
        <f>P34/12</f>
        <v>0.5</v>
      </c>
    </row>
    <row r="35" spans="2:60" x14ac:dyDescent="0.25">
      <c r="B35" s="146" t="str">
        <f>B14</f>
        <v>[N4]</v>
      </c>
      <c r="C35" s="147" t="str">
        <f>C14</f>
        <v>Charitable contributions</v>
      </c>
      <c r="D35" s="148" t="str">
        <f>D14</f>
        <v>Normalization</v>
      </c>
      <c r="E35" s="148" t="str">
        <f>E14</f>
        <v>Personal / discretionary</v>
      </c>
      <c r="I35" s="149" t="str">
        <f>I14</f>
        <v>Accepted</v>
      </c>
      <c r="N35" s="114">
        <v>5</v>
      </c>
      <c r="O35" s="114">
        <v>6</v>
      </c>
      <c r="P35" s="114">
        <v>7.5</v>
      </c>
      <c r="R35" s="150">
        <f>SUMIFS($Y35:$BH35,$Y$6:$BH$6,"&gt;="&amp;R$57,$Y$6:$BH$6,"&lt;="&amp;R$58)</f>
        <v>6</v>
      </c>
      <c r="S35" s="150">
        <f>SUMIFS($Y35:$BH35,$Y$6:$BH$6,"&gt;="&amp;S$57,$Y$6:$BH$6,"&lt;="&amp;S$58)</f>
        <v>7.5</v>
      </c>
      <c r="U35" s="150">
        <f>SUMIFS($Y35:$BH35,$Y$6:$BH$6,"&gt;="&amp;U$57,$Y$6:$BH$6,"&lt;="&amp;U$58)</f>
        <v>6</v>
      </c>
      <c r="V35" s="150">
        <f>SUMIFS($Y35:$BH35,$Y$6:$BH$6,"&gt;="&amp;V$57,$Y$6:$BH$6,"&lt;="&amp;V$58)</f>
        <v>7.5</v>
      </c>
      <c r="W35" s="150">
        <f>SUMIFS($Y35:$BH35,$Y$6:$BH$6,"&gt;="&amp;W$57,$Y$6:$BH$6,"&lt;="&amp;W$58)</f>
        <v>7.5</v>
      </c>
      <c r="Y35" s="151">
        <f>IFERROR((SUMIFS('Databook'!$Q$8:$Q$33,'Databook'!$B$8:$B$33,"Charitable Contributions"))*N35/(SUMIFS('Databook'!$I$8:$I$33,'Databook'!$B$8:$B$33,"Charitable Contributions")),N35/12)</f>
        <v>0.209</v>
      </c>
      <c r="Z35" s="151">
        <f>IFERROR((SUMIFS('Databook'!$R$8:$R$33,'Databook'!$B$8:$B$33,"Charitable Contributions"))*N35/(SUMIFS('Databook'!$I$8:$I$33,'Databook'!$B$8:$B$33,"Charitable Contributions")),N35/12)</f>
        <v>0.209</v>
      </c>
      <c r="AA35" s="151">
        <f>IFERROR((SUMIFS('Databook'!$S$8:$S$33,'Databook'!$B$8:$B$33,"Charitable Contributions"))*N35/(SUMIFS('Databook'!$I$8:$I$33,'Databook'!$B$8:$B$33,"Charitable Contributions")),N35/12)</f>
        <v>0.209</v>
      </c>
      <c r="AB35" s="151">
        <f>IFERROR((SUMIFS('Databook'!$T$8:$T$33,'Databook'!$B$8:$B$33,"Charitable Contributions"))*N35/(SUMIFS('Databook'!$I$8:$I$33,'Databook'!$B$8:$B$33,"Charitable Contributions")),N35/12)</f>
        <v>0.208</v>
      </c>
      <c r="AC35" s="151">
        <f>IFERROR((SUMIFS('Databook'!$U$8:$U$33,'Databook'!$B$8:$B$33,"Charitable Contributions"))*N35/(SUMIFS('Databook'!$I$8:$I$33,'Databook'!$B$8:$B$33,"Charitable Contributions")),N35/12)</f>
        <v>0.208</v>
      </c>
      <c r="AD35" s="151">
        <f>IFERROR((SUMIFS('Databook'!$V$8:$V$33,'Databook'!$B$8:$B$33,"Charitable Contributions"))*N35/(SUMIFS('Databook'!$I$8:$I$33,'Databook'!$B$8:$B$33,"Charitable Contributions")),N35/12)</f>
        <v>0.208</v>
      </c>
      <c r="AE35" s="151">
        <f>IFERROR((SUMIFS('Databook'!$W$8:$W$33,'Databook'!$B$8:$B$33,"Charitable Contributions"))*N35/(SUMIFS('Databook'!$I$8:$I$33,'Databook'!$B$8:$B$33,"Charitable Contributions")),N35/12)</f>
        <v>0.208</v>
      </c>
      <c r="AF35" s="151">
        <f>IFERROR((SUMIFS('Databook'!$X$8:$X$33,'Databook'!$B$8:$B$33,"Charitable Contributions"))*N35/(SUMIFS('Databook'!$I$8:$I$33,'Databook'!$B$8:$B$33,"Charitable Contributions")),N35/12)</f>
        <v>0.208</v>
      </c>
      <c r="AG35" s="151">
        <f>IFERROR((SUMIFS('Databook'!$Y$8:$Y$33,'Databook'!$B$8:$B$33,"Charitable Contributions"))*N35/(SUMIFS('Databook'!$I$8:$I$33,'Databook'!$B$8:$B$33,"Charitable Contributions")),N35/12)</f>
        <v>0.208</v>
      </c>
      <c r="AH35" s="151">
        <f>IFERROR((SUMIFS('Databook'!$Z$8:$Z$33,'Databook'!$B$8:$B$33,"Charitable Contributions"))*N35/(SUMIFS('Databook'!$I$8:$I$33,'Databook'!$B$8:$B$33,"Charitable Contributions")),N35/12)</f>
        <v>0.208</v>
      </c>
      <c r="AI35" s="151">
        <f>IFERROR((SUMIFS('Databook'!$AA$8:$AA$33,'Databook'!$B$8:$B$33,"Charitable Contributions"))*N35/(SUMIFS('Databook'!$I$8:$I$33,'Databook'!$B$8:$B$33,"Charitable Contributions")),N35/12)</f>
        <v>0.417</v>
      </c>
      <c r="AJ35" s="151">
        <f>IFERROR((SUMIFS('Databook'!$AB$8:$AB$33,'Databook'!$B$8:$B$33,"Charitable Contributions"))*N35/(SUMIFS('Databook'!$I$8:$I$33,'Databook'!$B$8:$B$33,"Charitable Contributions")),N35/12)</f>
        <v>2.5</v>
      </c>
      <c r="AK35" s="151">
        <f>IFERROR((SUMIFS('Databook'!$AC$8:$AC$33,'Databook'!$B$8:$B$33,"Charitable Contributions"))*O35/(SUMIFS('Databook'!$J$8:$J$33,'Databook'!$B$8:$B$33,"Charitable Contributions")),O35/12)</f>
        <v>0.25</v>
      </c>
      <c r="AL35" s="151">
        <f>IFERROR((SUMIFS('Databook'!$AD$8:$AD$33,'Databook'!$B$8:$B$33,"Charitable Contributions"))*O35/(SUMIFS('Databook'!$J$8:$J$33,'Databook'!$B$8:$B$33,"Charitable Contributions")),O35/12)</f>
        <v>0.25</v>
      </c>
      <c r="AM35" s="151">
        <f>IFERROR((SUMIFS('Databook'!$AE$8:$AE$33,'Databook'!$B$8:$B$33,"Charitable Contributions"))*O35/(SUMIFS('Databook'!$J$8:$J$33,'Databook'!$B$8:$B$33,"Charitable Contributions")),O35/12)</f>
        <v>0.25</v>
      </c>
      <c r="AN35" s="151">
        <f>IFERROR((SUMIFS('Databook'!$AF$8:$AF$33,'Databook'!$B$8:$B$33,"Charitable Contributions"))*O35/(SUMIFS('Databook'!$J$8:$J$33,'Databook'!$B$8:$B$33,"Charitable Contributions")),O35/12)</f>
        <v>0.25</v>
      </c>
      <c r="AO35" s="151">
        <f>IFERROR((SUMIFS('Databook'!$AG$8:$AG$33,'Databook'!$B$8:$B$33,"Charitable Contributions"))*O35/(SUMIFS('Databook'!$J$8:$J$33,'Databook'!$B$8:$B$33,"Charitable Contributions")),O35/12)</f>
        <v>0.25</v>
      </c>
      <c r="AP35" s="151">
        <f>IFERROR((SUMIFS('Databook'!$AH$8:$AH$33,'Databook'!$B$8:$B$33,"Charitable Contributions"))*O35/(SUMIFS('Databook'!$J$8:$J$33,'Databook'!$B$8:$B$33,"Charitable Contributions")),O35/12)</f>
        <v>0.25</v>
      </c>
      <c r="AQ35" s="151">
        <f>IFERROR((SUMIFS('Databook'!$AI$8:$AI$33,'Databook'!$B$8:$B$33,"Charitable Contributions"))*O35/(SUMIFS('Databook'!$J$8:$J$33,'Databook'!$B$8:$B$33,"Charitable Contributions")),O35/12)</f>
        <v>0.25</v>
      </c>
      <c r="AR35" s="151">
        <f>IFERROR((SUMIFS('Databook'!$AJ$8:$AJ$33,'Databook'!$B$8:$B$33,"Charitable Contributions"))*O35/(SUMIFS('Databook'!$J$8:$J$33,'Databook'!$B$8:$B$33,"Charitable Contributions")),O35/12)</f>
        <v>0.25</v>
      </c>
      <c r="AS35" s="151">
        <f>IFERROR((SUMIFS('Databook'!$AK$8:$AK$33,'Databook'!$B$8:$B$33,"Charitable Contributions"))*O35/(SUMIFS('Databook'!$J$8:$J$33,'Databook'!$B$8:$B$33,"Charitable Contributions")),O35/12)</f>
        <v>0.25</v>
      </c>
      <c r="AT35" s="151">
        <f>IFERROR((SUMIFS('Databook'!$AL$8:$AL$33,'Databook'!$B$8:$B$33,"Charitable Contributions"))*O35/(SUMIFS('Databook'!$J$8:$J$33,'Databook'!$B$8:$B$33,"Charitable Contributions")),O35/12)</f>
        <v>0.25</v>
      </c>
      <c r="AU35" s="151">
        <f>IFERROR((SUMIFS('Databook'!$AM$8:$AM$33,'Databook'!$B$8:$B$33,"Charitable Contributions"))*O35/(SUMIFS('Databook'!$J$8:$J$33,'Databook'!$B$8:$B$33,"Charitable Contributions")),O35/12)</f>
        <v>0.5</v>
      </c>
      <c r="AV35" s="151">
        <f>IFERROR((SUMIFS('Databook'!$AN$8:$AN$33,'Databook'!$B$8:$B$33,"Charitable Contributions"))*O35/(SUMIFS('Databook'!$J$8:$J$33,'Databook'!$B$8:$B$33,"Charitable Contributions")),O35/12)</f>
        <v>3</v>
      </c>
      <c r="AW35" s="151">
        <f>IFERROR((SUMIFS('Databook'!$AO$8:$AO$33,'Databook'!$B$8:$B$33,"Charitable Contributions"))*P35/(SUMIFS('Databook'!$K$8:$K$33,'Databook'!$B$8:$B$33,"Charitable Contributions")),P35/12)</f>
        <v>0.313</v>
      </c>
      <c r="AX35" s="151">
        <f>IFERROR((SUMIFS('Databook'!$AP$8:$AP$33,'Databook'!$B$8:$B$33,"Charitable Contributions"))*P35/(SUMIFS('Databook'!$K$8:$K$33,'Databook'!$B$8:$B$33,"Charitable Contributions")),P35/12)</f>
        <v>0.313</v>
      </c>
      <c r="AY35" s="151">
        <f>IFERROR((SUMIFS('Databook'!$AQ$8:$AQ$33,'Databook'!$B$8:$B$33,"Charitable Contributions"))*P35/(SUMIFS('Databook'!$K$8:$K$33,'Databook'!$B$8:$B$33,"Charitable Contributions")),P35/12)</f>
        <v>0.313</v>
      </c>
      <c r="AZ35" s="151">
        <f>IFERROR((SUMIFS('Databook'!$AR$8:$AR$33,'Databook'!$B$8:$B$33,"Charitable Contributions"))*P35/(SUMIFS('Databook'!$K$8:$K$33,'Databook'!$B$8:$B$33,"Charitable Contributions")),P35/12)</f>
        <v>0.313</v>
      </c>
      <c r="BA35" s="151">
        <f>IFERROR((SUMIFS('Databook'!$AS$8:$AS$33,'Databook'!$B$8:$B$33,"Charitable Contributions"))*P35/(SUMIFS('Databook'!$K$8:$K$33,'Databook'!$B$8:$B$33,"Charitable Contributions")),P35/12)</f>
        <v>0.313</v>
      </c>
      <c r="BB35" s="151">
        <f>IFERROR((SUMIFS('Databook'!$AT$8:$AT$33,'Databook'!$B$8:$B$33,"Charitable Contributions"))*P35/(SUMIFS('Databook'!$K$8:$K$33,'Databook'!$B$8:$B$33,"Charitable Contributions")),P35/12)</f>
        <v>0.312</v>
      </c>
      <c r="BC35" s="151">
        <f>IFERROR((SUMIFS('Databook'!$AU$8:$AU$33,'Databook'!$B$8:$B$33,"Charitable Contributions"))*P35/(SUMIFS('Databook'!$K$8:$K$33,'Databook'!$B$8:$B$33,"Charitable Contributions")),P35/12)</f>
        <v>0.312</v>
      </c>
      <c r="BD35" s="151">
        <f>IFERROR((SUMIFS('Databook'!$AV$8:$AV$33,'Databook'!$B$8:$B$33,"Charitable Contributions"))*P35/(SUMIFS('Databook'!$K$8:$K$33,'Databook'!$B$8:$B$33,"Charitable Contributions")),P35/12)</f>
        <v>0.312</v>
      </c>
      <c r="BE35" s="151">
        <f>IFERROR((SUMIFS('Databook'!$AW$8:$AW$33,'Databook'!$B$8:$B$33,"Charitable Contributions"))*P35/(SUMIFS('Databook'!$K$8:$K$33,'Databook'!$B$8:$B$33,"Charitable Contributions")),P35/12)</f>
        <v>0.312</v>
      </c>
      <c r="BF35" s="151">
        <f>IFERROR((SUMIFS('Databook'!$AX$8:$AX$33,'Databook'!$B$8:$B$33,"Charitable Contributions"))*P35/(SUMIFS('Databook'!$K$8:$K$33,'Databook'!$B$8:$B$33,"Charitable Contributions")),P35/12)</f>
        <v>0.312</v>
      </c>
      <c r="BG35" s="151">
        <f>IFERROR((SUMIFS('Databook'!$AY$8:$AY$33,'Databook'!$B$8:$B$33,"Charitable Contributions"))*P35/(SUMIFS('Databook'!$K$8:$K$33,'Databook'!$B$8:$B$33,"Charitable Contributions")),P35/12)</f>
        <v>0.625</v>
      </c>
      <c r="BH35" s="151">
        <f>IFERROR((SUMIFS('Databook'!$AZ$8:$AZ$33,'Databook'!$B$8:$B$33,"Charitable Contributions"))*P35/(SUMIFS('Databook'!$K$8:$K$33,'Databook'!$B$8:$B$33,"Charitable Contributions")),P35/12)</f>
        <v>3.75</v>
      </c>
    </row>
    <row r="36" spans="2:60" x14ac:dyDescent="0.25">
      <c r="B36" s="146" t="str">
        <f>B15</f>
        <v>[N5]</v>
      </c>
      <c r="C36" s="147" t="str">
        <f>C15</f>
        <v>Interest income (non-operating)</v>
      </c>
      <c r="D36" s="148" t="str">
        <f>D15</f>
        <v>Normalization</v>
      </c>
      <c r="E36" s="148" t="str">
        <f>E15</f>
        <v>Non-operating</v>
      </c>
      <c r="I36" s="149" t="str">
        <f>I15</f>
        <v>Accepted</v>
      </c>
      <c r="N36" s="150">
        <f>SUMIFS($Y36:$BH36,$Y$6:$BH$6,"&gt;="&amp;N$57,$Y$6:$BH$6,"&lt;="&amp;N$58)</f>
        <v>-1.2</v>
      </c>
      <c r="O36" s="150">
        <f>SUMIFS($Y36:$BH36,$Y$6:$BH$6,"&gt;="&amp;O$57,$Y$6:$BH$6,"&lt;="&amp;O$58)</f>
        <v>-2.4</v>
      </c>
      <c r="P36" s="150">
        <f>SUMIFS($Y36:$BH36,$Y$6:$BH$6,"&gt;="&amp;P$57,$Y$6:$BH$6,"&lt;="&amp;P$58)</f>
        <v>-3.1</v>
      </c>
      <c r="R36" s="150">
        <f>SUMIFS($Y36:$BH36,$Y$6:$BH$6,"&gt;="&amp;R$57,$Y$6:$BH$6,"&lt;="&amp;R$58)</f>
        <v>-2.4</v>
      </c>
      <c r="S36" s="150">
        <f>SUMIFS($Y36:$BH36,$Y$6:$BH$6,"&gt;="&amp;S$57,$Y$6:$BH$6,"&lt;="&amp;S$58)</f>
        <v>-3.1</v>
      </c>
      <c r="U36" s="150">
        <f>SUMIFS($Y36:$BH36,$Y$6:$BH$6,"&gt;="&amp;U$57,$Y$6:$BH$6,"&lt;="&amp;U$58)</f>
        <v>-2.4</v>
      </c>
      <c r="V36" s="150">
        <f>SUMIFS($Y36:$BH36,$Y$6:$BH$6,"&gt;="&amp;V$57,$Y$6:$BH$6,"&lt;="&amp;V$58)</f>
        <v>-3.1</v>
      </c>
      <c r="W36" s="150">
        <f>SUMIFS($Y36:$BH36,$Y$6:$BH$6,"&gt;="&amp;W$57,$Y$6:$BH$6,"&lt;="&amp;W$58)</f>
        <v>-3.1</v>
      </c>
      <c r="Y36" s="151">
        <f>-'Monthly P&amp;L'!Q29</f>
        <v>-0.1</v>
      </c>
      <c r="Z36" s="151">
        <f>-'Monthly P&amp;L'!R29</f>
        <v>-0.1</v>
      </c>
      <c r="AA36" s="151">
        <f>-'Monthly P&amp;L'!S29</f>
        <v>-0.1</v>
      </c>
      <c r="AB36" s="151">
        <f>-'Monthly P&amp;L'!T29</f>
        <v>-0.1</v>
      </c>
      <c r="AC36" s="151">
        <f>-'Monthly P&amp;L'!U29</f>
        <v>-0.1</v>
      </c>
      <c r="AD36" s="151">
        <f>-'Monthly P&amp;L'!V29</f>
        <v>-0.1</v>
      </c>
      <c r="AE36" s="151">
        <f>-'Monthly P&amp;L'!W29</f>
        <v>-0.1</v>
      </c>
      <c r="AF36" s="151">
        <f>-'Monthly P&amp;L'!X29</f>
        <v>-0.1</v>
      </c>
      <c r="AG36" s="151">
        <f>-'Monthly P&amp;L'!Y29</f>
        <v>-0.1</v>
      </c>
      <c r="AH36" s="151">
        <f>-'Monthly P&amp;L'!Z29</f>
        <v>-0.1</v>
      </c>
      <c r="AI36" s="151">
        <f>-'Monthly P&amp;L'!AA29</f>
        <v>-0.1</v>
      </c>
      <c r="AJ36" s="151">
        <f>-'Monthly P&amp;L'!AB29</f>
        <v>-0.1</v>
      </c>
      <c r="AK36" s="151">
        <f>-'Monthly P&amp;L'!AC29</f>
        <v>-0.2</v>
      </c>
      <c r="AL36" s="151">
        <f>-'Monthly P&amp;L'!AD29</f>
        <v>-0.2</v>
      </c>
      <c r="AM36" s="151">
        <f>-'Monthly P&amp;L'!AE29</f>
        <v>-0.2</v>
      </c>
      <c r="AN36" s="151">
        <f>-'Monthly P&amp;L'!AF29</f>
        <v>-0.2</v>
      </c>
      <c r="AO36" s="151">
        <f>-'Monthly P&amp;L'!AG29</f>
        <v>-0.2</v>
      </c>
      <c r="AP36" s="151">
        <f>-'Monthly P&amp;L'!AH29</f>
        <v>-0.2</v>
      </c>
      <c r="AQ36" s="151">
        <f>-'Monthly P&amp;L'!AI29</f>
        <v>-0.2</v>
      </c>
      <c r="AR36" s="151">
        <f>-'Monthly P&amp;L'!AJ29</f>
        <v>-0.2</v>
      </c>
      <c r="AS36" s="151">
        <f>-'Monthly P&amp;L'!AK29</f>
        <v>-0.2</v>
      </c>
      <c r="AT36" s="151">
        <f>-'Monthly P&amp;L'!AL29</f>
        <v>-0.2</v>
      </c>
      <c r="AU36" s="151">
        <f>-'Monthly P&amp;L'!AM29</f>
        <v>-0.2</v>
      </c>
      <c r="AV36" s="151">
        <f>-'Monthly P&amp;L'!AN29</f>
        <v>-0.2</v>
      </c>
      <c r="AW36" s="151">
        <f>-'Monthly P&amp;L'!AO29</f>
        <v>-0.259</v>
      </c>
      <c r="AX36" s="151">
        <f>-'Monthly P&amp;L'!AP29</f>
        <v>-0.259</v>
      </c>
      <c r="AY36" s="151">
        <f>-'Monthly P&amp;L'!AQ29</f>
        <v>-0.259</v>
      </c>
      <c r="AZ36" s="151">
        <f>-'Monthly P&amp;L'!AR29</f>
        <v>-0.259</v>
      </c>
      <c r="BA36" s="151">
        <f>-'Monthly P&amp;L'!AS29</f>
        <v>-0.258</v>
      </c>
      <c r="BB36" s="151">
        <f>-'Monthly P&amp;L'!AT29</f>
        <v>-0.258</v>
      </c>
      <c r="BC36" s="151">
        <f>-'Monthly P&amp;L'!AU29</f>
        <v>-0.258</v>
      </c>
      <c r="BD36" s="151">
        <f>-'Monthly P&amp;L'!AV29</f>
        <v>-0.258</v>
      </c>
      <c r="BE36" s="151">
        <f>-'Monthly P&amp;L'!AW29</f>
        <v>-0.258</v>
      </c>
      <c r="BF36" s="151">
        <f>-'Monthly P&amp;L'!AX29</f>
        <v>-0.258</v>
      </c>
      <c r="BG36" s="151">
        <f>-'Monthly P&amp;L'!AY29</f>
        <v>-0.258</v>
      </c>
      <c r="BH36" s="151">
        <f>-'Monthly P&amp;L'!AZ29</f>
        <v>-0.258</v>
      </c>
    </row>
    <row r="37" spans="2:60" x14ac:dyDescent="0.25">
      <c r="B37" s="146" t="str">
        <f>B16</f>
        <v>[N6]</v>
      </c>
      <c r="C37" s="147" t="str">
        <f>C16</f>
        <v>Vehicle expenses (for review)</v>
      </c>
      <c r="D37" s="148" t="str">
        <f>D16</f>
        <v>Normalization</v>
      </c>
      <c r="E37" s="148" t="str">
        <f>E16</f>
        <v>Personal / discretionary</v>
      </c>
      <c r="I37" s="149" t="str">
        <f>I16</f>
        <v>Proposed</v>
      </c>
      <c r="N37" s="114">
        <v>0</v>
      </c>
      <c r="O37" s="114">
        <v>0</v>
      </c>
      <c r="P37" s="114">
        <v>0</v>
      </c>
      <c r="R37" s="150">
        <f>N37*MAX(0,(YEAR(MIN(R$58,N$58))-YEAR(MAX(R$57,N$57)))*12+MONTH(MIN(R$58,N$58))-MONTH(MAX(R$57,N$57))+1)/12+O37*MAX(0,(YEAR(MIN(R$58,O$58))-YEAR(MAX(R$57,O$57)))*12+MONTH(MIN(R$58,O$58))-MONTH(MAX(R$57,O$57))+1)/12+P37*MAX(0,(YEAR(MIN(R$58,P$58))-YEAR(MAX(R$57,P$57)))*12+MONTH(MIN(R$58,P$58))-MONTH(MAX(R$57,P$57))+1)/12</f>
        <v>0</v>
      </c>
      <c r="S37" s="150">
        <f>N37*MAX(0,(YEAR(MIN(S$58,N$58))-YEAR(MAX(S$57,N$57)))*12+MONTH(MIN(S$58,N$58))-MONTH(MAX(S$57,N$57))+1)/12+O37*MAX(0,(YEAR(MIN(S$58,O$58))-YEAR(MAX(S$57,O$57)))*12+MONTH(MIN(S$58,O$58))-MONTH(MAX(S$57,O$57))+1)/12+P37*MAX(0,(YEAR(MIN(S$58,P$58))-YEAR(MAX(S$57,P$57)))*12+MONTH(MIN(S$58,P$58))-MONTH(MAX(S$57,P$57))+1)/12</f>
        <v>0</v>
      </c>
      <c r="U37" s="150">
        <f>N37*MAX(0,(YEAR(MIN(U$58,N$58))-YEAR(MAX(U$57,N$57)))*12+MONTH(MIN(U$58,N$58))-MONTH(MAX(U$57,N$57))+1)/12+O37*MAX(0,(YEAR(MIN(U$58,O$58))-YEAR(MAX(U$57,O$57)))*12+MONTH(MIN(U$58,O$58))-MONTH(MAX(U$57,O$57))+1)/12+P37*MAX(0,(YEAR(MIN(U$58,P$58))-YEAR(MAX(U$57,P$57)))*12+MONTH(MIN(U$58,P$58))-MONTH(MAX(U$57,P$57))+1)/12</f>
        <v>0</v>
      </c>
      <c r="V37" s="150">
        <f>N37*MAX(0,(YEAR(MIN(V$58,N$58))-YEAR(MAX(V$57,N$57)))*12+MONTH(MIN(V$58,N$58))-MONTH(MAX(V$57,N$57))+1)/12+O37*MAX(0,(YEAR(MIN(V$58,O$58))-YEAR(MAX(V$57,O$57)))*12+MONTH(MIN(V$58,O$58))-MONTH(MAX(V$57,O$57))+1)/12+P37*MAX(0,(YEAR(MIN(V$58,P$58))-YEAR(MAX(V$57,P$57)))*12+MONTH(MIN(V$58,P$58))-MONTH(MAX(V$57,P$57))+1)/12</f>
        <v>0</v>
      </c>
      <c r="W37" s="150">
        <f>N37*MAX(0,(YEAR(MIN(W$58,N$58))-YEAR(MAX(W$57,N$57)))*12+MONTH(MIN(W$58,N$58))-MONTH(MAX(W$57,N$57))+1)/12+O37*MAX(0,(YEAR(MIN(W$58,O$58))-YEAR(MAX(W$57,O$57)))*12+MONTH(MIN(W$58,O$58))-MONTH(MAX(W$57,O$57))+1)/12+P37*MAX(0,(YEAR(MIN(W$58,P$58))-YEAR(MAX(W$57,P$57)))*12+MONTH(MIN(W$58,P$58))-MONTH(MAX(W$57,P$57))+1)/12</f>
        <v>0</v>
      </c>
      <c r="Y37" s="150">
        <f>N37/12</f>
        <v>0</v>
      </c>
      <c r="Z37" s="150">
        <f>N37/12</f>
        <v>0</v>
      </c>
      <c r="AA37" s="150">
        <f>N37/12</f>
        <v>0</v>
      </c>
      <c r="AB37" s="150">
        <f>N37/12</f>
        <v>0</v>
      </c>
      <c r="AC37" s="150">
        <f>N37/12</f>
        <v>0</v>
      </c>
      <c r="AD37" s="150">
        <f>N37/12</f>
        <v>0</v>
      </c>
      <c r="AE37" s="150">
        <f>N37/12</f>
        <v>0</v>
      </c>
      <c r="AF37" s="150">
        <f>N37/12</f>
        <v>0</v>
      </c>
      <c r="AG37" s="150">
        <f>N37/12</f>
        <v>0</v>
      </c>
      <c r="AH37" s="150">
        <f>N37/12</f>
        <v>0</v>
      </c>
      <c r="AI37" s="150">
        <f>N37/12</f>
        <v>0</v>
      </c>
      <c r="AJ37" s="150">
        <f>N37/12</f>
        <v>0</v>
      </c>
      <c r="AK37" s="150">
        <f>O37/12</f>
        <v>0</v>
      </c>
      <c r="AL37" s="150">
        <f>O37/12</f>
        <v>0</v>
      </c>
      <c r="AM37" s="150">
        <f>O37/12</f>
        <v>0</v>
      </c>
      <c r="AN37" s="150">
        <f>O37/12</f>
        <v>0</v>
      </c>
      <c r="AO37" s="150">
        <f>O37/12</f>
        <v>0</v>
      </c>
      <c r="AP37" s="150">
        <f>O37/12</f>
        <v>0</v>
      </c>
      <c r="AQ37" s="150">
        <f>O37/12</f>
        <v>0</v>
      </c>
      <c r="AR37" s="150">
        <f>O37/12</f>
        <v>0</v>
      </c>
      <c r="AS37" s="150">
        <f>O37/12</f>
        <v>0</v>
      </c>
      <c r="AT37" s="150">
        <f>O37/12</f>
        <v>0</v>
      </c>
      <c r="AU37" s="150">
        <f>O37/12</f>
        <v>0</v>
      </c>
      <c r="AV37" s="150">
        <f>O37/12</f>
        <v>0</v>
      </c>
      <c r="AW37" s="150">
        <f>P37/12</f>
        <v>0</v>
      </c>
      <c r="AX37" s="150">
        <f>P37/12</f>
        <v>0</v>
      </c>
      <c r="AY37" s="150">
        <f>P37/12</f>
        <v>0</v>
      </c>
      <c r="AZ37" s="150">
        <f>P37/12</f>
        <v>0</v>
      </c>
      <c r="BA37" s="150">
        <f>P37/12</f>
        <v>0</v>
      </c>
      <c r="BB37" s="150">
        <f>P37/12</f>
        <v>0</v>
      </c>
      <c r="BC37" s="150">
        <f>P37/12</f>
        <v>0</v>
      </c>
      <c r="BD37" s="150">
        <f>P37/12</f>
        <v>0</v>
      </c>
      <c r="BE37" s="150">
        <f>P37/12</f>
        <v>0</v>
      </c>
      <c r="BF37" s="150">
        <f>P37/12</f>
        <v>0</v>
      </c>
      <c r="BG37" s="150">
        <f>P37/12</f>
        <v>0</v>
      </c>
      <c r="BH37" s="150">
        <f>P37/12</f>
        <v>0</v>
      </c>
    </row>
    <row r="38" spans="2:60" x14ac:dyDescent="0.25">
      <c r="B38" s="146" t="str">
        <f>B17</f>
        <v>[N7]</v>
      </c>
      <c r="C38" s="147" t="str">
        <f>C17</f>
        <v>Fuel (for review)</v>
      </c>
      <c r="D38" s="148" t="str">
        <f>D17</f>
        <v>Normalization</v>
      </c>
      <c r="E38" s="148" t="str">
        <f>E17</f>
        <v>Personal / discretionary</v>
      </c>
      <c r="I38" s="149" t="str">
        <f>I17</f>
        <v>Proposed</v>
      </c>
      <c r="N38" s="114">
        <v>0</v>
      </c>
      <c r="O38" s="114">
        <v>0</v>
      </c>
      <c r="P38" s="114">
        <v>0</v>
      </c>
      <c r="R38" s="150">
        <f>N38*MAX(0,(YEAR(MIN(R$58,N$58))-YEAR(MAX(R$57,N$57)))*12+MONTH(MIN(R$58,N$58))-MONTH(MAX(R$57,N$57))+1)/12+O38*MAX(0,(YEAR(MIN(R$58,O$58))-YEAR(MAX(R$57,O$57)))*12+MONTH(MIN(R$58,O$58))-MONTH(MAX(R$57,O$57))+1)/12+P38*MAX(0,(YEAR(MIN(R$58,P$58))-YEAR(MAX(R$57,P$57)))*12+MONTH(MIN(R$58,P$58))-MONTH(MAX(R$57,P$57))+1)/12</f>
        <v>0</v>
      </c>
      <c r="S38" s="150">
        <f>N38*MAX(0,(YEAR(MIN(S$58,N$58))-YEAR(MAX(S$57,N$57)))*12+MONTH(MIN(S$58,N$58))-MONTH(MAX(S$57,N$57))+1)/12+O38*MAX(0,(YEAR(MIN(S$58,O$58))-YEAR(MAX(S$57,O$57)))*12+MONTH(MIN(S$58,O$58))-MONTH(MAX(S$57,O$57))+1)/12+P38*MAX(0,(YEAR(MIN(S$58,P$58))-YEAR(MAX(S$57,P$57)))*12+MONTH(MIN(S$58,P$58))-MONTH(MAX(S$57,P$57))+1)/12</f>
        <v>0</v>
      </c>
      <c r="U38" s="150">
        <f>N38*MAX(0,(YEAR(MIN(U$58,N$58))-YEAR(MAX(U$57,N$57)))*12+MONTH(MIN(U$58,N$58))-MONTH(MAX(U$57,N$57))+1)/12+O38*MAX(0,(YEAR(MIN(U$58,O$58))-YEAR(MAX(U$57,O$57)))*12+MONTH(MIN(U$58,O$58))-MONTH(MAX(U$57,O$57))+1)/12+P38*MAX(0,(YEAR(MIN(U$58,P$58))-YEAR(MAX(U$57,P$57)))*12+MONTH(MIN(U$58,P$58))-MONTH(MAX(U$57,P$57))+1)/12</f>
        <v>0</v>
      </c>
      <c r="V38" s="150">
        <f>N38*MAX(0,(YEAR(MIN(V$58,N$58))-YEAR(MAX(V$57,N$57)))*12+MONTH(MIN(V$58,N$58))-MONTH(MAX(V$57,N$57))+1)/12+O38*MAX(0,(YEAR(MIN(V$58,O$58))-YEAR(MAX(V$57,O$57)))*12+MONTH(MIN(V$58,O$58))-MONTH(MAX(V$57,O$57))+1)/12+P38*MAX(0,(YEAR(MIN(V$58,P$58))-YEAR(MAX(V$57,P$57)))*12+MONTH(MIN(V$58,P$58))-MONTH(MAX(V$57,P$57))+1)/12</f>
        <v>0</v>
      </c>
      <c r="W38" s="150">
        <f>N38*MAX(0,(YEAR(MIN(W$58,N$58))-YEAR(MAX(W$57,N$57)))*12+MONTH(MIN(W$58,N$58))-MONTH(MAX(W$57,N$57))+1)/12+O38*MAX(0,(YEAR(MIN(W$58,O$58))-YEAR(MAX(W$57,O$57)))*12+MONTH(MIN(W$58,O$58))-MONTH(MAX(W$57,O$57))+1)/12+P38*MAX(0,(YEAR(MIN(W$58,P$58))-YEAR(MAX(W$57,P$57)))*12+MONTH(MIN(W$58,P$58))-MONTH(MAX(W$57,P$57))+1)/12</f>
        <v>0</v>
      </c>
      <c r="Y38" s="150">
        <f>N38/12</f>
        <v>0</v>
      </c>
      <c r="Z38" s="150">
        <f>N38/12</f>
        <v>0</v>
      </c>
      <c r="AA38" s="150">
        <f>N38/12</f>
        <v>0</v>
      </c>
      <c r="AB38" s="150">
        <f>N38/12</f>
        <v>0</v>
      </c>
      <c r="AC38" s="150">
        <f>N38/12</f>
        <v>0</v>
      </c>
      <c r="AD38" s="150">
        <f>N38/12</f>
        <v>0</v>
      </c>
      <c r="AE38" s="150">
        <f>N38/12</f>
        <v>0</v>
      </c>
      <c r="AF38" s="150">
        <f>N38/12</f>
        <v>0</v>
      </c>
      <c r="AG38" s="150">
        <f>N38/12</f>
        <v>0</v>
      </c>
      <c r="AH38" s="150">
        <f>N38/12</f>
        <v>0</v>
      </c>
      <c r="AI38" s="150">
        <f>N38/12</f>
        <v>0</v>
      </c>
      <c r="AJ38" s="150">
        <f>N38/12</f>
        <v>0</v>
      </c>
      <c r="AK38" s="150">
        <f>O38/12</f>
        <v>0</v>
      </c>
      <c r="AL38" s="150">
        <f>O38/12</f>
        <v>0</v>
      </c>
      <c r="AM38" s="150">
        <f>O38/12</f>
        <v>0</v>
      </c>
      <c r="AN38" s="150">
        <f>O38/12</f>
        <v>0</v>
      </c>
      <c r="AO38" s="150">
        <f>O38/12</f>
        <v>0</v>
      </c>
      <c r="AP38" s="150">
        <f>O38/12</f>
        <v>0</v>
      </c>
      <c r="AQ38" s="150">
        <f>O38/12</f>
        <v>0</v>
      </c>
      <c r="AR38" s="150">
        <f>O38/12</f>
        <v>0</v>
      </c>
      <c r="AS38" s="150">
        <f>O38/12</f>
        <v>0</v>
      </c>
      <c r="AT38" s="150">
        <f>O38/12</f>
        <v>0</v>
      </c>
      <c r="AU38" s="150">
        <f>O38/12</f>
        <v>0</v>
      </c>
      <c r="AV38" s="150">
        <f>O38/12</f>
        <v>0</v>
      </c>
      <c r="AW38" s="150">
        <f>P38/12</f>
        <v>0</v>
      </c>
      <c r="AX38" s="150">
        <f>P38/12</f>
        <v>0</v>
      </c>
      <c r="AY38" s="150">
        <f>P38/12</f>
        <v>0</v>
      </c>
      <c r="AZ38" s="150">
        <f>P38/12</f>
        <v>0</v>
      </c>
      <c r="BA38" s="150">
        <f>P38/12</f>
        <v>0</v>
      </c>
      <c r="BB38" s="150">
        <f>P38/12</f>
        <v>0</v>
      </c>
      <c r="BC38" s="150">
        <f>P38/12</f>
        <v>0</v>
      </c>
      <c r="BD38" s="150">
        <f>P38/12</f>
        <v>0</v>
      </c>
      <c r="BE38" s="150">
        <f>P38/12</f>
        <v>0</v>
      </c>
      <c r="BF38" s="150">
        <f>P38/12</f>
        <v>0</v>
      </c>
      <c r="BG38" s="150">
        <f>P38/12</f>
        <v>0</v>
      </c>
      <c r="BH38" s="150">
        <f>P38/12</f>
        <v>0</v>
      </c>
    </row>
    <row r="39" spans="2:60" x14ac:dyDescent="0.25">
      <c r="B39" s="146" t="str">
        <f>B18</f>
        <v>[N8]</v>
      </c>
      <c r="C39" s="147" t="str">
        <f>C18</f>
        <v>Legal &amp; professional fees (for review)</v>
      </c>
      <c r="D39" s="148" t="str">
        <f>D18</f>
        <v>Normalization</v>
      </c>
      <c r="E39" s="148" t="str">
        <f>E18</f>
        <v>Personal / discretionary</v>
      </c>
      <c r="I39" s="149" t="str">
        <f>I18</f>
        <v>Proposed</v>
      </c>
      <c r="N39" s="114">
        <v>0</v>
      </c>
      <c r="O39" s="114">
        <v>0</v>
      </c>
      <c r="P39" s="114">
        <v>0</v>
      </c>
      <c r="R39" s="150">
        <f>N39*MAX(0,(YEAR(MIN(R$58,N$58))-YEAR(MAX(R$57,N$57)))*12+MONTH(MIN(R$58,N$58))-MONTH(MAX(R$57,N$57))+1)/12+O39*MAX(0,(YEAR(MIN(R$58,O$58))-YEAR(MAX(R$57,O$57)))*12+MONTH(MIN(R$58,O$58))-MONTH(MAX(R$57,O$57))+1)/12+P39*MAX(0,(YEAR(MIN(R$58,P$58))-YEAR(MAX(R$57,P$57)))*12+MONTH(MIN(R$58,P$58))-MONTH(MAX(R$57,P$57))+1)/12</f>
        <v>0</v>
      </c>
      <c r="S39" s="150">
        <f>N39*MAX(0,(YEAR(MIN(S$58,N$58))-YEAR(MAX(S$57,N$57)))*12+MONTH(MIN(S$58,N$58))-MONTH(MAX(S$57,N$57))+1)/12+O39*MAX(0,(YEAR(MIN(S$58,O$58))-YEAR(MAX(S$57,O$57)))*12+MONTH(MIN(S$58,O$58))-MONTH(MAX(S$57,O$57))+1)/12+P39*MAX(0,(YEAR(MIN(S$58,P$58))-YEAR(MAX(S$57,P$57)))*12+MONTH(MIN(S$58,P$58))-MONTH(MAX(S$57,P$57))+1)/12</f>
        <v>0</v>
      </c>
      <c r="U39" s="150">
        <f>N39*MAX(0,(YEAR(MIN(U$58,N$58))-YEAR(MAX(U$57,N$57)))*12+MONTH(MIN(U$58,N$58))-MONTH(MAX(U$57,N$57))+1)/12+O39*MAX(0,(YEAR(MIN(U$58,O$58))-YEAR(MAX(U$57,O$57)))*12+MONTH(MIN(U$58,O$58))-MONTH(MAX(U$57,O$57))+1)/12+P39*MAX(0,(YEAR(MIN(U$58,P$58))-YEAR(MAX(U$57,P$57)))*12+MONTH(MIN(U$58,P$58))-MONTH(MAX(U$57,P$57))+1)/12</f>
        <v>0</v>
      </c>
      <c r="V39" s="150">
        <f>N39*MAX(0,(YEAR(MIN(V$58,N$58))-YEAR(MAX(V$57,N$57)))*12+MONTH(MIN(V$58,N$58))-MONTH(MAX(V$57,N$57))+1)/12+O39*MAX(0,(YEAR(MIN(V$58,O$58))-YEAR(MAX(V$57,O$57)))*12+MONTH(MIN(V$58,O$58))-MONTH(MAX(V$57,O$57))+1)/12+P39*MAX(0,(YEAR(MIN(V$58,P$58))-YEAR(MAX(V$57,P$57)))*12+MONTH(MIN(V$58,P$58))-MONTH(MAX(V$57,P$57))+1)/12</f>
        <v>0</v>
      </c>
      <c r="W39" s="150">
        <f>N39*MAX(0,(YEAR(MIN(W$58,N$58))-YEAR(MAX(W$57,N$57)))*12+MONTH(MIN(W$58,N$58))-MONTH(MAX(W$57,N$57))+1)/12+O39*MAX(0,(YEAR(MIN(W$58,O$58))-YEAR(MAX(W$57,O$57)))*12+MONTH(MIN(W$58,O$58))-MONTH(MAX(W$57,O$57))+1)/12+P39*MAX(0,(YEAR(MIN(W$58,P$58))-YEAR(MAX(W$57,P$57)))*12+MONTH(MIN(W$58,P$58))-MONTH(MAX(W$57,P$57))+1)/12</f>
        <v>0</v>
      </c>
      <c r="Y39" s="150">
        <f>N39/12</f>
        <v>0</v>
      </c>
      <c r="Z39" s="150">
        <f>N39/12</f>
        <v>0</v>
      </c>
      <c r="AA39" s="150">
        <f>N39/12</f>
        <v>0</v>
      </c>
      <c r="AB39" s="150">
        <f>N39/12</f>
        <v>0</v>
      </c>
      <c r="AC39" s="150">
        <f>N39/12</f>
        <v>0</v>
      </c>
      <c r="AD39" s="150">
        <f>N39/12</f>
        <v>0</v>
      </c>
      <c r="AE39" s="150">
        <f>N39/12</f>
        <v>0</v>
      </c>
      <c r="AF39" s="150">
        <f>N39/12</f>
        <v>0</v>
      </c>
      <c r="AG39" s="150">
        <f>N39/12</f>
        <v>0</v>
      </c>
      <c r="AH39" s="150">
        <f>N39/12</f>
        <v>0</v>
      </c>
      <c r="AI39" s="150">
        <f>N39/12</f>
        <v>0</v>
      </c>
      <c r="AJ39" s="150">
        <f>N39/12</f>
        <v>0</v>
      </c>
      <c r="AK39" s="150">
        <f>O39/12</f>
        <v>0</v>
      </c>
      <c r="AL39" s="150">
        <f>O39/12</f>
        <v>0</v>
      </c>
      <c r="AM39" s="150">
        <f>O39/12</f>
        <v>0</v>
      </c>
      <c r="AN39" s="150">
        <f>O39/12</f>
        <v>0</v>
      </c>
      <c r="AO39" s="150">
        <f>O39/12</f>
        <v>0</v>
      </c>
      <c r="AP39" s="150">
        <f>O39/12</f>
        <v>0</v>
      </c>
      <c r="AQ39" s="150">
        <f>O39/12</f>
        <v>0</v>
      </c>
      <c r="AR39" s="150">
        <f>O39/12</f>
        <v>0</v>
      </c>
      <c r="AS39" s="150">
        <f>O39/12</f>
        <v>0</v>
      </c>
      <c r="AT39" s="150">
        <f>O39/12</f>
        <v>0</v>
      </c>
      <c r="AU39" s="150">
        <f>O39/12</f>
        <v>0</v>
      </c>
      <c r="AV39" s="150">
        <f>O39/12</f>
        <v>0</v>
      </c>
      <c r="AW39" s="150">
        <f>P39/12</f>
        <v>0</v>
      </c>
      <c r="AX39" s="150">
        <f>P39/12</f>
        <v>0</v>
      </c>
      <c r="AY39" s="150">
        <f>P39/12</f>
        <v>0</v>
      </c>
      <c r="AZ39" s="150">
        <f>P39/12</f>
        <v>0</v>
      </c>
      <c r="BA39" s="150">
        <f>P39/12</f>
        <v>0</v>
      </c>
      <c r="BB39" s="150">
        <f>P39/12</f>
        <v>0</v>
      </c>
      <c r="BC39" s="150">
        <f>P39/12</f>
        <v>0</v>
      </c>
      <c r="BD39" s="150">
        <f>P39/12</f>
        <v>0</v>
      </c>
      <c r="BE39" s="150">
        <f>P39/12</f>
        <v>0</v>
      </c>
      <c r="BF39" s="150">
        <f>P39/12</f>
        <v>0</v>
      </c>
      <c r="BG39" s="150">
        <f>P39/12</f>
        <v>0</v>
      </c>
      <c r="BH39" s="150">
        <f>P39/12</f>
        <v>0</v>
      </c>
    </row>
    <row r="40" spans="2:60" x14ac:dyDescent="0.25">
      <c r="B40" s="146" t="str">
        <f>B19</f>
        <v>[N9]</v>
      </c>
      <c r="C40" s="147" t="str">
        <f>C19</f>
        <v>Meals &amp; entertainment (for review)</v>
      </c>
      <c r="D40" s="148" t="str">
        <f>D19</f>
        <v>Normalization</v>
      </c>
      <c r="E40" s="148" t="str">
        <f>E19</f>
        <v>Personal / discretionary</v>
      </c>
      <c r="I40" s="149" t="str">
        <f>I19</f>
        <v>Proposed</v>
      </c>
      <c r="N40" s="114">
        <v>0</v>
      </c>
      <c r="O40" s="114">
        <v>0</v>
      </c>
      <c r="P40" s="114">
        <v>0</v>
      </c>
      <c r="R40" s="150">
        <f>N40*MAX(0,(YEAR(MIN(R$58,N$58))-YEAR(MAX(R$57,N$57)))*12+MONTH(MIN(R$58,N$58))-MONTH(MAX(R$57,N$57))+1)/12+O40*MAX(0,(YEAR(MIN(R$58,O$58))-YEAR(MAX(R$57,O$57)))*12+MONTH(MIN(R$58,O$58))-MONTH(MAX(R$57,O$57))+1)/12+P40*MAX(0,(YEAR(MIN(R$58,P$58))-YEAR(MAX(R$57,P$57)))*12+MONTH(MIN(R$58,P$58))-MONTH(MAX(R$57,P$57))+1)/12</f>
        <v>0</v>
      </c>
      <c r="S40" s="150">
        <f>N40*MAX(0,(YEAR(MIN(S$58,N$58))-YEAR(MAX(S$57,N$57)))*12+MONTH(MIN(S$58,N$58))-MONTH(MAX(S$57,N$57))+1)/12+O40*MAX(0,(YEAR(MIN(S$58,O$58))-YEAR(MAX(S$57,O$57)))*12+MONTH(MIN(S$58,O$58))-MONTH(MAX(S$57,O$57))+1)/12+P40*MAX(0,(YEAR(MIN(S$58,P$58))-YEAR(MAX(S$57,P$57)))*12+MONTH(MIN(S$58,P$58))-MONTH(MAX(S$57,P$57))+1)/12</f>
        <v>0</v>
      </c>
      <c r="U40" s="150">
        <f>N40*MAX(0,(YEAR(MIN(U$58,N$58))-YEAR(MAX(U$57,N$57)))*12+MONTH(MIN(U$58,N$58))-MONTH(MAX(U$57,N$57))+1)/12+O40*MAX(0,(YEAR(MIN(U$58,O$58))-YEAR(MAX(U$57,O$57)))*12+MONTH(MIN(U$58,O$58))-MONTH(MAX(U$57,O$57))+1)/12+P40*MAX(0,(YEAR(MIN(U$58,P$58))-YEAR(MAX(U$57,P$57)))*12+MONTH(MIN(U$58,P$58))-MONTH(MAX(U$57,P$57))+1)/12</f>
        <v>0</v>
      </c>
      <c r="V40" s="150">
        <f>N40*MAX(0,(YEAR(MIN(V$58,N$58))-YEAR(MAX(V$57,N$57)))*12+MONTH(MIN(V$58,N$58))-MONTH(MAX(V$57,N$57))+1)/12+O40*MAX(0,(YEAR(MIN(V$58,O$58))-YEAR(MAX(V$57,O$57)))*12+MONTH(MIN(V$58,O$58))-MONTH(MAX(V$57,O$57))+1)/12+P40*MAX(0,(YEAR(MIN(V$58,P$58))-YEAR(MAX(V$57,P$57)))*12+MONTH(MIN(V$58,P$58))-MONTH(MAX(V$57,P$57))+1)/12</f>
        <v>0</v>
      </c>
      <c r="W40" s="150">
        <f>N40*MAX(0,(YEAR(MIN(W$58,N$58))-YEAR(MAX(W$57,N$57)))*12+MONTH(MIN(W$58,N$58))-MONTH(MAX(W$57,N$57))+1)/12+O40*MAX(0,(YEAR(MIN(W$58,O$58))-YEAR(MAX(W$57,O$57)))*12+MONTH(MIN(W$58,O$58))-MONTH(MAX(W$57,O$57))+1)/12+P40*MAX(0,(YEAR(MIN(W$58,P$58))-YEAR(MAX(W$57,P$57)))*12+MONTH(MIN(W$58,P$58))-MONTH(MAX(W$57,P$57))+1)/12</f>
        <v>0</v>
      </c>
      <c r="Y40" s="150">
        <f>N40/12</f>
        <v>0</v>
      </c>
      <c r="Z40" s="150">
        <f>N40/12</f>
        <v>0</v>
      </c>
      <c r="AA40" s="150">
        <f>N40/12</f>
        <v>0</v>
      </c>
      <c r="AB40" s="150">
        <f>N40/12</f>
        <v>0</v>
      </c>
      <c r="AC40" s="150">
        <f>N40/12</f>
        <v>0</v>
      </c>
      <c r="AD40" s="150">
        <f>N40/12</f>
        <v>0</v>
      </c>
      <c r="AE40" s="150">
        <f>N40/12</f>
        <v>0</v>
      </c>
      <c r="AF40" s="150">
        <f>N40/12</f>
        <v>0</v>
      </c>
      <c r="AG40" s="150">
        <f>N40/12</f>
        <v>0</v>
      </c>
      <c r="AH40" s="150">
        <f>N40/12</f>
        <v>0</v>
      </c>
      <c r="AI40" s="150">
        <f>N40/12</f>
        <v>0</v>
      </c>
      <c r="AJ40" s="150">
        <f>N40/12</f>
        <v>0</v>
      </c>
      <c r="AK40" s="150">
        <f>O40/12</f>
        <v>0</v>
      </c>
      <c r="AL40" s="150">
        <f>O40/12</f>
        <v>0</v>
      </c>
      <c r="AM40" s="150">
        <f>O40/12</f>
        <v>0</v>
      </c>
      <c r="AN40" s="150">
        <f>O40/12</f>
        <v>0</v>
      </c>
      <c r="AO40" s="150">
        <f>O40/12</f>
        <v>0</v>
      </c>
      <c r="AP40" s="150">
        <f>O40/12</f>
        <v>0</v>
      </c>
      <c r="AQ40" s="150">
        <f>O40/12</f>
        <v>0</v>
      </c>
      <c r="AR40" s="150">
        <f>O40/12</f>
        <v>0</v>
      </c>
      <c r="AS40" s="150">
        <f>O40/12</f>
        <v>0</v>
      </c>
      <c r="AT40" s="150">
        <f>O40/12</f>
        <v>0</v>
      </c>
      <c r="AU40" s="150">
        <f>O40/12</f>
        <v>0</v>
      </c>
      <c r="AV40" s="150">
        <f>O40/12</f>
        <v>0</v>
      </c>
      <c r="AW40" s="150">
        <f>P40/12</f>
        <v>0</v>
      </c>
      <c r="AX40" s="150">
        <f>P40/12</f>
        <v>0</v>
      </c>
      <c r="AY40" s="150">
        <f>P40/12</f>
        <v>0</v>
      </c>
      <c r="AZ40" s="150">
        <f>P40/12</f>
        <v>0</v>
      </c>
      <c r="BA40" s="150">
        <f>P40/12</f>
        <v>0</v>
      </c>
      <c r="BB40" s="150">
        <f>P40/12</f>
        <v>0</v>
      </c>
      <c r="BC40" s="150">
        <f>P40/12</f>
        <v>0</v>
      </c>
      <c r="BD40" s="150">
        <f>P40/12</f>
        <v>0</v>
      </c>
      <c r="BE40" s="150">
        <f>P40/12</f>
        <v>0</v>
      </c>
      <c r="BF40" s="150">
        <f>P40/12</f>
        <v>0</v>
      </c>
      <c r="BG40" s="150">
        <f>P40/12</f>
        <v>0</v>
      </c>
      <c r="BH40" s="150">
        <f>P40/12</f>
        <v>0</v>
      </c>
    </row>
    <row r="41" spans="2:60" x14ac:dyDescent="0.25">
      <c r="B41" s="152" t="str">
        <f>B20</f>
        <v>[S1]</v>
      </c>
      <c r="C41" s="153" t="str">
        <f>C20</f>
        <v>Owner compensation</v>
      </c>
      <c r="D41" s="148" t="str">
        <f>D20</f>
        <v>Owner compensation</v>
      </c>
      <c r="E41" s="148" t="str">
        <f>E20</f>
        <v>Owner compensation</v>
      </c>
      <c r="I41" s="149" t="str">
        <f>I20</f>
        <v>Accepted</v>
      </c>
      <c r="N41" s="155">
        <f>SUMIFS($Y41:$BH41,$Y$6:$BH$6,"&gt;="&amp;N$57,$Y$6:$BH$6,"&lt;="&amp;N$58)</f>
        <v>180</v>
      </c>
      <c r="O41" s="155">
        <f>SUMIFS($Y41:$BH41,$Y$6:$BH$6,"&gt;="&amp;O$57,$Y$6:$BH$6,"&lt;="&amp;O$58)</f>
        <v>190</v>
      </c>
      <c r="P41" s="155">
        <f>SUMIFS($Y41:$BH41,$Y$6:$BH$6,"&gt;="&amp;P$57,$Y$6:$BH$6,"&lt;="&amp;P$58)</f>
        <v>200</v>
      </c>
      <c r="Q41" s="3"/>
      <c r="R41" s="155">
        <f>SUMIFS($Y41:$BH41,$Y$6:$BH$6,"&gt;="&amp;R$57,$Y$6:$BH$6,"&lt;="&amp;R$58)</f>
        <v>190</v>
      </c>
      <c r="S41" s="155">
        <f>SUMIFS($Y41:$BH41,$Y$6:$BH$6,"&gt;="&amp;S$57,$Y$6:$BH$6,"&lt;="&amp;S$58)</f>
        <v>200</v>
      </c>
      <c r="T41" s="3"/>
      <c r="U41" s="155">
        <f>SUMIFS($Y41:$BH41,$Y$6:$BH$6,"&gt;="&amp;U$57,$Y$6:$BH$6,"&lt;="&amp;U$58)</f>
        <v>190</v>
      </c>
      <c r="V41" s="155">
        <f>SUMIFS($Y41:$BH41,$Y$6:$BH$6,"&gt;="&amp;V$57,$Y$6:$BH$6,"&lt;="&amp;V$58)</f>
        <v>200</v>
      </c>
      <c r="W41" s="155">
        <f>SUMIFS($Y41:$BH41,$Y$6:$BH$6,"&gt;="&amp;W$57,$Y$6:$BH$6,"&lt;="&amp;W$58)</f>
        <v>200</v>
      </c>
      <c r="X41" s="3"/>
      <c r="Y41" s="156">
        <f>'Monthly P&amp;L'!Q23</f>
        <v>15</v>
      </c>
      <c r="Z41" s="156">
        <f>'Monthly P&amp;L'!R23</f>
        <v>15</v>
      </c>
      <c r="AA41" s="156">
        <f>'Monthly P&amp;L'!S23</f>
        <v>15</v>
      </c>
      <c r="AB41" s="156">
        <f>'Monthly P&amp;L'!T23</f>
        <v>15</v>
      </c>
      <c r="AC41" s="156">
        <f>'Monthly P&amp;L'!U23</f>
        <v>15</v>
      </c>
      <c r="AD41" s="156">
        <f>'Monthly P&amp;L'!V23</f>
        <v>15</v>
      </c>
      <c r="AE41" s="156">
        <f>'Monthly P&amp;L'!W23</f>
        <v>15</v>
      </c>
      <c r="AF41" s="156">
        <f>'Monthly P&amp;L'!X23</f>
        <v>15</v>
      </c>
      <c r="AG41" s="156">
        <f>'Monthly P&amp;L'!Y23</f>
        <v>15</v>
      </c>
      <c r="AH41" s="156">
        <f>'Monthly P&amp;L'!Z23</f>
        <v>15</v>
      </c>
      <c r="AI41" s="156">
        <f>'Monthly P&amp;L'!AA23</f>
        <v>15</v>
      </c>
      <c r="AJ41" s="156">
        <f>'Monthly P&amp;L'!AB23</f>
        <v>15</v>
      </c>
      <c r="AK41" s="156">
        <f>'Monthly P&amp;L'!AC23</f>
        <v>15.834</v>
      </c>
      <c r="AL41" s="156">
        <f>'Monthly P&amp;L'!AD23</f>
        <v>15.834</v>
      </c>
      <c r="AM41" s="156">
        <f>'Monthly P&amp;L'!AE23</f>
        <v>15.834</v>
      </c>
      <c r="AN41" s="156">
        <f>'Monthly P&amp;L'!AF23</f>
        <v>15.834</v>
      </c>
      <c r="AO41" s="156">
        <f>'Monthly P&amp;L'!AG23</f>
        <v>15.833</v>
      </c>
      <c r="AP41" s="156">
        <f>'Monthly P&amp;L'!AH23</f>
        <v>15.833</v>
      </c>
      <c r="AQ41" s="156">
        <f>'Monthly P&amp;L'!AI23</f>
        <v>15.833</v>
      </c>
      <c r="AR41" s="156">
        <f>'Monthly P&amp;L'!AJ23</f>
        <v>15.833</v>
      </c>
      <c r="AS41" s="156">
        <f>'Monthly P&amp;L'!AK23</f>
        <v>15.833</v>
      </c>
      <c r="AT41" s="156">
        <f>'Monthly P&amp;L'!AL23</f>
        <v>15.833</v>
      </c>
      <c r="AU41" s="156">
        <f>'Monthly P&amp;L'!AM23</f>
        <v>15.833</v>
      </c>
      <c r="AV41" s="156">
        <f>'Monthly P&amp;L'!AN23</f>
        <v>15.833</v>
      </c>
      <c r="AW41" s="156">
        <f>'Monthly P&amp;L'!AO23</f>
        <v>16.667</v>
      </c>
      <c r="AX41" s="156">
        <f>'Monthly P&amp;L'!AP23</f>
        <v>16.667</v>
      </c>
      <c r="AY41" s="156">
        <f>'Monthly P&amp;L'!AQ23</f>
        <v>16.667</v>
      </c>
      <c r="AZ41" s="156">
        <f>'Monthly P&amp;L'!AR23</f>
        <v>16.667</v>
      </c>
      <c r="BA41" s="156">
        <f>'Monthly P&amp;L'!AS23</f>
        <v>16.667</v>
      </c>
      <c r="BB41" s="156">
        <f>'Monthly P&amp;L'!AT23</f>
        <v>16.667</v>
      </c>
      <c r="BC41" s="156">
        <f>'Monthly P&amp;L'!AU23</f>
        <v>16.667</v>
      </c>
      <c r="BD41" s="156">
        <f>'Monthly P&amp;L'!AV23</f>
        <v>16.667</v>
      </c>
      <c r="BE41" s="156">
        <f>'Monthly P&amp;L'!AW23</f>
        <v>16.666</v>
      </c>
      <c r="BF41" s="156">
        <f>'Monthly P&amp;L'!AX23</f>
        <v>16.666</v>
      </c>
      <c r="BG41" s="156">
        <f>'Monthly P&amp;L'!AY23</f>
        <v>16.666</v>
      </c>
      <c r="BH41" s="156">
        <f>'Monthly P&amp;L'!AZ23</f>
        <v>16.666</v>
      </c>
    </row>
    <row r="42" spans="2:60" x14ac:dyDescent="0.25">
      <c r="B42" s="146" t="str">
        <f>B21</f>
        <v>[S2]</v>
      </c>
      <c r="C42" s="147" t="str">
        <f>C21</f>
        <v>Market replacement compensation</v>
      </c>
      <c r="D42" s="148" t="str">
        <f>D21</f>
        <v>Owner compensation</v>
      </c>
      <c r="E42" s="148" t="str">
        <f>E21</f>
        <v>Replacement cost</v>
      </c>
      <c r="I42" s="149" t="str">
        <f>I21</f>
        <v>Accepted</v>
      </c>
      <c r="N42" s="150">
        <f>SUMIFS($Y42:$BH42,$Y$6:$BH$6,"&gt;="&amp;N$57,$Y$6:$BH$6,"&lt;="&amp;N$58)</f>
        <v>-109.24999999999999</v>
      </c>
      <c r="O42" s="150">
        <f>SUMIFS($Y42:$BH42,$Y$6:$BH$6,"&gt;="&amp;O$57,$Y$6:$BH$6,"&lt;="&amp;O$58)</f>
        <v>-109.24999999999999</v>
      </c>
      <c r="P42" s="150">
        <f>SUMIFS($Y42:$BH42,$Y$6:$BH$6,"&gt;="&amp;P$57,$Y$6:$BH$6,"&lt;="&amp;P$58)</f>
        <v>-109.24999999999999</v>
      </c>
      <c r="R42" s="150">
        <f>SUMIFS($Y42:$BH42,$Y$6:$BH$6,"&gt;="&amp;R$57,$Y$6:$BH$6,"&lt;="&amp;R$58)</f>
        <v>-109.25000000000001</v>
      </c>
      <c r="S42" s="150">
        <f>SUMIFS($Y42:$BH42,$Y$6:$BH$6,"&gt;="&amp;S$57,$Y$6:$BH$6,"&lt;="&amp;S$58)</f>
        <v>-109.25000000000001</v>
      </c>
      <c r="U42" s="150">
        <f>SUMIFS($Y42:$BH42,$Y$6:$BH$6,"&gt;="&amp;U$57,$Y$6:$BH$6,"&lt;="&amp;U$58)</f>
        <v>-109.25000000000001</v>
      </c>
      <c r="V42" s="150">
        <f>SUMIFS($Y42:$BH42,$Y$6:$BH$6,"&gt;="&amp;V$57,$Y$6:$BH$6,"&lt;="&amp;V$58)</f>
        <v>-109.25000000000001</v>
      </c>
      <c r="W42" s="150">
        <f>SUMIFS($Y42:$BH42,$Y$6:$BH$6,"&gt;="&amp;W$57,$Y$6:$BH$6,"&lt;="&amp;W$58)</f>
        <v>-109.25000000000001</v>
      </c>
      <c r="Y42" s="151">
        <f>-'Assumptions'!$C$25/12/1000</f>
        <v>-9.104166666666666</v>
      </c>
      <c r="Z42" s="151">
        <f>-'Assumptions'!$C$25/12/1000</f>
        <v>-9.104166666666666</v>
      </c>
      <c r="AA42" s="151">
        <f>-'Assumptions'!$C$25/12/1000</f>
        <v>-9.104166666666666</v>
      </c>
      <c r="AB42" s="151">
        <f>-'Assumptions'!$C$25/12/1000</f>
        <v>-9.104166666666666</v>
      </c>
      <c r="AC42" s="151">
        <f>-'Assumptions'!$C$25/12/1000</f>
        <v>-9.104166666666666</v>
      </c>
      <c r="AD42" s="151">
        <f>-'Assumptions'!$C$25/12/1000</f>
        <v>-9.104166666666666</v>
      </c>
      <c r="AE42" s="151">
        <f>-'Assumptions'!$C$25/12/1000</f>
        <v>-9.104166666666666</v>
      </c>
      <c r="AF42" s="151">
        <f>-'Assumptions'!$C$25/12/1000</f>
        <v>-9.104166666666666</v>
      </c>
      <c r="AG42" s="151">
        <f>-'Assumptions'!$C$25/12/1000</f>
        <v>-9.104166666666666</v>
      </c>
      <c r="AH42" s="151">
        <f>-'Assumptions'!$C$25/12/1000</f>
        <v>-9.104166666666666</v>
      </c>
      <c r="AI42" s="151">
        <f>-'Assumptions'!$C$25/12/1000</f>
        <v>-9.104166666666666</v>
      </c>
      <c r="AJ42" s="151">
        <f>-'Assumptions'!$C$25/12/1000</f>
        <v>-9.104166666666666</v>
      </c>
      <c r="AK42" s="151">
        <f>-'Assumptions'!$C$25/12/1000</f>
        <v>-9.104166666666666</v>
      </c>
      <c r="AL42" s="151">
        <f>-'Assumptions'!$C$25/12/1000</f>
        <v>-9.104166666666666</v>
      </c>
      <c r="AM42" s="151">
        <f>-'Assumptions'!$C$25/12/1000</f>
        <v>-9.104166666666666</v>
      </c>
      <c r="AN42" s="151">
        <f>-'Assumptions'!$C$25/12/1000</f>
        <v>-9.104166666666666</v>
      </c>
      <c r="AO42" s="151">
        <f>-'Assumptions'!$C$25/12/1000</f>
        <v>-9.104166666666666</v>
      </c>
      <c r="AP42" s="151">
        <f>-'Assumptions'!$C$25/12/1000</f>
        <v>-9.104166666666666</v>
      </c>
      <c r="AQ42" s="151">
        <f>-'Assumptions'!$C$25/12/1000</f>
        <v>-9.104166666666666</v>
      </c>
      <c r="AR42" s="151">
        <f>-'Assumptions'!$C$25/12/1000</f>
        <v>-9.104166666666666</v>
      </c>
      <c r="AS42" s="151">
        <f>-'Assumptions'!$C$25/12/1000</f>
        <v>-9.104166666666666</v>
      </c>
      <c r="AT42" s="151">
        <f>-'Assumptions'!$C$25/12/1000</f>
        <v>-9.104166666666666</v>
      </c>
      <c r="AU42" s="151">
        <f>-'Assumptions'!$C$25/12/1000</f>
        <v>-9.104166666666666</v>
      </c>
      <c r="AV42" s="151">
        <f>-'Assumptions'!$C$25/12/1000</f>
        <v>-9.104166666666666</v>
      </c>
      <c r="AW42" s="151">
        <f>-'Assumptions'!$C$25/12/1000</f>
        <v>-9.104166666666666</v>
      </c>
      <c r="AX42" s="151">
        <f>-'Assumptions'!$C$25/12/1000</f>
        <v>-9.104166666666666</v>
      </c>
      <c r="AY42" s="151">
        <f>-'Assumptions'!$C$25/12/1000</f>
        <v>-9.104166666666666</v>
      </c>
      <c r="AZ42" s="151">
        <f>-'Assumptions'!$C$25/12/1000</f>
        <v>-9.104166666666666</v>
      </c>
      <c r="BA42" s="151">
        <f>-'Assumptions'!$C$25/12/1000</f>
        <v>-9.104166666666666</v>
      </c>
      <c r="BB42" s="151">
        <f>-'Assumptions'!$C$25/12/1000</f>
        <v>-9.104166666666666</v>
      </c>
      <c r="BC42" s="151">
        <f>-'Assumptions'!$C$25/12/1000</f>
        <v>-9.104166666666666</v>
      </c>
      <c r="BD42" s="151">
        <f>-'Assumptions'!$C$25/12/1000</f>
        <v>-9.104166666666666</v>
      </c>
      <c r="BE42" s="151">
        <f>-'Assumptions'!$C$25/12/1000</f>
        <v>-9.104166666666666</v>
      </c>
      <c r="BF42" s="151">
        <f>-'Assumptions'!$C$25/12/1000</f>
        <v>-9.104166666666666</v>
      </c>
      <c r="BG42" s="151">
        <f>-'Assumptions'!$C$25/12/1000</f>
        <v>-9.104166666666666</v>
      </c>
      <c r="BH42" s="151">
        <f>-'Assumptions'!$C$25/12/1000</f>
        <v>-9.104166666666666</v>
      </c>
    </row>
    <row r="43" spans="2:60" x14ac:dyDescent="0.25">
      <c r="B43" s="146" t="str">
        <f>B22</f>
        <v>[S3]</v>
      </c>
      <c r="C43" s="147" t="str">
        <f>C22</f>
        <v>Capital reserve (maintenance capex)</v>
      </c>
      <c r="D43" s="148" t="str">
        <f>D22</f>
        <v>Owner compensation</v>
      </c>
      <c r="E43" s="148" t="str">
        <f>E22</f>
        <v>Capital reserve</v>
      </c>
      <c r="I43" s="149" t="str">
        <f>I22</f>
        <v>Accepted</v>
      </c>
      <c r="N43" s="150">
        <f>SUMIFS($Y43:$BH43,$Y$6:$BH$6,"&gt;="&amp;N$57,$Y$6:$BH$6,"&lt;="&amp;N$58)</f>
        <v>-66.8</v>
      </c>
      <c r="O43" s="150">
        <f>SUMIFS($Y43:$BH43,$Y$6:$BH$6,"&gt;="&amp;O$57,$Y$6:$BH$6,"&lt;="&amp;O$58)</f>
        <v>-66.8</v>
      </c>
      <c r="P43" s="150">
        <f>SUMIFS($Y43:$BH43,$Y$6:$BH$6,"&gt;="&amp;P$57,$Y$6:$BH$6,"&lt;="&amp;P$58)</f>
        <v>-66.8</v>
      </c>
      <c r="R43" s="150">
        <f>SUMIFS($Y43:$BH43,$Y$6:$BH$6,"&gt;="&amp;R$57,$Y$6:$BH$6,"&lt;="&amp;R$58)</f>
        <v>-66.79999999999998</v>
      </c>
      <c r="S43" s="150">
        <f>SUMIFS($Y43:$BH43,$Y$6:$BH$6,"&gt;="&amp;S$57,$Y$6:$BH$6,"&lt;="&amp;S$58)</f>
        <v>-66.79999999999998</v>
      </c>
      <c r="U43" s="150">
        <f>SUMIFS($Y43:$BH43,$Y$6:$BH$6,"&gt;="&amp;U$57,$Y$6:$BH$6,"&lt;="&amp;U$58)</f>
        <v>-66.79999999999998</v>
      </c>
      <c r="V43" s="150">
        <f>SUMIFS($Y43:$BH43,$Y$6:$BH$6,"&gt;="&amp;V$57,$Y$6:$BH$6,"&lt;="&amp;V$58)</f>
        <v>-66.79999999999998</v>
      </c>
      <c r="W43" s="150">
        <f>SUMIFS($Y43:$BH43,$Y$6:$BH$6,"&gt;="&amp;W$57,$Y$6:$BH$6,"&lt;="&amp;W$58)</f>
        <v>-66.79999999999998</v>
      </c>
      <c r="Y43" s="151">
        <f>-IF('Assumptions'!$C$18=1,'Assumptions'!$C$26,0)/12/1000</f>
        <v>-5.566666666666667</v>
      </c>
      <c r="Z43" s="151">
        <f>-IF('Assumptions'!$C$18=1,'Assumptions'!$C$26,0)/12/1000</f>
        <v>-5.566666666666667</v>
      </c>
      <c r="AA43" s="151">
        <f>-IF('Assumptions'!$C$18=1,'Assumptions'!$C$26,0)/12/1000</f>
        <v>-5.566666666666667</v>
      </c>
      <c r="AB43" s="151">
        <f>-IF('Assumptions'!$C$18=1,'Assumptions'!$C$26,0)/12/1000</f>
        <v>-5.566666666666667</v>
      </c>
      <c r="AC43" s="151">
        <f>-IF('Assumptions'!$C$18=1,'Assumptions'!$C$26,0)/12/1000</f>
        <v>-5.566666666666667</v>
      </c>
      <c r="AD43" s="151">
        <f>-IF('Assumptions'!$C$18=1,'Assumptions'!$C$26,0)/12/1000</f>
        <v>-5.566666666666667</v>
      </c>
      <c r="AE43" s="151">
        <f>-IF('Assumptions'!$C$18=1,'Assumptions'!$C$26,0)/12/1000</f>
        <v>-5.566666666666667</v>
      </c>
      <c r="AF43" s="151">
        <f>-IF('Assumptions'!$C$18=1,'Assumptions'!$C$26,0)/12/1000</f>
        <v>-5.566666666666667</v>
      </c>
      <c r="AG43" s="151">
        <f>-IF('Assumptions'!$C$18=1,'Assumptions'!$C$26,0)/12/1000</f>
        <v>-5.566666666666667</v>
      </c>
      <c r="AH43" s="151">
        <f>-IF('Assumptions'!$C$18=1,'Assumptions'!$C$26,0)/12/1000</f>
        <v>-5.566666666666667</v>
      </c>
      <c r="AI43" s="151">
        <f>-IF('Assumptions'!$C$18=1,'Assumptions'!$C$26,0)/12/1000</f>
        <v>-5.566666666666667</v>
      </c>
      <c r="AJ43" s="151">
        <f>-IF('Assumptions'!$C$18=1,'Assumptions'!$C$26,0)/12/1000</f>
        <v>-5.566666666666667</v>
      </c>
      <c r="AK43" s="151">
        <f>-IF('Assumptions'!$C$18=1,'Assumptions'!$C$26,0)/12/1000</f>
        <v>-5.566666666666667</v>
      </c>
      <c r="AL43" s="151">
        <f>-IF('Assumptions'!$C$18=1,'Assumptions'!$C$26,0)/12/1000</f>
        <v>-5.566666666666667</v>
      </c>
      <c r="AM43" s="151">
        <f>-IF('Assumptions'!$C$18=1,'Assumptions'!$C$26,0)/12/1000</f>
        <v>-5.566666666666667</v>
      </c>
      <c r="AN43" s="151">
        <f>-IF('Assumptions'!$C$18=1,'Assumptions'!$C$26,0)/12/1000</f>
        <v>-5.566666666666667</v>
      </c>
      <c r="AO43" s="151">
        <f>-IF('Assumptions'!$C$18=1,'Assumptions'!$C$26,0)/12/1000</f>
        <v>-5.566666666666667</v>
      </c>
      <c r="AP43" s="151">
        <f>-IF('Assumptions'!$C$18=1,'Assumptions'!$C$26,0)/12/1000</f>
        <v>-5.566666666666667</v>
      </c>
      <c r="AQ43" s="151">
        <f>-IF('Assumptions'!$C$18=1,'Assumptions'!$C$26,0)/12/1000</f>
        <v>-5.566666666666667</v>
      </c>
      <c r="AR43" s="151">
        <f>-IF('Assumptions'!$C$18=1,'Assumptions'!$C$26,0)/12/1000</f>
        <v>-5.566666666666667</v>
      </c>
      <c r="AS43" s="151">
        <f>-IF('Assumptions'!$C$18=1,'Assumptions'!$C$26,0)/12/1000</f>
        <v>-5.566666666666667</v>
      </c>
      <c r="AT43" s="151">
        <f>-IF('Assumptions'!$C$18=1,'Assumptions'!$C$26,0)/12/1000</f>
        <v>-5.566666666666667</v>
      </c>
      <c r="AU43" s="151">
        <f>-IF('Assumptions'!$C$18=1,'Assumptions'!$C$26,0)/12/1000</f>
        <v>-5.566666666666667</v>
      </c>
      <c r="AV43" s="151">
        <f>-IF('Assumptions'!$C$18=1,'Assumptions'!$C$26,0)/12/1000</f>
        <v>-5.566666666666667</v>
      </c>
      <c r="AW43" s="151">
        <f>-IF('Assumptions'!$C$18=1,'Assumptions'!$C$26,0)/12/1000</f>
        <v>-5.566666666666667</v>
      </c>
      <c r="AX43" s="151">
        <f>-IF('Assumptions'!$C$18=1,'Assumptions'!$C$26,0)/12/1000</f>
        <v>-5.566666666666667</v>
      </c>
      <c r="AY43" s="151">
        <f>-IF('Assumptions'!$C$18=1,'Assumptions'!$C$26,0)/12/1000</f>
        <v>-5.566666666666667</v>
      </c>
      <c r="AZ43" s="151">
        <f>-IF('Assumptions'!$C$18=1,'Assumptions'!$C$26,0)/12/1000</f>
        <v>-5.566666666666667</v>
      </c>
      <c r="BA43" s="151">
        <f>-IF('Assumptions'!$C$18=1,'Assumptions'!$C$26,0)/12/1000</f>
        <v>-5.566666666666667</v>
      </c>
      <c r="BB43" s="151">
        <f>-IF('Assumptions'!$C$18=1,'Assumptions'!$C$26,0)/12/1000</f>
        <v>-5.566666666666667</v>
      </c>
      <c r="BC43" s="151">
        <f>-IF('Assumptions'!$C$18=1,'Assumptions'!$C$26,0)/12/1000</f>
        <v>-5.566666666666667</v>
      </c>
      <c r="BD43" s="151">
        <f>-IF('Assumptions'!$C$18=1,'Assumptions'!$C$26,0)/12/1000</f>
        <v>-5.566666666666667</v>
      </c>
      <c r="BE43" s="151">
        <f>-IF('Assumptions'!$C$18=1,'Assumptions'!$C$26,0)/12/1000</f>
        <v>-5.566666666666667</v>
      </c>
      <c r="BF43" s="151">
        <f>-IF('Assumptions'!$C$18=1,'Assumptions'!$C$26,0)/12/1000</f>
        <v>-5.566666666666667</v>
      </c>
      <c r="BG43" s="151">
        <f>-IF('Assumptions'!$C$18=1,'Assumptions'!$C$26,0)/12/1000</f>
        <v>-5.566666666666667</v>
      </c>
      <c r="BH43" s="151">
        <f>-IF('Assumptions'!$C$18=1,'Assumptions'!$C$26,0)/12/1000</f>
        <v>-5.566666666666667</v>
      </c>
    </row>
    <row r="44" spans="2:60" x14ac:dyDescent="0.25">
      <c r="B44" s="157" t="str">
        <f>B23</f>
        <v>[S4]</v>
      </c>
      <c r="C44" s="158" t="str">
        <f>C23</f>
        <v>Payroll taxes and benefits on owner compensation</v>
      </c>
      <c r="D44" s="159" t="str">
        <f>D23</f>
        <v>Owner compensation</v>
      </c>
      <c r="E44" s="159" t="str">
        <f>E23</f>
        <v>Owner compensation</v>
      </c>
      <c r="I44" s="160" t="str">
        <f>I23</f>
        <v>Accepted</v>
      </c>
      <c r="N44" s="161">
        <f>ROUND(MIN(N41*1000,'Assumptions'!$C$107)*'Assumptions'!$C$103+N41*1000*'Assumptions'!$C$104+MIN(N41*1000,'Assumptions'!$C$106)*'Assumptions'!$C$105,0)/1000</f>
        <v>12.584</v>
      </c>
      <c r="O44" s="161">
        <f>ROUND(MIN(O41*1000,'Assumptions'!$C$108)*'Assumptions'!$C$103+O41*1000*'Assumptions'!$C$104+MIN(O41*1000,'Assumptions'!$C$106)*'Assumptions'!$C$105,0)/1000</f>
        <v>13.25</v>
      </c>
      <c r="P44" s="161">
        <f>ROUND(MIN(P41*1000,'Assumptions'!$C$109)*'Assumptions'!$C$103+P41*1000*'Assumptions'!$C$104+MIN(P41*1000,'Assumptions'!$C$106)*'Assumptions'!$C$105,0)/1000</f>
        <v>13.86</v>
      </c>
      <c r="R44" s="162">
        <f>SUMIFS($Y44:$BH44,$Y$6:$BH$6,"&gt;="&amp;R$57,$Y$6:$BH$6,"&lt;="&amp;R$58)</f>
        <v>13.249999999999998</v>
      </c>
      <c r="S44" s="162">
        <f>SUMIFS($Y44:$BH44,$Y$6:$BH$6,"&gt;="&amp;S$57,$Y$6:$BH$6,"&lt;="&amp;S$58)</f>
        <v>13.859999999999998</v>
      </c>
      <c r="U44" s="162">
        <f>SUMIFS($Y44:$BH44,$Y$6:$BH$6,"&gt;="&amp;U$57,$Y$6:$BH$6,"&lt;="&amp;U$58)</f>
        <v>13.249999999999998</v>
      </c>
      <c r="V44" s="162">
        <f>SUMIFS($Y44:$BH44,$Y$6:$BH$6,"&gt;="&amp;V$57,$Y$6:$BH$6,"&lt;="&amp;V$58)</f>
        <v>13.859999999999998</v>
      </c>
      <c r="W44" s="162">
        <f>SUMIFS($Y44:$BH44,$Y$6:$BH$6,"&gt;="&amp;W$57,$Y$6:$BH$6,"&lt;="&amp;W$58)</f>
        <v>13.859999999999998</v>
      </c>
      <c r="Y44" s="161">
        <f>IFERROR((SUMIFS('Databook'!$Q$8:$Q$33,'Databook'!$B$8:$B$33,"Payroll Expenses : Officer Compensation"))*N44/(SUMIFS('Databook'!$I$8:$I$33,'Databook'!$B$8:$B$33,"Payroll Expenses : Officer Compensation")),N44/12)</f>
        <v>1.0486666666666666</v>
      </c>
      <c r="Z44" s="161">
        <f>IFERROR((SUMIFS('Databook'!$R$8:$R$33,'Databook'!$B$8:$B$33,"Payroll Expenses : Officer Compensation"))*N44/(SUMIFS('Databook'!$I$8:$I$33,'Databook'!$B$8:$B$33,"Payroll Expenses : Officer Compensation")),N44/12)</f>
        <v>1.0486666666666666</v>
      </c>
      <c r="AA44" s="161">
        <f>IFERROR((SUMIFS('Databook'!$S$8:$S$33,'Databook'!$B$8:$B$33,"Payroll Expenses : Officer Compensation"))*N44/(SUMIFS('Databook'!$I$8:$I$33,'Databook'!$B$8:$B$33,"Payroll Expenses : Officer Compensation")),N44/12)</f>
        <v>1.0486666666666666</v>
      </c>
      <c r="AB44" s="161">
        <f>IFERROR((SUMIFS('Databook'!$T$8:$T$33,'Databook'!$B$8:$B$33,"Payroll Expenses : Officer Compensation"))*N44/(SUMIFS('Databook'!$I$8:$I$33,'Databook'!$B$8:$B$33,"Payroll Expenses : Officer Compensation")),N44/12)</f>
        <v>1.0486666666666666</v>
      </c>
      <c r="AC44" s="161">
        <f>IFERROR((SUMIFS('Databook'!$U$8:$U$33,'Databook'!$B$8:$B$33,"Payroll Expenses : Officer Compensation"))*N44/(SUMIFS('Databook'!$I$8:$I$33,'Databook'!$B$8:$B$33,"Payroll Expenses : Officer Compensation")),N44/12)</f>
        <v>1.0486666666666666</v>
      </c>
      <c r="AD44" s="161">
        <f>IFERROR((SUMIFS('Databook'!$V$8:$V$33,'Databook'!$B$8:$B$33,"Payroll Expenses : Officer Compensation"))*N44/(SUMIFS('Databook'!$I$8:$I$33,'Databook'!$B$8:$B$33,"Payroll Expenses : Officer Compensation")),N44/12)</f>
        <v>1.0486666666666666</v>
      </c>
      <c r="AE44" s="161">
        <f>IFERROR((SUMIFS('Databook'!$W$8:$W$33,'Databook'!$B$8:$B$33,"Payroll Expenses : Officer Compensation"))*N44/(SUMIFS('Databook'!$I$8:$I$33,'Databook'!$B$8:$B$33,"Payroll Expenses : Officer Compensation")),N44/12)</f>
        <v>1.0486666666666666</v>
      </c>
      <c r="AF44" s="161">
        <f>IFERROR((SUMIFS('Databook'!$X$8:$X$33,'Databook'!$B$8:$B$33,"Payroll Expenses : Officer Compensation"))*N44/(SUMIFS('Databook'!$I$8:$I$33,'Databook'!$B$8:$B$33,"Payroll Expenses : Officer Compensation")),N44/12)</f>
        <v>1.0486666666666666</v>
      </c>
      <c r="AG44" s="161">
        <f>IFERROR((SUMIFS('Databook'!$Y$8:$Y$33,'Databook'!$B$8:$B$33,"Payroll Expenses : Officer Compensation"))*N44/(SUMIFS('Databook'!$I$8:$I$33,'Databook'!$B$8:$B$33,"Payroll Expenses : Officer Compensation")),N44/12)</f>
        <v>1.0486666666666666</v>
      </c>
      <c r="AH44" s="161">
        <f>IFERROR((SUMIFS('Databook'!$Z$8:$Z$33,'Databook'!$B$8:$B$33,"Payroll Expenses : Officer Compensation"))*N44/(SUMIFS('Databook'!$I$8:$I$33,'Databook'!$B$8:$B$33,"Payroll Expenses : Officer Compensation")),N44/12)</f>
        <v>1.0486666666666666</v>
      </c>
      <c r="AI44" s="161">
        <f>IFERROR((SUMIFS('Databook'!$AA$8:$AA$33,'Databook'!$B$8:$B$33,"Payroll Expenses : Officer Compensation"))*N44/(SUMIFS('Databook'!$I$8:$I$33,'Databook'!$B$8:$B$33,"Payroll Expenses : Officer Compensation")),N44/12)</f>
        <v>1.0486666666666666</v>
      </c>
      <c r="AJ44" s="161">
        <f>IFERROR((SUMIFS('Databook'!$AB$8:$AB$33,'Databook'!$B$8:$B$33,"Payroll Expenses : Officer Compensation"))*N44/(SUMIFS('Databook'!$I$8:$I$33,'Databook'!$B$8:$B$33,"Payroll Expenses : Officer Compensation")),N44/12)</f>
        <v>1.0486666666666666</v>
      </c>
      <c r="AK44" s="161">
        <f>IFERROR((SUMIFS('Databook'!$AC$8:$AC$33,'Databook'!$B$8:$B$33,"Payroll Expenses : Officer Compensation"))*O44/(SUMIFS('Databook'!$J$8:$J$33,'Databook'!$B$8:$B$33,"Payroll Expenses : Officer Compensation")),O44/12)</f>
        <v>1.104213157894737</v>
      </c>
      <c r="AL44" s="161">
        <f>IFERROR((SUMIFS('Databook'!$AD$8:$AD$33,'Databook'!$B$8:$B$33,"Payroll Expenses : Officer Compensation"))*O44/(SUMIFS('Databook'!$J$8:$J$33,'Databook'!$B$8:$B$33,"Payroll Expenses : Officer Compensation")),O44/12)</f>
        <v>1.104213157894737</v>
      </c>
      <c r="AM44" s="161">
        <f>IFERROR((SUMIFS('Databook'!$AE$8:$AE$33,'Databook'!$B$8:$B$33,"Payroll Expenses : Officer Compensation"))*O44/(SUMIFS('Databook'!$J$8:$J$33,'Databook'!$B$8:$B$33,"Payroll Expenses : Officer Compensation")),O44/12)</f>
        <v>1.104213157894737</v>
      </c>
      <c r="AN44" s="161">
        <f>IFERROR((SUMIFS('Databook'!$AF$8:$AF$33,'Databook'!$B$8:$B$33,"Payroll Expenses : Officer Compensation"))*O44/(SUMIFS('Databook'!$J$8:$J$33,'Databook'!$B$8:$B$33,"Payroll Expenses : Officer Compensation")),O44/12)</f>
        <v>1.104213157894737</v>
      </c>
      <c r="AO44" s="161">
        <f>IFERROR((SUMIFS('Databook'!$AG$8:$AG$33,'Databook'!$B$8:$B$33,"Payroll Expenses : Officer Compensation"))*O44/(SUMIFS('Databook'!$J$8:$J$33,'Databook'!$B$8:$B$33,"Payroll Expenses : Officer Compensation")),O44/12)</f>
        <v>1.1041434210526315</v>
      </c>
      <c r="AP44" s="161">
        <f>IFERROR((SUMIFS('Databook'!$AH$8:$AH$33,'Databook'!$B$8:$B$33,"Payroll Expenses : Officer Compensation"))*O44/(SUMIFS('Databook'!$J$8:$J$33,'Databook'!$B$8:$B$33,"Payroll Expenses : Officer Compensation")),O44/12)</f>
        <v>1.1041434210526315</v>
      </c>
      <c r="AQ44" s="161">
        <f>IFERROR((SUMIFS('Databook'!$AI$8:$AI$33,'Databook'!$B$8:$B$33,"Payroll Expenses : Officer Compensation"))*O44/(SUMIFS('Databook'!$J$8:$J$33,'Databook'!$B$8:$B$33,"Payroll Expenses : Officer Compensation")),O44/12)</f>
        <v>1.1041434210526315</v>
      </c>
      <c r="AR44" s="161">
        <f>IFERROR((SUMIFS('Databook'!$AJ$8:$AJ$33,'Databook'!$B$8:$B$33,"Payroll Expenses : Officer Compensation"))*O44/(SUMIFS('Databook'!$J$8:$J$33,'Databook'!$B$8:$B$33,"Payroll Expenses : Officer Compensation")),O44/12)</f>
        <v>1.1041434210526315</v>
      </c>
      <c r="AS44" s="161">
        <f>IFERROR((SUMIFS('Databook'!$AK$8:$AK$33,'Databook'!$B$8:$B$33,"Payroll Expenses : Officer Compensation"))*O44/(SUMIFS('Databook'!$J$8:$J$33,'Databook'!$B$8:$B$33,"Payroll Expenses : Officer Compensation")),O44/12)</f>
        <v>1.1041434210526315</v>
      </c>
      <c r="AT44" s="161">
        <f>IFERROR((SUMIFS('Databook'!$AL$8:$AL$33,'Databook'!$B$8:$B$33,"Payroll Expenses : Officer Compensation"))*O44/(SUMIFS('Databook'!$J$8:$J$33,'Databook'!$B$8:$B$33,"Payroll Expenses : Officer Compensation")),O44/12)</f>
        <v>1.1041434210526315</v>
      </c>
      <c r="AU44" s="161">
        <f>IFERROR((SUMIFS('Databook'!$AM$8:$AM$33,'Databook'!$B$8:$B$33,"Payroll Expenses : Officer Compensation"))*O44/(SUMIFS('Databook'!$J$8:$J$33,'Databook'!$B$8:$B$33,"Payroll Expenses : Officer Compensation")),O44/12)</f>
        <v>1.1041434210526315</v>
      </c>
      <c r="AV44" s="161">
        <f>IFERROR((SUMIFS('Databook'!$AN$8:$AN$33,'Databook'!$B$8:$B$33,"Payroll Expenses : Officer Compensation"))*O44/(SUMIFS('Databook'!$J$8:$J$33,'Databook'!$B$8:$B$33,"Payroll Expenses : Officer Compensation")),O44/12)</f>
        <v>1.1041434210526315</v>
      </c>
      <c r="AW44" s="161">
        <f>IFERROR((SUMIFS('Databook'!$AO$8:$AO$33,'Databook'!$B$8:$B$33,"Payroll Expenses : Officer Compensation"))*P44/(SUMIFS('Databook'!$K$8:$K$33,'Databook'!$B$8:$B$33,"Payroll Expenses : Officer Compensation")),P44/12)</f>
        <v>1.1550231000000002</v>
      </c>
      <c r="AX44" s="161">
        <f>IFERROR((SUMIFS('Databook'!$AP$8:$AP$33,'Databook'!$B$8:$B$33,"Payroll Expenses : Officer Compensation"))*P44/(SUMIFS('Databook'!$K$8:$K$33,'Databook'!$B$8:$B$33,"Payroll Expenses : Officer Compensation")),P44/12)</f>
        <v>1.1550231000000002</v>
      </c>
      <c r="AY44" s="161">
        <f>IFERROR((SUMIFS('Databook'!$AQ$8:$AQ$33,'Databook'!$B$8:$B$33,"Payroll Expenses : Officer Compensation"))*P44/(SUMIFS('Databook'!$K$8:$K$33,'Databook'!$B$8:$B$33,"Payroll Expenses : Officer Compensation")),P44/12)</f>
        <v>1.1550231000000002</v>
      </c>
      <c r="AZ44" s="161">
        <f>IFERROR((SUMIFS('Databook'!$AR$8:$AR$33,'Databook'!$B$8:$B$33,"Payroll Expenses : Officer Compensation"))*P44/(SUMIFS('Databook'!$K$8:$K$33,'Databook'!$B$8:$B$33,"Payroll Expenses : Officer Compensation")),P44/12)</f>
        <v>1.1550231000000002</v>
      </c>
      <c r="BA44" s="161">
        <f>IFERROR((SUMIFS('Databook'!$AS$8:$AS$33,'Databook'!$B$8:$B$33,"Payroll Expenses : Officer Compensation"))*P44/(SUMIFS('Databook'!$K$8:$K$33,'Databook'!$B$8:$B$33,"Payroll Expenses : Officer Compensation")),P44/12)</f>
        <v>1.1550231000000002</v>
      </c>
      <c r="BB44" s="161">
        <f>IFERROR((SUMIFS('Databook'!$AT$8:$AT$33,'Databook'!$B$8:$B$33,"Payroll Expenses : Officer Compensation"))*P44/(SUMIFS('Databook'!$K$8:$K$33,'Databook'!$B$8:$B$33,"Payroll Expenses : Officer Compensation")),P44/12)</f>
        <v>1.1550231000000002</v>
      </c>
      <c r="BC44" s="161">
        <f>IFERROR((SUMIFS('Databook'!$AU$8:$AU$33,'Databook'!$B$8:$B$33,"Payroll Expenses : Officer Compensation"))*P44/(SUMIFS('Databook'!$K$8:$K$33,'Databook'!$B$8:$B$33,"Payroll Expenses : Officer Compensation")),P44/12)</f>
        <v>1.1550231000000002</v>
      </c>
      <c r="BD44" s="161">
        <f>IFERROR((SUMIFS('Databook'!$AV$8:$AV$33,'Databook'!$B$8:$B$33,"Payroll Expenses : Officer Compensation"))*P44/(SUMIFS('Databook'!$K$8:$K$33,'Databook'!$B$8:$B$33,"Payroll Expenses : Officer Compensation")),P44/12)</f>
        <v>1.1550231000000002</v>
      </c>
      <c r="BE44" s="161">
        <f>IFERROR((SUMIFS('Databook'!$AW$8:$AW$33,'Databook'!$B$8:$B$33,"Payroll Expenses : Officer Compensation"))*P44/(SUMIFS('Databook'!$K$8:$K$33,'Databook'!$B$8:$B$33,"Payroll Expenses : Officer Compensation")),P44/12)</f>
        <v>1.1549538</v>
      </c>
      <c r="BF44" s="161">
        <f>IFERROR((SUMIFS('Databook'!$AX$8:$AX$33,'Databook'!$B$8:$B$33,"Payroll Expenses : Officer Compensation"))*P44/(SUMIFS('Databook'!$K$8:$K$33,'Databook'!$B$8:$B$33,"Payroll Expenses : Officer Compensation")),P44/12)</f>
        <v>1.1549538</v>
      </c>
      <c r="BG44" s="161">
        <f>IFERROR((SUMIFS('Databook'!$AY$8:$AY$33,'Databook'!$B$8:$B$33,"Payroll Expenses : Officer Compensation"))*P44/(SUMIFS('Databook'!$K$8:$K$33,'Databook'!$B$8:$B$33,"Payroll Expenses : Officer Compensation")),P44/12)</f>
        <v>1.1549538</v>
      </c>
      <c r="BH44" s="161">
        <f>IFERROR((SUMIFS('Databook'!$AZ$8:$AZ$33,'Databook'!$B$8:$B$33,"Payroll Expenses : Officer Compensation"))*P44/(SUMIFS('Databook'!$K$8:$K$33,'Databook'!$B$8:$B$33,"Payroll Expenses : Officer Compensation")),P44/12)</f>
        <v>1.1549538</v>
      </c>
    </row>
    <row r="45" spans="2:60" x14ac:dyDescent="0.25">
      <c r="B45" s="152" t="str">
        <f>B24</f>
        <v>[M1]</v>
      </c>
      <c r="C45" s="153" t="str">
        <f>C24</f>
        <v>After-hours emergency plumbing</v>
      </c>
      <c r="D45" s="148" t="str">
        <f>D24</f>
        <v>Memo</v>
      </c>
      <c r="E45" s="148" t="str">
        <f>E24</f>
        <v>Other consideration</v>
      </c>
      <c r="I45" s="149" t="str">
        <f>I24</f>
        <v>Proposed</v>
      </c>
      <c r="N45" s="154">
        <v>0</v>
      </c>
      <c r="O45" s="154">
        <v>0</v>
      </c>
      <c r="P45" s="154">
        <v>0</v>
      </c>
      <c r="Q45" s="3"/>
      <c r="R45" s="155">
        <f>N45*MAX(0,(YEAR(MIN(R$58,N$58))-YEAR(MAX(R$57,N$57)))*12+MONTH(MIN(R$58,N$58))-MONTH(MAX(R$57,N$57))+1)/12+O45*MAX(0,(YEAR(MIN(R$58,O$58))-YEAR(MAX(R$57,O$57)))*12+MONTH(MIN(R$58,O$58))-MONTH(MAX(R$57,O$57))+1)/12+P45*MAX(0,(YEAR(MIN(R$58,P$58))-YEAR(MAX(R$57,P$57)))*12+MONTH(MIN(R$58,P$58))-MONTH(MAX(R$57,P$57))+1)/12</f>
        <v>0</v>
      </c>
      <c r="S45" s="155">
        <f>N45*MAX(0,(YEAR(MIN(S$58,N$58))-YEAR(MAX(S$57,N$57)))*12+MONTH(MIN(S$58,N$58))-MONTH(MAX(S$57,N$57))+1)/12+O45*MAX(0,(YEAR(MIN(S$58,O$58))-YEAR(MAX(S$57,O$57)))*12+MONTH(MIN(S$58,O$58))-MONTH(MAX(S$57,O$57))+1)/12+P45*MAX(0,(YEAR(MIN(S$58,P$58))-YEAR(MAX(S$57,P$57)))*12+MONTH(MIN(S$58,P$58))-MONTH(MAX(S$57,P$57))+1)/12</f>
        <v>0</v>
      </c>
      <c r="T45" s="3"/>
      <c r="U45" s="155">
        <f>N45*MAX(0,(YEAR(MIN(U$58,N$58))-YEAR(MAX(U$57,N$57)))*12+MONTH(MIN(U$58,N$58))-MONTH(MAX(U$57,N$57))+1)/12+O45*MAX(0,(YEAR(MIN(U$58,O$58))-YEAR(MAX(U$57,O$57)))*12+MONTH(MIN(U$58,O$58))-MONTH(MAX(U$57,O$57))+1)/12+P45*MAX(0,(YEAR(MIN(U$58,P$58))-YEAR(MAX(U$57,P$57)))*12+MONTH(MIN(U$58,P$58))-MONTH(MAX(U$57,P$57))+1)/12</f>
        <v>0</v>
      </c>
      <c r="V45" s="155">
        <f>N45*MAX(0,(YEAR(MIN(V$58,N$58))-YEAR(MAX(V$57,N$57)))*12+MONTH(MIN(V$58,N$58))-MONTH(MAX(V$57,N$57))+1)/12+O45*MAX(0,(YEAR(MIN(V$58,O$58))-YEAR(MAX(V$57,O$57)))*12+MONTH(MIN(V$58,O$58))-MONTH(MAX(V$57,O$57))+1)/12+P45*MAX(0,(YEAR(MIN(V$58,P$58))-YEAR(MAX(V$57,P$57)))*12+MONTH(MIN(V$58,P$58))-MONTH(MAX(V$57,P$57))+1)/12</f>
        <v>0</v>
      </c>
      <c r="W45" s="155">
        <f>N45*MAX(0,(YEAR(MIN(W$58,N$58))-YEAR(MAX(W$57,N$57)))*12+MONTH(MIN(W$58,N$58))-MONTH(MAX(W$57,N$57))+1)/12+O45*MAX(0,(YEAR(MIN(W$58,O$58))-YEAR(MAX(W$57,O$57)))*12+MONTH(MIN(W$58,O$58))-MONTH(MAX(W$57,O$57))+1)/12+P45*MAX(0,(YEAR(MIN(W$58,P$58))-YEAR(MAX(W$57,P$57)))*12+MONTH(MIN(W$58,P$58))-MONTH(MAX(W$57,P$57))+1)/12</f>
        <v>0</v>
      </c>
      <c r="X45" s="3"/>
      <c r="Y45" s="155">
        <f>N45/12</f>
        <v>0</v>
      </c>
      <c r="Z45" s="155">
        <f>N45/12</f>
        <v>0</v>
      </c>
      <c r="AA45" s="155">
        <f>N45/12</f>
        <v>0</v>
      </c>
      <c r="AB45" s="155">
        <f>N45/12</f>
        <v>0</v>
      </c>
      <c r="AC45" s="155">
        <f>N45/12</f>
        <v>0</v>
      </c>
      <c r="AD45" s="155">
        <f>N45/12</f>
        <v>0</v>
      </c>
      <c r="AE45" s="155">
        <f>N45/12</f>
        <v>0</v>
      </c>
      <c r="AF45" s="155">
        <f>N45/12</f>
        <v>0</v>
      </c>
      <c r="AG45" s="155">
        <f>N45/12</f>
        <v>0</v>
      </c>
      <c r="AH45" s="155">
        <f>N45/12</f>
        <v>0</v>
      </c>
      <c r="AI45" s="155">
        <f>N45/12</f>
        <v>0</v>
      </c>
      <c r="AJ45" s="155">
        <f>N45/12</f>
        <v>0</v>
      </c>
      <c r="AK45" s="155">
        <f>O45/12</f>
        <v>0</v>
      </c>
      <c r="AL45" s="155">
        <f>O45/12</f>
        <v>0</v>
      </c>
      <c r="AM45" s="155">
        <f>O45/12</f>
        <v>0</v>
      </c>
      <c r="AN45" s="155">
        <f>O45/12</f>
        <v>0</v>
      </c>
      <c r="AO45" s="155">
        <f>O45/12</f>
        <v>0</v>
      </c>
      <c r="AP45" s="155">
        <f>O45/12</f>
        <v>0</v>
      </c>
      <c r="AQ45" s="155">
        <f>O45/12</f>
        <v>0</v>
      </c>
      <c r="AR45" s="155">
        <f>O45/12</f>
        <v>0</v>
      </c>
      <c r="AS45" s="155">
        <f>O45/12</f>
        <v>0</v>
      </c>
      <c r="AT45" s="155">
        <f>O45/12</f>
        <v>0</v>
      </c>
      <c r="AU45" s="155">
        <f>O45/12</f>
        <v>0</v>
      </c>
      <c r="AV45" s="155">
        <f>O45/12</f>
        <v>0</v>
      </c>
      <c r="AW45" s="155">
        <f>P45/12</f>
        <v>0</v>
      </c>
      <c r="AX45" s="155">
        <f>P45/12</f>
        <v>0</v>
      </c>
      <c r="AY45" s="155">
        <f>P45/12</f>
        <v>0</v>
      </c>
      <c r="AZ45" s="155">
        <f>P45/12</f>
        <v>0</v>
      </c>
      <c r="BA45" s="155">
        <f>P45/12</f>
        <v>0</v>
      </c>
      <c r="BB45" s="155">
        <f>P45/12</f>
        <v>0</v>
      </c>
      <c r="BC45" s="155">
        <f>P45/12</f>
        <v>0</v>
      </c>
      <c r="BD45" s="155">
        <f>P45/12</f>
        <v>0</v>
      </c>
      <c r="BE45" s="155">
        <f>P45/12</f>
        <v>0</v>
      </c>
      <c r="BF45" s="155">
        <f>P45/12</f>
        <v>0</v>
      </c>
      <c r="BG45" s="155">
        <f>P45/12</f>
        <v>0</v>
      </c>
      <c r="BH45" s="155">
        <f>P45/12</f>
        <v>0</v>
      </c>
    </row>
    <row r="47" spans="2:60" x14ac:dyDescent="0.25">
      <c r="B47" s="37" t="s">
        <v>503</v>
      </c>
      <c r="C47" s="37"/>
      <c r="D47" s="37"/>
      <c r="E47" s="37"/>
      <c r="F47" s="37"/>
      <c r="G47" s="37"/>
      <c r="H47" s="37"/>
      <c r="I47" s="37"/>
      <c r="J47" s="37"/>
      <c r="K47" s="37"/>
      <c r="L47" s="37"/>
      <c r="N47" s="37"/>
      <c r="O47" s="37"/>
      <c r="P47" s="37"/>
      <c r="R47" s="37"/>
      <c r="S47" s="37"/>
      <c r="U47" s="37"/>
      <c r="V47" s="37"/>
      <c r="W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row>
    <row r="48" spans="3:60" x14ac:dyDescent="0.25">
      <c r="C48" s="52" t="s">
        <v>504</v>
      </c>
      <c r="N48" s="150">
        <f>SUMIFS($N$29:$N$46,$D$29:$D$46,"Definitional",$I$29:$I$46,"Accepted")</f>
        <v>83.6</v>
      </c>
      <c r="O48" s="150">
        <f>SUMIFS($O$29:$O$46,$D$29:$D$46,"Definitional",$I$29:$I$46,"Accepted")</f>
        <v>85.4</v>
      </c>
      <c r="P48" s="150">
        <f>SUMIFS($P$29:$P$46,$D$29:$D$46,"Definitional",$I$29:$I$46,"Accepted")</f>
        <v>86.7</v>
      </c>
      <c r="R48" s="150">
        <f>SUMIFS($R$29:$R$46,$D$29:$D$46,"Definitional",$I$29:$I$46,"Accepted")</f>
        <v>85.4</v>
      </c>
      <c r="S48" s="150">
        <f>SUMIFS($S$29:$S$46,$D$29:$D$46,"Definitional",$I$29:$I$46,"Accepted")</f>
        <v>86.7</v>
      </c>
      <c r="U48" s="150">
        <f>SUMIFS($U$29:$U$46,$D$29:$D$46,"Definitional",$I$29:$I$46,"Accepted")</f>
        <v>85.4</v>
      </c>
      <c r="V48" s="150">
        <f>SUMIFS($V$29:$V$46,$D$29:$D$46,"Definitional",$I$29:$I$46,"Accepted")</f>
        <v>86.7</v>
      </c>
      <c r="W48" s="150">
        <f>SUMIFS($W$29:$W$46,$D$29:$D$46,"Definitional",$I$29:$I$46,"Accepted")</f>
        <v>86.7</v>
      </c>
      <c r="Y48" s="150">
        <f>SUMIFS($Y$29:$Y$46,$D$29:$D$46,"Definitional",$I$29:$I$46,"Accepted")</f>
        <v>7.174</v>
      </c>
      <c r="Z48" s="150">
        <f>SUMIFS($Z$29:$Z$46,$D$29:$D$46,"Definitional",$I$29:$I$46,"Accepted")</f>
        <v>7.136</v>
      </c>
      <c r="AA48" s="150">
        <f>SUMIFS($AA$29:$AA$46,$D$29:$D$46,"Definitional",$I$29:$I$46,"Accepted")</f>
        <v>7.099</v>
      </c>
      <c r="AB48" s="150">
        <f>SUMIFS($AB$29:$AB$46,$D$29:$D$46,"Definitional",$I$29:$I$46,"Accepted")</f>
        <v>7.061</v>
      </c>
      <c r="AC48" s="150">
        <f>SUMIFS($AC$29:$AC$46,$D$29:$D$46,"Definitional",$I$29:$I$46,"Accepted")</f>
        <v>7.023</v>
      </c>
      <c r="AD48" s="150">
        <f>SUMIFS($AD$29:$AD$46,$D$29:$D$46,"Definitional",$I$29:$I$46,"Accepted")</f>
        <v>6.986</v>
      </c>
      <c r="AE48" s="150">
        <f>SUMIFS($AE$29:$AE$46,$D$29:$D$46,"Definitional",$I$29:$I$46,"Accepted")</f>
        <v>6.948</v>
      </c>
      <c r="AF48" s="150">
        <f>SUMIFS($AF$29:$AF$46,$D$29:$D$46,"Definitional",$I$29:$I$46,"Accepted")</f>
        <v>6.91</v>
      </c>
      <c r="AG48" s="150">
        <f>SUMIFS($AG$29:$AG$46,$D$29:$D$46,"Definitional",$I$29:$I$46,"Accepted")</f>
        <v>6.872</v>
      </c>
      <c r="AH48" s="150">
        <f>SUMIFS($AH$29:$AH$46,$D$29:$D$46,"Definitional",$I$29:$I$46,"Accepted")</f>
        <v>6.835</v>
      </c>
      <c r="AI48" s="150">
        <f>SUMIFS($AI$29:$AI$46,$D$29:$D$46,"Definitional",$I$29:$I$46,"Accepted")</f>
        <v>6.797</v>
      </c>
      <c r="AJ48" s="150">
        <f>SUMIFS($AJ$29:$AJ$46,$D$29:$D$46,"Definitional",$I$29:$I$46,"Accepted")</f>
        <v>6.759</v>
      </c>
      <c r="AK48" s="150">
        <f>SUMIFS($AK$29:$AK$46,$D$29:$D$46,"Definitional",$I$29:$I$46,"Accepted")</f>
        <v>7.289</v>
      </c>
      <c r="AL48" s="150">
        <f>SUMIFS($AL$29:$AL$46,$D$29:$D$46,"Definitional",$I$29:$I$46,"Accepted")</f>
        <v>7.258</v>
      </c>
      <c r="AM48" s="150">
        <f>SUMIFS($AM$29:$AM$46,$D$29:$D$46,"Definitional",$I$29:$I$46,"Accepted")</f>
        <v>7.227</v>
      </c>
      <c r="AN48" s="150">
        <f>SUMIFS($AN$29:$AN$46,$D$29:$D$46,"Definitional",$I$29:$I$46,"Accepted")</f>
        <v>7.195</v>
      </c>
      <c r="AO48" s="150">
        <f>SUMIFS($AO$29:$AO$46,$D$29:$D$46,"Definitional",$I$29:$I$46,"Accepted")</f>
        <v>7.164</v>
      </c>
      <c r="AP48" s="150">
        <f>SUMIFS($AP$29:$AP$46,$D$29:$D$46,"Definitional",$I$29:$I$46,"Accepted")</f>
        <v>7.133</v>
      </c>
      <c r="AQ48" s="150">
        <f>SUMIFS($AQ$29:$AQ$46,$D$29:$D$46,"Definitional",$I$29:$I$46,"Accepted")</f>
        <v>7.101</v>
      </c>
      <c r="AR48" s="150">
        <f>SUMIFS($AR$29:$AR$46,$D$29:$D$46,"Definitional",$I$29:$I$46,"Accepted")</f>
        <v>7.07</v>
      </c>
      <c r="AS48" s="150">
        <f>SUMIFS($AS$29:$AS$46,$D$29:$D$46,"Definitional",$I$29:$I$46,"Accepted")</f>
        <v>7.038</v>
      </c>
      <c r="AT48" s="150">
        <f>SUMIFS($AT$29:$AT$46,$D$29:$D$46,"Definitional",$I$29:$I$46,"Accepted")</f>
        <v>7.006</v>
      </c>
      <c r="AU48" s="150">
        <f>SUMIFS($AU$29:$AU$46,$D$29:$D$46,"Definitional",$I$29:$I$46,"Accepted")</f>
        <v>6.975</v>
      </c>
      <c r="AV48" s="150">
        <f>SUMIFS($AV$29:$AV$46,$D$29:$D$46,"Definitional",$I$29:$I$46,"Accepted")</f>
        <v>6.944</v>
      </c>
      <c r="AW48" s="150">
        <f>SUMIFS($AW$29:$AW$46,$D$29:$D$46,"Definitional",$I$29:$I$46,"Accepted")</f>
        <v>7.358</v>
      </c>
      <c r="AX48" s="150">
        <f>SUMIFS($AX$29:$AX$46,$D$29:$D$46,"Definitional",$I$29:$I$46,"Accepted")</f>
        <v>7.334</v>
      </c>
      <c r="AY48" s="150">
        <f>SUMIFS($AY$29:$AY$46,$D$29:$D$46,"Definitional",$I$29:$I$46,"Accepted")</f>
        <v>7.31</v>
      </c>
      <c r="AZ48" s="150">
        <f>SUMIFS($AZ$29:$AZ$46,$D$29:$D$46,"Definitional",$I$29:$I$46,"Accepted")</f>
        <v>7.286</v>
      </c>
      <c r="BA48" s="150">
        <f>SUMIFS($BA$29:$BA$46,$D$29:$D$46,"Definitional",$I$29:$I$46,"Accepted")</f>
        <v>7.261</v>
      </c>
      <c r="BB48" s="150">
        <f>SUMIFS($BB$29:$BB$46,$D$29:$D$46,"Definitional",$I$29:$I$46,"Accepted")</f>
        <v>7.237</v>
      </c>
      <c r="BC48" s="150">
        <f>SUMIFS($BC$29:$BC$46,$D$29:$D$46,"Definitional",$I$29:$I$46,"Accepted")</f>
        <v>7.213</v>
      </c>
      <c r="BD48" s="150">
        <f>SUMIFS($BD$29:$BD$46,$D$29:$D$46,"Definitional",$I$29:$I$46,"Accepted")</f>
        <v>7.189</v>
      </c>
      <c r="BE48" s="150">
        <f>SUMIFS($BE$29:$BE$46,$D$29:$D$46,"Definitional",$I$29:$I$46,"Accepted")</f>
        <v>7.164</v>
      </c>
      <c r="BF48" s="150">
        <f>SUMIFS($BF$29:$BF$46,$D$29:$D$46,"Definitional",$I$29:$I$46,"Accepted")</f>
        <v>7.14</v>
      </c>
      <c r="BG48" s="150">
        <f>SUMIFS($BG$29:$BG$46,$D$29:$D$46,"Definitional",$I$29:$I$46,"Accepted")</f>
        <v>7.116</v>
      </c>
      <c r="BH48" s="150">
        <f>SUMIFS($BH$29:$BH$46,$D$29:$D$46,"Definitional",$I$29:$I$46,"Accepted")</f>
        <v>7.092</v>
      </c>
    </row>
    <row r="49" spans="3:60" x14ac:dyDescent="0.25">
      <c r="C49" s="52" t="s">
        <v>505</v>
      </c>
      <c r="N49" s="150">
        <f>SUMIFS($N$29:$N$46,$D$29:$D$46,"Normalization",$I$29:$I$46,"Accepted")</f>
        <v>19.8</v>
      </c>
      <c r="O49" s="150">
        <f>SUMIFS($O$29:$O$46,$D$29:$D$46,"Normalization",$I$29:$I$46,"Accepted")</f>
        <v>44.6</v>
      </c>
      <c r="P49" s="150">
        <f>SUMIFS($P$29:$P$46,$D$29:$D$46,"Normalization",$I$29:$I$46,"Accepted")</f>
        <v>28.4</v>
      </c>
      <c r="R49" s="150">
        <f>SUMIFS($R$29:$R$46,$D$29:$D$46,"Normalization",$I$29:$I$46,"Accepted")</f>
        <v>44.6</v>
      </c>
      <c r="S49" s="150">
        <f>SUMIFS($S$29:$S$46,$D$29:$D$46,"Normalization",$I$29:$I$46,"Accepted")</f>
        <v>28.4</v>
      </c>
      <c r="U49" s="150">
        <f>SUMIFS($U$29:$U$46,$D$29:$D$46,"Normalization",$I$29:$I$46,"Accepted")</f>
        <v>44.6</v>
      </c>
      <c r="V49" s="150">
        <f>SUMIFS($V$29:$V$46,$D$29:$D$46,"Normalization",$I$29:$I$46,"Accepted")</f>
        <v>28.4</v>
      </c>
      <c r="W49" s="150">
        <f>SUMIFS($W$29:$W$46,$D$29:$D$46,"Normalization",$I$29:$I$46,"Accepted")</f>
        <v>28.4</v>
      </c>
      <c r="Y49" s="150">
        <f>SUMIFS($Y$29:$Y$46,$D$29:$D$46,"Normalization",$I$29:$I$46,"Accepted")</f>
        <v>1.335606334841629</v>
      </c>
      <c r="Z49" s="150">
        <f>SUMIFS($Z$29:$Z$46,$D$29:$D$46,"Normalization",$I$29:$I$46,"Accepted")</f>
        <v>1.309</v>
      </c>
      <c r="AA49" s="150">
        <f>SUMIFS($AA$29:$AA$46,$D$29:$D$46,"Normalization",$I$29:$I$46,"Accepted")</f>
        <v>1.375606334841629</v>
      </c>
      <c r="AB49" s="150">
        <f>SUMIFS($AB$29:$AB$46,$D$29:$D$46,"Normalization",$I$29:$I$46,"Accepted")</f>
        <v>1.414606334841629</v>
      </c>
      <c r="AC49" s="150">
        <f>SUMIFS($AC$29:$AC$46,$D$29:$D$46,"Normalization",$I$29:$I$46,"Accepted")</f>
        <v>1.468</v>
      </c>
      <c r="AD49" s="150">
        <f>SUMIFS($AD$29:$AD$46,$D$29:$D$46,"Normalization",$I$29:$I$46,"Accepted")</f>
        <v>1.5747873303167421</v>
      </c>
      <c r="AE49" s="150">
        <f>SUMIFS($AE$29:$AE$46,$D$29:$D$46,"Normalization",$I$29:$I$46,"Accepted")</f>
        <v>1.6413936651583712</v>
      </c>
      <c r="AF49" s="150">
        <f>SUMIFS($AF$29:$AF$46,$D$29:$D$46,"Normalization",$I$29:$I$46,"Accepted")</f>
        <v>1.574606334841629</v>
      </c>
      <c r="AG49" s="150">
        <f>SUMIFS($AG$29:$AG$46,$D$29:$D$46,"Normalization",$I$29:$I$46,"Accepted")</f>
        <v>1.468</v>
      </c>
      <c r="AH49" s="150">
        <f>SUMIFS($AH$29:$AH$46,$D$29:$D$46,"Normalization",$I$29:$I$46,"Accepted")</f>
        <v>1.388</v>
      </c>
      <c r="AI49" s="150">
        <f>SUMIFS($AI$29:$AI$46,$D$29:$D$46,"Normalization",$I$29:$I$46,"Accepted")</f>
        <v>1.570393665158371</v>
      </c>
      <c r="AJ49" s="150">
        <f>SUMIFS($AJ$29:$AJ$46,$D$29:$D$46,"Normalization",$I$29:$I$46,"Accepted")</f>
        <v>3.68</v>
      </c>
      <c r="AK49" s="150">
        <f>SUMIFS($AK$29:$AK$46,$D$29:$D$46,"Normalization",$I$29:$I$46,"Accepted")</f>
        <v>1.3532734952481522</v>
      </c>
      <c r="AL49" s="150">
        <f>SUMIFS($AL$29:$AL$46,$D$29:$D$46,"Normalization",$I$29:$I$46,"Accepted")</f>
        <v>1.3249102428722281</v>
      </c>
      <c r="AM49" s="150">
        <f>SUMIFS($AM$29:$AM$46,$D$29:$D$46,"Normalization",$I$29:$I$46,"Accepted")</f>
        <v>1.395818373812038</v>
      </c>
      <c r="AN49" s="150">
        <f>SUMIFS($AN$29:$AN$46,$D$29:$D$46,"Normalization",$I$29:$I$46,"Accepted")</f>
        <v>1.438363252375924</v>
      </c>
      <c r="AO49" s="150">
        <f>SUMIFS($AO$29:$AO$46,$D$29:$D$46,"Normalization",$I$29:$I$46,"Accepted")</f>
        <v>1.495089757127772</v>
      </c>
      <c r="AP49" s="150">
        <f>SUMIFS($AP$29:$AP$46,$D$29:$D$46,"Normalization",$I$29:$I$46,"Accepted")</f>
        <v>13.608363252375923</v>
      </c>
      <c r="AQ49" s="150">
        <f>SUMIFS($AQ$29:$AQ$46,$D$29:$D$46,"Normalization",$I$29:$I$46,"Accepted")</f>
        <v>13.67909186906019</v>
      </c>
      <c r="AR49" s="150">
        <f>SUMIFS($AR$29:$AR$46,$D$29:$D$46,"Normalization",$I$29:$I$46,"Accepted")</f>
        <v>1.6083632523759241</v>
      </c>
      <c r="AS49" s="150">
        <f>SUMIFS($AS$29:$AS$46,$D$29:$D$46,"Normalization",$I$29:$I$46,"Accepted")</f>
        <v>1.495089757127772</v>
      </c>
      <c r="AT49" s="150">
        <f>SUMIFS($AT$29:$AT$46,$D$29:$D$46,"Normalization",$I$29:$I$46,"Accepted")</f>
        <v>1.41</v>
      </c>
      <c r="AU49" s="150">
        <f>SUMIFS($AU$29:$AU$46,$D$29:$D$46,"Normalization",$I$29:$I$46,"Accepted")</f>
        <v>1.6316367476240758</v>
      </c>
      <c r="AV49" s="150">
        <f>SUMIFS($AV$29:$AV$46,$D$29:$D$46,"Normalization",$I$29:$I$46,"Accepted")</f>
        <v>4.16</v>
      </c>
      <c r="AW49" s="150">
        <f>SUMIFS($AW$29:$AW$46,$D$29:$D$46,"Normalization",$I$29:$I$46,"Accepted")</f>
        <v>1.9340592885375494</v>
      </c>
      <c r="AX49" s="150">
        <f>SUMIFS($AX$29:$AX$46,$D$29:$D$46,"Normalization",$I$29:$I$46,"Accepted")</f>
        <v>1.904</v>
      </c>
      <c r="AY49" s="150">
        <f>SUMIFS($AY$29:$AY$46,$D$29:$D$46,"Normalization",$I$29:$I$46,"Accepted")</f>
        <v>1.978881422924901</v>
      </c>
      <c r="AZ49" s="150">
        <f>SUMIFS($AZ$29:$AZ$46,$D$29:$D$46,"Normalization",$I$29:$I$46,"Accepted")</f>
        <v>2.0240592885375497</v>
      </c>
      <c r="BA49" s="150">
        <f>SUMIFS($BA$29:$BA$46,$D$29:$D$46,"Normalization",$I$29:$I$46,"Accepted")</f>
        <v>2.085</v>
      </c>
      <c r="BB49" s="150">
        <f>SUMIFS($BB$29:$BB$46,$D$29:$D$46,"Normalization",$I$29:$I$46,"Accepted")</f>
        <v>2.2040592885375494</v>
      </c>
      <c r="BC49" s="150">
        <f>SUMIFS($BC$29:$BC$46,$D$29:$D$46,"Normalization",$I$29:$I$46,"Accepted")</f>
        <v>2.2789407114624507</v>
      </c>
      <c r="BD49" s="150">
        <f>SUMIFS($BD$29:$BD$46,$D$29:$D$46,"Normalization",$I$29:$I$46,"Accepted")</f>
        <v>2.2040592885375494</v>
      </c>
      <c r="BE49" s="150">
        <f>SUMIFS($BE$29:$BE$46,$D$29:$D$46,"Normalization",$I$29:$I$46,"Accepted")</f>
        <v>2.084</v>
      </c>
      <c r="BF49" s="150">
        <f>SUMIFS($BF$29:$BF$46,$D$29:$D$46,"Normalization",$I$29:$I$46,"Accepted")</f>
        <v>1.994</v>
      </c>
      <c r="BG49" s="150">
        <f>SUMIFS($BG$29:$BG$46,$D$29:$D$46,"Normalization",$I$29:$I$46,"Accepted")</f>
        <v>2.2769407114624505</v>
      </c>
      <c r="BH49" s="150">
        <f>SUMIFS($BH$29:$BH$46,$D$29:$D$46,"Normalization",$I$29:$I$46,"Accepted")</f>
        <v>5.432</v>
      </c>
    </row>
    <row r="50" spans="3:60" x14ac:dyDescent="0.25">
      <c r="C50" s="52" t="s">
        <v>506</v>
      </c>
      <c r="N50" s="150">
        <f>SUMIFS($N$29:$N$46,$D$29:$D$46,"Owner compensation",$E$29:$E$46,"Owner compensation",$I$29:$I$46,"Accepted")</f>
        <v>192.584</v>
      </c>
      <c r="O50" s="150">
        <f>SUMIFS($O$29:$O$46,$D$29:$D$46,"Owner compensation",$E$29:$E$46,"Owner compensation",$I$29:$I$46,"Accepted")</f>
        <v>203.25</v>
      </c>
      <c r="P50" s="150">
        <f>SUMIFS($P$29:$P$46,$D$29:$D$46,"Owner compensation",$E$29:$E$46,"Owner compensation",$I$29:$I$46,"Accepted")</f>
        <v>213.86</v>
      </c>
      <c r="R50" s="150">
        <f>SUMIFS($R$29:$R$46,$D$29:$D$46,"Owner compensation",$E$29:$E$46,"Owner compensation",$I$29:$I$46,"Accepted")</f>
        <v>203.25</v>
      </c>
      <c r="S50" s="150">
        <f>SUMIFS($S$29:$S$46,$D$29:$D$46,"Owner compensation",$E$29:$E$46,"Owner compensation",$I$29:$I$46,"Accepted")</f>
        <v>213.86</v>
      </c>
      <c r="U50" s="150">
        <f>SUMIFS($U$29:$U$46,$D$29:$D$46,"Owner compensation",$E$29:$E$46,"Owner compensation",$I$29:$I$46,"Accepted")</f>
        <v>203.25</v>
      </c>
      <c r="V50" s="150">
        <f>SUMIFS($V$29:$V$46,$D$29:$D$46,"Owner compensation",$E$29:$E$46,"Owner compensation",$I$29:$I$46,"Accepted")</f>
        <v>213.86</v>
      </c>
      <c r="W50" s="150">
        <f>SUMIFS($W$29:$W$46,$D$29:$D$46,"Owner compensation",$E$29:$E$46,"Owner compensation",$I$29:$I$46,"Accepted")</f>
        <v>213.86</v>
      </c>
      <c r="Y50" s="150">
        <f>SUMIFS($Y$29:$Y$46,$D$29:$D$46,"Owner compensation",$E$29:$E$46,"Owner compensation",$I$29:$I$46,"Accepted")</f>
        <v>16.048666666666666</v>
      </c>
      <c r="Z50" s="150">
        <f>SUMIFS($Z$29:$Z$46,$D$29:$D$46,"Owner compensation",$E$29:$E$46,"Owner compensation",$I$29:$I$46,"Accepted")</f>
        <v>16.048666666666666</v>
      </c>
      <c r="AA50" s="150">
        <f>SUMIFS($AA$29:$AA$46,$D$29:$D$46,"Owner compensation",$E$29:$E$46,"Owner compensation",$I$29:$I$46,"Accepted")</f>
        <v>16.048666666666666</v>
      </c>
      <c r="AB50" s="150">
        <f>SUMIFS($AB$29:$AB$46,$D$29:$D$46,"Owner compensation",$E$29:$E$46,"Owner compensation",$I$29:$I$46,"Accepted")</f>
        <v>16.048666666666666</v>
      </c>
      <c r="AC50" s="150">
        <f>SUMIFS($AC$29:$AC$46,$D$29:$D$46,"Owner compensation",$E$29:$E$46,"Owner compensation",$I$29:$I$46,"Accepted")</f>
        <v>16.048666666666666</v>
      </c>
      <c r="AD50" s="150">
        <f>SUMIFS($AD$29:$AD$46,$D$29:$D$46,"Owner compensation",$E$29:$E$46,"Owner compensation",$I$29:$I$46,"Accepted")</f>
        <v>16.048666666666666</v>
      </c>
      <c r="AE50" s="150">
        <f>SUMIFS($AE$29:$AE$46,$D$29:$D$46,"Owner compensation",$E$29:$E$46,"Owner compensation",$I$29:$I$46,"Accepted")</f>
        <v>16.048666666666666</v>
      </c>
      <c r="AF50" s="150">
        <f>SUMIFS($AF$29:$AF$46,$D$29:$D$46,"Owner compensation",$E$29:$E$46,"Owner compensation",$I$29:$I$46,"Accepted")</f>
        <v>16.048666666666666</v>
      </c>
      <c r="AG50" s="150">
        <f>SUMIFS($AG$29:$AG$46,$D$29:$D$46,"Owner compensation",$E$29:$E$46,"Owner compensation",$I$29:$I$46,"Accepted")</f>
        <v>16.048666666666666</v>
      </c>
      <c r="AH50" s="150">
        <f>SUMIFS($AH$29:$AH$46,$D$29:$D$46,"Owner compensation",$E$29:$E$46,"Owner compensation",$I$29:$I$46,"Accepted")</f>
        <v>16.048666666666666</v>
      </c>
      <c r="AI50" s="150">
        <f>SUMIFS($AI$29:$AI$46,$D$29:$D$46,"Owner compensation",$E$29:$E$46,"Owner compensation",$I$29:$I$46,"Accepted")</f>
        <v>16.048666666666666</v>
      </c>
      <c r="AJ50" s="150">
        <f>SUMIFS($AJ$29:$AJ$46,$D$29:$D$46,"Owner compensation",$E$29:$E$46,"Owner compensation",$I$29:$I$46,"Accepted")</f>
        <v>16.048666666666666</v>
      </c>
      <c r="AK50" s="150">
        <f>SUMIFS($AK$29:$AK$46,$D$29:$D$46,"Owner compensation",$E$29:$E$46,"Owner compensation",$I$29:$I$46,"Accepted")</f>
        <v>16.938213157894737</v>
      </c>
      <c r="AL50" s="150">
        <f>SUMIFS($AL$29:$AL$46,$D$29:$D$46,"Owner compensation",$E$29:$E$46,"Owner compensation",$I$29:$I$46,"Accepted")</f>
        <v>16.938213157894737</v>
      </c>
      <c r="AM50" s="150">
        <f>SUMIFS($AM$29:$AM$46,$D$29:$D$46,"Owner compensation",$E$29:$E$46,"Owner compensation",$I$29:$I$46,"Accepted")</f>
        <v>16.938213157894737</v>
      </c>
      <c r="AN50" s="150">
        <f>SUMIFS($AN$29:$AN$46,$D$29:$D$46,"Owner compensation",$E$29:$E$46,"Owner compensation",$I$29:$I$46,"Accepted")</f>
        <v>16.938213157894737</v>
      </c>
      <c r="AO50" s="150">
        <f>SUMIFS($AO$29:$AO$46,$D$29:$D$46,"Owner compensation",$E$29:$E$46,"Owner compensation",$I$29:$I$46,"Accepted")</f>
        <v>16.93714342105263</v>
      </c>
      <c r="AP50" s="150">
        <f>SUMIFS($AP$29:$AP$46,$D$29:$D$46,"Owner compensation",$E$29:$E$46,"Owner compensation",$I$29:$I$46,"Accepted")</f>
        <v>16.93714342105263</v>
      </c>
      <c r="AQ50" s="150">
        <f>SUMIFS($AQ$29:$AQ$46,$D$29:$D$46,"Owner compensation",$E$29:$E$46,"Owner compensation",$I$29:$I$46,"Accepted")</f>
        <v>16.93714342105263</v>
      </c>
      <c r="AR50" s="150">
        <f>SUMIFS($AR$29:$AR$46,$D$29:$D$46,"Owner compensation",$E$29:$E$46,"Owner compensation",$I$29:$I$46,"Accepted")</f>
        <v>16.93714342105263</v>
      </c>
      <c r="AS50" s="150">
        <f>SUMIFS($AS$29:$AS$46,$D$29:$D$46,"Owner compensation",$E$29:$E$46,"Owner compensation",$I$29:$I$46,"Accepted")</f>
        <v>16.93714342105263</v>
      </c>
      <c r="AT50" s="150">
        <f>SUMIFS($AT$29:$AT$46,$D$29:$D$46,"Owner compensation",$E$29:$E$46,"Owner compensation",$I$29:$I$46,"Accepted")</f>
        <v>16.93714342105263</v>
      </c>
      <c r="AU50" s="150">
        <f>SUMIFS($AU$29:$AU$46,$D$29:$D$46,"Owner compensation",$E$29:$E$46,"Owner compensation",$I$29:$I$46,"Accepted")</f>
        <v>16.93714342105263</v>
      </c>
      <c r="AV50" s="150">
        <f>SUMIFS($AV$29:$AV$46,$D$29:$D$46,"Owner compensation",$E$29:$E$46,"Owner compensation",$I$29:$I$46,"Accepted")</f>
        <v>16.93714342105263</v>
      </c>
      <c r="AW50" s="150">
        <f>SUMIFS($AW$29:$AW$46,$D$29:$D$46,"Owner compensation",$E$29:$E$46,"Owner compensation",$I$29:$I$46,"Accepted")</f>
        <v>17.8220231</v>
      </c>
      <c r="AX50" s="150">
        <f>SUMIFS($AX$29:$AX$46,$D$29:$D$46,"Owner compensation",$E$29:$E$46,"Owner compensation",$I$29:$I$46,"Accepted")</f>
        <v>17.8220231</v>
      </c>
      <c r="AY50" s="150">
        <f>SUMIFS($AY$29:$AY$46,$D$29:$D$46,"Owner compensation",$E$29:$E$46,"Owner compensation",$I$29:$I$46,"Accepted")</f>
        <v>17.8220231</v>
      </c>
      <c r="AZ50" s="150">
        <f>SUMIFS($AZ$29:$AZ$46,$D$29:$D$46,"Owner compensation",$E$29:$E$46,"Owner compensation",$I$29:$I$46,"Accepted")</f>
        <v>17.8220231</v>
      </c>
      <c r="BA50" s="150">
        <f>SUMIFS($BA$29:$BA$46,$D$29:$D$46,"Owner compensation",$E$29:$E$46,"Owner compensation",$I$29:$I$46,"Accepted")</f>
        <v>17.8220231</v>
      </c>
      <c r="BB50" s="150">
        <f>SUMIFS($BB$29:$BB$46,$D$29:$D$46,"Owner compensation",$E$29:$E$46,"Owner compensation",$I$29:$I$46,"Accepted")</f>
        <v>17.8220231</v>
      </c>
      <c r="BC50" s="150">
        <f>SUMIFS($BC$29:$BC$46,$D$29:$D$46,"Owner compensation",$E$29:$E$46,"Owner compensation",$I$29:$I$46,"Accepted")</f>
        <v>17.8220231</v>
      </c>
      <c r="BD50" s="150">
        <f>SUMIFS($BD$29:$BD$46,$D$29:$D$46,"Owner compensation",$E$29:$E$46,"Owner compensation",$I$29:$I$46,"Accepted")</f>
        <v>17.8220231</v>
      </c>
      <c r="BE50" s="150">
        <f>SUMIFS($BE$29:$BE$46,$D$29:$D$46,"Owner compensation",$E$29:$E$46,"Owner compensation",$I$29:$I$46,"Accepted")</f>
        <v>17.820953799999998</v>
      </c>
      <c r="BF50" s="150">
        <f>SUMIFS($BF$29:$BF$46,$D$29:$D$46,"Owner compensation",$E$29:$E$46,"Owner compensation",$I$29:$I$46,"Accepted")</f>
        <v>17.820953799999998</v>
      </c>
      <c r="BG50" s="150">
        <f>SUMIFS($BG$29:$BG$46,$D$29:$D$46,"Owner compensation",$E$29:$E$46,"Owner compensation",$I$29:$I$46,"Accepted")</f>
        <v>17.820953799999998</v>
      </c>
      <c r="BH50" s="150">
        <f>SUMIFS($BH$29:$BH$46,$D$29:$D$46,"Owner compensation",$E$29:$E$46,"Owner compensation",$I$29:$I$46,"Accepted")</f>
        <v>17.820953799999998</v>
      </c>
    </row>
    <row r="51" spans="3:60" x14ac:dyDescent="0.25">
      <c r="C51" s="52" t="s">
        <v>174</v>
      </c>
      <c r="N51" s="150">
        <f>SUMIFS($N$29:$N$46,$D$29:$D$46,"Owner compensation",$E$29:$E$46,"Replacement cost",$I$29:$I$46,"Accepted")</f>
        <v>-109.24999999999999</v>
      </c>
      <c r="O51" s="150">
        <f>SUMIFS($O$29:$O$46,$D$29:$D$46,"Owner compensation",$E$29:$E$46,"Replacement cost",$I$29:$I$46,"Accepted")</f>
        <v>-109.24999999999999</v>
      </c>
      <c r="P51" s="150">
        <f>SUMIFS($P$29:$P$46,$D$29:$D$46,"Owner compensation",$E$29:$E$46,"Replacement cost",$I$29:$I$46,"Accepted")</f>
        <v>-109.24999999999999</v>
      </c>
      <c r="R51" s="150">
        <f>SUMIFS($R$29:$R$46,$D$29:$D$46,"Owner compensation",$E$29:$E$46,"Replacement cost",$I$29:$I$46,"Accepted")</f>
        <v>-109.25000000000001</v>
      </c>
      <c r="S51" s="150">
        <f>SUMIFS($S$29:$S$46,$D$29:$D$46,"Owner compensation",$E$29:$E$46,"Replacement cost",$I$29:$I$46,"Accepted")</f>
        <v>-109.25000000000001</v>
      </c>
      <c r="U51" s="150">
        <f>SUMIFS($U$29:$U$46,$D$29:$D$46,"Owner compensation",$E$29:$E$46,"Replacement cost",$I$29:$I$46,"Accepted")</f>
        <v>-109.25000000000001</v>
      </c>
      <c r="V51" s="150">
        <f>SUMIFS($V$29:$V$46,$D$29:$D$46,"Owner compensation",$E$29:$E$46,"Replacement cost",$I$29:$I$46,"Accepted")</f>
        <v>-109.25000000000001</v>
      </c>
      <c r="W51" s="150">
        <f>SUMIFS($W$29:$W$46,$D$29:$D$46,"Owner compensation",$E$29:$E$46,"Replacement cost",$I$29:$I$46,"Accepted")</f>
        <v>-109.25000000000001</v>
      </c>
      <c r="Y51" s="150">
        <f>SUMIFS($Y$29:$Y$46,$D$29:$D$46,"Owner compensation",$E$29:$E$46,"Replacement cost",$I$29:$I$46,"Accepted")</f>
        <v>-9.104166666666666</v>
      </c>
      <c r="Z51" s="150">
        <f>SUMIFS($Z$29:$Z$46,$D$29:$D$46,"Owner compensation",$E$29:$E$46,"Replacement cost",$I$29:$I$46,"Accepted")</f>
        <v>-9.104166666666666</v>
      </c>
      <c r="AA51" s="150">
        <f>SUMIFS($AA$29:$AA$46,$D$29:$D$46,"Owner compensation",$E$29:$E$46,"Replacement cost",$I$29:$I$46,"Accepted")</f>
        <v>-9.104166666666666</v>
      </c>
      <c r="AB51" s="150">
        <f>SUMIFS($AB$29:$AB$46,$D$29:$D$46,"Owner compensation",$E$29:$E$46,"Replacement cost",$I$29:$I$46,"Accepted")</f>
        <v>-9.104166666666666</v>
      </c>
      <c r="AC51" s="150">
        <f>SUMIFS($AC$29:$AC$46,$D$29:$D$46,"Owner compensation",$E$29:$E$46,"Replacement cost",$I$29:$I$46,"Accepted")</f>
        <v>-9.104166666666666</v>
      </c>
      <c r="AD51" s="150">
        <f>SUMIFS($AD$29:$AD$46,$D$29:$D$46,"Owner compensation",$E$29:$E$46,"Replacement cost",$I$29:$I$46,"Accepted")</f>
        <v>-9.104166666666666</v>
      </c>
      <c r="AE51" s="150">
        <f>SUMIFS($AE$29:$AE$46,$D$29:$D$46,"Owner compensation",$E$29:$E$46,"Replacement cost",$I$29:$I$46,"Accepted")</f>
        <v>-9.104166666666666</v>
      </c>
      <c r="AF51" s="150">
        <f>SUMIFS($AF$29:$AF$46,$D$29:$D$46,"Owner compensation",$E$29:$E$46,"Replacement cost",$I$29:$I$46,"Accepted")</f>
        <v>-9.104166666666666</v>
      </c>
      <c r="AG51" s="150">
        <f>SUMIFS($AG$29:$AG$46,$D$29:$D$46,"Owner compensation",$E$29:$E$46,"Replacement cost",$I$29:$I$46,"Accepted")</f>
        <v>-9.104166666666666</v>
      </c>
      <c r="AH51" s="150">
        <f>SUMIFS($AH$29:$AH$46,$D$29:$D$46,"Owner compensation",$E$29:$E$46,"Replacement cost",$I$29:$I$46,"Accepted")</f>
        <v>-9.104166666666666</v>
      </c>
      <c r="AI51" s="150">
        <f>SUMIFS($AI$29:$AI$46,$D$29:$D$46,"Owner compensation",$E$29:$E$46,"Replacement cost",$I$29:$I$46,"Accepted")</f>
        <v>-9.104166666666666</v>
      </c>
      <c r="AJ51" s="150">
        <f>SUMIFS($AJ$29:$AJ$46,$D$29:$D$46,"Owner compensation",$E$29:$E$46,"Replacement cost",$I$29:$I$46,"Accepted")</f>
        <v>-9.104166666666666</v>
      </c>
      <c r="AK51" s="150">
        <f>SUMIFS($AK$29:$AK$46,$D$29:$D$46,"Owner compensation",$E$29:$E$46,"Replacement cost",$I$29:$I$46,"Accepted")</f>
        <v>-9.104166666666666</v>
      </c>
      <c r="AL51" s="150">
        <f>SUMIFS($AL$29:$AL$46,$D$29:$D$46,"Owner compensation",$E$29:$E$46,"Replacement cost",$I$29:$I$46,"Accepted")</f>
        <v>-9.104166666666666</v>
      </c>
      <c r="AM51" s="150">
        <f>SUMIFS($AM$29:$AM$46,$D$29:$D$46,"Owner compensation",$E$29:$E$46,"Replacement cost",$I$29:$I$46,"Accepted")</f>
        <v>-9.104166666666666</v>
      </c>
      <c r="AN51" s="150">
        <f>SUMIFS($AN$29:$AN$46,$D$29:$D$46,"Owner compensation",$E$29:$E$46,"Replacement cost",$I$29:$I$46,"Accepted")</f>
        <v>-9.104166666666666</v>
      </c>
      <c r="AO51" s="150">
        <f>SUMIFS($AO$29:$AO$46,$D$29:$D$46,"Owner compensation",$E$29:$E$46,"Replacement cost",$I$29:$I$46,"Accepted")</f>
        <v>-9.104166666666666</v>
      </c>
      <c r="AP51" s="150">
        <f>SUMIFS($AP$29:$AP$46,$D$29:$D$46,"Owner compensation",$E$29:$E$46,"Replacement cost",$I$29:$I$46,"Accepted")</f>
        <v>-9.104166666666666</v>
      </c>
      <c r="AQ51" s="150">
        <f>SUMIFS($AQ$29:$AQ$46,$D$29:$D$46,"Owner compensation",$E$29:$E$46,"Replacement cost",$I$29:$I$46,"Accepted")</f>
        <v>-9.104166666666666</v>
      </c>
      <c r="AR51" s="150">
        <f>SUMIFS($AR$29:$AR$46,$D$29:$D$46,"Owner compensation",$E$29:$E$46,"Replacement cost",$I$29:$I$46,"Accepted")</f>
        <v>-9.104166666666666</v>
      </c>
      <c r="AS51" s="150">
        <f>SUMIFS($AS$29:$AS$46,$D$29:$D$46,"Owner compensation",$E$29:$E$46,"Replacement cost",$I$29:$I$46,"Accepted")</f>
        <v>-9.104166666666666</v>
      </c>
      <c r="AT51" s="150">
        <f>SUMIFS($AT$29:$AT$46,$D$29:$D$46,"Owner compensation",$E$29:$E$46,"Replacement cost",$I$29:$I$46,"Accepted")</f>
        <v>-9.104166666666666</v>
      </c>
      <c r="AU51" s="150">
        <f>SUMIFS($AU$29:$AU$46,$D$29:$D$46,"Owner compensation",$E$29:$E$46,"Replacement cost",$I$29:$I$46,"Accepted")</f>
        <v>-9.104166666666666</v>
      </c>
      <c r="AV51" s="150">
        <f>SUMIFS($AV$29:$AV$46,$D$29:$D$46,"Owner compensation",$E$29:$E$46,"Replacement cost",$I$29:$I$46,"Accepted")</f>
        <v>-9.104166666666666</v>
      </c>
      <c r="AW51" s="150">
        <f>SUMIFS($AW$29:$AW$46,$D$29:$D$46,"Owner compensation",$E$29:$E$46,"Replacement cost",$I$29:$I$46,"Accepted")</f>
        <v>-9.104166666666666</v>
      </c>
      <c r="AX51" s="150">
        <f>SUMIFS($AX$29:$AX$46,$D$29:$D$46,"Owner compensation",$E$29:$E$46,"Replacement cost",$I$29:$I$46,"Accepted")</f>
        <v>-9.104166666666666</v>
      </c>
      <c r="AY51" s="150">
        <f>SUMIFS($AY$29:$AY$46,$D$29:$D$46,"Owner compensation",$E$29:$E$46,"Replacement cost",$I$29:$I$46,"Accepted")</f>
        <v>-9.104166666666666</v>
      </c>
      <c r="AZ51" s="150">
        <f>SUMIFS($AZ$29:$AZ$46,$D$29:$D$46,"Owner compensation",$E$29:$E$46,"Replacement cost",$I$29:$I$46,"Accepted")</f>
        <v>-9.104166666666666</v>
      </c>
      <c r="BA51" s="150">
        <f>SUMIFS($BA$29:$BA$46,$D$29:$D$46,"Owner compensation",$E$29:$E$46,"Replacement cost",$I$29:$I$46,"Accepted")</f>
        <v>-9.104166666666666</v>
      </c>
      <c r="BB51" s="150">
        <f>SUMIFS($BB$29:$BB$46,$D$29:$D$46,"Owner compensation",$E$29:$E$46,"Replacement cost",$I$29:$I$46,"Accepted")</f>
        <v>-9.104166666666666</v>
      </c>
      <c r="BC51" s="150">
        <f>SUMIFS($BC$29:$BC$46,$D$29:$D$46,"Owner compensation",$E$29:$E$46,"Replacement cost",$I$29:$I$46,"Accepted")</f>
        <v>-9.104166666666666</v>
      </c>
      <c r="BD51" s="150">
        <f>SUMIFS($BD$29:$BD$46,$D$29:$D$46,"Owner compensation",$E$29:$E$46,"Replacement cost",$I$29:$I$46,"Accepted")</f>
        <v>-9.104166666666666</v>
      </c>
      <c r="BE51" s="150">
        <f>SUMIFS($BE$29:$BE$46,$D$29:$D$46,"Owner compensation",$E$29:$E$46,"Replacement cost",$I$29:$I$46,"Accepted")</f>
        <v>-9.104166666666666</v>
      </c>
      <c r="BF51" s="150">
        <f>SUMIFS($BF$29:$BF$46,$D$29:$D$46,"Owner compensation",$E$29:$E$46,"Replacement cost",$I$29:$I$46,"Accepted")</f>
        <v>-9.104166666666666</v>
      </c>
      <c r="BG51" s="150">
        <f>SUMIFS($BG$29:$BG$46,$D$29:$D$46,"Owner compensation",$E$29:$E$46,"Replacement cost",$I$29:$I$46,"Accepted")</f>
        <v>-9.104166666666666</v>
      </c>
      <c r="BH51" s="150">
        <f>SUMIFS($BH$29:$BH$46,$D$29:$D$46,"Owner compensation",$E$29:$E$46,"Replacement cost",$I$29:$I$46,"Accepted")</f>
        <v>-9.104166666666666</v>
      </c>
    </row>
    <row r="52" spans="3:60" x14ac:dyDescent="0.25">
      <c r="C52" s="52" t="s">
        <v>507</v>
      </c>
      <c r="N52" s="150">
        <f>SUMIFS($N$29:$N$46,$D$29:$D$46,"Owner compensation",$E$29:$E$46,"Capital reserve",$I$29:$I$46,"Accepted")</f>
        <v>-66.8</v>
      </c>
      <c r="O52" s="150">
        <f>SUMIFS($O$29:$O$46,$D$29:$D$46,"Owner compensation",$E$29:$E$46,"Capital reserve",$I$29:$I$46,"Accepted")</f>
        <v>-66.8</v>
      </c>
      <c r="P52" s="150">
        <f>SUMIFS($P$29:$P$46,$D$29:$D$46,"Owner compensation",$E$29:$E$46,"Capital reserve",$I$29:$I$46,"Accepted")</f>
        <v>-66.8</v>
      </c>
      <c r="R52" s="150">
        <f>SUMIFS($R$29:$R$46,$D$29:$D$46,"Owner compensation",$E$29:$E$46,"Capital reserve",$I$29:$I$46,"Accepted")</f>
        <v>-66.79999999999998</v>
      </c>
      <c r="S52" s="150">
        <f>SUMIFS($S$29:$S$46,$D$29:$D$46,"Owner compensation",$E$29:$E$46,"Capital reserve",$I$29:$I$46,"Accepted")</f>
        <v>-66.79999999999998</v>
      </c>
      <c r="U52" s="150">
        <f>SUMIFS($U$29:$U$46,$D$29:$D$46,"Owner compensation",$E$29:$E$46,"Capital reserve",$I$29:$I$46,"Accepted")</f>
        <v>-66.79999999999998</v>
      </c>
      <c r="V52" s="150">
        <f>SUMIFS($V$29:$V$46,$D$29:$D$46,"Owner compensation",$E$29:$E$46,"Capital reserve",$I$29:$I$46,"Accepted")</f>
        <v>-66.79999999999998</v>
      </c>
      <c r="W52" s="150">
        <f>SUMIFS($W$29:$W$46,$D$29:$D$46,"Owner compensation",$E$29:$E$46,"Capital reserve",$I$29:$I$46,"Accepted")</f>
        <v>-66.79999999999998</v>
      </c>
      <c r="Y52" s="150">
        <f>SUMIFS($Y$29:$Y$46,$D$29:$D$46,"Owner compensation",$E$29:$E$46,"Capital reserve",$I$29:$I$46,"Accepted")</f>
        <v>-5.566666666666667</v>
      </c>
      <c r="Z52" s="150">
        <f>SUMIFS($Z$29:$Z$46,$D$29:$D$46,"Owner compensation",$E$29:$E$46,"Capital reserve",$I$29:$I$46,"Accepted")</f>
        <v>-5.566666666666667</v>
      </c>
      <c r="AA52" s="150">
        <f>SUMIFS($AA$29:$AA$46,$D$29:$D$46,"Owner compensation",$E$29:$E$46,"Capital reserve",$I$29:$I$46,"Accepted")</f>
        <v>-5.566666666666667</v>
      </c>
      <c r="AB52" s="150">
        <f>SUMIFS($AB$29:$AB$46,$D$29:$D$46,"Owner compensation",$E$29:$E$46,"Capital reserve",$I$29:$I$46,"Accepted")</f>
        <v>-5.566666666666667</v>
      </c>
      <c r="AC52" s="150">
        <f>SUMIFS($AC$29:$AC$46,$D$29:$D$46,"Owner compensation",$E$29:$E$46,"Capital reserve",$I$29:$I$46,"Accepted")</f>
        <v>-5.566666666666667</v>
      </c>
      <c r="AD52" s="150">
        <f>SUMIFS($AD$29:$AD$46,$D$29:$D$46,"Owner compensation",$E$29:$E$46,"Capital reserve",$I$29:$I$46,"Accepted")</f>
        <v>-5.566666666666667</v>
      </c>
      <c r="AE52" s="150">
        <f>SUMIFS($AE$29:$AE$46,$D$29:$D$46,"Owner compensation",$E$29:$E$46,"Capital reserve",$I$29:$I$46,"Accepted")</f>
        <v>-5.566666666666667</v>
      </c>
      <c r="AF52" s="150">
        <f>SUMIFS($AF$29:$AF$46,$D$29:$D$46,"Owner compensation",$E$29:$E$46,"Capital reserve",$I$29:$I$46,"Accepted")</f>
        <v>-5.566666666666667</v>
      </c>
      <c r="AG52" s="150">
        <f>SUMIFS($AG$29:$AG$46,$D$29:$D$46,"Owner compensation",$E$29:$E$46,"Capital reserve",$I$29:$I$46,"Accepted")</f>
        <v>-5.566666666666667</v>
      </c>
      <c r="AH52" s="150">
        <f>SUMIFS($AH$29:$AH$46,$D$29:$D$46,"Owner compensation",$E$29:$E$46,"Capital reserve",$I$29:$I$46,"Accepted")</f>
        <v>-5.566666666666667</v>
      </c>
      <c r="AI52" s="150">
        <f>SUMIFS($AI$29:$AI$46,$D$29:$D$46,"Owner compensation",$E$29:$E$46,"Capital reserve",$I$29:$I$46,"Accepted")</f>
        <v>-5.566666666666667</v>
      </c>
      <c r="AJ52" s="150">
        <f>SUMIFS($AJ$29:$AJ$46,$D$29:$D$46,"Owner compensation",$E$29:$E$46,"Capital reserve",$I$29:$I$46,"Accepted")</f>
        <v>-5.566666666666667</v>
      </c>
      <c r="AK52" s="150">
        <f>SUMIFS($AK$29:$AK$46,$D$29:$D$46,"Owner compensation",$E$29:$E$46,"Capital reserve",$I$29:$I$46,"Accepted")</f>
        <v>-5.566666666666667</v>
      </c>
      <c r="AL52" s="150">
        <f>SUMIFS($AL$29:$AL$46,$D$29:$D$46,"Owner compensation",$E$29:$E$46,"Capital reserve",$I$29:$I$46,"Accepted")</f>
        <v>-5.566666666666667</v>
      </c>
      <c r="AM52" s="150">
        <f>SUMIFS($AM$29:$AM$46,$D$29:$D$46,"Owner compensation",$E$29:$E$46,"Capital reserve",$I$29:$I$46,"Accepted")</f>
        <v>-5.566666666666667</v>
      </c>
      <c r="AN52" s="150">
        <f>SUMIFS($AN$29:$AN$46,$D$29:$D$46,"Owner compensation",$E$29:$E$46,"Capital reserve",$I$29:$I$46,"Accepted")</f>
        <v>-5.566666666666667</v>
      </c>
      <c r="AO52" s="150">
        <f>SUMIFS($AO$29:$AO$46,$D$29:$D$46,"Owner compensation",$E$29:$E$46,"Capital reserve",$I$29:$I$46,"Accepted")</f>
        <v>-5.566666666666667</v>
      </c>
      <c r="AP52" s="150">
        <f>SUMIFS($AP$29:$AP$46,$D$29:$D$46,"Owner compensation",$E$29:$E$46,"Capital reserve",$I$29:$I$46,"Accepted")</f>
        <v>-5.566666666666667</v>
      </c>
      <c r="AQ52" s="150">
        <f>SUMIFS($AQ$29:$AQ$46,$D$29:$D$46,"Owner compensation",$E$29:$E$46,"Capital reserve",$I$29:$I$46,"Accepted")</f>
        <v>-5.566666666666667</v>
      </c>
      <c r="AR52" s="150">
        <f>SUMIFS($AR$29:$AR$46,$D$29:$D$46,"Owner compensation",$E$29:$E$46,"Capital reserve",$I$29:$I$46,"Accepted")</f>
        <v>-5.566666666666667</v>
      </c>
      <c r="AS52" s="150">
        <f>SUMIFS($AS$29:$AS$46,$D$29:$D$46,"Owner compensation",$E$29:$E$46,"Capital reserve",$I$29:$I$46,"Accepted")</f>
        <v>-5.566666666666667</v>
      </c>
      <c r="AT52" s="150">
        <f>SUMIFS($AT$29:$AT$46,$D$29:$D$46,"Owner compensation",$E$29:$E$46,"Capital reserve",$I$29:$I$46,"Accepted")</f>
        <v>-5.566666666666667</v>
      </c>
      <c r="AU52" s="150">
        <f>SUMIFS($AU$29:$AU$46,$D$29:$D$46,"Owner compensation",$E$29:$E$46,"Capital reserve",$I$29:$I$46,"Accepted")</f>
        <v>-5.566666666666667</v>
      </c>
      <c r="AV52" s="150">
        <f>SUMIFS($AV$29:$AV$46,$D$29:$D$46,"Owner compensation",$E$29:$E$46,"Capital reserve",$I$29:$I$46,"Accepted")</f>
        <v>-5.566666666666667</v>
      </c>
      <c r="AW52" s="150">
        <f>SUMIFS($AW$29:$AW$46,$D$29:$D$46,"Owner compensation",$E$29:$E$46,"Capital reserve",$I$29:$I$46,"Accepted")</f>
        <v>-5.566666666666667</v>
      </c>
      <c r="AX52" s="150">
        <f>SUMIFS($AX$29:$AX$46,$D$29:$D$46,"Owner compensation",$E$29:$E$46,"Capital reserve",$I$29:$I$46,"Accepted")</f>
        <v>-5.566666666666667</v>
      </c>
      <c r="AY52" s="150">
        <f>SUMIFS($AY$29:$AY$46,$D$29:$D$46,"Owner compensation",$E$29:$E$46,"Capital reserve",$I$29:$I$46,"Accepted")</f>
        <v>-5.566666666666667</v>
      </c>
      <c r="AZ52" s="150">
        <f>SUMIFS($AZ$29:$AZ$46,$D$29:$D$46,"Owner compensation",$E$29:$E$46,"Capital reserve",$I$29:$I$46,"Accepted")</f>
        <v>-5.566666666666667</v>
      </c>
      <c r="BA52" s="150">
        <f>SUMIFS($BA$29:$BA$46,$D$29:$D$46,"Owner compensation",$E$29:$E$46,"Capital reserve",$I$29:$I$46,"Accepted")</f>
        <v>-5.566666666666667</v>
      </c>
      <c r="BB52" s="150">
        <f>SUMIFS($BB$29:$BB$46,$D$29:$D$46,"Owner compensation",$E$29:$E$46,"Capital reserve",$I$29:$I$46,"Accepted")</f>
        <v>-5.566666666666667</v>
      </c>
      <c r="BC52" s="150">
        <f>SUMIFS($BC$29:$BC$46,$D$29:$D$46,"Owner compensation",$E$29:$E$46,"Capital reserve",$I$29:$I$46,"Accepted")</f>
        <v>-5.566666666666667</v>
      </c>
      <c r="BD52" s="150">
        <f>SUMIFS($BD$29:$BD$46,$D$29:$D$46,"Owner compensation",$E$29:$E$46,"Capital reserve",$I$29:$I$46,"Accepted")</f>
        <v>-5.566666666666667</v>
      </c>
      <c r="BE52" s="150">
        <f>SUMIFS($BE$29:$BE$46,$D$29:$D$46,"Owner compensation",$E$29:$E$46,"Capital reserve",$I$29:$I$46,"Accepted")</f>
        <v>-5.566666666666667</v>
      </c>
      <c r="BF52" s="150">
        <f>SUMIFS($BF$29:$BF$46,$D$29:$D$46,"Owner compensation",$E$29:$E$46,"Capital reserve",$I$29:$I$46,"Accepted")</f>
        <v>-5.566666666666667</v>
      </c>
      <c r="BG52" s="150">
        <f>SUMIFS($BG$29:$BG$46,$D$29:$D$46,"Owner compensation",$E$29:$E$46,"Capital reserve",$I$29:$I$46,"Accepted")</f>
        <v>-5.566666666666667</v>
      </c>
      <c r="BH52" s="150">
        <f>SUMIFS($BH$29:$BH$46,$D$29:$D$46,"Owner compensation",$E$29:$E$46,"Capital reserve",$I$29:$I$46,"Accepted")</f>
        <v>-5.566666666666667</v>
      </c>
    </row>
    <row r="53" spans="3:60" x14ac:dyDescent="0.25">
      <c r="C53" s="52" t="s">
        <v>508</v>
      </c>
      <c r="N53" s="150">
        <f>SUMIFS($N$29:$N$46,$D$29:$D$46,"Pro forma",$I$29:$I$46,"Accepted")</f>
        <v>0</v>
      </c>
      <c r="O53" s="150">
        <f>SUMIFS($O$29:$O$46,$D$29:$D$46,"Pro forma",$I$29:$I$46,"Accepted")</f>
        <v>0</v>
      </c>
      <c r="P53" s="150">
        <f>SUMIFS($P$29:$P$46,$D$29:$D$46,"Pro forma",$I$29:$I$46,"Accepted")</f>
        <v>0</v>
      </c>
      <c r="R53" s="150">
        <f>SUMIFS($R$29:$R$46,$D$29:$D$46,"Pro forma",$I$29:$I$46,"Accepted")</f>
        <v>0</v>
      </c>
      <c r="S53" s="150">
        <f>SUMIFS($S$29:$S$46,$D$29:$D$46,"Pro forma",$I$29:$I$46,"Accepted")</f>
        <v>0</v>
      </c>
      <c r="U53" s="150">
        <f>SUMIFS($U$29:$U$46,$D$29:$D$46,"Pro forma",$I$29:$I$46,"Accepted")</f>
        <v>0</v>
      </c>
      <c r="V53" s="150">
        <f>SUMIFS($V$29:$V$46,$D$29:$D$46,"Pro forma",$I$29:$I$46,"Accepted")</f>
        <v>0</v>
      </c>
      <c r="W53" s="150">
        <f>SUMIFS($W$29:$W$46,$D$29:$D$46,"Pro forma",$I$29:$I$46,"Accepted")</f>
        <v>0</v>
      </c>
      <c r="Y53" s="150">
        <f>SUMIFS($Y$29:$Y$46,$D$29:$D$46,"Pro forma",$I$29:$I$46,"Accepted")</f>
        <v>0</v>
      </c>
      <c r="Z53" s="150">
        <f>SUMIFS($Z$29:$Z$46,$D$29:$D$46,"Pro forma",$I$29:$I$46,"Accepted")</f>
        <v>0</v>
      </c>
      <c r="AA53" s="150">
        <f>SUMIFS($AA$29:$AA$46,$D$29:$D$46,"Pro forma",$I$29:$I$46,"Accepted")</f>
        <v>0</v>
      </c>
      <c r="AB53" s="150">
        <f>SUMIFS($AB$29:$AB$46,$D$29:$D$46,"Pro forma",$I$29:$I$46,"Accepted")</f>
        <v>0</v>
      </c>
      <c r="AC53" s="150">
        <f>SUMIFS($AC$29:$AC$46,$D$29:$D$46,"Pro forma",$I$29:$I$46,"Accepted")</f>
        <v>0</v>
      </c>
      <c r="AD53" s="150">
        <f>SUMIFS($AD$29:$AD$46,$D$29:$D$46,"Pro forma",$I$29:$I$46,"Accepted")</f>
        <v>0</v>
      </c>
      <c r="AE53" s="150">
        <f>SUMIFS($AE$29:$AE$46,$D$29:$D$46,"Pro forma",$I$29:$I$46,"Accepted")</f>
        <v>0</v>
      </c>
      <c r="AF53" s="150">
        <f>SUMIFS($AF$29:$AF$46,$D$29:$D$46,"Pro forma",$I$29:$I$46,"Accepted")</f>
        <v>0</v>
      </c>
      <c r="AG53" s="150">
        <f>SUMIFS($AG$29:$AG$46,$D$29:$D$46,"Pro forma",$I$29:$I$46,"Accepted")</f>
        <v>0</v>
      </c>
      <c r="AH53" s="150">
        <f>SUMIFS($AH$29:$AH$46,$D$29:$D$46,"Pro forma",$I$29:$I$46,"Accepted")</f>
        <v>0</v>
      </c>
      <c r="AI53" s="150">
        <f>SUMIFS($AI$29:$AI$46,$D$29:$D$46,"Pro forma",$I$29:$I$46,"Accepted")</f>
        <v>0</v>
      </c>
      <c r="AJ53" s="150">
        <f>SUMIFS($AJ$29:$AJ$46,$D$29:$D$46,"Pro forma",$I$29:$I$46,"Accepted")</f>
        <v>0</v>
      </c>
      <c r="AK53" s="150">
        <f>SUMIFS($AK$29:$AK$46,$D$29:$D$46,"Pro forma",$I$29:$I$46,"Accepted")</f>
        <v>0</v>
      </c>
      <c r="AL53" s="150">
        <f>SUMIFS($AL$29:$AL$46,$D$29:$D$46,"Pro forma",$I$29:$I$46,"Accepted")</f>
        <v>0</v>
      </c>
      <c r="AM53" s="150">
        <f>SUMIFS($AM$29:$AM$46,$D$29:$D$46,"Pro forma",$I$29:$I$46,"Accepted")</f>
        <v>0</v>
      </c>
      <c r="AN53" s="150">
        <f>SUMIFS($AN$29:$AN$46,$D$29:$D$46,"Pro forma",$I$29:$I$46,"Accepted")</f>
        <v>0</v>
      </c>
      <c r="AO53" s="150">
        <f>SUMIFS($AO$29:$AO$46,$D$29:$D$46,"Pro forma",$I$29:$I$46,"Accepted")</f>
        <v>0</v>
      </c>
      <c r="AP53" s="150">
        <f>SUMIFS($AP$29:$AP$46,$D$29:$D$46,"Pro forma",$I$29:$I$46,"Accepted")</f>
        <v>0</v>
      </c>
      <c r="AQ53" s="150">
        <f>SUMIFS($AQ$29:$AQ$46,$D$29:$D$46,"Pro forma",$I$29:$I$46,"Accepted")</f>
        <v>0</v>
      </c>
      <c r="AR53" s="150">
        <f>SUMIFS($AR$29:$AR$46,$D$29:$D$46,"Pro forma",$I$29:$I$46,"Accepted")</f>
        <v>0</v>
      </c>
      <c r="AS53" s="150">
        <f>SUMIFS($AS$29:$AS$46,$D$29:$D$46,"Pro forma",$I$29:$I$46,"Accepted")</f>
        <v>0</v>
      </c>
      <c r="AT53" s="150">
        <f>SUMIFS($AT$29:$AT$46,$D$29:$D$46,"Pro forma",$I$29:$I$46,"Accepted")</f>
        <v>0</v>
      </c>
      <c r="AU53" s="150">
        <f>SUMIFS($AU$29:$AU$46,$D$29:$D$46,"Pro forma",$I$29:$I$46,"Accepted")</f>
        <v>0</v>
      </c>
      <c r="AV53" s="150">
        <f>SUMIFS($AV$29:$AV$46,$D$29:$D$46,"Pro forma",$I$29:$I$46,"Accepted")</f>
        <v>0</v>
      </c>
      <c r="AW53" s="150">
        <f>SUMIFS($AW$29:$AW$46,$D$29:$D$46,"Pro forma",$I$29:$I$46,"Accepted")</f>
        <v>0</v>
      </c>
      <c r="AX53" s="150">
        <f>SUMIFS($AX$29:$AX$46,$D$29:$D$46,"Pro forma",$I$29:$I$46,"Accepted")</f>
        <v>0</v>
      </c>
      <c r="AY53" s="150">
        <f>SUMIFS($AY$29:$AY$46,$D$29:$D$46,"Pro forma",$I$29:$I$46,"Accepted")</f>
        <v>0</v>
      </c>
      <c r="AZ53" s="150">
        <f>SUMIFS($AZ$29:$AZ$46,$D$29:$D$46,"Pro forma",$I$29:$I$46,"Accepted")</f>
        <v>0</v>
      </c>
      <c r="BA53" s="150">
        <f>SUMIFS($BA$29:$BA$46,$D$29:$D$46,"Pro forma",$I$29:$I$46,"Accepted")</f>
        <v>0</v>
      </c>
      <c r="BB53" s="150">
        <f>SUMIFS($BB$29:$BB$46,$D$29:$D$46,"Pro forma",$I$29:$I$46,"Accepted")</f>
        <v>0</v>
      </c>
      <c r="BC53" s="150">
        <f>SUMIFS($BC$29:$BC$46,$D$29:$D$46,"Pro forma",$I$29:$I$46,"Accepted")</f>
        <v>0</v>
      </c>
      <c r="BD53" s="150">
        <f>SUMIFS($BD$29:$BD$46,$D$29:$D$46,"Pro forma",$I$29:$I$46,"Accepted")</f>
        <v>0</v>
      </c>
      <c r="BE53" s="150">
        <f>SUMIFS($BE$29:$BE$46,$D$29:$D$46,"Pro forma",$I$29:$I$46,"Accepted")</f>
        <v>0</v>
      </c>
      <c r="BF53" s="150">
        <f>SUMIFS($BF$29:$BF$46,$D$29:$D$46,"Pro forma",$I$29:$I$46,"Accepted")</f>
        <v>0</v>
      </c>
      <c r="BG53" s="150">
        <f>SUMIFS($BG$29:$BG$46,$D$29:$D$46,"Pro forma",$I$29:$I$46,"Accepted")</f>
        <v>0</v>
      </c>
      <c r="BH53" s="150">
        <f>SUMIFS($BH$29:$BH$46,$D$29:$D$46,"Pro forma",$I$29:$I$46,"Accepted")</f>
        <v>0</v>
      </c>
    </row>
    <row r="54" spans="3:60" x14ac:dyDescent="0.25">
      <c r="C54" s="52" t="s">
        <v>509</v>
      </c>
      <c r="N54" s="150">
        <f>SUMIFS($N$29:$N$46,$D$29:$D$46,"Memo")</f>
        <v>0</v>
      </c>
      <c r="O54" s="150">
        <f>SUMIFS($O$29:$O$46,$D$29:$D$46,"Memo")</f>
        <v>0</v>
      </c>
      <c r="P54" s="150">
        <f>SUMIFS($P$29:$P$46,$D$29:$D$46,"Memo")</f>
        <v>0</v>
      </c>
      <c r="R54" s="150">
        <f>SUMIFS($R$29:$R$46,$D$29:$D$46,"Memo")</f>
        <v>0</v>
      </c>
      <c r="S54" s="150">
        <f>SUMIFS($S$29:$S$46,$D$29:$D$46,"Memo")</f>
        <v>0</v>
      </c>
      <c r="U54" s="150">
        <f>SUMIFS($U$29:$U$46,$D$29:$D$46,"Memo")</f>
        <v>0</v>
      </c>
      <c r="V54" s="150">
        <f>SUMIFS($V$29:$V$46,$D$29:$D$46,"Memo")</f>
        <v>0</v>
      </c>
      <c r="W54" s="150">
        <f>SUMIFS($W$29:$W$46,$D$29:$D$46,"Memo")</f>
        <v>0</v>
      </c>
      <c r="Y54" s="150">
        <f>SUMIFS($Y$29:$Y$46,$D$29:$D$46,"Memo")</f>
        <v>0</v>
      </c>
      <c r="Z54" s="150">
        <f>SUMIFS($Z$29:$Z$46,$D$29:$D$46,"Memo")</f>
        <v>0</v>
      </c>
      <c r="AA54" s="150">
        <f>SUMIFS($AA$29:$AA$46,$D$29:$D$46,"Memo")</f>
        <v>0</v>
      </c>
      <c r="AB54" s="150">
        <f>SUMIFS($AB$29:$AB$46,$D$29:$D$46,"Memo")</f>
        <v>0</v>
      </c>
      <c r="AC54" s="150">
        <f>SUMIFS($AC$29:$AC$46,$D$29:$D$46,"Memo")</f>
        <v>0</v>
      </c>
      <c r="AD54" s="150">
        <f>SUMIFS($AD$29:$AD$46,$D$29:$D$46,"Memo")</f>
        <v>0</v>
      </c>
      <c r="AE54" s="150">
        <f>SUMIFS($AE$29:$AE$46,$D$29:$D$46,"Memo")</f>
        <v>0</v>
      </c>
      <c r="AF54" s="150">
        <f>SUMIFS($AF$29:$AF$46,$D$29:$D$46,"Memo")</f>
        <v>0</v>
      </c>
      <c r="AG54" s="150">
        <f>SUMIFS($AG$29:$AG$46,$D$29:$D$46,"Memo")</f>
        <v>0</v>
      </c>
      <c r="AH54" s="150">
        <f>SUMIFS($AH$29:$AH$46,$D$29:$D$46,"Memo")</f>
        <v>0</v>
      </c>
      <c r="AI54" s="150">
        <f>SUMIFS($AI$29:$AI$46,$D$29:$D$46,"Memo")</f>
        <v>0</v>
      </c>
      <c r="AJ54" s="150">
        <f>SUMIFS($AJ$29:$AJ$46,$D$29:$D$46,"Memo")</f>
        <v>0</v>
      </c>
      <c r="AK54" s="150">
        <f>SUMIFS($AK$29:$AK$46,$D$29:$D$46,"Memo")</f>
        <v>0</v>
      </c>
      <c r="AL54" s="150">
        <f>SUMIFS($AL$29:$AL$46,$D$29:$D$46,"Memo")</f>
        <v>0</v>
      </c>
      <c r="AM54" s="150">
        <f>SUMIFS($AM$29:$AM$46,$D$29:$D$46,"Memo")</f>
        <v>0</v>
      </c>
      <c r="AN54" s="150">
        <f>SUMIFS($AN$29:$AN$46,$D$29:$D$46,"Memo")</f>
        <v>0</v>
      </c>
      <c r="AO54" s="150">
        <f>SUMIFS($AO$29:$AO$46,$D$29:$D$46,"Memo")</f>
        <v>0</v>
      </c>
      <c r="AP54" s="150">
        <f>SUMIFS($AP$29:$AP$46,$D$29:$D$46,"Memo")</f>
        <v>0</v>
      </c>
      <c r="AQ54" s="150">
        <f>SUMIFS($AQ$29:$AQ$46,$D$29:$D$46,"Memo")</f>
        <v>0</v>
      </c>
      <c r="AR54" s="150">
        <f>SUMIFS($AR$29:$AR$46,$D$29:$D$46,"Memo")</f>
        <v>0</v>
      </c>
      <c r="AS54" s="150">
        <f>SUMIFS($AS$29:$AS$46,$D$29:$D$46,"Memo")</f>
        <v>0</v>
      </c>
      <c r="AT54" s="150">
        <f>SUMIFS($AT$29:$AT$46,$D$29:$D$46,"Memo")</f>
        <v>0</v>
      </c>
      <c r="AU54" s="150">
        <f>SUMIFS($AU$29:$AU$46,$D$29:$D$46,"Memo")</f>
        <v>0</v>
      </c>
      <c r="AV54" s="150">
        <f>SUMIFS($AV$29:$AV$46,$D$29:$D$46,"Memo")</f>
        <v>0</v>
      </c>
      <c r="AW54" s="150">
        <f>SUMIFS($AW$29:$AW$46,$D$29:$D$46,"Memo")</f>
        <v>0</v>
      </c>
      <c r="AX54" s="150">
        <f>SUMIFS($AX$29:$AX$46,$D$29:$D$46,"Memo")</f>
        <v>0</v>
      </c>
      <c r="AY54" s="150">
        <f>SUMIFS($AY$29:$AY$46,$D$29:$D$46,"Memo")</f>
        <v>0</v>
      </c>
      <c r="AZ54" s="150">
        <f>SUMIFS($AZ$29:$AZ$46,$D$29:$D$46,"Memo")</f>
        <v>0</v>
      </c>
      <c r="BA54" s="150">
        <f>SUMIFS($BA$29:$BA$46,$D$29:$D$46,"Memo")</f>
        <v>0</v>
      </c>
      <c r="BB54" s="150">
        <f>SUMIFS($BB$29:$BB$46,$D$29:$D$46,"Memo")</f>
        <v>0</v>
      </c>
      <c r="BC54" s="150">
        <f>SUMIFS($BC$29:$BC$46,$D$29:$D$46,"Memo")</f>
        <v>0</v>
      </c>
      <c r="BD54" s="150">
        <f>SUMIFS($BD$29:$BD$46,$D$29:$D$46,"Memo")</f>
        <v>0</v>
      </c>
      <c r="BE54" s="150">
        <f>SUMIFS($BE$29:$BE$46,$D$29:$D$46,"Memo")</f>
        <v>0</v>
      </c>
      <c r="BF54" s="150">
        <f>SUMIFS($BF$29:$BF$46,$D$29:$D$46,"Memo")</f>
        <v>0</v>
      </c>
      <c r="BG54" s="150">
        <f>SUMIFS($BG$29:$BG$46,$D$29:$D$46,"Memo")</f>
        <v>0</v>
      </c>
      <c r="BH54" s="150">
        <f>SUMIFS($BH$29:$BH$46,$D$29:$D$46,"Memo")</f>
        <v>0</v>
      </c>
    </row>
    <row r="57" spans="2:23" x14ac:dyDescent="0.25">
      <c r="B57" s="131" t="s">
        <v>380</v>
      </c>
      <c r="N57" s="132">
        <f>EOMONTH(EOMONTH(DATE('Assumptions'!$C$15-2,'Assumptions'!$C$14,1),0),-12)+1</f>
        <v>44927</v>
      </c>
      <c r="O57" s="132">
        <f>EOMONTH(EOMONTH(DATE('Assumptions'!$C$15-1,'Assumptions'!$C$14,1),0),-12)+1</f>
        <v>45292</v>
      </c>
      <c r="P57" s="132">
        <f>EOMONTH(EOMONTH(DATE('Assumptions'!$C$15-0,'Assumptions'!$C$14,1),0),-12)+1</f>
        <v>45658</v>
      </c>
      <c r="R57" s="132">
        <f>EOMONTH(EOMONTH(DATE(YEAR('Assumptions'!$C$9)-IF(MONTH('Assumptions'!$C$9)&gt;'Assumptions'!$C$14,0,1),'Assumptions'!$C$14,1),0)+1,-13)+1</f>
        <v>45292</v>
      </c>
      <c r="S57" s="132">
        <f>EOMONTH(DATE(YEAR('Assumptions'!$C$9)-IF(MONTH('Assumptions'!$C$9)&gt;'Assumptions'!$C$14,0,1),'Assumptions'!$C$14,1),0)+1</f>
        <v>45658</v>
      </c>
      <c r="U57" s="132">
        <f>EOMONTH('Assumptions'!$C$9,-24)+1</f>
        <v>45292</v>
      </c>
      <c r="V57" s="132">
        <f>EOMONTH('Assumptions'!$C$9,-12)+1</f>
        <v>45658</v>
      </c>
      <c r="W57" s="132">
        <f>EOMONTH('Assumptions'!$C$9,-12)+1</f>
        <v>45658</v>
      </c>
    </row>
    <row r="58" spans="2:23" x14ac:dyDescent="0.25">
      <c r="B58" s="131" t="s">
        <v>381</v>
      </c>
      <c r="N58" s="132">
        <f>EOMONTH(DATE('Assumptions'!$C$15-2,'Assumptions'!$C$14,1),0)</f>
        <v>45291</v>
      </c>
      <c r="O58" s="132">
        <f>EOMONTH(DATE('Assumptions'!$C$15-1,'Assumptions'!$C$14,1),0)</f>
        <v>45657</v>
      </c>
      <c r="P58" s="132">
        <f>EOMONTH(DATE('Assumptions'!$C$15-0,'Assumptions'!$C$14,1),0)</f>
        <v>46022</v>
      </c>
      <c r="R58" s="132">
        <f>EOMONTH('Assumptions'!$C$9,-12)</f>
        <v>45657</v>
      </c>
      <c r="S58" s="132">
        <f>EOMONTH('Assumptions'!$C$9,0)</f>
        <v>46022</v>
      </c>
      <c r="U58" s="132">
        <f>EOMONTH('Assumptions'!$C$9,-12)</f>
        <v>45657</v>
      </c>
      <c r="V58" s="132">
        <f>EOMONTH('Assumptions'!$C$9,0)</f>
        <v>46022</v>
      </c>
      <c r="W58" s="132">
        <f>EOMONTH('Assumptions'!$C$9,0)</f>
        <v>46022</v>
      </c>
    </row>
  </sheetData>
  <mergeCells count="1">
    <mergeCell ref="B26:L26"/>
  </mergeCells>
  <conditionalFormatting sqref="B2 D8:E24 H8:I24 N32:P32 N34:P35 N37:P40 N44:P45">
    <cfRule type="expression" dxfId="10" priority="1">
      <formula>$W$3=1</formula>
    </cfRule>
  </conditionalFormatting>
  <printOptions horizontalCentered="1"/>
  <pageMargins left="0.5" right="0.5" top="0.6" bottom="0.7" header="0.3" footer="0.3"/>
  <pageSetup paperSize="1" orientation="landscape" fitToWidth="1" fitToHeight="0"/>
  <headerFooter>
    <oddHeader>&amp;RProject Ridgeline | As of 12/31/25</oddHeader>
    <oddFooter>&amp;LAMB Advisory Services | Strictly confidential&amp;C&amp;A&amp;RPage &amp;P of &amp;N</oddFooter>
  </headerFooter>
  <rowBreaks count="1" manualBreakCount="1">
    <brk id="17"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AG39"/>
  <sheetViews>
    <sheetView workbookViewId="0" showGridLines="0" zoomScale="100">
      <pane xSplit="2" ySplit="6" topLeftCell="C7" activePane="bottomRight" state="frozen"/>
      <selection pane="bottomRight"/>
    </sheetView>
  </sheetViews>
  <sheetFormatPr defaultRowHeight="12.75" outlineLevelRow="0" outlineLevelCol="0" x14ac:dyDescent="55" customHeight="1"/>
  <cols>
    <col min="1" max="1" width="1.7" customWidth="1"/>
    <col min="2" max="2" width="45" customWidth="1"/>
    <col min="3" max="5" width="9.1" customWidth="1"/>
    <col min="6" max="6" width="0.9" customWidth="1"/>
    <col min="7" max="8" width="9.1" customWidth="1"/>
    <col min="9" max="9" width="0.9" customWidth="1"/>
    <col min="10" max="12" width="9.1" customWidth="1"/>
    <col min="13" max="13" width="0.9" customWidth="1"/>
    <col min="14" max="15" width="9.1" customWidth="1"/>
    <col min="16" max="16" width="0.9" customWidth="1"/>
    <col min="17" max="19" width="9.1" customWidth="1"/>
    <col min="20" max="20" width="0.9" customWidth="1"/>
    <col min="21" max="21" width="6.7" hidden="1" outlineLevel="1" collapsed="1" customWidth="1"/>
    <col min="22" max="33" width="6.7" customWidth="1"/>
  </cols>
  <sheetData>
    <row r="2" ht="16.5" customHeight="1" spans="2:2" x14ac:dyDescent="0.25">
      <c r="B2" s="9">
        <f>Cover!B24</f>
      </c>
    </row>
    <row r="3" spans="2:33" x14ac:dyDescent="0.25">
      <c r="B3" s="10" t="s">
        <v>510</v>
      </c>
      <c r="C3" s="11"/>
      <c r="D3" s="11"/>
      <c r="E3" s="11"/>
      <c r="F3" s="11"/>
      <c r="G3" s="11"/>
      <c r="H3" s="11"/>
      <c r="I3" s="11"/>
      <c r="J3" s="11"/>
      <c r="K3" s="11"/>
      <c r="L3" s="11"/>
      <c r="M3" s="11"/>
      <c r="N3" s="34" t="s">
        <v>80</v>
      </c>
      <c r="O3" s="35">
        <f>'Contents'!$I$18</f>
      </c>
      <c r="P3" s="11"/>
      <c r="Q3" s="11"/>
      <c r="R3" s="11"/>
      <c r="S3" s="11"/>
      <c r="T3" s="11"/>
      <c r="U3" s="11"/>
      <c r="V3" s="11"/>
      <c r="W3" s="11"/>
      <c r="X3" s="11"/>
      <c r="Y3" s="11"/>
      <c r="Z3" s="11"/>
      <c r="AA3" s="11"/>
      <c r="AB3" s="11"/>
      <c r="AC3" s="11"/>
      <c r="AD3" s="11"/>
      <c r="AE3" s="11"/>
      <c r="AF3" s="11"/>
      <c r="AG3" s="11"/>
    </row>
    <row r="5" spans="2:33" x14ac:dyDescent="0.25">
      <c r="B5" s="36"/>
      <c r="C5" s="36" t="s">
        <v>81</v>
      </c>
      <c r="D5" s="36"/>
      <c r="E5" s="36"/>
      <c r="G5" s="36" t="s">
        <v>327</v>
      </c>
      <c r="H5" s="36"/>
      <c r="J5" s="36" t="s">
        <v>82</v>
      </c>
      <c r="K5" s="36"/>
      <c r="L5" s="36" t="s">
        <v>83</v>
      </c>
      <c r="N5" s="36" t="s">
        <v>328</v>
      </c>
      <c r="O5" s="36"/>
      <c r="Q5" s="36" t="s">
        <v>82</v>
      </c>
      <c r="R5" s="36"/>
      <c r="S5" s="36" t="s">
        <v>83</v>
      </c>
      <c r="V5" s="36" t="s">
        <v>511</v>
      </c>
      <c r="W5" s="36"/>
      <c r="X5" s="36"/>
      <c r="Y5" s="36"/>
      <c r="Z5" s="36"/>
      <c r="AA5" s="36"/>
      <c r="AB5" s="36"/>
      <c r="AC5" s="36"/>
      <c r="AD5" s="36"/>
      <c r="AE5" s="36"/>
      <c r="AF5" s="36"/>
      <c r="AG5" s="36"/>
    </row>
    <row r="6" spans="2:33" x14ac:dyDescent="0.25">
      <c r="B6" s="13" t="s">
        <v>333</v>
      </c>
      <c r="C6" s="12" t="str">
        <f>"FY"&amp;YEAR(C$39)</f>
        <v>FY2023</v>
      </c>
      <c r="D6" s="12" t="str">
        <f>"FY"&amp;YEAR(D$39)</f>
        <v>FY2024</v>
      </c>
      <c r="E6" s="12" t="str">
        <f>"FY"&amp;YEAR(E$39)</f>
        <v>FY2025</v>
      </c>
      <c r="G6" s="12" t="str">
        <f>TEXT(G$39,"mmm-yy")</f>
        <v>Dec-24</v>
      </c>
      <c r="H6" s="12" t="str">
        <f>TEXT(H$39,"mmm-yy")</f>
        <v>Dec-25</v>
      </c>
      <c r="J6" s="12" t="str">
        <f>TEXT(J$39,"mmm-yy")</f>
        <v>Dec-24</v>
      </c>
      <c r="K6" s="12" t="str">
        <f>TEXT(K$39,"mmm-yy")</f>
        <v>Dec-25</v>
      </c>
      <c r="L6" s="12" t="str">
        <f>TEXT(L$39,"mmm-yy")</f>
        <v>Dec-25</v>
      </c>
      <c r="N6" s="12" t="s">
        <v>330</v>
      </c>
      <c r="O6" s="12" t="s">
        <v>331</v>
      </c>
      <c r="Q6" s="12" t="str">
        <f>J6</f>
        <v>Dec-24</v>
      </c>
      <c r="R6" s="12" t="str">
        <f>K6</f>
        <v>Dec-25</v>
      </c>
      <c r="S6" s="12" t="str">
        <f>L6</f>
        <v>Dec-25</v>
      </c>
      <c r="U6" s="138">
        <f>EOMONTH('Assumptions'!$C$9,-13)+1</f>
        <v>45627</v>
      </c>
      <c r="V6" s="138">
        <f>EOMONTH(U6,0)+1</f>
        <v>45658</v>
      </c>
      <c r="W6" s="138">
        <f>EOMONTH(V6,0)+1</f>
        <v>45689</v>
      </c>
      <c r="X6" s="138">
        <f>EOMONTH(W6,0)+1</f>
        <v>45717</v>
      </c>
      <c r="Y6" s="138">
        <f>EOMONTH(X6,0)+1</f>
        <v>45748</v>
      </c>
      <c r="Z6" s="138">
        <f>EOMONTH(Y6,0)+1</f>
        <v>45778</v>
      </c>
      <c r="AA6" s="138">
        <f>EOMONTH(Z6,0)+1</f>
        <v>45809</v>
      </c>
      <c r="AB6" s="138">
        <f>EOMONTH(AA6,0)+1</f>
        <v>45839</v>
      </c>
      <c r="AC6" s="138">
        <f>EOMONTH(AB6,0)+1</f>
        <v>45870</v>
      </c>
      <c r="AD6" s="138">
        <f>EOMONTH(AC6,0)+1</f>
        <v>45901</v>
      </c>
      <c r="AE6" s="138">
        <f>EOMONTH(AD6,0)+1</f>
        <v>45931</v>
      </c>
      <c r="AF6" s="138">
        <f>EOMONTH(AE6,0)+1</f>
        <v>45962</v>
      </c>
      <c r="AG6" s="138">
        <f>EOMONTH(AF6,0)+1</f>
        <v>45992</v>
      </c>
    </row>
    <row r="8" spans="2:33" x14ac:dyDescent="0.25">
      <c r="B8" s="37" t="s">
        <v>512</v>
      </c>
      <c r="C8" s="37"/>
      <c r="D8" s="37"/>
      <c r="E8" s="37"/>
      <c r="G8" s="37"/>
      <c r="H8" s="37"/>
      <c r="J8" s="37"/>
      <c r="K8" s="37"/>
      <c r="L8" s="37"/>
      <c r="N8" s="37"/>
      <c r="O8" s="37"/>
      <c r="Q8" s="37"/>
      <c r="R8" s="37"/>
      <c r="S8" s="37"/>
      <c r="V8" s="37"/>
      <c r="W8" s="37"/>
      <c r="X8" s="37"/>
      <c r="Y8" s="37"/>
      <c r="Z8" s="37"/>
      <c r="AA8" s="37"/>
      <c r="AB8" s="37"/>
      <c r="AC8" s="37"/>
      <c r="AD8" s="37"/>
      <c r="AE8" s="37"/>
      <c r="AF8" s="37"/>
      <c r="AG8" s="37"/>
    </row>
    <row r="9" spans="2:33" x14ac:dyDescent="0.25">
      <c r="B9" s="163" t="s">
        <v>334</v>
      </c>
      <c r="C9" s="39">
        <f>SUMIFS('Monthly P&amp;L'!$Q$9:$AZ$9,'Monthly P&amp;L'!$Q$6:$AZ$6,"&gt;="&amp;C$38,'Monthly P&amp;L'!$Q$6:$AZ$6,"&lt;="&amp;C$39)</f>
        <v>1612.4</v>
      </c>
      <c r="D9" s="39">
        <f>SUMIFS('Monthly P&amp;L'!$Q$9:$AZ$9,'Monthly P&amp;L'!$Q$6:$AZ$6,"&gt;="&amp;D$38,'Monthly P&amp;L'!$Q$6:$AZ$6,"&lt;="&amp;D$39)</f>
        <v>1788.9</v>
      </c>
      <c r="E9" s="39">
        <f>SUMIFS('Monthly P&amp;L'!$Q$9:$AZ$9,'Monthly P&amp;L'!$Q$6:$AZ$6,"&gt;="&amp;E$38,'Monthly P&amp;L'!$Q$6:$AZ$6,"&lt;="&amp;E$39)</f>
        <v>1964.3</v>
      </c>
      <c r="G9" s="39">
        <f>SUMIFS('Monthly P&amp;L'!$Q$9:$AZ$9,'Monthly P&amp;L'!$Q$6:$AZ$6,"&gt;="&amp;G$38,'Monthly P&amp;L'!$Q$6:$AZ$6,"&lt;="&amp;G$39)</f>
        <v>1788.9</v>
      </c>
      <c r="H9" s="39">
        <f>SUMIFS('Monthly P&amp;L'!$Q$9:$AZ$9,'Monthly P&amp;L'!$Q$6:$AZ$6,"&gt;="&amp;H$38,'Monthly P&amp;L'!$Q$6:$AZ$6,"&lt;="&amp;H$39)</f>
        <v>1964.3</v>
      </c>
      <c r="J9" s="39">
        <f>SUMIFS('Monthly P&amp;L'!$Q$9:$AZ$9,'Monthly P&amp;L'!$Q$6:$AZ$6,"&gt;="&amp;J$38,'Monthly P&amp;L'!$Q$6:$AZ$6,"&lt;="&amp;J$39)</f>
        <v>1788.9</v>
      </c>
      <c r="K9" s="39">
        <f>SUMIFS('Monthly P&amp;L'!$Q$9:$AZ$9,'Monthly P&amp;L'!$Q$6:$AZ$6,"&gt;="&amp;K$38,'Monthly P&amp;L'!$Q$6:$AZ$6,"&lt;="&amp;K$39)</f>
        <v>1964.3</v>
      </c>
      <c r="L9" s="39">
        <f>SUMIFS('Monthly P&amp;L'!$Q$9:$AZ$9,'Monthly P&amp;L'!$Q$6:$AZ$6,"&gt;="&amp;L$38,'Monthly P&amp;L'!$Q$6:$AZ$6,"&lt;="&amp;L$39)</f>
        <v>1964.3</v>
      </c>
      <c r="N9" s="38">
        <f>L9-K9</f>
        <v>0</v>
      </c>
      <c r="O9" s="115">
        <f>IFERROR(L9/K9-1,"n.a.")</f>
        <v>0</v>
      </c>
      <c r="Q9" s="39">
        <f>J9</f>
        <v>1788.9</v>
      </c>
      <c r="R9" s="39">
        <f>K9</f>
        <v>1964.3</v>
      </c>
      <c r="S9" s="39">
        <f>L9</f>
        <v>1964.3</v>
      </c>
      <c r="U9" s="39">
        <f>'Monthly P&amp;L'!AN9</f>
        <v>172.721</v>
      </c>
      <c r="V9" s="39">
        <f>'Monthly P&amp;L'!AO9</f>
        <v>146.716</v>
      </c>
      <c r="W9" s="39">
        <f>'Monthly P&amp;L'!AP9</f>
        <v>132.661</v>
      </c>
      <c r="X9" s="39">
        <f>'Monthly P&amp;L'!AQ9</f>
        <v>126.165</v>
      </c>
      <c r="Y9" s="39">
        <f>'Monthly P&amp;L'!AR9</f>
        <v>135.439</v>
      </c>
      <c r="Z9" s="39">
        <f>'Monthly P&amp;L'!AS9</f>
        <v>160.975</v>
      </c>
      <c r="AA9" s="39">
        <f>'Monthly P&amp;L'!AT9</f>
        <v>195.131</v>
      </c>
      <c r="AB9" s="39">
        <f>'Monthly P&amp;L'!AU9</f>
        <v>213.516</v>
      </c>
      <c r="AC9" s="39">
        <f>'Monthly P&amp;L'!AV9</f>
        <v>199.053</v>
      </c>
      <c r="AD9" s="39">
        <f>'Monthly P&amp;L'!AW9</f>
        <v>167.512</v>
      </c>
      <c r="AE9" s="39">
        <f>'Monthly P&amp;L'!AX9</f>
        <v>143.774</v>
      </c>
      <c r="AF9" s="39">
        <f>'Monthly P&amp;L'!AY9</f>
        <v>153.702</v>
      </c>
      <c r="AG9" s="39">
        <f>'Monthly P&amp;L'!AZ9</f>
        <v>189.656</v>
      </c>
    </row>
    <row r="10" spans="2:33" x14ac:dyDescent="0.25">
      <c r="B10" s="164" t="s">
        <v>336</v>
      </c>
      <c r="C10" s="53">
        <f>SUMIFS('Monthly P&amp;L'!$Q$10:$AZ$10,'Monthly P&amp;L'!$Q$6:$AZ$6,"&gt;="&amp;C$38,'Monthly P&amp;L'!$Q$6:$AZ$6,"&lt;="&amp;C$39)</f>
        <v>598.2</v>
      </c>
      <c r="D10" s="53">
        <f>SUMIFS('Monthly P&amp;L'!$Q$10:$AZ$10,'Monthly P&amp;L'!$Q$6:$AZ$6,"&gt;="&amp;D$38,'Monthly P&amp;L'!$Q$6:$AZ$6,"&lt;="&amp;D$39)</f>
        <v>702.5</v>
      </c>
      <c r="E10" s="53">
        <f>SUMIFS('Monthly P&amp;L'!$Q$10:$AZ$10,'Monthly P&amp;L'!$Q$6:$AZ$6,"&gt;="&amp;E$38,'Monthly P&amp;L'!$Q$6:$AZ$6,"&lt;="&amp;E$39)</f>
        <v>811.7</v>
      </c>
      <c r="G10" s="53">
        <f>SUMIFS('Monthly P&amp;L'!$Q$10:$AZ$10,'Monthly P&amp;L'!$Q$6:$AZ$6,"&gt;="&amp;G$38,'Monthly P&amp;L'!$Q$6:$AZ$6,"&lt;="&amp;G$39)</f>
        <v>702.5</v>
      </c>
      <c r="H10" s="53">
        <f>SUMIFS('Monthly P&amp;L'!$Q$10:$AZ$10,'Monthly P&amp;L'!$Q$6:$AZ$6,"&gt;="&amp;H$38,'Monthly P&amp;L'!$Q$6:$AZ$6,"&lt;="&amp;H$39)</f>
        <v>811.7</v>
      </c>
      <c r="J10" s="53">
        <f>SUMIFS('Monthly P&amp;L'!$Q$10:$AZ$10,'Monthly P&amp;L'!$Q$6:$AZ$6,"&gt;="&amp;J$38,'Monthly P&amp;L'!$Q$6:$AZ$6,"&lt;="&amp;J$39)</f>
        <v>702.5</v>
      </c>
      <c r="K10" s="53">
        <f>SUMIFS('Monthly P&amp;L'!$Q$10:$AZ$10,'Monthly P&amp;L'!$Q$6:$AZ$6,"&gt;="&amp;K$38,'Monthly P&amp;L'!$Q$6:$AZ$6,"&lt;="&amp;K$39)</f>
        <v>811.7</v>
      </c>
      <c r="L10" s="53">
        <f>SUMIFS('Monthly P&amp;L'!$Q$10:$AZ$10,'Monthly P&amp;L'!$Q$6:$AZ$6,"&gt;="&amp;L$38,'Monthly P&amp;L'!$Q$6:$AZ$6,"&lt;="&amp;L$39)</f>
        <v>811.7</v>
      </c>
      <c r="N10" s="52">
        <f>L10-K10</f>
        <v>0</v>
      </c>
      <c r="O10" s="115">
        <f>IFERROR(L10/K10-1,"n.a.")</f>
        <v>0</v>
      </c>
      <c r="Q10" s="53">
        <f>J10</f>
        <v>702.5</v>
      </c>
      <c r="R10" s="53">
        <f>K10</f>
        <v>811.7</v>
      </c>
      <c r="S10" s="53">
        <f>L10</f>
        <v>811.7</v>
      </c>
      <c r="U10" s="53">
        <f>'Monthly P&amp;L'!AN10</f>
        <v>61.705</v>
      </c>
      <c r="V10" s="53">
        <f>'Monthly P&amp;L'!AO10</f>
        <v>60.67</v>
      </c>
      <c r="W10" s="53">
        <f>'Monthly P&amp;L'!AP10</f>
        <v>58.085</v>
      </c>
      <c r="X10" s="53">
        <f>'Monthly P&amp;L'!AQ10</f>
        <v>58.693</v>
      </c>
      <c r="Y10" s="53">
        <f>'Monthly P&amp;L'!AR10</f>
        <v>62.596</v>
      </c>
      <c r="Z10" s="53">
        <f>'Monthly P&amp;L'!AS10</f>
        <v>66.566</v>
      </c>
      <c r="AA10" s="53">
        <f>'Monthly P&amp;L'!AT10</f>
        <v>73.966</v>
      </c>
      <c r="AB10" s="53">
        <f>'Monthly P&amp;L'!AU10</f>
        <v>78.105</v>
      </c>
      <c r="AC10" s="53">
        <f>'Monthly P&amp;L'!AV10</f>
        <v>75.453</v>
      </c>
      <c r="AD10" s="53">
        <f>'Monthly P&amp;L'!AW10</f>
        <v>72.732</v>
      </c>
      <c r="AE10" s="53">
        <f>'Monthly P&amp;L'!AX10</f>
        <v>66.448</v>
      </c>
      <c r="AF10" s="53">
        <f>'Monthly P&amp;L'!AY10</f>
        <v>67.09</v>
      </c>
      <c r="AG10" s="53">
        <f>'Monthly P&amp;L'!AZ10</f>
        <v>71.296</v>
      </c>
    </row>
    <row r="11" spans="2:33" x14ac:dyDescent="0.25">
      <c r="B11" s="164" t="s">
        <v>338</v>
      </c>
      <c r="C11" s="53">
        <f>SUMIFS('Monthly P&amp;L'!$Q$11:$AZ$11,'Monthly P&amp;L'!$Q$6:$AZ$6,"&gt;="&amp;C$38,'Monthly P&amp;L'!$Q$6:$AZ$6,"&lt;="&amp;C$39)</f>
        <v>214.6</v>
      </c>
      <c r="D11" s="53">
        <f>SUMIFS('Monthly P&amp;L'!$Q$11:$AZ$11,'Monthly P&amp;L'!$Q$6:$AZ$6,"&gt;="&amp;D$38,'Monthly P&amp;L'!$Q$6:$AZ$6,"&lt;="&amp;D$39)</f>
        <v>248.3</v>
      </c>
      <c r="E11" s="53">
        <f>SUMIFS('Monthly P&amp;L'!$Q$11:$AZ$11,'Monthly P&amp;L'!$Q$6:$AZ$6,"&gt;="&amp;E$38,'Monthly P&amp;L'!$Q$6:$AZ$6,"&lt;="&amp;E$39)</f>
        <v>289.4</v>
      </c>
      <c r="G11" s="53">
        <f>SUMIFS('Monthly P&amp;L'!$Q$11:$AZ$11,'Monthly P&amp;L'!$Q$6:$AZ$6,"&gt;="&amp;G$38,'Monthly P&amp;L'!$Q$6:$AZ$6,"&lt;="&amp;G$39)</f>
        <v>248.3</v>
      </c>
      <c r="H11" s="53">
        <f>SUMIFS('Monthly P&amp;L'!$Q$11:$AZ$11,'Monthly P&amp;L'!$Q$6:$AZ$6,"&gt;="&amp;H$38,'Monthly P&amp;L'!$Q$6:$AZ$6,"&lt;="&amp;H$39)</f>
        <v>289.4</v>
      </c>
      <c r="J11" s="53">
        <f>SUMIFS('Monthly P&amp;L'!$Q$11:$AZ$11,'Monthly P&amp;L'!$Q$6:$AZ$6,"&gt;="&amp;J$38,'Monthly P&amp;L'!$Q$6:$AZ$6,"&lt;="&amp;J$39)</f>
        <v>248.3</v>
      </c>
      <c r="K11" s="53">
        <f>SUMIFS('Monthly P&amp;L'!$Q$11:$AZ$11,'Monthly P&amp;L'!$Q$6:$AZ$6,"&gt;="&amp;K$38,'Monthly P&amp;L'!$Q$6:$AZ$6,"&lt;="&amp;K$39)</f>
        <v>289.4</v>
      </c>
      <c r="L11" s="53">
        <f>SUMIFS('Monthly P&amp;L'!$Q$11:$AZ$11,'Monthly P&amp;L'!$Q$6:$AZ$6,"&gt;="&amp;L$38,'Monthly P&amp;L'!$Q$6:$AZ$6,"&lt;="&amp;L$39)</f>
        <v>289.4</v>
      </c>
      <c r="N11" s="52">
        <f>L11-K11</f>
        <v>0</v>
      </c>
      <c r="O11" s="115">
        <f>IFERROR(L11/K11-1,"n.a.")</f>
        <v>0</v>
      </c>
      <c r="Q11" s="53">
        <f>J11</f>
        <v>248.3</v>
      </c>
      <c r="R11" s="53">
        <f>K11</f>
        <v>289.4</v>
      </c>
      <c r="S11" s="53">
        <f>L11</f>
        <v>289.4</v>
      </c>
      <c r="U11" s="53">
        <f>'Monthly P&amp;L'!AN11</f>
        <v>21.83</v>
      </c>
      <c r="V11" s="53">
        <f>'Monthly P&amp;L'!AO11</f>
        <v>22.79</v>
      </c>
      <c r="W11" s="53">
        <f>'Monthly P&amp;L'!AP11</f>
        <v>23.031</v>
      </c>
      <c r="X11" s="53">
        <f>'Monthly P&amp;L'!AQ11</f>
        <v>23.273</v>
      </c>
      <c r="Y11" s="53">
        <f>'Monthly P&amp;L'!AR11</f>
        <v>23.514</v>
      </c>
      <c r="Z11" s="53">
        <f>'Monthly P&amp;L'!AS11</f>
        <v>23.755</v>
      </c>
      <c r="AA11" s="53">
        <f>'Monthly P&amp;L'!AT11</f>
        <v>23.996</v>
      </c>
      <c r="AB11" s="53">
        <f>'Monthly P&amp;L'!AU11</f>
        <v>24.237</v>
      </c>
      <c r="AC11" s="53">
        <f>'Monthly P&amp;L'!AV11</f>
        <v>24.478</v>
      </c>
      <c r="AD11" s="53">
        <f>'Monthly P&amp;L'!AW11</f>
        <v>24.72</v>
      </c>
      <c r="AE11" s="53">
        <f>'Monthly P&amp;L'!AX11</f>
        <v>24.961</v>
      </c>
      <c r="AF11" s="53">
        <f>'Monthly P&amp;L'!AY11</f>
        <v>25.202</v>
      </c>
      <c r="AG11" s="53">
        <f>'Monthly P&amp;L'!AZ11</f>
        <v>25.443</v>
      </c>
    </row>
    <row r="12" spans="2:33" x14ac:dyDescent="0.25">
      <c r="B12" s="164" t="s">
        <v>340</v>
      </c>
      <c r="C12" s="53">
        <f>SUMIFS('Monthly P&amp;L'!$Q$12:$AZ$12,'Monthly P&amp;L'!$Q$6:$AZ$6,"&gt;="&amp;C$38,'Monthly P&amp;L'!$Q$6:$AZ$6,"&lt;="&amp;C$39)</f>
        <v>-18.4</v>
      </c>
      <c r="D12" s="53">
        <f>SUMIFS('Monthly P&amp;L'!$Q$12:$AZ$12,'Monthly P&amp;L'!$Q$6:$AZ$6,"&gt;="&amp;D$38,'Monthly P&amp;L'!$Q$6:$AZ$6,"&lt;="&amp;D$39)</f>
        <v>-21.1</v>
      </c>
      <c r="E12" s="53">
        <f>SUMIFS('Monthly P&amp;L'!$Q$12:$AZ$12,'Monthly P&amp;L'!$Q$6:$AZ$6,"&gt;="&amp;E$38,'Monthly P&amp;L'!$Q$6:$AZ$6,"&lt;="&amp;E$39)</f>
        <v>-24.6</v>
      </c>
      <c r="G12" s="53">
        <f>SUMIFS('Monthly P&amp;L'!$Q$12:$AZ$12,'Monthly P&amp;L'!$Q$6:$AZ$6,"&gt;="&amp;G$38,'Monthly P&amp;L'!$Q$6:$AZ$6,"&lt;="&amp;G$39)</f>
        <v>-21.1</v>
      </c>
      <c r="H12" s="53">
        <f>SUMIFS('Monthly P&amp;L'!$Q$12:$AZ$12,'Monthly P&amp;L'!$Q$6:$AZ$6,"&gt;="&amp;H$38,'Monthly P&amp;L'!$Q$6:$AZ$6,"&lt;="&amp;H$39)</f>
        <v>-24.6</v>
      </c>
      <c r="J12" s="53">
        <f>SUMIFS('Monthly P&amp;L'!$Q$12:$AZ$12,'Monthly P&amp;L'!$Q$6:$AZ$6,"&gt;="&amp;J$38,'Monthly P&amp;L'!$Q$6:$AZ$6,"&lt;="&amp;J$39)</f>
        <v>-21.1</v>
      </c>
      <c r="K12" s="53">
        <f>SUMIFS('Monthly P&amp;L'!$Q$12:$AZ$12,'Monthly P&amp;L'!$Q$6:$AZ$6,"&gt;="&amp;K$38,'Monthly P&amp;L'!$Q$6:$AZ$6,"&lt;="&amp;K$39)</f>
        <v>-24.6</v>
      </c>
      <c r="L12" s="53">
        <f>SUMIFS('Monthly P&amp;L'!$Q$12:$AZ$12,'Monthly P&amp;L'!$Q$6:$AZ$6,"&gt;="&amp;L$38,'Monthly P&amp;L'!$Q$6:$AZ$6,"&lt;="&amp;L$39)</f>
        <v>-24.6</v>
      </c>
      <c r="N12" s="52">
        <f>L12-K12</f>
        <v>0</v>
      </c>
      <c r="O12" s="115">
        <f>IFERROR(L12/K12-1,"n.a.")</f>
        <v>0</v>
      </c>
      <c r="Q12" s="53">
        <f>J12</f>
        <v>-21.1</v>
      </c>
      <c r="R12" s="53">
        <f>K12</f>
        <v>-24.6</v>
      </c>
      <c r="S12" s="53">
        <f>L12</f>
        <v>-24.6</v>
      </c>
      <c r="U12" s="53">
        <f>'Monthly P&amp;L'!AN12</f>
        <v>-2.037</v>
      </c>
      <c r="V12" s="53">
        <f>'Monthly P&amp;L'!AO12</f>
        <v>-1.837</v>
      </c>
      <c r="W12" s="53">
        <f>'Monthly P&amp;L'!AP12</f>
        <v>-1.661</v>
      </c>
      <c r="X12" s="53">
        <f>'Monthly P&amp;L'!AQ12</f>
        <v>-1.58</v>
      </c>
      <c r="Y12" s="53">
        <f>'Monthly P&amp;L'!AR12</f>
        <v>-1.696</v>
      </c>
      <c r="Z12" s="53">
        <f>'Monthly P&amp;L'!AS12</f>
        <v>-2.016</v>
      </c>
      <c r="AA12" s="53">
        <f>'Monthly P&amp;L'!AT12</f>
        <v>-2.444</v>
      </c>
      <c r="AB12" s="53">
        <f>'Monthly P&amp;L'!AU12</f>
        <v>-2.674</v>
      </c>
      <c r="AC12" s="53">
        <f>'Monthly P&amp;L'!AV12</f>
        <v>-2.493</v>
      </c>
      <c r="AD12" s="53">
        <f>'Monthly P&amp;L'!AW12</f>
        <v>-2.098</v>
      </c>
      <c r="AE12" s="53">
        <f>'Monthly P&amp;L'!AX12</f>
        <v>-1.801</v>
      </c>
      <c r="AF12" s="53">
        <f>'Monthly P&amp;L'!AY12</f>
        <v>-1.925</v>
      </c>
      <c r="AG12" s="53">
        <f>'Monthly P&amp;L'!AZ12</f>
        <v>-2.375</v>
      </c>
    </row>
    <row r="13" spans="2:33" x14ac:dyDescent="0.25">
      <c r="B13" s="165" t="s">
        <v>87</v>
      </c>
      <c r="C13" s="166">
        <f>SUMIFS('Monthly P&amp;L'!$Q$14:$AZ$14,'Monthly P&amp;L'!$Q$6:$AZ$6,"&gt;="&amp;C$38,'Monthly P&amp;L'!$Q$6:$AZ$6,"&lt;="&amp;C$39)</f>
        <v>2406.8</v>
      </c>
      <c r="D13" s="167">
        <f>SUMIFS('Monthly P&amp;L'!$Q$14:$AZ$14,'Monthly P&amp;L'!$Q$6:$AZ$6,"&gt;="&amp;D$38,'Monthly P&amp;L'!$Q$6:$AZ$6,"&lt;="&amp;D$39)</f>
        <v>2718.6</v>
      </c>
      <c r="E13" s="168">
        <f>SUMIFS('Monthly P&amp;L'!$Q$14:$AZ$14,'Monthly P&amp;L'!$Q$6:$AZ$6,"&gt;="&amp;E$38,'Monthly P&amp;L'!$Q$6:$AZ$6,"&lt;="&amp;E$39)</f>
        <v>3040.8</v>
      </c>
      <c r="G13" s="166">
        <f>SUMIFS('Monthly P&amp;L'!$Q$14:$AZ$14,'Monthly P&amp;L'!$Q$6:$AZ$6,"&gt;="&amp;G$38,'Monthly P&amp;L'!$Q$6:$AZ$6,"&lt;="&amp;G$39)</f>
        <v>2718.6</v>
      </c>
      <c r="H13" s="168">
        <f>SUMIFS('Monthly P&amp;L'!$Q$14:$AZ$14,'Monthly P&amp;L'!$Q$6:$AZ$6,"&gt;="&amp;H$38,'Monthly P&amp;L'!$Q$6:$AZ$6,"&lt;="&amp;H$39)</f>
        <v>3040.8</v>
      </c>
      <c r="J13" s="166">
        <f>SUMIFS('Monthly P&amp;L'!$Q$14:$AZ$14,'Monthly P&amp;L'!$Q$6:$AZ$6,"&gt;="&amp;J$38,'Monthly P&amp;L'!$Q$6:$AZ$6,"&lt;="&amp;J$39)</f>
        <v>2718.6</v>
      </c>
      <c r="K13" s="168">
        <f>SUMIFS('Monthly P&amp;L'!$Q$14:$AZ$14,'Monthly P&amp;L'!$Q$6:$AZ$6,"&gt;="&amp;K$38,'Monthly P&amp;L'!$Q$6:$AZ$6,"&lt;="&amp;K$39)</f>
        <v>3040.8</v>
      </c>
      <c r="L13" s="169">
        <f>SUMIFS('Monthly P&amp;L'!$Q$14:$AZ$14,'Monthly P&amp;L'!$Q$6:$AZ$6,"&gt;="&amp;L$38,'Monthly P&amp;L'!$Q$6:$AZ$6,"&lt;="&amp;L$39)</f>
        <v>3040.8</v>
      </c>
      <c r="N13" s="170">
        <f>L13-K13</f>
        <v>0</v>
      </c>
      <c r="O13" s="171">
        <f>IFERROR(L13/K13-1,"n.a.")</f>
        <v>0</v>
      </c>
      <c r="Q13" s="166">
        <f>J13</f>
        <v>2718.6</v>
      </c>
      <c r="R13" s="167">
        <f>K13</f>
        <v>3040.8</v>
      </c>
      <c r="S13" s="168">
        <f>L13</f>
        <v>3040.8</v>
      </c>
      <c r="U13" s="172">
        <f>'Monthly P&amp;L'!AN14</f>
        <v>254.219</v>
      </c>
      <c r="V13" s="166">
        <f>'Monthly P&amp;L'!AO14</f>
        <v>228.339</v>
      </c>
      <c r="W13" s="167">
        <f>'Monthly P&amp;L'!AP14</f>
        <v>212.116</v>
      </c>
      <c r="X13" s="167">
        <f>'Monthly P&amp;L'!AQ14</f>
        <v>206.551</v>
      </c>
      <c r="Y13" s="167">
        <f>'Monthly P&amp;L'!AR14</f>
        <v>219.853</v>
      </c>
      <c r="Z13" s="167">
        <f>'Monthly P&amp;L'!AS14</f>
        <v>249.28</v>
      </c>
      <c r="AA13" s="167">
        <f>'Monthly P&amp;L'!AT14</f>
        <v>290.649</v>
      </c>
      <c r="AB13" s="167">
        <f>'Monthly P&amp;L'!AU14</f>
        <v>313.184</v>
      </c>
      <c r="AC13" s="167">
        <f>'Monthly P&amp;L'!AV14</f>
        <v>296.491</v>
      </c>
      <c r="AD13" s="167">
        <f>'Monthly P&amp;L'!AW14</f>
        <v>262.866</v>
      </c>
      <c r="AE13" s="167">
        <f>'Monthly P&amp;L'!AX14</f>
        <v>233.382</v>
      </c>
      <c r="AF13" s="167">
        <f>'Monthly P&amp;L'!AY14</f>
        <v>244.069</v>
      </c>
      <c r="AG13" s="168">
        <f>'Monthly P&amp;L'!AZ14</f>
        <v>284.02</v>
      </c>
    </row>
    <row r="14" spans="2:33" x14ac:dyDescent="0.25">
      <c r="B14" s="165" t="s">
        <v>513</v>
      </c>
      <c r="C14" s="173">
        <f>C11</f>
        <v>214.6</v>
      </c>
      <c r="D14" s="174">
        <f>D11</f>
        <v>248.3</v>
      </c>
      <c r="E14" s="175">
        <f>E11</f>
        <v>289.4</v>
      </c>
      <c r="G14" s="173">
        <f>G11</f>
        <v>248.3</v>
      </c>
      <c r="H14" s="175">
        <f>H11</f>
        <v>289.4</v>
      </c>
      <c r="J14" s="173">
        <f>J11</f>
        <v>248.3</v>
      </c>
      <c r="K14" s="175">
        <f>K11</f>
        <v>289.4</v>
      </c>
      <c r="L14" s="176">
        <f>L11</f>
        <v>289.4</v>
      </c>
      <c r="N14" s="170">
        <f>L14-K14</f>
        <v>0</v>
      </c>
      <c r="O14" s="171">
        <f>IFERROR(L14/K14-1,"n.a.")</f>
        <v>0</v>
      </c>
      <c r="Q14" s="173">
        <f>J14</f>
        <v>248.3</v>
      </c>
      <c r="R14" s="174">
        <f>K14</f>
        <v>289.4</v>
      </c>
      <c r="S14" s="175">
        <f>L14</f>
        <v>289.4</v>
      </c>
      <c r="U14" s="177">
        <f>U11</f>
        <v>21.83</v>
      </c>
      <c r="V14" s="173">
        <f>V11</f>
        <v>22.79</v>
      </c>
      <c r="W14" s="174">
        <f>W11</f>
        <v>23.031</v>
      </c>
      <c r="X14" s="174">
        <f>X11</f>
        <v>23.273</v>
      </c>
      <c r="Y14" s="174">
        <f>Y11</f>
        <v>23.514</v>
      </c>
      <c r="Z14" s="174">
        <f>Z11</f>
        <v>23.755</v>
      </c>
      <c r="AA14" s="174">
        <f>AA11</f>
        <v>23.996</v>
      </c>
      <c r="AB14" s="174">
        <f>AB11</f>
        <v>24.237</v>
      </c>
      <c r="AC14" s="174">
        <f>AC11</f>
        <v>24.478</v>
      </c>
      <c r="AD14" s="174">
        <f>AD11</f>
        <v>24.72</v>
      </c>
      <c r="AE14" s="174">
        <f>AE11</f>
        <v>24.961</v>
      </c>
      <c r="AF14" s="174">
        <f>AF11</f>
        <v>25.202</v>
      </c>
      <c r="AG14" s="175">
        <f>AG11</f>
        <v>25.443</v>
      </c>
    </row>
    <row r="15" ht="3.95" customHeight="1" x14ac:dyDescent="0.25"/>
    <row r="16" spans="2:33" x14ac:dyDescent="0.25">
      <c r="B16" s="37" t="s">
        <v>514</v>
      </c>
      <c r="C16" s="37"/>
      <c r="D16" s="37"/>
      <c r="E16" s="37"/>
      <c r="G16" s="37"/>
      <c r="H16" s="37"/>
      <c r="J16" s="37"/>
      <c r="K16" s="37"/>
      <c r="L16" s="37"/>
      <c r="N16" s="37"/>
      <c r="O16" s="37"/>
      <c r="Q16" s="37"/>
      <c r="R16" s="37"/>
      <c r="S16" s="37"/>
      <c r="V16" s="37"/>
      <c r="W16" s="37"/>
      <c r="X16" s="37"/>
      <c r="Y16" s="37"/>
      <c r="Z16" s="37"/>
      <c r="AA16" s="37"/>
      <c r="AB16" s="37"/>
      <c r="AC16" s="37"/>
      <c r="AD16" s="37"/>
      <c r="AE16" s="37"/>
      <c r="AF16" s="37"/>
      <c r="AG16" s="37"/>
    </row>
    <row r="17" spans="2:33" x14ac:dyDescent="0.25">
      <c r="B17" s="40" t="s">
        <v>334</v>
      </c>
      <c r="C17" s="41">
        <f>IFERROR(C9/'P&amp;L Summary'!C14,"n.a.")</f>
        <v>0.6699351836463354</v>
      </c>
      <c r="D17" s="41">
        <f>IFERROR(D9/'P&amp;L Summary'!D14,"n.a.")</f>
        <v>0.6580225115868462</v>
      </c>
      <c r="E17" s="41">
        <f>IFERROR(E9/'P&amp;L Summary'!E14,"n.a.")</f>
        <v>0.6459813207050776</v>
      </c>
      <c r="G17" s="41">
        <f>IFERROR(G9/'P&amp;L Summary'!G14,"n.a.")</f>
        <v>0.6580225115868462</v>
      </c>
      <c r="H17" s="41">
        <f>IFERROR(H9/'P&amp;L Summary'!H14,"n.a.")</f>
        <v>0.6459813207050776</v>
      </c>
      <c r="J17" s="41">
        <f>IFERROR(J9/'P&amp;L Summary'!J14,"n.a.")</f>
        <v>0.6580225115868462</v>
      </c>
      <c r="K17" s="41">
        <f>IFERROR(K9/'P&amp;L Summary'!K14,"n.a.")</f>
        <v>0.6459813207050776</v>
      </c>
      <c r="L17" s="41">
        <f>IFERROR(L9/'P&amp;L Summary'!L14,"n.a.")</f>
        <v>0.6459813207050776</v>
      </c>
      <c r="Q17" s="41">
        <f>J17</f>
        <v>0.6580225115868462</v>
      </c>
      <c r="R17" s="41">
        <f>K17</f>
        <v>0.6459813207050776</v>
      </c>
      <c r="S17" s="41">
        <f>L17</f>
        <v>0.6459813207050776</v>
      </c>
      <c r="U17" s="41">
        <f>IFERROR(U9/'Monthly P&amp;L'!AN14,"n.a.")</f>
        <v>0.6794181394781664</v>
      </c>
      <c r="V17" s="41">
        <f>IFERROR(V9/'Monthly P&amp;L'!AO14,"n.a.")</f>
        <v>0.6425358786716242</v>
      </c>
      <c r="W17" s="41">
        <f>IFERROR(W9/'Monthly P&amp;L'!AP14,"n.a.")</f>
        <v>0.6254172245375172</v>
      </c>
      <c r="X17" s="41">
        <f>IFERROR(X9/'Monthly P&amp;L'!AQ14,"n.a.")</f>
        <v>0.6108176673073478</v>
      </c>
      <c r="Y17" s="41">
        <f>IFERROR(Y9/'Monthly P&amp;L'!AR14,"n.a.")</f>
        <v>0.6160434472124556</v>
      </c>
      <c r="Z17" s="41">
        <f>IFERROR(Z9/'Monthly P&amp;L'!AS14,"n.a.")</f>
        <v>0.6457597881899871</v>
      </c>
      <c r="AA17" s="41">
        <f>IFERROR(AA9/'Monthly P&amp;L'!AT14,"n.a.")</f>
        <v>0.6713630530295993</v>
      </c>
      <c r="AB17" s="41">
        <f>IFERROR(AB9/'Monthly P&amp;L'!AU14,"n.a.")</f>
        <v>0.6817589659752733</v>
      </c>
      <c r="AC17" s="41">
        <f>IFERROR(AC9/'Monthly P&amp;L'!AV14,"n.a.")</f>
        <v>0.671362705781963</v>
      </c>
      <c r="AD17" s="41">
        <f>IFERROR(AD9/'Monthly P&amp;L'!AW14,"n.a.")</f>
        <v>0.6372524404068993</v>
      </c>
      <c r="AE17" s="41">
        <f>IFERROR(AE9/'Monthly P&amp;L'!AX14,"n.a.")</f>
        <v>0.6160457961625146</v>
      </c>
      <c r="AF17" s="41">
        <f>IFERROR(AF9/'Monthly P&amp;L'!AY14,"n.a.")</f>
        <v>0.6297481449917851</v>
      </c>
      <c r="AG17" s="41">
        <f>IFERROR(AG9/'Monthly P&amp;L'!AZ14,"n.a.")</f>
        <v>0.6677557918456447</v>
      </c>
    </row>
    <row r="18" spans="2:33" x14ac:dyDescent="0.25">
      <c r="B18" s="40" t="s">
        <v>336</v>
      </c>
      <c r="C18" s="41">
        <f>IFERROR(C10/'P&amp;L Summary'!C14,"n.a.")</f>
        <v>0.2485457869370118</v>
      </c>
      <c r="D18" s="41">
        <f>IFERROR(D10/'P&amp;L Summary'!D14,"n.a.")</f>
        <v>0.25840506142867653</v>
      </c>
      <c r="E18" s="41">
        <f>IFERROR(E10/'P&amp;L Summary'!E14,"n.a.")</f>
        <v>0.26693633254406735</v>
      </c>
      <c r="G18" s="41">
        <f>IFERROR(G10/'P&amp;L Summary'!G14,"n.a.")</f>
        <v>0.25840506142867653</v>
      </c>
      <c r="H18" s="41">
        <f>IFERROR(H10/'P&amp;L Summary'!H14,"n.a.")</f>
        <v>0.26693633254406735</v>
      </c>
      <c r="J18" s="41">
        <f>IFERROR(J10/'P&amp;L Summary'!J14,"n.a.")</f>
        <v>0.25840506142867653</v>
      </c>
      <c r="K18" s="41">
        <f>IFERROR(K10/'P&amp;L Summary'!K14,"n.a.")</f>
        <v>0.26693633254406735</v>
      </c>
      <c r="L18" s="41">
        <f>IFERROR(L10/'P&amp;L Summary'!L14,"n.a.")</f>
        <v>0.26693633254406735</v>
      </c>
      <c r="Q18" s="41">
        <f>J18</f>
        <v>0.25840506142867653</v>
      </c>
      <c r="R18" s="41">
        <f>K18</f>
        <v>0.26693633254406735</v>
      </c>
      <c r="S18" s="41">
        <f>L18</f>
        <v>0.26693633254406735</v>
      </c>
      <c r="U18" s="41">
        <f>IFERROR(U10/'Monthly P&amp;L'!AN14,"n.a.")</f>
        <v>0.24272379326486218</v>
      </c>
      <c r="V18" s="41">
        <f>IFERROR(V10/'Monthly P&amp;L'!AO14,"n.a.")</f>
        <v>0.26570143514686495</v>
      </c>
      <c r="W18" s="41">
        <f>IFERROR(W10/'Monthly P&amp;L'!AP14,"n.a.")</f>
        <v>0.2738360142563503</v>
      </c>
      <c r="X18" s="41">
        <f>IFERROR(X10/'Monthly P&amp;L'!AQ14,"n.a.")</f>
        <v>0.2841574235902997</v>
      </c>
      <c r="Y18" s="41">
        <f>IFERROR(Y10/'Monthly P&amp;L'!AR14,"n.a.")</f>
        <v>0.2847175157946446</v>
      </c>
      <c r="Z18" s="41">
        <f>IFERROR(Z10/'Monthly P&amp;L'!AS14,"n.a.")</f>
        <v>0.267033055198973</v>
      </c>
      <c r="AA18" s="41">
        <f>IFERROR(AA10/'Monthly P&amp;L'!AT14,"n.a.")</f>
        <v>0.2544856510774164</v>
      </c>
      <c r="AB18" s="41">
        <f>IFERROR(AB10/'Monthly P&amp;L'!AU14,"n.a.")</f>
        <v>0.24939013487279044</v>
      </c>
      <c r="AC18" s="41">
        <f>IFERROR(AC10/'Monthly P&amp;L'!AV14,"n.a.")</f>
        <v>0.25448664546310007</v>
      </c>
      <c r="AD18" s="41">
        <f>IFERROR(AD10/'Monthly P&amp;L'!AW14,"n.a.")</f>
        <v>0.2766885028874027</v>
      </c>
      <c r="AE18" s="41">
        <f>IFERROR(AE10/'Monthly P&amp;L'!AX14,"n.a.")</f>
        <v>0.2847177588674362</v>
      </c>
      <c r="AF18" s="41">
        <f>IFERROR(AF10/'Monthly P&amp;L'!AY14,"n.a.")</f>
        <v>0.27488128357144903</v>
      </c>
      <c r="AG18" s="41">
        <f>IFERROR(AG10/'Monthly P&amp;L'!AZ14,"n.a.")</f>
        <v>0.25102457573410325</v>
      </c>
    </row>
    <row r="19" spans="2:33" x14ac:dyDescent="0.25">
      <c r="B19" s="40" t="s">
        <v>338</v>
      </c>
      <c r="C19" s="41">
        <f>IFERROR(C11/'P&amp;L Summary'!C14,"n.a.")</f>
        <v>0.08916403523350507</v>
      </c>
      <c r="D19" s="41">
        <f>IFERROR(D11/'P&amp;L Summary'!D14,"n.a.")</f>
        <v>0.09133377473699698</v>
      </c>
      <c r="E19" s="41">
        <f>IFERROR(E11/'P&amp;L Summary'!E14,"n.a.")</f>
        <v>0.09517232307287556</v>
      </c>
      <c r="G19" s="41">
        <f>IFERROR(G11/'P&amp;L Summary'!G14,"n.a.")</f>
        <v>0.09133377473699698</v>
      </c>
      <c r="H19" s="41">
        <f>IFERROR(H11/'P&amp;L Summary'!H14,"n.a.")</f>
        <v>0.09517232307287556</v>
      </c>
      <c r="J19" s="41">
        <f>IFERROR(J11/'P&amp;L Summary'!J14,"n.a.")</f>
        <v>0.09133377473699698</v>
      </c>
      <c r="K19" s="41">
        <f>IFERROR(K11/'P&amp;L Summary'!K14,"n.a.")</f>
        <v>0.09517232307287556</v>
      </c>
      <c r="L19" s="41">
        <f>IFERROR(L11/'P&amp;L Summary'!L14,"n.a.")</f>
        <v>0.09517232307287556</v>
      </c>
      <c r="Q19" s="41">
        <f>J19</f>
        <v>0.09133377473699698</v>
      </c>
      <c r="R19" s="41">
        <f>K19</f>
        <v>0.09517232307287556</v>
      </c>
      <c r="S19" s="41">
        <f>L19</f>
        <v>0.09517232307287556</v>
      </c>
      <c r="U19" s="41">
        <f>IFERROR(U11/'Monthly P&amp;L'!AN14,"n.a.")</f>
        <v>0.08587084364268603</v>
      </c>
      <c r="V19" s="41">
        <f>IFERROR(V11/'Monthly P&amp;L'!AO14,"n.a.")</f>
        <v>0.09980774199764385</v>
      </c>
      <c r="W19" s="41">
        <f>IFERROR(W11/'Monthly P&amp;L'!AP14,"n.a.")</f>
        <v>0.10857738218710516</v>
      </c>
      <c r="X19" s="41">
        <f>IFERROR(X11/'Monthly P&amp;L'!AQ14,"n.a.")</f>
        <v>0.11267435161291885</v>
      </c>
      <c r="Y19" s="41">
        <f>IFERROR(Y11/'Monthly P&amp;L'!AR14,"n.a.")</f>
        <v>0.10695328242052644</v>
      </c>
      <c r="Z19" s="41">
        <f>IFERROR(Z11/'Monthly P&amp;L'!AS14,"n.a.")</f>
        <v>0.09529444801026958</v>
      </c>
      <c r="AA19" s="41">
        <f>IFERROR(AA11/'Monthly P&amp;L'!AT14,"n.a.")</f>
        <v>0.08256006385709223</v>
      </c>
      <c r="AB19" s="41">
        <f>IFERROR(AB11/'Monthly P&amp;L'!AU14,"n.a.")</f>
        <v>0.07738901093287014</v>
      </c>
      <c r="AC19" s="41">
        <f>IFERROR(AC11/'Monthly P&amp;L'!AV14,"n.a.")</f>
        <v>0.08255899841816447</v>
      </c>
      <c r="AD19" s="41">
        <f>IFERROR(AD11/'Monthly P&amp;L'!AW14,"n.a.")</f>
        <v>0.09404030951130994</v>
      </c>
      <c r="AE19" s="41">
        <f>IFERROR(AE11/'Monthly P&amp;L'!AX14,"n.a.")</f>
        <v>0.10695340686085474</v>
      </c>
      <c r="AF19" s="41">
        <f>IFERROR(AF11/'Monthly P&amp;L'!AY14,"n.a.")</f>
        <v>0.1032576853266904</v>
      </c>
      <c r="AG19" s="41">
        <f>IFERROR(AG11/'Monthly P&amp;L'!AZ14,"n.a.")</f>
        <v>0.08958171959721146</v>
      </c>
    </row>
    <row r="20" spans="2:33" x14ac:dyDescent="0.25">
      <c r="B20" s="40" t="s">
        <v>340</v>
      </c>
      <c r="C20" s="41">
        <f>IFERROR(C12/'P&amp;L Summary'!C14,"n.a.")</f>
        <v>-0.007645005816852252</v>
      </c>
      <c r="D20" s="41">
        <f>IFERROR(D12/'P&amp;L Summary'!D14,"n.a.")</f>
        <v>-0.007761347752519679</v>
      </c>
      <c r="E20" s="41">
        <f>IFERROR(E12/'P&amp;L Summary'!E14,"n.a.")</f>
        <v>-0.00808997632202052</v>
      </c>
      <c r="G20" s="41">
        <f>IFERROR(G12/'P&amp;L Summary'!G14,"n.a.")</f>
        <v>-0.007761347752519679</v>
      </c>
      <c r="H20" s="41">
        <f>IFERROR(H12/'P&amp;L Summary'!H14,"n.a.")</f>
        <v>-0.00808997632202052</v>
      </c>
      <c r="J20" s="41">
        <f>IFERROR(J12/'P&amp;L Summary'!J14,"n.a.")</f>
        <v>-0.007761347752519679</v>
      </c>
      <c r="K20" s="41">
        <f>IFERROR(K12/'P&amp;L Summary'!K14,"n.a.")</f>
        <v>-0.00808997632202052</v>
      </c>
      <c r="L20" s="41">
        <f>IFERROR(L12/'P&amp;L Summary'!L14,"n.a.")</f>
        <v>-0.00808997632202052</v>
      </c>
      <c r="Q20" s="41">
        <f>J20</f>
        <v>-0.007761347752519679</v>
      </c>
      <c r="R20" s="41">
        <f>K20</f>
        <v>-0.00808997632202052</v>
      </c>
      <c r="S20" s="41">
        <f>L20</f>
        <v>-0.00808997632202052</v>
      </c>
      <c r="U20" s="41">
        <f>IFERROR(U12/'Monthly P&amp;L'!AN14,"n.a.")</f>
        <v>-0.00801277638571468</v>
      </c>
      <c r="V20" s="41">
        <f>IFERROR(V12/'Monthly P&amp;L'!AO14,"n.a.")</f>
        <v>-0.00804505581613303</v>
      </c>
      <c r="W20" s="41">
        <f>IFERROR(W12/'Monthly P&amp;L'!AP14,"n.a.")</f>
        <v>-0.007830620980972675</v>
      </c>
      <c r="X20" s="41">
        <f>IFERROR(X12/'Monthly P&amp;L'!AQ14,"n.a.")</f>
        <v>-0.0076494425105663975</v>
      </c>
      <c r="Y20" s="41">
        <f>IFERROR(Y12/'Monthly P&amp;L'!AR14,"n.a.")</f>
        <v>-0.007714245427626641</v>
      </c>
      <c r="Z20" s="41">
        <f>IFERROR(Z12/'Monthly P&amp;L'!AS14,"n.a.")</f>
        <v>-0.008087291399229781</v>
      </c>
      <c r="AA20" s="41">
        <f>IFERROR(AA12/'Monthly P&amp;L'!AT14,"n.a.")</f>
        <v>-0.00840876796410791</v>
      </c>
      <c r="AB20" s="41">
        <f>IFERROR(AB12/'Monthly P&amp;L'!AU14,"n.a.")</f>
        <v>-0.008538111780933891</v>
      </c>
      <c r="AC20" s="41">
        <f>IFERROR(AC12/'Monthly P&amp;L'!AV14,"n.a.")</f>
        <v>-0.008408349663227552</v>
      </c>
      <c r="AD20" s="41">
        <f>IFERROR(AD12/'Monthly P&amp;L'!AW14,"n.a.")</f>
        <v>-0.007981252805611985</v>
      </c>
      <c r="AE20" s="41">
        <f>IFERROR(AE12/'Monthly P&amp;L'!AX14,"n.a.")</f>
        <v>-0.007716961890805632</v>
      </c>
      <c r="AF20" s="41">
        <f>IFERROR(AF12/'Monthly P&amp;L'!AY14,"n.a.")</f>
        <v>-0.007887113889924571</v>
      </c>
      <c r="AG20" s="41">
        <f>IFERROR(AG12/'Monthly P&amp;L'!AZ14,"n.a.")</f>
        <v>-0.00836208717695937</v>
      </c>
    </row>
    <row r="21" spans="2:33" x14ac:dyDescent="0.25">
      <c r="B21" s="40" t="s">
        <v>87</v>
      </c>
      <c r="C21" s="41">
        <f>IFERROR(C13/'P&amp;L Summary'!C14,"n.a.")</f>
        <v>1</v>
      </c>
      <c r="D21" s="41">
        <f>IFERROR(D13/'P&amp;L Summary'!D14,"n.a.")</f>
        <v>1</v>
      </c>
      <c r="E21" s="41">
        <f>IFERROR(E13/'P&amp;L Summary'!E14,"n.a.")</f>
        <v>1</v>
      </c>
      <c r="G21" s="41">
        <f>IFERROR(G13/'P&amp;L Summary'!G14,"n.a.")</f>
        <v>1</v>
      </c>
      <c r="H21" s="41">
        <f>IFERROR(H13/'P&amp;L Summary'!H14,"n.a.")</f>
        <v>1</v>
      </c>
      <c r="J21" s="41">
        <f>IFERROR(J13/'P&amp;L Summary'!J14,"n.a.")</f>
        <v>1</v>
      </c>
      <c r="K21" s="41">
        <f>IFERROR(K13/'P&amp;L Summary'!K14,"n.a.")</f>
        <v>1</v>
      </c>
      <c r="L21" s="41">
        <f>IFERROR(L13/'P&amp;L Summary'!L14,"n.a.")</f>
        <v>1</v>
      </c>
      <c r="Q21" s="41">
        <f>J21</f>
        <v>1</v>
      </c>
      <c r="R21" s="41">
        <f>K21</f>
        <v>1</v>
      </c>
      <c r="S21" s="41">
        <f>L21</f>
        <v>1</v>
      </c>
      <c r="U21" s="41">
        <f>IFERROR(U13/'Monthly P&amp;L'!AN14,"n.a.")</f>
        <v>1</v>
      </c>
      <c r="V21" s="41">
        <f>IFERROR(V13/'Monthly P&amp;L'!AO14,"n.a.")</f>
        <v>1</v>
      </c>
      <c r="W21" s="41">
        <f>IFERROR(W13/'Monthly P&amp;L'!AP14,"n.a.")</f>
        <v>1</v>
      </c>
      <c r="X21" s="41">
        <f>IFERROR(X13/'Monthly P&amp;L'!AQ14,"n.a.")</f>
        <v>1</v>
      </c>
      <c r="Y21" s="41">
        <f>IFERROR(Y13/'Monthly P&amp;L'!AR14,"n.a.")</f>
        <v>1</v>
      </c>
      <c r="Z21" s="41">
        <f>IFERROR(Z13/'Monthly P&amp;L'!AS14,"n.a.")</f>
        <v>1</v>
      </c>
      <c r="AA21" s="41">
        <f>IFERROR(AA13/'Monthly P&amp;L'!AT14,"n.a.")</f>
        <v>1</v>
      </c>
      <c r="AB21" s="41">
        <f>IFERROR(AB13/'Monthly P&amp;L'!AU14,"n.a.")</f>
        <v>1</v>
      </c>
      <c r="AC21" s="41">
        <f>IFERROR(AC13/'Monthly P&amp;L'!AV14,"n.a.")</f>
        <v>1</v>
      </c>
      <c r="AD21" s="41">
        <f>IFERROR(AD13/'Monthly P&amp;L'!AW14,"n.a.")</f>
        <v>1</v>
      </c>
      <c r="AE21" s="41">
        <f>IFERROR(AE13/'Monthly P&amp;L'!AX14,"n.a.")</f>
        <v>1</v>
      </c>
      <c r="AF21" s="41">
        <f>IFERROR(AF13/'Monthly P&amp;L'!AY14,"n.a.")</f>
        <v>1</v>
      </c>
      <c r="AG21" s="41">
        <f>IFERROR(AG13/'Monthly P&amp;L'!AZ14,"n.a.")</f>
        <v>1</v>
      </c>
    </row>
    <row r="22" spans="2:33" x14ac:dyDescent="0.25">
      <c r="B22" s="40" t="s">
        <v>513</v>
      </c>
      <c r="C22" s="41">
        <f>IFERROR(C14/'P&amp;L Summary'!C14,"n.a.")</f>
        <v>0.08916403523350507</v>
      </c>
      <c r="D22" s="41">
        <f>IFERROR(D14/'P&amp;L Summary'!D14,"n.a.")</f>
        <v>0.09133377473699698</v>
      </c>
      <c r="E22" s="41">
        <f>IFERROR(E14/'P&amp;L Summary'!E14,"n.a.")</f>
        <v>0.09517232307287556</v>
      </c>
      <c r="G22" s="41">
        <f>IFERROR(G14/'P&amp;L Summary'!G14,"n.a.")</f>
        <v>0.09133377473699698</v>
      </c>
      <c r="H22" s="41">
        <f>IFERROR(H14/'P&amp;L Summary'!H14,"n.a.")</f>
        <v>0.09517232307287556</v>
      </c>
      <c r="J22" s="41">
        <f>IFERROR(J14/'P&amp;L Summary'!J14,"n.a.")</f>
        <v>0.09133377473699698</v>
      </c>
      <c r="K22" s="41">
        <f>IFERROR(K14/'P&amp;L Summary'!K14,"n.a.")</f>
        <v>0.09517232307287556</v>
      </c>
      <c r="L22" s="41">
        <f>IFERROR(L14/'P&amp;L Summary'!L14,"n.a.")</f>
        <v>0.09517232307287556</v>
      </c>
      <c r="Q22" s="41">
        <f>J22</f>
        <v>0.09133377473699698</v>
      </c>
      <c r="R22" s="41">
        <f>K22</f>
        <v>0.09517232307287556</v>
      </c>
      <c r="S22" s="41">
        <f>L22</f>
        <v>0.09517232307287556</v>
      </c>
      <c r="U22" s="41">
        <f>IFERROR(U14/'Monthly P&amp;L'!AN14,"n.a.")</f>
        <v>0.08587084364268603</v>
      </c>
      <c r="V22" s="41">
        <f>IFERROR(V14/'Monthly P&amp;L'!AO14,"n.a.")</f>
        <v>0.09980774199764385</v>
      </c>
      <c r="W22" s="41">
        <f>IFERROR(W14/'Monthly P&amp;L'!AP14,"n.a.")</f>
        <v>0.10857738218710516</v>
      </c>
      <c r="X22" s="41">
        <f>IFERROR(X14/'Monthly P&amp;L'!AQ14,"n.a.")</f>
        <v>0.11267435161291885</v>
      </c>
      <c r="Y22" s="41">
        <f>IFERROR(Y14/'Monthly P&amp;L'!AR14,"n.a.")</f>
        <v>0.10695328242052644</v>
      </c>
      <c r="Z22" s="41">
        <f>IFERROR(Z14/'Monthly P&amp;L'!AS14,"n.a.")</f>
        <v>0.09529444801026958</v>
      </c>
      <c r="AA22" s="41">
        <f>IFERROR(AA14/'Monthly P&amp;L'!AT14,"n.a.")</f>
        <v>0.08256006385709223</v>
      </c>
      <c r="AB22" s="41">
        <f>IFERROR(AB14/'Monthly P&amp;L'!AU14,"n.a.")</f>
        <v>0.07738901093287014</v>
      </c>
      <c r="AC22" s="41">
        <f>IFERROR(AC14/'Monthly P&amp;L'!AV14,"n.a.")</f>
        <v>0.08255899841816447</v>
      </c>
      <c r="AD22" s="41">
        <f>IFERROR(AD14/'Monthly P&amp;L'!AW14,"n.a.")</f>
        <v>0.09404030951130994</v>
      </c>
      <c r="AE22" s="41">
        <f>IFERROR(AE14/'Monthly P&amp;L'!AX14,"n.a.")</f>
        <v>0.10695340686085474</v>
      </c>
      <c r="AF22" s="41">
        <f>IFERROR(AF14/'Monthly P&amp;L'!AY14,"n.a.")</f>
        <v>0.1032576853266904</v>
      </c>
      <c r="AG22" s="41">
        <f>IFERROR(AG14/'Monthly P&amp;L'!AZ14,"n.a.")</f>
        <v>0.08958171959721146</v>
      </c>
    </row>
    <row r="23" ht="3.95" customHeight="1" x14ac:dyDescent="0.25"/>
    <row r="24" spans="2:33" x14ac:dyDescent="0.25">
      <c r="B24" s="37" t="s">
        <v>515</v>
      </c>
      <c r="C24" s="37"/>
      <c r="D24" s="37"/>
      <c r="E24" s="37"/>
      <c r="G24" s="37"/>
      <c r="H24" s="37"/>
      <c r="J24" s="37"/>
      <c r="K24" s="37"/>
      <c r="L24" s="37"/>
      <c r="N24" s="37"/>
      <c r="O24" s="37"/>
      <c r="Q24" s="37"/>
      <c r="R24" s="37"/>
      <c r="S24" s="37"/>
      <c r="V24" s="37"/>
      <c r="W24" s="37"/>
      <c r="X24" s="37"/>
      <c r="Y24" s="37"/>
      <c r="Z24" s="37"/>
      <c r="AA24" s="37"/>
      <c r="AB24" s="37"/>
      <c r="AC24" s="37"/>
      <c r="AD24" s="37"/>
      <c r="AE24" s="37"/>
      <c r="AF24" s="37"/>
      <c r="AG24" s="37"/>
    </row>
    <row r="25" spans="2:33" x14ac:dyDescent="0.25">
      <c r="B25" s="40" t="s">
        <v>334</v>
      </c>
      <c r="C25" s="118" t="s">
        <v>136</v>
      </c>
      <c r="D25" s="115">
        <f>IFERROR(D9/C9-1,"n.a.")</f>
        <v>0.10946415281567856</v>
      </c>
      <c r="E25" s="115">
        <f>IFERROR(E9/D9-1,"n.a.")</f>
        <v>0.0980490804404941</v>
      </c>
      <c r="G25" s="41">
        <f>IFERROR(G9/(SUMIFS('Monthly P&amp;L'!$Q$9:$AZ$9,'Monthly P&amp;L'!$Q$6:$AZ$6,"&gt;="&amp;(EOMONTH(G$38,-13)+1),'Monthly P&amp;L'!$Q$6:$AZ$6,"&lt;="&amp;EOMONTH(G$39,-12)))-1,"n.a.")</f>
        <v>0.10946415281567856</v>
      </c>
      <c r="H25" s="115">
        <f>IFERROR(H9/G9-1,"n.a.")</f>
        <v>0.0980490804404941</v>
      </c>
      <c r="J25" s="41">
        <f>IFERROR(J9/(SUMIFS('Monthly P&amp;L'!$Q$9:$AZ$9,'Monthly P&amp;L'!$Q$6:$AZ$6,"&gt;="&amp;(EOMONTH(J$38,-13)+1),'Monthly P&amp;L'!$Q$6:$AZ$6,"&lt;="&amp;EOMONTH(J$39,-12)))-1,"n.a.")</f>
        <v>0.10946415281567856</v>
      </c>
      <c r="K25" s="115">
        <f>IFERROR(K9/J9-1,"n.a.")</f>
        <v>0.0980490804404941</v>
      </c>
      <c r="L25" s="118" t="s">
        <v>136</v>
      </c>
      <c r="Q25" s="41">
        <f>J25</f>
        <v>0.10946415281567856</v>
      </c>
      <c r="R25" s="115">
        <f>K25</f>
        <v>0.0980490804404941</v>
      </c>
      <c r="S25" s="115" t="str">
        <f>L25</f>
        <v>n.a.</v>
      </c>
      <c r="V25" s="115">
        <f>IFERROR(V9/U9-1,"n.a.")</f>
        <v>-0.15056073088970068</v>
      </c>
      <c r="W25" s="115">
        <f>IFERROR(W9/V9-1,"n.a.")</f>
        <v>-0.09579732271872188</v>
      </c>
      <c r="X25" s="115">
        <f>IFERROR(X9/W9-1,"n.a.")</f>
        <v>-0.04896691567227751</v>
      </c>
      <c r="Y25" s="115">
        <f>IFERROR(Y9/X9-1,"n.a.")</f>
        <v>0.07350691554710109</v>
      </c>
      <c r="Z25" s="115">
        <f>IFERROR(Z9/Y9-1,"n.a.")</f>
        <v>0.18854244346163207</v>
      </c>
      <c r="AA25" s="115">
        <f>IFERROR(AA9/Z9-1,"n.a.")</f>
        <v>0.21218201584096907</v>
      </c>
      <c r="AB25" s="115">
        <f>IFERROR(AB9/AA9-1,"n.a.")</f>
        <v>0.09421875560520876</v>
      </c>
      <c r="AC25" s="115">
        <f>IFERROR(AC9/AB9-1,"n.a.")</f>
        <v>-0.06773731242623504</v>
      </c>
      <c r="AD25" s="115">
        <f>IFERROR(AD9/AC9-1,"n.a.")</f>
        <v>-0.1584552857781596</v>
      </c>
      <c r="AE25" s="115">
        <f>IFERROR(AE9/AD9-1,"n.a.")</f>
        <v>-0.1417092506805483</v>
      </c>
      <c r="AF25" s="115">
        <f>IFERROR(AF9/AE9-1,"n.a.")</f>
        <v>0.06905281900760918</v>
      </c>
      <c r="AG25" s="115">
        <f>IFERROR(AG9/AF9-1,"n.a.")</f>
        <v>0.2339201832116693</v>
      </c>
    </row>
    <row r="26" spans="2:33" x14ac:dyDescent="0.25">
      <c r="B26" s="40" t="s">
        <v>336</v>
      </c>
      <c r="C26" s="118" t="s">
        <v>136</v>
      </c>
      <c r="D26" s="115">
        <f>IFERROR(D10/C10-1,"n.a.")</f>
        <v>0.1743564025409563</v>
      </c>
      <c r="E26" s="115">
        <f>IFERROR(E10/D10-1,"n.a.")</f>
        <v>0.15544483985765134</v>
      </c>
      <c r="G26" s="41">
        <f>IFERROR(G10/(SUMIFS('Monthly P&amp;L'!$Q$10:$AZ$10,'Monthly P&amp;L'!$Q$6:$AZ$6,"&gt;="&amp;(EOMONTH(G$38,-13)+1),'Monthly P&amp;L'!$Q$6:$AZ$6,"&lt;="&amp;EOMONTH(G$39,-12)))-1,"n.a.")</f>
        <v>0.1743564025409563</v>
      </c>
      <c r="H26" s="115">
        <f>IFERROR(H10/G10-1,"n.a.")</f>
        <v>0.15544483985765134</v>
      </c>
      <c r="J26" s="41">
        <f>IFERROR(J10/(SUMIFS('Monthly P&amp;L'!$Q$10:$AZ$10,'Monthly P&amp;L'!$Q$6:$AZ$6,"&gt;="&amp;(EOMONTH(J$38,-13)+1),'Monthly P&amp;L'!$Q$6:$AZ$6,"&lt;="&amp;EOMONTH(J$39,-12)))-1,"n.a.")</f>
        <v>0.1743564025409563</v>
      </c>
      <c r="K26" s="115">
        <f>IFERROR(K10/J10-1,"n.a.")</f>
        <v>0.15544483985765134</v>
      </c>
      <c r="L26" s="118" t="s">
        <v>136</v>
      </c>
      <c r="Q26" s="41">
        <f>J26</f>
        <v>0.1743564025409563</v>
      </c>
      <c r="R26" s="115">
        <f>K26</f>
        <v>0.15544483985765134</v>
      </c>
      <c r="S26" s="115" t="str">
        <f>L26</f>
        <v>n.a.</v>
      </c>
      <c r="V26" s="115">
        <f>IFERROR(V10/U10-1,"n.a.")</f>
        <v>-0.016773357102341735</v>
      </c>
      <c r="W26" s="115">
        <f>IFERROR(W10/V10-1,"n.a.")</f>
        <v>-0.042607549035767245</v>
      </c>
      <c r="X26" s="115">
        <f>IFERROR(X10/W10-1,"n.a.")</f>
        <v>0.010467418438495413</v>
      </c>
      <c r="Y26" s="115">
        <f>IFERROR(Y10/X10-1,"n.a.")</f>
        <v>0.06649856030531742</v>
      </c>
      <c r="Z26" s="115">
        <f>IFERROR(Z10/Y10-1,"n.a.")</f>
        <v>0.06342258291264624</v>
      </c>
      <c r="AA26" s="115">
        <f>IFERROR(AA10/Z10-1,"n.a.")</f>
        <v>0.11116786347384555</v>
      </c>
      <c r="AB26" s="115">
        <f>IFERROR(AB10/AA10-1,"n.a.")</f>
        <v>0.05595814293053558</v>
      </c>
      <c r="AC26" s="115">
        <f>IFERROR(AC10/AB10-1,"n.a.")</f>
        <v>-0.033954292298828515</v>
      </c>
      <c r="AD26" s="115">
        <f>IFERROR(AD10/AC10-1,"n.a.")</f>
        <v>-0.03606218440618658</v>
      </c>
      <c r="AE26" s="115">
        <f>IFERROR(AE10/AD10-1,"n.a.")</f>
        <v>-0.08639938404003744</v>
      </c>
      <c r="AF26" s="115">
        <f>IFERROR(AF10/AE10-1,"n.a.")</f>
        <v>0.009661690344329399</v>
      </c>
      <c r="AG26" s="115">
        <f>IFERROR(AG10/AF10-1,"n.a.")</f>
        <v>0.06269190639439559</v>
      </c>
    </row>
    <row r="27" spans="2:33" x14ac:dyDescent="0.25">
      <c r="B27" s="40" t="s">
        <v>338</v>
      </c>
      <c r="C27" s="118" t="s">
        <v>136</v>
      </c>
      <c r="D27" s="115">
        <f>IFERROR(D11/C11-1,"n.a.")</f>
        <v>0.157036346691519</v>
      </c>
      <c r="E27" s="115">
        <f>IFERROR(E11/D11-1,"n.a.")</f>
        <v>0.1655255739025372</v>
      </c>
      <c r="G27" s="41">
        <f>IFERROR(G11/(SUMIFS('Monthly P&amp;L'!$Q$11:$AZ$11,'Monthly P&amp;L'!$Q$6:$AZ$6,"&gt;="&amp;(EOMONTH(G$38,-13)+1),'Monthly P&amp;L'!$Q$6:$AZ$6,"&lt;="&amp;EOMONTH(G$39,-12)))-1,"n.a.")</f>
        <v>0.157036346691519</v>
      </c>
      <c r="H27" s="115">
        <f>IFERROR(H11/G11-1,"n.a.")</f>
        <v>0.1655255739025372</v>
      </c>
      <c r="J27" s="41">
        <f>IFERROR(J11/(SUMIFS('Monthly P&amp;L'!$Q$11:$AZ$11,'Monthly P&amp;L'!$Q$6:$AZ$6,"&gt;="&amp;(EOMONTH(J$38,-13)+1),'Monthly P&amp;L'!$Q$6:$AZ$6,"&lt;="&amp;EOMONTH(J$39,-12)))-1,"n.a.")</f>
        <v>0.157036346691519</v>
      </c>
      <c r="K27" s="115">
        <f>IFERROR(K11/J11-1,"n.a.")</f>
        <v>0.1655255739025372</v>
      </c>
      <c r="L27" s="118" t="s">
        <v>136</v>
      </c>
      <c r="Q27" s="41">
        <f>J27</f>
        <v>0.157036346691519</v>
      </c>
      <c r="R27" s="115">
        <f>K27</f>
        <v>0.1655255739025372</v>
      </c>
      <c r="S27" s="115" t="str">
        <f>L27</f>
        <v>n.a.</v>
      </c>
      <c r="V27" s="115">
        <f>IFERROR(V11/U11-1,"n.a.")</f>
        <v>0.04397617956939981</v>
      </c>
      <c r="W27" s="115">
        <f>IFERROR(W11/V11-1,"n.a.")</f>
        <v>0.010574813514699466</v>
      </c>
      <c r="X27" s="115">
        <f>IFERROR(X11/W11-1,"n.a.")</f>
        <v>0.01050757674438807</v>
      </c>
      <c r="Y27" s="115">
        <f>IFERROR(Y11/X11-1,"n.a.")</f>
        <v>0.010355347398272707</v>
      </c>
      <c r="Z27" s="115">
        <f>IFERROR(Z11/Y11-1,"n.a.")</f>
        <v>0.010249213234668764</v>
      </c>
      <c r="AA27" s="115">
        <f>IFERROR(AA11/Z11-1,"n.a.")</f>
        <v>0.010145232582614128</v>
      </c>
      <c r="AB27" s="115">
        <f>IFERROR(AB11/AA11-1,"n.a.")</f>
        <v>0.010043340556759484</v>
      </c>
      <c r="AC27" s="115">
        <f>IFERROR(AC11/AB11-1,"n.a.")</f>
        <v>0.009943474852498246</v>
      </c>
      <c r="AD27" s="115">
        <f>IFERROR(AD11/AC11-1,"n.a.")</f>
        <v>0.009886428629789945</v>
      </c>
      <c r="AE27" s="115">
        <f>IFERROR(AE11/AD11-1,"n.a.")</f>
        <v>0.009749190938511232</v>
      </c>
      <c r="AF27" s="115">
        <f>IFERROR(AF11/AE11-1,"n.a.")</f>
        <v>0.009655061896558736</v>
      </c>
      <c r="AG27" s="115">
        <f>IFERROR(AG11/AF11-1,"n.a.")</f>
        <v>0.00956273311641942</v>
      </c>
    </row>
    <row r="28" spans="2:33" x14ac:dyDescent="0.25">
      <c r="B28" s="40" t="s">
        <v>340</v>
      </c>
      <c r="C28" s="118" t="s">
        <v>136</v>
      </c>
      <c r="D28" s="115">
        <f>IFERROR(D12/C12-1,"n.a.")</f>
        <v>0.1467391304347827</v>
      </c>
      <c r="E28" s="115">
        <f>IFERROR(E12/D12-1,"n.a.")</f>
        <v>0.16587677725118488</v>
      </c>
      <c r="G28" s="41">
        <f>IFERROR(G12/(SUMIFS('Monthly P&amp;L'!$Q$12:$AZ$12,'Monthly P&amp;L'!$Q$6:$AZ$6,"&gt;="&amp;(EOMONTH(G$38,-13)+1),'Monthly P&amp;L'!$Q$6:$AZ$6,"&lt;="&amp;EOMONTH(G$39,-12)))-1,"n.a.")</f>
        <v>0.1467391304347827</v>
      </c>
      <c r="H28" s="115">
        <f>IFERROR(H12/G12-1,"n.a.")</f>
        <v>0.16587677725118488</v>
      </c>
      <c r="J28" s="41">
        <f>IFERROR(J12/(SUMIFS('Monthly P&amp;L'!$Q$12:$AZ$12,'Monthly P&amp;L'!$Q$6:$AZ$6,"&gt;="&amp;(EOMONTH(J$38,-13)+1),'Monthly P&amp;L'!$Q$6:$AZ$6,"&lt;="&amp;EOMONTH(J$39,-12)))-1,"n.a.")</f>
        <v>0.1467391304347827</v>
      </c>
      <c r="K28" s="115">
        <f>IFERROR(K12/J12-1,"n.a.")</f>
        <v>0.16587677725118488</v>
      </c>
      <c r="L28" s="118" t="s">
        <v>136</v>
      </c>
      <c r="Q28" s="41">
        <f>J28</f>
        <v>0.1467391304347827</v>
      </c>
      <c r="R28" s="115">
        <f>K28</f>
        <v>0.16587677725118488</v>
      </c>
      <c r="S28" s="115" t="str">
        <f>L28</f>
        <v>n.a.</v>
      </c>
      <c r="V28" s="115">
        <f>IFERROR(V12/U12-1,"n.a.")</f>
        <v>-0.0981836033382425</v>
      </c>
      <c r="W28" s="115">
        <f>IFERROR(W12/V12-1,"n.a.")</f>
        <v>-0.09580838323353291</v>
      </c>
      <c r="X28" s="115">
        <f>IFERROR(X12/W12-1,"n.a.")</f>
        <v>-0.048765803732691126</v>
      </c>
      <c r="Y28" s="115">
        <f>IFERROR(Y12/X12-1,"n.a.")</f>
        <v>0.07341772151898729</v>
      </c>
      <c r="Z28" s="115">
        <f>IFERROR(Z12/Y12-1,"n.a.")</f>
        <v>0.18867924528301883</v>
      </c>
      <c r="AA28" s="115">
        <f>IFERROR(AA12/Z12-1,"n.a.")</f>
        <v>0.2123015873015872</v>
      </c>
      <c r="AB28" s="115">
        <f>IFERROR(AB12/AA12-1,"n.a.")</f>
        <v>0.09410801963993443</v>
      </c>
      <c r="AC28" s="115">
        <f>IFERROR(AC12/AB12-1,"n.a.")</f>
        <v>-0.0676888556469708</v>
      </c>
      <c r="AD28" s="115">
        <f>IFERROR(AD12/AC12-1,"n.a.")</f>
        <v>-0.15844364219815488</v>
      </c>
      <c r="AE28" s="115">
        <f>IFERROR(AE12/AD12-1,"n.a.")</f>
        <v>-0.14156339370829363</v>
      </c>
      <c r="AF28" s="115">
        <f>IFERROR(AF12/AE12-1,"n.a.")</f>
        <v>0.06885063853414763</v>
      </c>
      <c r="AG28" s="115">
        <f>IFERROR(AG12/AF12-1,"n.a.")</f>
        <v>0.23376623376623384</v>
      </c>
    </row>
    <row r="29" spans="2:33" x14ac:dyDescent="0.25">
      <c r="B29" s="40" t="s">
        <v>87</v>
      </c>
      <c r="C29" s="118" t="s">
        <v>136</v>
      </c>
      <c r="D29" s="115">
        <f>IFERROR(D13/C13-1,"n.a.")</f>
        <v>0.12954960943992022</v>
      </c>
      <c r="E29" s="115">
        <f>IFERROR(E13/D13-1,"n.a.")</f>
        <v>0.11851688369013469</v>
      </c>
      <c r="G29" s="41">
        <f>IFERROR(G13/(SUMIFS('Monthly P&amp;L'!$Q$14:$AZ$14,'Monthly P&amp;L'!$Q$6:$AZ$6,"&gt;="&amp;(EOMONTH(G$38,-13)+1),'Monthly P&amp;L'!$Q$6:$AZ$6,"&lt;="&amp;EOMONTH(G$39,-12)))-1,"n.a.")</f>
        <v>0.12954960943992022</v>
      </c>
      <c r="H29" s="115">
        <f>IFERROR(H13/G13-1,"n.a.")</f>
        <v>0.11851688369013469</v>
      </c>
      <c r="J29" s="41">
        <f>IFERROR(J13/(SUMIFS('Monthly P&amp;L'!$Q$14:$AZ$14,'Monthly P&amp;L'!$Q$6:$AZ$6,"&gt;="&amp;(EOMONTH(J$38,-13)+1),'Monthly P&amp;L'!$Q$6:$AZ$6,"&lt;="&amp;EOMONTH(J$39,-12)))-1,"n.a.")</f>
        <v>0.12954960943992022</v>
      </c>
      <c r="K29" s="115">
        <f>IFERROR(K13/J13-1,"n.a.")</f>
        <v>0.11851688369013469</v>
      </c>
      <c r="L29" s="118" t="s">
        <v>136</v>
      </c>
      <c r="Q29" s="41">
        <f>J29</f>
        <v>0.12954960943992022</v>
      </c>
      <c r="R29" s="115">
        <f>K29</f>
        <v>0.11851688369013469</v>
      </c>
      <c r="S29" s="115" t="str">
        <f>L29</f>
        <v>n.a.</v>
      </c>
      <c r="V29" s="115">
        <f>IFERROR(V13/U13-1,"n.a.")</f>
        <v>-0.10180198962312026</v>
      </c>
      <c r="W29" s="115">
        <f>IFERROR(W13/V13-1,"n.a.")</f>
        <v>-0.07104787180464134</v>
      </c>
      <c r="X29" s="115">
        <f>IFERROR(X13/W13-1,"n.a.")</f>
        <v>-0.026235644647268463</v>
      </c>
      <c r="Y29" s="115">
        <f>IFERROR(Y13/X13-1,"n.a.")</f>
        <v>0.06440055966807234</v>
      </c>
      <c r="Z29" s="115">
        <f>IFERROR(Z13/Y13-1,"n.a.")</f>
        <v>0.13384852606059505</v>
      </c>
      <c r="AA29" s="115">
        <f>IFERROR(AA13/Z13-1,"n.a.")</f>
        <v>0.16595394736842106</v>
      </c>
      <c r="AB29" s="115">
        <f>IFERROR(AB13/AA13-1,"n.a.")</f>
        <v>0.07753338218951389</v>
      </c>
      <c r="AC29" s="115">
        <f>IFERROR(AC13/AB13-1,"n.a.")</f>
        <v>-0.05330093491366095</v>
      </c>
      <c r="AD29" s="115">
        <f>IFERROR(AD13/AC13-1,"n.a.")</f>
        <v>-0.11340985055195607</v>
      </c>
      <c r="AE29" s="115">
        <f>IFERROR(AE13/AD13-1,"n.a.")</f>
        <v>-0.11216361187829538</v>
      </c>
      <c r="AF29" s="115">
        <f>IFERROR(AF13/AE13-1,"n.a.")</f>
        <v>0.045791877694080885</v>
      </c>
      <c r="AG29" s="115">
        <f>IFERROR(AG13/AF13-1,"n.a.")</f>
        <v>0.1636873179305851</v>
      </c>
    </row>
    <row r="30" spans="2:33" x14ac:dyDescent="0.25">
      <c r="B30" s="40" t="s">
        <v>513</v>
      </c>
      <c r="C30" s="118" t="s">
        <v>136</v>
      </c>
      <c r="D30" s="115">
        <f>IFERROR(D14/C14-1,"n.a.")</f>
        <v>0.157036346691519</v>
      </c>
      <c r="E30" s="115">
        <f>IFERROR(E14/D14-1,"n.a.")</f>
        <v>0.1655255739025372</v>
      </c>
      <c r="G30" s="41">
        <f>IFERROR(G14/(SUMIFS('Monthly P&amp;L'!$Q$11:$AZ$11,'Monthly P&amp;L'!$Q$6:$AZ$6,"&gt;="&amp;(EOMONTH(G$38,-13)+1),'Monthly P&amp;L'!$Q$6:$AZ$6,"&lt;="&amp;EOMONTH(G$39,-12)))-1,"n.a.")</f>
        <v>0.157036346691519</v>
      </c>
      <c r="H30" s="115">
        <f>IFERROR(H14/G14-1,"n.a.")</f>
        <v>0.1655255739025372</v>
      </c>
      <c r="J30" s="41">
        <f>IFERROR(J14/(SUMIFS('Monthly P&amp;L'!$Q$11:$AZ$11,'Monthly P&amp;L'!$Q$6:$AZ$6,"&gt;="&amp;(EOMONTH(J$38,-13)+1),'Monthly P&amp;L'!$Q$6:$AZ$6,"&lt;="&amp;EOMONTH(J$39,-12)))-1,"n.a.")</f>
        <v>0.157036346691519</v>
      </c>
      <c r="K30" s="115">
        <f>IFERROR(K14/J14-1,"n.a.")</f>
        <v>0.1655255739025372</v>
      </c>
      <c r="L30" s="118" t="s">
        <v>136</v>
      </c>
      <c r="Q30" s="41">
        <f>J30</f>
        <v>0.157036346691519</v>
      </c>
      <c r="R30" s="115">
        <f>K30</f>
        <v>0.1655255739025372</v>
      </c>
      <c r="S30" s="115" t="str">
        <f>L30</f>
        <v>n.a.</v>
      </c>
      <c r="V30" s="115">
        <f>IFERROR(V14/U14-1,"n.a.")</f>
        <v>0.04397617956939981</v>
      </c>
      <c r="W30" s="115">
        <f>IFERROR(W14/V14-1,"n.a.")</f>
        <v>0.010574813514699466</v>
      </c>
      <c r="X30" s="115">
        <f>IFERROR(X14/W14-1,"n.a.")</f>
        <v>0.01050757674438807</v>
      </c>
      <c r="Y30" s="115">
        <f>IFERROR(Y14/X14-1,"n.a.")</f>
        <v>0.010355347398272707</v>
      </c>
      <c r="Z30" s="115">
        <f>IFERROR(Z14/Y14-1,"n.a.")</f>
        <v>0.010249213234668764</v>
      </c>
      <c r="AA30" s="115">
        <f>IFERROR(AA14/Z14-1,"n.a.")</f>
        <v>0.010145232582614128</v>
      </c>
      <c r="AB30" s="115">
        <f>IFERROR(AB14/AA14-1,"n.a.")</f>
        <v>0.010043340556759484</v>
      </c>
      <c r="AC30" s="115">
        <f>IFERROR(AC14/AB14-1,"n.a.")</f>
        <v>0.009943474852498246</v>
      </c>
      <c r="AD30" s="115">
        <f>IFERROR(AD14/AC14-1,"n.a.")</f>
        <v>0.009886428629789945</v>
      </c>
      <c r="AE30" s="115">
        <f>IFERROR(AE14/AD14-1,"n.a.")</f>
        <v>0.009749190938511232</v>
      </c>
      <c r="AF30" s="115">
        <f>IFERROR(AF14/AE14-1,"n.a.")</f>
        <v>0.009655061896558736</v>
      </c>
      <c r="AG30" s="115">
        <f>IFERROR(AG14/AF14-1,"n.a.")</f>
        <v>0.00956273311641942</v>
      </c>
    </row>
    <row r="31" spans="2:33" x14ac:dyDescent="0.25">
      <c r="B31" s="178" t="s">
        <v>516</v>
      </c>
      <c r="C31" s="179" t="s">
        <v>136</v>
      </c>
      <c r="D31" s="180">
        <f>IFERROR(D13/C13-1,"n.a.")</f>
        <v>0.12954960943992022</v>
      </c>
      <c r="E31" s="181">
        <f>IFERROR(E13/D13-1,"n.a.")</f>
        <v>0.11851688369013469</v>
      </c>
      <c r="G31" s="182">
        <f>IFERROR(G13/(SUMIFS('Monthly P&amp;L'!$Q$14:$AZ$14,'Monthly P&amp;L'!$Q$6:$AZ$6,"&gt;="&amp;(EOMONTH(G$38,-13)+1),'Monthly P&amp;L'!$Q$6:$AZ$6,"&lt;="&amp;EOMONTH(G$39,-12)))-1,"n.a.")</f>
        <v>0.12954960943992022</v>
      </c>
      <c r="H31" s="181">
        <f>IFERROR(H13/G13-1,"n.a.")</f>
        <v>0.11851688369013469</v>
      </c>
      <c r="J31" s="182">
        <f>IFERROR(J13/(SUMIFS('Monthly P&amp;L'!$Q$14:$AZ$14,'Monthly P&amp;L'!$Q$6:$AZ$6,"&gt;="&amp;(EOMONTH(J$38,-13)+1),'Monthly P&amp;L'!$Q$6:$AZ$6,"&lt;="&amp;EOMONTH(J$39,-12)))-1,"n.a.")</f>
        <v>0.12954960943992022</v>
      </c>
      <c r="K31" s="181">
        <f>IFERROR(K13/J13-1,"n.a.")</f>
        <v>0.11851688369013469</v>
      </c>
      <c r="L31" s="183" t="s">
        <v>136</v>
      </c>
      <c r="N31" s="184"/>
      <c r="O31" s="185"/>
      <c r="Q31" s="182">
        <f>J31</f>
        <v>0.12954960943992022</v>
      </c>
      <c r="R31" s="180">
        <f>K31</f>
        <v>0.11851688369013469</v>
      </c>
      <c r="S31" s="186" t="str">
        <f>L31</f>
        <v>n.a.</v>
      </c>
      <c r="V31" s="187">
        <f>IFERROR(V13/U13-1,"n.a.")</f>
        <v>-0.10180198962312026</v>
      </c>
      <c r="W31" s="180">
        <f>IFERROR(W13/V13-1,"n.a.")</f>
        <v>-0.07104787180464134</v>
      </c>
      <c r="X31" s="180">
        <f>IFERROR(X13/W13-1,"n.a.")</f>
        <v>-0.026235644647268463</v>
      </c>
      <c r="Y31" s="180">
        <f>IFERROR(Y13/X13-1,"n.a.")</f>
        <v>0.06440055966807234</v>
      </c>
      <c r="Z31" s="180">
        <f>IFERROR(Z13/Y13-1,"n.a.")</f>
        <v>0.13384852606059505</v>
      </c>
      <c r="AA31" s="180">
        <f>IFERROR(AA13/Z13-1,"n.a.")</f>
        <v>0.16595394736842106</v>
      </c>
      <c r="AB31" s="180">
        <f>IFERROR(AB13/AA13-1,"n.a.")</f>
        <v>0.07753338218951389</v>
      </c>
      <c r="AC31" s="180">
        <f>IFERROR(AC13/AB13-1,"n.a.")</f>
        <v>-0.05330093491366095</v>
      </c>
      <c r="AD31" s="180">
        <f>IFERROR(AD13/AC13-1,"n.a.")</f>
        <v>-0.11340985055195607</v>
      </c>
      <c r="AE31" s="180">
        <f>IFERROR(AE13/AD13-1,"n.a.")</f>
        <v>-0.11216361187829538</v>
      </c>
      <c r="AF31" s="180">
        <f>IFERROR(AF13/AE13-1,"n.a.")</f>
        <v>0.045791877694080885</v>
      </c>
      <c r="AG31" s="181">
        <f>IFERROR(AG13/AF13-1,"n.a.")</f>
        <v>0.1636873179305851</v>
      </c>
    </row>
    <row r="32" ht="3.95" customHeight="1" x14ac:dyDescent="0.25"/>
    <row r="33" spans="2:3" x14ac:dyDescent="0.25">
      <c r="B33" s="130" t="s">
        <v>517</v>
      </c>
      <c r="C33" s="130">
        <f>ROUND(SUM(V13:AG13)-SUMIFS('Monthly P&amp;L'!$Q$14:$AZ$14,'Monthly P&amp;L'!$Q$6:$AZ$6,"&gt;="&amp;V6,'Monthly P&amp;L'!$Q$6:$AZ$6,"&lt;="&amp;AG6),6)</f>
        <v>0</v>
      </c>
    </row>
    <row r="34" spans="2:3" x14ac:dyDescent="0.25">
      <c r="B34" s="130" t="s">
        <v>518</v>
      </c>
      <c r="C34" s="130">
        <f>ROUND(ABS(V6-(EOMONTH('Assumptions'!$C$9,-12)+1))+ABS(AG6-(EOMONTH('Assumptions'!$C$9,-1)+1)),6)</f>
        <v>0</v>
      </c>
    </row>
    <row r="36" ht="25" customHeight="1" spans="2:15" x14ac:dyDescent="0.25">
      <c r="B36" s="60" t="s">
        <v>519</v>
      </c>
      <c r="C36" s="60"/>
      <c r="D36" s="60"/>
      <c r="E36" s="60"/>
      <c r="F36" s="60"/>
      <c r="G36" s="60"/>
      <c r="H36" s="60"/>
      <c r="I36" s="60"/>
      <c r="J36" s="60"/>
      <c r="K36" s="60"/>
      <c r="L36" s="60"/>
      <c r="M36" s="60"/>
      <c r="N36" s="60"/>
      <c r="O36" s="60"/>
    </row>
    <row r="38" spans="2:12" x14ac:dyDescent="0.25">
      <c r="B38" s="131" t="s">
        <v>380</v>
      </c>
      <c r="C38" s="132">
        <f>EOMONTH(EOMONTH(DATE('Assumptions'!$C$15-2,'Assumptions'!$C$14,1),0),-12)+1</f>
        <v>44927</v>
      </c>
      <c r="D38" s="132">
        <f>EOMONTH(EOMONTH(DATE('Assumptions'!$C$15-1,'Assumptions'!$C$14,1),0),-12)+1</f>
        <v>45292</v>
      </c>
      <c r="E38" s="132">
        <f>EOMONTH(EOMONTH(DATE('Assumptions'!$C$15-0,'Assumptions'!$C$14,1),0),-12)+1</f>
        <v>45658</v>
      </c>
      <c r="G38" s="132">
        <f>EOMONTH(EOMONTH(DATE(YEAR('Assumptions'!$C$9)-IF(MONTH('Assumptions'!$C$9)&gt;'Assumptions'!$C$14,0,1),'Assumptions'!$C$14,1),0)+1,-13)+1</f>
        <v>45292</v>
      </c>
      <c r="H38" s="132">
        <f>EOMONTH(DATE(YEAR('Assumptions'!$C$9)-IF(MONTH('Assumptions'!$C$9)&gt;'Assumptions'!$C$14,0,1),'Assumptions'!$C$14,1),0)+1</f>
        <v>45658</v>
      </c>
      <c r="J38" s="132">
        <f>EOMONTH('Assumptions'!$C$9,-24)+1</f>
        <v>45292</v>
      </c>
      <c r="K38" s="132">
        <f>EOMONTH('Assumptions'!$C$9,-12)+1</f>
        <v>45658</v>
      </c>
      <c r="L38" s="132">
        <f>EOMONTH('Assumptions'!$C$9,-12)+1</f>
        <v>45658</v>
      </c>
    </row>
    <row r="39" spans="2:12" x14ac:dyDescent="0.25">
      <c r="B39" s="131" t="s">
        <v>381</v>
      </c>
      <c r="C39" s="132">
        <f>EOMONTH(DATE('Assumptions'!$C$15-2,'Assumptions'!$C$14,1),0)</f>
        <v>45291</v>
      </c>
      <c r="D39" s="132">
        <f>EOMONTH(DATE('Assumptions'!$C$15-1,'Assumptions'!$C$14,1),0)</f>
        <v>45657</v>
      </c>
      <c r="E39" s="132">
        <f>EOMONTH(DATE('Assumptions'!$C$15-0,'Assumptions'!$C$14,1),0)</f>
        <v>46022</v>
      </c>
      <c r="G39" s="132">
        <f>EOMONTH('Assumptions'!$C$9,-12)</f>
        <v>45657</v>
      </c>
      <c r="H39" s="132">
        <f>EOMONTH('Assumptions'!$C$9,0)</f>
        <v>46022</v>
      </c>
      <c r="J39" s="132">
        <f>EOMONTH('Assumptions'!$C$9,-12)</f>
        <v>45657</v>
      </c>
      <c r="K39" s="132">
        <f>EOMONTH('Assumptions'!$C$9,0)</f>
        <v>46022</v>
      </c>
      <c r="L39" s="132">
        <f>EOMONTH('Assumptions'!$C$9,0)</f>
        <v>46022</v>
      </c>
    </row>
  </sheetData>
  <mergeCells count="1">
    <mergeCell ref="B36:O36"/>
  </mergeCells>
  <conditionalFormatting sqref="C33:C33">
    <cfRule type="expression" dxfId="11" priority="1">
      <formula>ROUND(C33,3)&lt;&gt;0</formula>
    </cfRule>
  </conditionalFormatting>
  <conditionalFormatting sqref="C34:C34">
    <cfRule type="expression" dxfId="12" priority="2">
      <formula>ROUND(C34,3)&lt;&gt;0</formula>
    </cfRule>
  </conditionalFormatting>
  <conditionalFormatting sqref="B2 O3 C9:E14 G9:H14 J9:L14 Q9:S14 U9:AG14 C17:E22 G17:H22 J17:L22 Q17:S22 U17:AG22 G25:G31 J25:J31 Q25:Q31 B33:C34">
    <cfRule type="expression" dxfId="13" priority="3">
      <formula>$O$3=1</formula>
    </cfRule>
  </conditionalFormatting>
  <printOptions horizontalCentered="1"/>
  <pageMargins left="0.5" right="0.5" top="0.6" bottom="0.7" header="0.3" footer="0.3"/>
  <pageSetup paperSize="1" orientation="landscape" fitToWidth="1" fitToHeight="0"/>
  <headerFooter>
    <oddHeader>&amp;RProject Ridgeline | As of 12/31/25</oddHeader>
    <oddFooter>&amp;LAMB Advisory Services | Strictly confidential&amp;C&amp;A&amp;RPage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AP56"/>
  <sheetViews>
    <sheetView workbookViewId="0" showGridLines="0" zoomScale="100"/>
  </sheetViews>
  <sheetFormatPr defaultRowHeight="12.75" outlineLevelRow="0" outlineLevelCol="0" x14ac:dyDescent="55" customHeight="1"/>
  <cols>
    <col min="1" max="1" width="1.7" customWidth="1"/>
    <col min="2" max="2" width="34" customWidth="1"/>
    <col min="3" max="38" width="9.1" customWidth="1"/>
    <col min="39" max="39" width="0.9" customWidth="1"/>
    <col min="40" max="42" width="11" customWidth="1"/>
  </cols>
  <sheetData>
    <row r="2" ht="16.5" customHeight="1" spans="2:2" x14ac:dyDescent="0.25">
      <c r="B2" s="9">
        <f>Cover!B24</f>
      </c>
    </row>
    <row r="3" ht="12" customHeight="1" spans="2:13" x14ac:dyDescent="0.25">
      <c r="B3" s="10" t="s">
        <v>520</v>
      </c>
      <c r="C3" s="11"/>
      <c r="D3" s="11"/>
      <c r="E3" s="11"/>
      <c r="F3" s="11"/>
      <c r="G3" s="11"/>
      <c r="H3" s="11"/>
      <c r="I3" s="11"/>
      <c r="J3" s="11"/>
      <c r="K3" s="11"/>
      <c r="L3" s="11"/>
      <c r="M3" s="11"/>
    </row>
    <row r="4" ht="12" customHeight="1" x14ac:dyDescent="0.25"/>
    <row r="5" ht="12" customHeight="1" spans="2:2" x14ac:dyDescent="0.25">
      <c r="B5" s="188" t="str">
        <f>"Monthly Total Revenue, "&amp;TEXT(ChartStart,"mmm-yy")&amp;" – "&amp;TEXT(ChartEnd,"mmm-yy")&amp;" ($000s)"</f>
        <v>Monthly Total Revenue, Jan-23 – Dec-25 ($000s)</v>
      </c>
    </row>
    <row r="6" ht="12" customHeight="1" x14ac:dyDescent="0.25"/>
    <row r="7" ht="12" customHeight="1" x14ac:dyDescent="0.25"/>
    <row r="8" ht="12" customHeight="1" x14ac:dyDescent="0.25"/>
    <row r="9" ht="12" customHeight="1" x14ac:dyDescent="0.25"/>
    <row r="10" ht="12" customHeight="1" x14ac:dyDescent="0.25"/>
    <row r="11" ht="12" customHeight="1" x14ac:dyDescent="0.25"/>
    <row r="12" ht="12" customHeight="1" x14ac:dyDescent="0.25"/>
    <row r="13" ht="12" customHeight="1" x14ac:dyDescent="0.25"/>
    <row r="14" ht="12" customHeight="1" x14ac:dyDescent="0.25"/>
    <row r="15" ht="12" customHeight="1" x14ac:dyDescent="0.25"/>
    <row r="16"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spans="2:2" x14ac:dyDescent="0.25">
      <c r="B22" s="189" t="s">
        <v>521</v>
      </c>
    </row>
    <row r="23" ht="12" customHeight="1" x14ac:dyDescent="0.25"/>
    <row r="24" ht="12" customHeight="1" spans="2:2" x14ac:dyDescent="0.25">
      <c r="B24" s="188" t="str">
        <f>"Monthly Revenue by Line, "&amp;TEXT(ChartStart,"mmm-yy")&amp;" – "&amp;TEXT(ChartEnd,"mmm-yy")&amp;" ($000s)"</f>
        <v>Monthly Revenue by Line, Jan-23 – Dec-25 ($000s)</v>
      </c>
    </row>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spans="2:2" x14ac:dyDescent="0.25">
      <c r="B41" s="189" t="s">
        <v>522</v>
      </c>
    </row>
    <row r="42" ht="12" customHeight="1" x14ac:dyDescent="0.25"/>
    <row r="43" ht="12" customHeight="1" x14ac:dyDescent="0.25"/>
    <row r="44" ht="12" customHeight="1" spans="2:42" x14ac:dyDescent="0.25" outlineLevel="1" collapsed="1">
      <c r="B44" s="13" t="s">
        <v>523</v>
      </c>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N44" s="190" t="s">
        <v>524</v>
      </c>
      <c r="AO44" s="190" t="s">
        <v>525</v>
      </c>
      <c r="AP44" s="190" t="s">
        <v>526</v>
      </c>
    </row>
    <row r="45" ht="12" customHeight="1" spans="2:38" x14ac:dyDescent="0.25" outlineLevel="1" collapsed="1">
      <c r="B45" s="16" t="s">
        <v>527</v>
      </c>
      <c r="C45" s="191">
        <f>EOMONTH('Assumptions'!$C$9,-36)+1</f>
        <v>44927</v>
      </c>
      <c r="D45" s="79">
        <f>EDATE(C45,1)</f>
        <v>44958</v>
      </c>
      <c r="E45" s="79">
        <f>EDATE(D45,1)</f>
        <v>44986</v>
      </c>
      <c r="F45" s="79">
        <f>EDATE(E45,1)</f>
        <v>45017</v>
      </c>
      <c r="G45" s="79">
        <f>EDATE(F45,1)</f>
        <v>45047</v>
      </c>
      <c r="H45" s="79">
        <f>EDATE(G45,1)</f>
        <v>45078</v>
      </c>
      <c r="I45" s="79">
        <f>EDATE(H45,1)</f>
        <v>45108</v>
      </c>
      <c r="J45" s="79">
        <f>EDATE(I45,1)</f>
        <v>45139</v>
      </c>
      <c r="K45" s="79">
        <f>EDATE(J45,1)</f>
        <v>45170</v>
      </c>
      <c r="L45" s="79">
        <f>EDATE(K45,1)</f>
        <v>45200</v>
      </c>
      <c r="M45" s="79">
        <f>EDATE(L45,1)</f>
        <v>45231</v>
      </c>
      <c r="N45" s="79">
        <f>EDATE(M45,1)</f>
        <v>45261</v>
      </c>
      <c r="O45" s="79">
        <f>EDATE(N45,1)</f>
        <v>45292</v>
      </c>
      <c r="P45" s="79">
        <f>EDATE(O45,1)</f>
        <v>45323</v>
      </c>
      <c r="Q45" s="79">
        <f>EDATE(P45,1)</f>
        <v>45352</v>
      </c>
      <c r="R45" s="79">
        <f>EDATE(Q45,1)</f>
        <v>45383</v>
      </c>
      <c r="S45" s="79">
        <f>EDATE(R45,1)</f>
        <v>45413</v>
      </c>
      <c r="T45" s="79">
        <f>EDATE(S45,1)</f>
        <v>45444</v>
      </c>
      <c r="U45" s="79">
        <f>EDATE(T45,1)</f>
        <v>45474</v>
      </c>
      <c r="V45" s="79">
        <f>EDATE(U45,1)</f>
        <v>45505</v>
      </c>
      <c r="W45" s="79">
        <f>EDATE(V45,1)</f>
        <v>45536</v>
      </c>
      <c r="X45" s="79">
        <f>EDATE(W45,1)</f>
        <v>45566</v>
      </c>
      <c r="Y45" s="79">
        <f>EDATE(X45,1)</f>
        <v>45597</v>
      </c>
      <c r="Z45" s="79">
        <f>EDATE(Y45,1)</f>
        <v>45627</v>
      </c>
      <c r="AA45" s="79">
        <f>EDATE(Z45,1)</f>
        <v>45658</v>
      </c>
      <c r="AB45" s="79">
        <f>EDATE(AA45,1)</f>
        <v>45689</v>
      </c>
      <c r="AC45" s="79">
        <f>EDATE(AB45,1)</f>
        <v>45717</v>
      </c>
      <c r="AD45" s="79">
        <f>EDATE(AC45,1)</f>
        <v>45748</v>
      </c>
      <c r="AE45" s="79">
        <f>EDATE(AD45,1)</f>
        <v>45778</v>
      </c>
      <c r="AF45" s="79">
        <f>EDATE(AE45,1)</f>
        <v>45809</v>
      </c>
      <c r="AG45" s="79">
        <f>EDATE(AF45,1)</f>
        <v>45839</v>
      </c>
      <c r="AH45" s="79">
        <f>EDATE(AG45,1)</f>
        <v>45870</v>
      </c>
      <c r="AI45" s="79">
        <f>EDATE(AH45,1)</f>
        <v>45901</v>
      </c>
      <c r="AJ45" s="79">
        <f>EDATE(AI45,1)</f>
        <v>45931</v>
      </c>
      <c r="AK45" s="79">
        <f>EDATE(AJ45,1)</f>
        <v>45962</v>
      </c>
      <c r="AL45" s="79">
        <f>EDATE(AK45,1)</f>
        <v>45992</v>
      </c>
    </row>
    <row r="46" ht="12" customHeight="1" spans="2:38" x14ac:dyDescent="0.25" outlineLevel="1" collapsed="1">
      <c r="B46" s="131" t="s">
        <v>528</v>
      </c>
      <c r="C46" s="131" t="str">
        <f>IF(COUNT($C$45:$AL$45)&lt;=24,TEXT(C$45,"mmm-yy"),IF(MOD(MONTH(C$45)-1,3)=0,TEXT(C$45,"mmm-yy"),""))</f>
        <v>Jan-23</v>
      </c>
      <c r="D46" s="131" t="str">
        <f>IF(COUNT($C$45:$AL$45)&lt;=24,TEXT(D$45,"mmm-yy"),IF(MOD(MONTH(D$45)-1,3)=0,TEXT(D$45,"mmm-yy"),""))</f>
        <v/>
      </c>
      <c r="E46" s="131" t="str">
        <f>IF(COUNT($C$45:$AL$45)&lt;=24,TEXT(E$45,"mmm-yy"),IF(MOD(MONTH(E$45)-1,3)=0,TEXT(E$45,"mmm-yy"),""))</f>
        <v/>
      </c>
      <c r="F46" s="131" t="str">
        <f>IF(COUNT($C$45:$AL$45)&lt;=24,TEXT(F$45,"mmm-yy"),IF(MOD(MONTH(F$45)-1,3)=0,TEXT(F$45,"mmm-yy"),""))</f>
        <v>Apr-23</v>
      </c>
      <c r="G46" s="131" t="str">
        <f>IF(COUNT($C$45:$AL$45)&lt;=24,TEXT(G$45,"mmm-yy"),IF(MOD(MONTH(G$45)-1,3)=0,TEXT(G$45,"mmm-yy"),""))</f>
        <v/>
      </c>
      <c r="H46" s="131" t="str">
        <f>IF(COUNT($C$45:$AL$45)&lt;=24,TEXT(H$45,"mmm-yy"),IF(MOD(MONTH(H$45)-1,3)=0,TEXT(H$45,"mmm-yy"),""))</f>
        <v/>
      </c>
      <c r="I46" s="131" t="str">
        <f>IF(COUNT($C$45:$AL$45)&lt;=24,TEXT(I$45,"mmm-yy"),IF(MOD(MONTH(I$45)-1,3)=0,TEXT(I$45,"mmm-yy"),""))</f>
        <v>Jul-23</v>
      </c>
      <c r="J46" s="131" t="str">
        <f>IF(COUNT($C$45:$AL$45)&lt;=24,TEXT(J$45,"mmm-yy"),IF(MOD(MONTH(J$45)-1,3)=0,TEXT(J$45,"mmm-yy"),""))</f>
        <v/>
      </c>
      <c r="K46" s="131" t="str">
        <f>IF(COUNT($C$45:$AL$45)&lt;=24,TEXT(K$45,"mmm-yy"),IF(MOD(MONTH(K$45)-1,3)=0,TEXT(K$45,"mmm-yy"),""))</f>
        <v/>
      </c>
      <c r="L46" s="131" t="str">
        <f>IF(COUNT($C$45:$AL$45)&lt;=24,TEXT(L$45,"mmm-yy"),IF(MOD(MONTH(L$45)-1,3)=0,TEXT(L$45,"mmm-yy"),""))</f>
        <v>Oct-23</v>
      </c>
      <c r="M46" s="131" t="str">
        <f>IF(COUNT($C$45:$AL$45)&lt;=24,TEXT(M$45,"mmm-yy"),IF(MOD(MONTH(M$45)-1,3)=0,TEXT(M$45,"mmm-yy"),""))</f>
        <v/>
      </c>
      <c r="N46" s="131" t="str">
        <f>IF(COUNT($C$45:$AL$45)&lt;=24,TEXT(N$45,"mmm-yy"),IF(MOD(MONTH(N$45)-1,3)=0,TEXT(N$45,"mmm-yy"),""))</f>
        <v/>
      </c>
      <c r="O46" s="131" t="str">
        <f>IF(COUNT($C$45:$AL$45)&lt;=24,TEXT(O$45,"mmm-yy"),IF(MOD(MONTH(O$45)-1,3)=0,TEXT(O$45,"mmm-yy"),""))</f>
        <v>Jan-24</v>
      </c>
      <c r="P46" s="131" t="str">
        <f>IF(COUNT($C$45:$AL$45)&lt;=24,TEXT(P$45,"mmm-yy"),IF(MOD(MONTH(P$45)-1,3)=0,TEXT(P$45,"mmm-yy"),""))</f>
        <v/>
      </c>
      <c r="Q46" s="131" t="str">
        <f>IF(COUNT($C$45:$AL$45)&lt;=24,TEXT(Q$45,"mmm-yy"),IF(MOD(MONTH(Q$45)-1,3)=0,TEXT(Q$45,"mmm-yy"),""))</f>
        <v/>
      </c>
      <c r="R46" s="131" t="str">
        <f>IF(COUNT($C$45:$AL$45)&lt;=24,TEXT(R$45,"mmm-yy"),IF(MOD(MONTH(R$45)-1,3)=0,TEXT(R$45,"mmm-yy"),""))</f>
        <v>Apr-24</v>
      </c>
      <c r="S46" s="131" t="str">
        <f>IF(COUNT($C$45:$AL$45)&lt;=24,TEXT(S$45,"mmm-yy"),IF(MOD(MONTH(S$45)-1,3)=0,TEXT(S$45,"mmm-yy"),""))</f>
        <v/>
      </c>
      <c r="T46" s="131" t="str">
        <f>IF(COUNT($C$45:$AL$45)&lt;=24,TEXT(T$45,"mmm-yy"),IF(MOD(MONTH(T$45)-1,3)=0,TEXT(T$45,"mmm-yy"),""))</f>
        <v/>
      </c>
      <c r="U46" s="131" t="str">
        <f>IF(COUNT($C$45:$AL$45)&lt;=24,TEXT(U$45,"mmm-yy"),IF(MOD(MONTH(U$45)-1,3)=0,TEXT(U$45,"mmm-yy"),""))</f>
        <v>Jul-24</v>
      </c>
      <c r="V46" s="131" t="str">
        <f>IF(COUNT($C$45:$AL$45)&lt;=24,TEXT(V$45,"mmm-yy"),IF(MOD(MONTH(V$45)-1,3)=0,TEXT(V$45,"mmm-yy"),""))</f>
        <v/>
      </c>
      <c r="W46" s="131" t="str">
        <f>IF(COUNT($C$45:$AL$45)&lt;=24,TEXT(W$45,"mmm-yy"),IF(MOD(MONTH(W$45)-1,3)=0,TEXT(W$45,"mmm-yy"),""))</f>
        <v/>
      </c>
      <c r="X46" s="131" t="str">
        <f>IF(COUNT($C$45:$AL$45)&lt;=24,TEXT(X$45,"mmm-yy"),IF(MOD(MONTH(X$45)-1,3)=0,TEXT(X$45,"mmm-yy"),""))</f>
        <v>Oct-24</v>
      </c>
      <c r="Y46" s="131" t="str">
        <f>IF(COUNT($C$45:$AL$45)&lt;=24,TEXT(Y$45,"mmm-yy"),IF(MOD(MONTH(Y$45)-1,3)=0,TEXT(Y$45,"mmm-yy"),""))</f>
        <v/>
      </c>
      <c r="Z46" s="131" t="str">
        <f>IF(COUNT($C$45:$AL$45)&lt;=24,TEXT(Z$45,"mmm-yy"),IF(MOD(MONTH(Z$45)-1,3)=0,TEXT(Z$45,"mmm-yy"),""))</f>
        <v/>
      </c>
      <c r="AA46" s="131" t="str">
        <f>IF(COUNT($C$45:$AL$45)&lt;=24,TEXT(AA$45,"mmm-yy"),IF(MOD(MONTH(AA$45)-1,3)=0,TEXT(AA$45,"mmm-yy"),""))</f>
        <v>Jan-25</v>
      </c>
      <c r="AB46" s="131" t="str">
        <f>IF(COUNT($C$45:$AL$45)&lt;=24,TEXT(AB$45,"mmm-yy"),IF(MOD(MONTH(AB$45)-1,3)=0,TEXT(AB$45,"mmm-yy"),""))</f>
        <v/>
      </c>
      <c r="AC46" s="131" t="str">
        <f>IF(COUNT($C$45:$AL$45)&lt;=24,TEXT(AC$45,"mmm-yy"),IF(MOD(MONTH(AC$45)-1,3)=0,TEXT(AC$45,"mmm-yy"),""))</f>
        <v/>
      </c>
      <c r="AD46" s="131" t="str">
        <f>IF(COUNT($C$45:$AL$45)&lt;=24,TEXT(AD$45,"mmm-yy"),IF(MOD(MONTH(AD$45)-1,3)=0,TEXT(AD$45,"mmm-yy"),""))</f>
        <v>Apr-25</v>
      </c>
      <c r="AE46" s="131" t="str">
        <f>IF(COUNT($C$45:$AL$45)&lt;=24,TEXT(AE$45,"mmm-yy"),IF(MOD(MONTH(AE$45)-1,3)=0,TEXT(AE$45,"mmm-yy"),""))</f>
        <v/>
      </c>
      <c r="AF46" s="131" t="str">
        <f>IF(COUNT($C$45:$AL$45)&lt;=24,TEXT(AF$45,"mmm-yy"),IF(MOD(MONTH(AF$45)-1,3)=0,TEXT(AF$45,"mmm-yy"),""))</f>
        <v/>
      </c>
      <c r="AG46" s="131" t="str">
        <f>IF(COUNT($C$45:$AL$45)&lt;=24,TEXT(AG$45,"mmm-yy"),IF(MOD(MONTH(AG$45)-1,3)=0,TEXT(AG$45,"mmm-yy"),""))</f>
        <v>Jul-25</v>
      </c>
      <c r="AH46" s="131" t="str">
        <f>IF(COUNT($C$45:$AL$45)&lt;=24,TEXT(AH$45,"mmm-yy"),IF(MOD(MONTH(AH$45)-1,3)=0,TEXT(AH$45,"mmm-yy"),""))</f>
        <v/>
      </c>
      <c r="AI46" s="131" t="str">
        <f>IF(COUNT($C$45:$AL$45)&lt;=24,TEXT(AI$45,"mmm-yy"),IF(MOD(MONTH(AI$45)-1,3)=0,TEXT(AI$45,"mmm-yy"),""))</f>
        <v/>
      </c>
      <c r="AJ46" s="131" t="str">
        <f>IF(COUNT($C$45:$AL$45)&lt;=24,TEXT(AJ$45,"mmm-yy"),IF(MOD(MONTH(AJ$45)-1,3)=0,TEXT(AJ$45,"mmm-yy"),""))</f>
        <v>Oct-25</v>
      </c>
      <c r="AK46" s="131" t="str">
        <f>IF(COUNT($C$45:$AL$45)&lt;=24,TEXT(AK$45,"mmm-yy"),IF(MOD(MONTH(AK$45)-1,3)=0,TEXT(AK$45,"mmm-yy"),""))</f>
        <v/>
      </c>
      <c r="AL46" s="131" t="str">
        <f>IF(COUNT($C$45:$AL$45)&lt;=24,TEXT(AL$45,"mmm-yy"),IF(MOD(MONTH(AL$45)-1,3)=0,TEXT(AL$45,"mmm-yy"),""))</f>
        <v/>
      </c>
    </row>
    <row r="47" ht="12" customHeight="1" x14ac:dyDescent="0.25" outlineLevel="1" collapsed="1"/>
    <row r="48" ht="12" customHeight="1" spans="2:2" x14ac:dyDescent="0.25" outlineLevel="1" collapsed="1">
      <c r="B48" s="18" t="s">
        <v>529</v>
      </c>
    </row>
    <row r="49" ht="12" customHeight="1" spans="2:42" x14ac:dyDescent="0.25" outlineLevel="1" collapsed="1">
      <c r="B49" s="16" t="s">
        <v>87</v>
      </c>
      <c r="C49" s="151">
        <f>INDEX('Monthly P&amp;L'!$Q$8:$AZ$59,MATCH($B49,'Monthly P&amp;L'!$B$8:$B$59,0),MATCH(C$45,'Monthly P&amp;L'!$Q$6:$AZ$6,0))</f>
        <v>180.67</v>
      </c>
      <c r="D49" s="151">
        <f>INDEX('Monthly P&amp;L'!$Q$8:$AZ$59,MATCH($B49,'Monthly P&amp;L'!$B$8:$B$59,0),MATCH(D$45,'Monthly P&amp;L'!$Q$6:$AZ$6,0))</f>
        <v>167.538</v>
      </c>
      <c r="E49" s="151">
        <f>INDEX('Monthly P&amp;L'!$Q$8:$AZ$59,MATCH($B49,'Monthly P&amp;L'!$B$8:$B$59,0),MATCH(E$45,'Monthly P&amp;L'!$Q$6:$AZ$6,0))</f>
        <v>162.893</v>
      </c>
      <c r="F49" s="151">
        <f>INDEX('Monthly P&amp;L'!$Q$8:$AZ$59,MATCH($B49,'Monthly P&amp;L'!$B$8:$B$59,0),MATCH(F$45,'Monthly P&amp;L'!$Q$6:$AZ$6,0))</f>
        <v>173.474</v>
      </c>
      <c r="G49" s="151">
        <f>INDEX('Monthly P&amp;L'!$Q$8:$AZ$59,MATCH($B49,'Monthly P&amp;L'!$B$8:$B$59,0),MATCH(G$45,'Monthly P&amp;L'!$Q$6:$AZ$6,0))</f>
        <v>197.3</v>
      </c>
      <c r="H49" s="151">
        <f>INDEX('Monthly P&amp;L'!$Q$8:$AZ$59,MATCH($B49,'Monthly P&amp;L'!$B$8:$B$59,0),MATCH(H$45,'Monthly P&amp;L'!$Q$6:$AZ$6,0))</f>
        <v>230.651</v>
      </c>
      <c r="I49" s="151">
        <f>INDEX('Monthly P&amp;L'!$Q$8:$AZ$59,MATCH($B49,'Monthly P&amp;L'!$B$8:$B$59,0),MATCH(I$45,'Monthly P&amp;L'!$Q$6:$AZ$6,0))</f>
        <v>248.799</v>
      </c>
      <c r="J49" s="151">
        <f>INDEX('Monthly P&amp;L'!$Q$8:$AZ$59,MATCH($B49,'Monthly P&amp;L'!$B$8:$B$59,0),MATCH(J$45,'Monthly P&amp;L'!$Q$6:$AZ$6,0))</f>
        <v>235.288</v>
      </c>
      <c r="K49" s="151">
        <f>INDEX('Monthly P&amp;L'!$Q$8:$AZ$59,MATCH($B49,'Monthly P&amp;L'!$B$8:$B$59,0),MATCH(K$45,'Monthly P&amp;L'!$Q$6:$AZ$6,0))</f>
        <v>207.865</v>
      </c>
      <c r="L49" s="151">
        <f>INDEX('Monthly P&amp;L'!$Q$8:$AZ$59,MATCH($B49,'Monthly P&amp;L'!$B$8:$B$59,0),MATCH(L$45,'Monthly P&amp;L'!$Q$6:$AZ$6,0))</f>
        <v>184.149</v>
      </c>
      <c r="M49" s="151">
        <f>INDEX('Monthly P&amp;L'!$Q$8:$AZ$59,MATCH($B49,'Monthly P&amp;L'!$B$8:$B$59,0),MATCH(M$45,'Monthly P&amp;L'!$Q$6:$AZ$6,0))</f>
        <v>192.858</v>
      </c>
      <c r="N49" s="151">
        <f>INDEX('Monthly P&amp;L'!$Q$8:$AZ$59,MATCH($B49,'Monthly P&amp;L'!$B$8:$B$59,0),MATCH(N$45,'Monthly P&amp;L'!$Q$6:$AZ$6,0))</f>
        <v>225.315</v>
      </c>
      <c r="O49" s="151">
        <f>INDEX('Monthly P&amp;L'!$Q$8:$AZ$59,MATCH($B49,'Monthly P&amp;L'!$B$8:$B$59,0),MATCH(O$45,'Monthly P&amp;L'!$Q$6:$AZ$6,0))</f>
        <v>204.101</v>
      </c>
      <c r="P49" s="151">
        <f>INDEX('Monthly P&amp;L'!$Q$8:$AZ$59,MATCH($B49,'Monthly P&amp;L'!$B$8:$B$59,0),MATCH(P$45,'Monthly P&amp;L'!$Q$6:$AZ$6,0))</f>
        <v>189.421</v>
      </c>
      <c r="Q49" s="151">
        <f>INDEX('Monthly P&amp;L'!$Q$8:$AZ$59,MATCH($B49,'Monthly P&amp;L'!$B$8:$B$59,0),MATCH(Q$45,'Monthly P&amp;L'!$Q$6:$AZ$6,0))</f>
        <v>184.308</v>
      </c>
      <c r="R49" s="151">
        <f>INDEX('Monthly P&amp;L'!$Q$8:$AZ$59,MATCH($B49,'Monthly P&amp;L'!$B$8:$B$59,0),MATCH(R$45,'Monthly P&amp;L'!$Q$6:$AZ$6,0))</f>
        <v>196.238</v>
      </c>
      <c r="S49" s="151">
        <f>INDEX('Monthly P&amp;L'!$Q$8:$AZ$59,MATCH($B49,'Monthly P&amp;L'!$B$8:$B$59,0),MATCH(S$45,'Monthly P&amp;L'!$Q$6:$AZ$6,0))</f>
        <v>222.864</v>
      </c>
      <c r="T49" s="151">
        <f>INDEX('Monthly P&amp;L'!$Q$8:$AZ$59,MATCH($B49,'Monthly P&amp;L'!$B$8:$B$59,0),MATCH(T$45,'Monthly P&amp;L'!$Q$6:$AZ$6,0))</f>
        <v>260.214</v>
      </c>
      <c r="U49" s="151">
        <f>INDEX('Monthly P&amp;L'!$Q$8:$AZ$59,MATCH($B49,'Monthly P&amp;L'!$B$8:$B$59,0),MATCH(U$45,'Monthly P&amp;L'!$Q$6:$AZ$6,0))</f>
        <v>280.549</v>
      </c>
      <c r="V49" s="151">
        <f>INDEX('Monthly P&amp;L'!$Q$8:$AZ$59,MATCH($B49,'Monthly P&amp;L'!$B$8:$B$59,0),MATCH(V$45,'Monthly P&amp;L'!$Q$6:$AZ$6,0))</f>
        <v>265.445</v>
      </c>
      <c r="W49" s="151">
        <f>INDEX('Monthly P&amp;L'!$Q$8:$AZ$59,MATCH($B49,'Monthly P&amp;L'!$B$8:$B$59,0),MATCH(W$45,'Monthly P&amp;L'!$Q$6:$AZ$6,0))</f>
        <v>234.912</v>
      </c>
      <c r="X49" s="151">
        <f>INDEX('Monthly P&amp;L'!$Q$8:$AZ$59,MATCH($B49,'Monthly P&amp;L'!$B$8:$B$59,0),MATCH(X$45,'Monthly P&amp;L'!$Q$6:$AZ$6,0))</f>
        <v>208.315</v>
      </c>
      <c r="Y49" s="151">
        <f>INDEX('Monthly P&amp;L'!$Q$8:$AZ$59,MATCH($B49,'Monthly P&amp;L'!$B$8:$B$59,0),MATCH(Y$45,'Monthly P&amp;L'!$Q$6:$AZ$6,0))</f>
        <v>218.014</v>
      </c>
      <c r="Z49" s="151">
        <f>INDEX('Monthly P&amp;L'!$Q$8:$AZ$59,MATCH($B49,'Monthly P&amp;L'!$B$8:$B$59,0),MATCH(Z$45,'Monthly P&amp;L'!$Q$6:$AZ$6,0))</f>
        <v>254.219</v>
      </c>
      <c r="AA49" s="151">
        <f>INDEX('Monthly P&amp;L'!$Q$8:$AZ$59,MATCH($B49,'Monthly P&amp;L'!$B$8:$B$59,0),MATCH(AA$45,'Monthly P&amp;L'!$Q$6:$AZ$6,0))</f>
        <v>228.339</v>
      </c>
      <c r="AB49" s="151">
        <f>INDEX('Monthly P&amp;L'!$Q$8:$AZ$59,MATCH($B49,'Monthly P&amp;L'!$B$8:$B$59,0),MATCH(AB$45,'Monthly P&amp;L'!$Q$6:$AZ$6,0))</f>
        <v>212.116</v>
      </c>
      <c r="AC49" s="151">
        <f>INDEX('Monthly P&amp;L'!$Q$8:$AZ$59,MATCH($B49,'Monthly P&amp;L'!$B$8:$B$59,0),MATCH(AC$45,'Monthly P&amp;L'!$Q$6:$AZ$6,0))</f>
        <v>206.551</v>
      </c>
      <c r="AD49" s="151">
        <f>INDEX('Monthly P&amp;L'!$Q$8:$AZ$59,MATCH($B49,'Monthly P&amp;L'!$B$8:$B$59,0),MATCH(AD$45,'Monthly P&amp;L'!$Q$6:$AZ$6,0))</f>
        <v>219.853</v>
      </c>
      <c r="AE49" s="151">
        <f>INDEX('Monthly P&amp;L'!$Q$8:$AZ$59,MATCH($B49,'Monthly P&amp;L'!$B$8:$B$59,0),MATCH(AE$45,'Monthly P&amp;L'!$Q$6:$AZ$6,0))</f>
        <v>249.28</v>
      </c>
      <c r="AF49" s="151">
        <f>INDEX('Monthly P&amp;L'!$Q$8:$AZ$59,MATCH($B49,'Monthly P&amp;L'!$B$8:$B$59,0),MATCH(AF$45,'Monthly P&amp;L'!$Q$6:$AZ$6,0))</f>
        <v>290.649</v>
      </c>
      <c r="AG49" s="151">
        <f>INDEX('Monthly P&amp;L'!$Q$8:$AZ$59,MATCH($B49,'Monthly P&amp;L'!$B$8:$B$59,0),MATCH(AG$45,'Monthly P&amp;L'!$Q$6:$AZ$6,0))</f>
        <v>313.184</v>
      </c>
      <c r="AH49" s="151">
        <f>INDEX('Monthly P&amp;L'!$Q$8:$AZ$59,MATCH($B49,'Monthly P&amp;L'!$B$8:$B$59,0),MATCH(AH$45,'Monthly P&amp;L'!$Q$6:$AZ$6,0))</f>
        <v>296.491</v>
      </c>
      <c r="AI49" s="151">
        <f>INDEX('Monthly P&amp;L'!$Q$8:$AZ$59,MATCH($B49,'Monthly P&amp;L'!$B$8:$B$59,0),MATCH(AI$45,'Monthly P&amp;L'!$Q$6:$AZ$6,0))</f>
        <v>262.866</v>
      </c>
      <c r="AJ49" s="151">
        <f>INDEX('Monthly P&amp;L'!$Q$8:$AZ$59,MATCH($B49,'Monthly P&amp;L'!$B$8:$B$59,0),MATCH(AJ$45,'Monthly P&amp;L'!$Q$6:$AZ$6,0))</f>
        <v>233.382</v>
      </c>
      <c r="AK49" s="151">
        <f>INDEX('Monthly P&amp;L'!$Q$8:$AZ$59,MATCH($B49,'Monthly P&amp;L'!$B$8:$B$59,0),MATCH(AK$45,'Monthly P&amp;L'!$Q$6:$AZ$6,0))</f>
        <v>244.069</v>
      </c>
      <c r="AL49" s="151">
        <f>INDEX('Monthly P&amp;L'!$Q$8:$AZ$59,MATCH($B49,'Monthly P&amp;L'!$B$8:$B$59,0),MATCH(AL$45,'Monthly P&amp;L'!$Q$6:$AZ$6,0))</f>
        <v>284.02</v>
      </c>
      <c r="AN49" s="150">
        <f>SUM(C49:AL49)</f>
        <v>8166.200000000001</v>
      </c>
      <c r="AO49" s="151">
        <f>SUMIFS('Monthly P&amp;L'!$Q$14:$AZ$14,'Monthly P&amp;L'!$Q$6:$AZ$6,"&gt;="&amp;$C$45,'Monthly P&amp;L'!$Q$6:$AZ$6,"&lt;="&amp;$AL$45)</f>
        <v>8166.200000000001</v>
      </c>
      <c r="AP49" s="130">
        <f>ROUND(AN49-AO49,6)</f>
        <v>0</v>
      </c>
    </row>
    <row r="50" ht="12" customHeight="1" x14ac:dyDescent="0.25" outlineLevel="1" collapsed="1"/>
    <row r="51" ht="12" customHeight="1" spans="2:2" x14ac:dyDescent="0.25" outlineLevel="1" collapsed="1">
      <c r="B51" s="18" t="s">
        <v>530</v>
      </c>
    </row>
    <row r="52" ht="12" customHeight="1" spans="2:42" x14ac:dyDescent="0.25" outlineLevel="1" collapsed="1">
      <c r="B52" s="16" t="s">
        <v>334</v>
      </c>
      <c r="C52" s="151">
        <f>INDEX('Monthly P&amp;L'!$Q$8:$AZ$59,MATCH($B52,'Monthly P&amp;L'!$B$8:$B$59,0),MATCH(C$45,'Monthly P&amp;L'!$Q$6:$AZ$6,0))</f>
        <v>120.432</v>
      </c>
      <c r="D52" s="151">
        <f>INDEX('Monthly P&amp;L'!$Q$8:$AZ$59,MATCH($B52,'Monthly P&amp;L'!$B$8:$B$59,0),MATCH(D$45,'Monthly P&amp;L'!$Q$6:$AZ$6,0))</f>
        <v>108.895</v>
      </c>
      <c r="E52" s="151">
        <f>INDEX('Monthly P&amp;L'!$Q$8:$AZ$59,MATCH($B52,'Monthly P&amp;L'!$B$8:$B$59,0),MATCH(E$45,'Monthly P&amp;L'!$Q$6:$AZ$6,0))</f>
        <v>103.563</v>
      </c>
      <c r="F52" s="151">
        <f>INDEX('Monthly P&amp;L'!$Q$8:$AZ$59,MATCH($B52,'Monthly P&amp;L'!$B$8:$B$59,0),MATCH(F$45,'Monthly P&amp;L'!$Q$6:$AZ$6,0))</f>
        <v>111.176</v>
      </c>
      <c r="G52" s="151">
        <f>INDEX('Monthly P&amp;L'!$Q$8:$AZ$59,MATCH($B52,'Monthly P&amp;L'!$B$8:$B$59,0),MATCH(G$45,'Monthly P&amp;L'!$Q$6:$AZ$6,0))</f>
        <v>132.136</v>
      </c>
      <c r="H52" s="151">
        <f>INDEX('Monthly P&amp;L'!$Q$8:$AZ$59,MATCH($B52,'Monthly P&amp;L'!$B$8:$B$59,0),MATCH(H$45,'Monthly P&amp;L'!$Q$6:$AZ$6,0))</f>
        <v>160.174</v>
      </c>
      <c r="I52" s="151">
        <f>INDEX('Monthly P&amp;L'!$Q$8:$AZ$59,MATCH($B52,'Monthly P&amp;L'!$B$8:$B$59,0),MATCH(I$45,'Monthly P&amp;L'!$Q$6:$AZ$6,0))</f>
        <v>175.265</v>
      </c>
      <c r="J52" s="151">
        <f>INDEX('Monthly P&amp;L'!$Q$8:$AZ$59,MATCH($B52,'Monthly P&amp;L'!$B$8:$B$59,0),MATCH(J$45,'Monthly P&amp;L'!$Q$6:$AZ$6,0))</f>
        <v>163.393</v>
      </c>
      <c r="K52" s="151">
        <f>INDEX('Monthly P&amp;L'!$Q$8:$AZ$59,MATCH($B52,'Monthly P&amp;L'!$B$8:$B$59,0),MATCH(K$45,'Monthly P&amp;L'!$Q$6:$AZ$6,0))</f>
        <v>137.502</v>
      </c>
      <c r="L52" s="151">
        <f>INDEX('Monthly P&amp;L'!$Q$8:$AZ$59,MATCH($B52,'Monthly P&amp;L'!$B$8:$B$59,0),MATCH(L$45,'Monthly P&amp;L'!$Q$6:$AZ$6,0))</f>
        <v>118.017</v>
      </c>
      <c r="M52" s="151">
        <f>INDEX('Monthly P&amp;L'!$Q$8:$AZ$59,MATCH($B52,'Monthly P&amp;L'!$B$8:$B$59,0),MATCH(M$45,'Monthly P&amp;L'!$Q$6:$AZ$6,0))</f>
        <v>126.167</v>
      </c>
      <c r="N52" s="151">
        <f>INDEX('Monthly P&amp;L'!$Q$8:$AZ$59,MATCH($B52,'Monthly P&amp;L'!$B$8:$B$59,0),MATCH(N$45,'Monthly P&amp;L'!$Q$6:$AZ$6,0))</f>
        <v>155.68</v>
      </c>
      <c r="O52" s="151">
        <f>INDEX('Monthly P&amp;L'!$Q$8:$AZ$59,MATCH($B52,'Monthly P&amp;L'!$B$8:$B$59,0),MATCH(O$45,'Monthly P&amp;L'!$Q$6:$AZ$6,0))</f>
        <v>133.615</v>
      </c>
      <c r="P52" s="151">
        <f>INDEX('Monthly P&amp;L'!$Q$8:$AZ$59,MATCH($B52,'Monthly P&amp;L'!$B$8:$B$59,0),MATCH(P$45,'Monthly P&amp;L'!$Q$6:$AZ$6,0))</f>
        <v>120.815</v>
      </c>
      <c r="Q52" s="151">
        <f>INDEX('Monthly P&amp;L'!$Q$8:$AZ$59,MATCH($B52,'Monthly P&amp;L'!$B$8:$B$59,0),MATCH(Q$45,'Monthly P&amp;L'!$Q$6:$AZ$6,0))</f>
        <v>114.899</v>
      </c>
      <c r="R52" s="151">
        <f>INDEX('Monthly P&amp;L'!$Q$8:$AZ$59,MATCH($B52,'Monthly P&amp;L'!$B$8:$B$59,0),MATCH(R$45,'Monthly P&amp;L'!$Q$6:$AZ$6,0))</f>
        <v>123.345</v>
      </c>
      <c r="S52" s="151">
        <f>INDEX('Monthly P&amp;L'!$Q$8:$AZ$59,MATCH($B52,'Monthly P&amp;L'!$B$8:$B$59,0),MATCH(S$45,'Monthly P&amp;L'!$Q$6:$AZ$6,0))</f>
        <v>146.601</v>
      </c>
      <c r="T52" s="151">
        <f>INDEX('Monthly P&amp;L'!$Q$8:$AZ$59,MATCH($B52,'Monthly P&amp;L'!$B$8:$B$59,0),MATCH(T$45,'Monthly P&amp;L'!$Q$6:$AZ$6,0))</f>
        <v>177.707</v>
      </c>
      <c r="U52" s="151">
        <f>INDEX('Monthly P&amp;L'!$Q$8:$AZ$59,MATCH($B52,'Monthly P&amp;L'!$B$8:$B$59,0),MATCH(U$45,'Monthly P&amp;L'!$Q$6:$AZ$6,0))</f>
        <v>194.45</v>
      </c>
      <c r="V52" s="151">
        <f>INDEX('Monthly P&amp;L'!$Q$8:$AZ$59,MATCH($B52,'Monthly P&amp;L'!$B$8:$B$59,0),MATCH(V$45,'Monthly P&amp;L'!$Q$6:$AZ$6,0))</f>
        <v>181.279</v>
      </c>
      <c r="W52" s="151">
        <f>INDEX('Monthly P&amp;L'!$Q$8:$AZ$59,MATCH($B52,'Monthly P&amp;L'!$B$8:$B$59,0),MATCH(W$45,'Monthly P&amp;L'!$Q$6:$AZ$6,0))</f>
        <v>152.554</v>
      </c>
      <c r="X52" s="151">
        <f>INDEX('Monthly P&amp;L'!$Q$8:$AZ$59,MATCH($B52,'Monthly P&amp;L'!$B$8:$B$59,0),MATCH(X$45,'Monthly P&amp;L'!$Q$6:$AZ$6,0))</f>
        <v>130.936</v>
      </c>
      <c r="Y52" s="151">
        <f>INDEX('Monthly P&amp;L'!$Q$8:$AZ$59,MATCH($B52,'Monthly P&amp;L'!$B$8:$B$59,0),MATCH(Y$45,'Monthly P&amp;L'!$Q$6:$AZ$6,0))</f>
        <v>139.978</v>
      </c>
      <c r="Z52" s="151">
        <f>INDEX('Monthly P&amp;L'!$Q$8:$AZ$59,MATCH($B52,'Monthly P&amp;L'!$B$8:$B$59,0),MATCH(Z$45,'Monthly P&amp;L'!$Q$6:$AZ$6,0))</f>
        <v>172.721</v>
      </c>
      <c r="AA52" s="151">
        <f>INDEX('Monthly P&amp;L'!$Q$8:$AZ$59,MATCH($B52,'Monthly P&amp;L'!$B$8:$B$59,0),MATCH(AA$45,'Monthly P&amp;L'!$Q$6:$AZ$6,0))</f>
        <v>146.716</v>
      </c>
      <c r="AB52" s="151">
        <f>INDEX('Monthly P&amp;L'!$Q$8:$AZ$59,MATCH($B52,'Monthly P&amp;L'!$B$8:$B$59,0),MATCH(AB$45,'Monthly P&amp;L'!$Q$6:$AZ$6,0))</f>
        <v>132.661</v>
      </c>
      <c r="AC52" s="151">
        <f>INDEX('Monthly P&amp;L'!$Q$8:$AZ$59,MATCH($B52,'Monthly P&amp;L'!$B$8:$B$59,0),MATCH(AC$45,'Monthly P&amp;L'!$Q$6:$AZ$6,0))</f>
        <v>126.165</v>
      </c>
      <c r="AD52" s="151">
        <f>INDEX('Monthly P&amp;L'!$Q$8:$AZ$59,MATCH($B52,'Monthly P&amp;L'!$B$8:$B$59,0),MATCH(AD$45,'Monthly P&amp;L'!$Q$6:$AZ$6,0))</f>
        <v>135.439</v>
      </c>
      <c r="AE52" s="151">
        <f>INDEX('Monthly P&amp;L'!$Q$8:$AZ$59,MATCH($B52,'Monthly P&amp;L'!$B$8:$B$59,0),MATCH(AE$45,'Monthly P&amp;L'!$Q$6:$AZ$6,0))</f>
        <v>160.975</v>
      </c>
      <c r="AF52" s="151">
        <f>INDEX('Monthly P&amp;L'!$Q$8:$AZ$59,MATCH($B52,'Monthly P&amp;L'!$B$8:$B$59,0),MATCH(AF$45,'Monthly P&amp;L'!$Q$6:$AZ$6,0))</f>
        <v>195.131</v>
      </c>
      <c r="AG52" s="151">
        <f>INDEX('Monthly P&amp;L'!$Q$8:$AZ$59,MATCH($B52,'Monthly P&amp;L'!$B$8:$B$59,0),MATCH(AG$45,'Monthly P&amp;L'!$Q$6:$AZ$6,0))</f>
        <v>213.516</v>
      </c>
      <c r="AH52" s="151">
        <f>INDEX('Monthly P&amp;L'!$Q$8:$AZ$59,MATCH($B52,'Monthly P&amp;L'!$B$8:$B$59,0),MATCH(AH$45,'Monthly P&amp;L'!$Q$6:$AZ$6,0))</f>
        <v>199.053</v>
      </c>
      <c r="AI52" s="151">
        <f>INDEX('Monthly P&amp;L'!$Q$8:$AZ$59,MATCH($B52,'Monthly P&amp;L'!$B$8:$B$59,0),MATCH(AI$45,'Monthly P&amp;L'!$Q$6:$AZ$6,0))</f>
        <v>167.512</v>
      </c>
      <c r="AJ52" s="151">
        <f>INDEX('Monthly P&amp;L'!$Q$8:$AZ$59,MATCH($B52,'Monthly P&amp;L'!$B$8:$B$59,0),MATCH(AJ$45,'Monthly P&amp;L'!$Q$6:$AZ$6,0))</f>
        <v>143.774</v>
      </c>
      <c r="AK52" s="151">
        <f>INDEX('Monthly P&amp;L'!$Q$8:$AZ$59,MATCH($B52,'Monthly P&amp;L'!$B$8:$B$59,0),MATCH(AK$45,'Monthly P&amp;L'!$Q$6:$AZ$6,0))</f>
        <v>153.702</v>
      </c>
      <c r="AL52" s="151">
        <f>INDEX('Monthly P&amp;L'!$Q$8:$AZ$59,MATCH($B52,'Monthly P&amp;L'!$B$8:$B$59,0),MATCH(AL$45,'Monthly P&amp;L'!$Q$6:$AZ$6,0))</f>
        <v>189.656</v>
      </c>
      <c r="AN52" s="150">
        <f>SUM(C52:AL52)</f>
        <v>5365.599999999999</v>
      </c>
      <c r="AO52" s="151">
        <f>SUMIFS('Monthly P&amp;L'!$Q$9:$AZ$9,'Monthly P&amp;L'!$Q$6:$AZ$6,"&gt;="&amp;$C$45,'Monthly P&amp;L'!$Q$6:$AZ$6,"&lt;="&amp;$AL$45)</f>
        <v>5365.599999999999</v>
      </c>
      <c r="AP52" s="130">
        <f>ROUND(AN52-AO52,6)</f>
        <v>0</v>
      </c>
    </row>
    <row r="53" ht="12" customHeight="1" spans="2:42" x14ac:dyDescent="0.25" outlineLevel="1" collapsed="1">
      <c r="B53" s="16" t="s">
        <v>336</v>
      </c>
      <c r="C53" s="151">
        <f>INDEX('Monthly P&amp;L'!$Q$8:$AZ$59,MATCH($B53,'Monthly P&amp;L'!$B$8:$B$59,0),MATCH(C$45,'Monthly P&amp;L'!$Q$6:$AZ$6,0))</f>
        <v>44.712</v>
      </c>
      <c r="D53" s="151">
        <f>INDEX('Monthly P&amp;L'!$Q$8:$AZ$59,MATCH($B53,'Monthly P&amp;L'!$B$8:$B$59,0),MATCH(D$45,'Monthly P&amp;L'!$Q$6:$AZ$6,0))</f>
        <v>42.807</v>
      </c>
      <c r="E53" s="151">
        <f>INDEX('Monthly P&amp;L'!$Q$8:$AZ$59,MATCH($B53,'Monthly P&amp;L'!$B$8:$B$59,0),MATCH(E$45,'Monthly P&amp;L'!$Q$6:$AZ$6,0))</f>
        <v>43.255</v>
      </c>
      <c r="F53" s="151">
        <f>INDEX('Monthly P&amp;L'!$Q$8:$AZ$59,MATCH($B53,'Monthly P&amp;L'!$B$8:$B$59,0),MATCH(F$45,'Monthly P&amp;L'!$Q$6:$AZ$6,0))</f>
        <v>46.131</v>
      </c>
      <c r="G53" s="151">
        <f>INDEX('Monthly P&amp;L'!$Q$8:$AZ$59,MATCH($B53,'Monthly P&amp;L'!$B$8:$B$59,0),MATCH(G$45,'Monthly P&amp;L'!$Q$6:$AZ$6,0))</f>
        <v>49.057</v>
      </c>
      <c r="H53" s="151">
        <f>INDEX('Monthly P&amp;L'!$Q$8:$AZ$59,MATCH($B53,'Monthly P&amp;L'!$B$8:$B$59,0),MATCH(H$45,'Monthly P&amp;L'!$Q$6:$AZ$6,0))</f>
        <v>54.511</v>
      </c>
      <c r="I53" s="151">
        <f>INDEX('Monthly P&amp;L'!$Q$8:$AZ$59,MATCH($B53,'Monthly P&amp;L'!$B$8:$B$59,0),MATCH(I$45,'Monthly P&amp;L'!$Q$6:$AZ$6,0))</f>
        <v>57.561</v>
      </c>
      <c r="J53" s="151">
        <f>INDEX('Monthly P&amp;L'!$Q$8:$AZ$59,MATCH($B53,'Monthly P&amp;L'!$B$8:$B$59,0),MATCH(J$45,'Monthly P&amp;L'!$Q$6:$AZ$6,0))</f>
        <v>55.607</v>
      </c>
      <c r="K53" s="151">
        <f>INDEX('Monthly P&amp;L'!$Q$8:$AZ$59,MATCH($B53,'Monthly P&amp;L'!$B$8:$B$59,0),MATCH(K$45,'Monthly P&amp;L'!$Q$6:$AZ$6,0))</f>
        <v>53.602</v>
      </c>
      <c r="L53" s="151">
        <f>INDEX('Monthly P&amp;L'!$Q$8:$AZ$59,MATCH($B53,'Monthly P&amp;L'!$B$8:$B$59,0),MATCH(L$45,'Monthly P&amp;L'!$Q$6:$AZ$6,0))</f>
        <v>48.97</v>
      </c>
      <c r="M53" s="151">
        <f>INDEX('Monthly P&amp;L'!$Q$8:$AZ$59,MATCH($B53,'Monthly P&amp;L'!$B$8:$B$59,0),MATCH(M$45,'Monthly P&amp;L'!$Q$6:$AZ$6,0))</f>
        <v>49.443</v>
      </c>
      <c r="N53" s="151">
        <f>INDEX('Monthly P&amp;L'!$Q$8:$AZ$59,MATCH($B53,'Monthly P&amp;L'!$B$8:$B$59,0),MATCH(N$45,'Monthly P&amp;L'!$Q$6:$AZ$6,0))</f>
        <v>52.544</v>
      </c>
      <c r="O53" s="151">
        <f>INDEX('Monthly P&amp;L'!$Q$8:$AZ$59,MATCH($B53,'Monthly P&amp;L'!$B$8:$B$59,0),MATCH(O$45,'Monthly P&amp;L'!$Q$6:$AZ$6,0))</f>
        <v>52.508</v>
      </c>
      <c r="P53" s="151">
        <f>INDEX('Monthly P&amp;L'!$Q$8:$AZ$59,MATCH($B53,'Monthly P&amp;L'!$B$8:$B$59,0),MATCH(P$45,'Monthly P&amp;L'!$Q$6:$AZ$6,0))</f>
        <v>50.27</v>
      </c>
      <c r="Q53" s="151">
        <f>INDEX('Monthly P&amp;L'!$Q$8:$AZ$59,MATCH($B53,'Monthly P&amp;L'!$B$8:$B$59,0),MATCH(Q$45,'Monthly P&amp;L'!$Q$6:$AZ$6,0))</f>
        <v>50.797</v>
      </c>
      <c r="R53" s="151">
        <f>INDEX('Monthly P&amp;L'!$Q$8:$AZ$59,MATCH($B53,'Monthly P&amp;L'!$B$8:$B$59,0),MATCH(R$45,'Monthly P&amp;L'!$Q$6:$AZ$6,0))</f>
        <v>54.174</v>
      </c>
      <c r="S53" s="151">
        <f>INDEX('Monthly P&amp;L'!$Q$8:$AZ$59,MATCH($B53,'Monthly P&amp;L'!$B$8:$B$59,0),MATCH(S$45,'Monthly P&amp;L'!$Q$6:$AZ$6,0))</f>
        <v>57.611</v>
      </c>
      <c r="T53" s="151">
        <f>INDEX('Monthly P&amp;L'!$Q$8:$AZ$59,MATCH($B53,'Monthly P&amp;L'!$B$8:$B$59,0),MATCH(T$45,'Monthly P&amp;L'!$Q$6:$AZ$6,0))</f>
        <v>64.015</v>
      </c>
      <c r="U53" s="151">
        <f>INDEX('Monthly P&amp;L'!$Q$8:$AZ$59,MATCH($B53,'Monthly P&amp;L'!$B$8:$B$59,0),MATCH(U$45,'Monthly P&amp;L'!$Q$6:$AZ$6,0))</f>
        <v>67.598</v>
      </c>
      <c r="V53" s="151">
        <f>INDEX('Monthly P&amp;L'!$Q$8:$AZ$59,MATCH($B53,'Monthly P&amp;L'!$B$8:$B$59,0),MATCH(V$45,'Monthly P&amp;L'!$Q$6:$AZ$6,0))</f>
        <v>65.302</v>
      </c>
      <c r="W53" s="151">
        <f>INDEX('Monthly P&amp;L'!$Q$8:$AZ$59,MATCH($B53,'Monthly P&amp;L'!$B$8:$B$59,0),MATCH(W$45,'Monthly P&amp;L'!$Q$6:$AZ$6,0))</f>
        <v>62.948</v>
      </c>
      <c r="X53" s="151">
        <f>INDEX('Monthly P&amp;L'!$Q$8:$AZ$59,MATCH($B53,'Monthly P&amp;L'!$B$8:$B$59,0),MATCH(X$45,'Monthly P&amp;L'!$Q$6:$AZ$6,0))</f>
        <v>57.508</v>
      </c>
      <c r="Y53" s="151">
        <f>INDEX('Monthly P&amp;L'!$Q$8:$AZ$59,MATCH($B53,'Monthly P&amp;L'!$B$8:$B$59,0),MATCH(Y$45,'Monthly P&amp;L'!$Q$6:$AZ$6,0))</f>
        <v>58.064</v>
      </c>
      <c r="Z53" s="151">
        <f>INDEX('Monthly P&amp;L'!$Q$8:$AZ$59,MATCH($B53,'Monthly P&amp;L'!$B$8:$B$59,0),MATCH(Z$45,'Monthly P&amp;L'!$Q$6:$AZ$6,0))</f>
        <v>61.705</v>
      </c>
      <c r="AA53" s="151">
        <f>INDEX('Monthly P&amp;L'!$Q$8:$AZ$59,MATCH($B53,'Monthly P&amp;L'!$B$8:$B$59,0),MATCH(AA$45,'Monthly P&amp;L'!$Q$6:$AZ$6,0))</f>
        <v>60.67</v>
      </c>
      <c r="AB53" s="151">
        <f>INDEX('Monthly P&amp;L'!$Q$8:$AZ$59,MATCH($B53,'Monthly P&amp;L'!$B$8:$B$59,0),MATCH(AB$45,'Monthly P&amp;L'!$Q$6:$AZ$6,0))</f>
        <v>58.085</v>
      </c>
      <c r="AC53" s="151">
        <f>INDEX('Monthly P&amp;L'!$Q$8:$AZ$59,MATCH($B53,'Monthly P&amp;L'!$B$8:$B$59,0),MATCH(AC$45,'Monthly P&amp;L'!$Q$6:$AZ$6,0))</f>
        <v>58.693</v>
      </c>
      <c r="AD53" s="151">
        <f>INDEX('Monthly P&amp;L'!$Q$8:$AZ$59,MATCH($B53,'Monthly P&amp;L'!$B$8:$B$59,0),MATCH(AD$45,'Monthly P&amp;L'!$Q$6:$AZ$6,0))</f>
        <v>62.596</v>
      </c>
      <c r="AE53" s="151">
        <f>INDEX('Monthly P&amp;L'!$Q$8:$AZ$59,MATCH($B53,'Monthly P&amp;L'!$B$8:$B$59,0),MATCH(AE$45,'Monthly P&amp;L'!$Q$6:$AZ$6,0))</f>
        <v>66.566</v>
      </c>
      <c r="AF53" s="151">
        <f>INDEX('Monthly P&amp;L'!$Q$8:$AZ$59,MATCH($B53,'Monthly P&amp;L'!$B$8:$B$59,0),MATCH(AF$45,'Monthly P&amp;L'!$Q$6:$AZ$6,0))</f>
        <v>73.966</v>
      </c>
      <c r="AG53" s="151">
        <f>INDEX('Monthly P&amp;L'!$Q$8:$AZ$59,MATCH($B53,'Monthly P&amp;L'!$B$8:$B$59,0),MATCH(AG$45,'Monthly P&amp;L'!$Q$6:$AZ$6,0))</f>
        <v>78.105</v>
      </c>
      <c r="AH53" s="151">
        <f>INDEX('Monthly P&amp;L'!$Q$8:$AZ$59,MATCH($B53,'Monthly P&amp;L'!$B$8:$B$59,0),MATCH(AH$45,'Monthly P&amp;L'!$Q$6:$AZ$6,0))</f>
        <v>75.453</v>
      </c>
      <c r="AI53" s="151">
        <f>INDEX('Monthly P&amp;L'!$Q$8:$AZ$59,MATCH($B53,'Monthly P&amp;L'!$B$8:$B$59,0),MATCH(AI$45,'Monthly P&amp;L'!$Q$6:$AZ$6,0))</f>
        <v>72.732</v>
      </c>
      <c r="AJ53" s="151">
        <f>INDEX('Monthly P&amp;L'!$Q$8:$AZ$59,MATCH($B53,'Monthly P&amp;L'!$B$8:$B$59,0),MATCH(AJ$45,'Monthly P&amp;L'!$Q$6:$AZ$6,0))</f>
        <v>66.448</v>
      </c>
      <c r="AK53" s="151">
        <f>INDEX('Monthly P&amp;L'!$Q$8:$AZ$59,MATCH($B53,'Monthly P&amp;L'!$B$8:$B$59,0),MATCH(AK$45,'Monthly P&amp;L'!$Q$6:$AZ$6,0))</f>
        <v>67.09</v>
      </c>
      <c r="AL53" s="151">
        <f>INDEX('Monthly P&amp;L'!$Q$8:$AZ$59,MATCH($B53,'Monthly P&amp;L'!$B$8:$B$59,0),MATCH(AL$45,'Monthly P&amp;L'!$Q$6:$AZ$6,0))</f>
        <v>71.296</v>
      </c>
      <c r="AN53" s="150">
        <f>SUM(C53:AL53)</f>
        <v>2112.4</v>
      </c>
      <c r="AO53" s="151">
        <f>SUMIFS('Monthly P&amp;L'!$Q$10:$AZ$10,'Monthly P&amp;L'!$Q$6:$AZ$6,"&gt;="&amp;$C$45,'Monthly P&amp;L'!$Q$6:$AZ$6,"&lt;="&amp;$AL$45)</f>
        <v>2112.4</v>
      </c>
      <c r="AP53" s="130">
        <f>ROUND(AN53-AO53,6)</f>
        <v>0</v>
      </c>
    </row>
    <row r="54" ht="12" customHeight="1" spans="2:42" x14ac:dyDescent="0.25" outlineLevel="1" collapsed="1">
      <c r="B54" s="16" t="s">
        <v>338</v>
      </c>
      <c r="C54" s="151">
        <f>INDEX('Monthly P&amp;L'!$Q$8:$AZ$59,MATCH($B54,'Monthly P&amp;L'!$B$8:$B$59,0),MATCH(C$45,'Monthly P&amp;L'!$Q$6:$AZ$6,0))</f>
        <v>16.9</v>
      </c>
      <c r="D54" s="151">
        <f>INDEX('Monthly P&amp;L'!$Q$8:$AZ$59,MATCH($B54,'Monthly P&amp;L'!$B$8:$B$59,0),MATCH(D$45,'Monthly P&amp;L'!$Q$6:$AZ$6,0))</f>
        <v>17.079</v>
      </c>
      <c r="E54" s="151">
        <f>INDEX('Monthly P&amp;L'!$Q$8:$AZ$59,MATCH($B54,'Monthly P&amp;L'!$B$8:$B$59,0),MATCH(E$45,'Monthly P&amp;L'!$Q$6:$AZ$6,0))</f>
        <v>17.257</v>
      </c>
      <c r="F54" s="151">
        <f>INDEX('Monthly P&amp;L'!$Q$8:$AZ$59,MATCH($B54,'Monthly P&amp;L'!$B$8:$B$59,0),MATCH(F$45,'Monthly P&amp;L'!$Q$6:$AZ$6,0))</f>
        <v>17.436</v>
      </c>
      <c r="G54" s="151">
        <f>INDEX('Monthly P&amp;L'!$Q$8:$AZ$59,MATCH($B54,'Monthly P&amp;L'!$B$8:$B$59,0),MATCH(G$45,'Monthly P&amp;L'!$Q$6:$AZ$6,0))</f>
        <v>17.615</v>
      </c>
      <c r="H54" s="151">
        <f>INDEX('Monthly P&amp;L'!$Q$8:$AZ$59,MATCH($B54,'Monthly P&amp;L'!$B$8:$B$59,0),MATCH(H$45,'Monthly P&amp;L'!$Q$6:$AZ$6,0))</f>
        <v>17.794</v>
      </c>
      <c r="I54" s="151">
        <f>INDEX('Monthly P&amp;L'!$Q$8:$AZ$59,MATCH($B54,'Monthly P&amp;L'!$B$8:$B$59,0),MATCH(I$45,'Monthly P&amp;L'!$Q$6:$AZ$6,0))</f>
        <v>17.973</v>
      </c>
      <c r="J54" s="151">
        <f>INDEX('Monthly P&amp;L'!$Q$8:$AZ$59,MATCH($B54,'Monthly P&amp;L'!$B$8:$B$59,0),MATCH(J$45,'Monthly P&amp;L'!$Q$6:$AZ$6,0))</f>
        <v>18.152</v>
      </c>
      <c r="K54" s="151">
        <f>INDEX('Monthly P&amp;L'!$Q$8:$AZ$59,MATCH($B54,'Monthly P&amp;L'!$B$8:$B$59,0),MATCH(K$45,'Monthly P&amp;L'!$Q$6:$AZ$6,0))</f>
        <v>18.33</v>
      </c>
      <c r="L54" s="151">
        <f>INDEX('Monthly P&amp;L'!$Q$8:$AZ$59,MATCH($B54,'Monthly P&amp;L'!$B$8:$B$59,0),MATCH(L$45,'Monthly P&amp;L'!$Q$6:$AZ$6,0))</f>
        <v>18.509</v>
      </c>
      <c r="M54" s="151">
        <f>INDEX('Monthly P&amp;L'!$Q$8:$AZ$59,MATCH($B54,'Monthly P&amp;L'!$B$8:$B$59,0),MATCH(M$45,'Monthly P&amp;L'!$Q$6:$AZ$6,0))</f>
        <v>18.688</v>
      </c>
      <c r="N54" s="151">
        <f>INDEX('Monthly P&amp;L'!$Q$8:$AZ$59,MATCH($B54,'Monthly P&amp;L'!$B$8:$B$59,0),MATCH(N$45,'Monthly P&amp;L'!$Q$6:$AZ$6,0))</f>
        <v>18.867</v>
      </c>
      <c r="O54" s="151">
        <f>INDEX('Monthly P&amp;L'!$Q$8:$AZ$59,MATCH($B54,'Monthly P&amp;L'!$B$8:$B$59,0),MATCH(O$45,'Monthly P&amp;L'!$Q$6:$AZ$6,0))</f>
        <v>19.554</v>
      </c>
      <c r="P54" s="151">
        <f>INDEX('Monthly P&amp;L'!$Q$8:$AZ$59,MATCH($B54,'Monthly P&amp;L'!$B$8:$B$59,0),MATCH(P$45,'Monthly P&amp;L'!$Q$6:$AZ$6,0))</f>
        <v>19.761</v>
      </c>
      <c r="Q54" s="151">
        <f>INDEX('Monthly P&amp;L'!$Q$8:$AZ$59,MATCH($B54,'Monthly P&amp;L'!$B$8:$B$59,0),MATCH(Q$45,'Monthly P&amp;L'!$Q$6:$AZ$6,0))</f>
        <v>19.967</v>
      </c>
      <c r="R54" s="151">
        <f>INDEX('Monthly P&amp;L'!$Q$8:$AZ$59,MATCH($B54,'Monthly P&amp;L'!$B$8:$B$59,0),MATCH(R$45,'Monthly P&amp;L'!$Q$6:$AZ$6,0))</f>
        <v>20.174</v>
      </c>
      <c r="S54" s="151">
        <f>INDEX('Monthly P&amp;L'!$Q$8:$AZ$59,MATCH($B54,'Monthly P&amp;L'!$B$8:$B$59,0),MATCH(S$45,'Monthly P&amp;L'!$Q$6:$AZ$6,0))</f>
        <v>20.381</v>
      </c>
      <c r="T54" s="151">
        <f>INDEX('Monthly P&amp;L'!$Q$8:$AZ$59,MATCH($B54,'Monthly P&amp;L'!$B$8:$B$59,0),MATCH(T$45,'Monthly P&amp;L'!$Q$6:$AZ$6,0))</f>
        <v>20.588</v>
      </c>
      <c r="U54" s="151">
        <f>INDEX('Monthly P&amp;L'!$Q$8:$AZ$59,MATCH($B54,'Monthly P&amp;L'!$B$8:$B$59,0),MATCH(U$45,'Monthly P&amp;L'!$Q$6:$AZ$6,0))</f>
        <v>20.795</v>
      </c>
      <c r="V54" s="151">
        <f>INDEX('Monthly P&amp;L'!$Q$8:$AZ$59,MATCH($B54,'Monthly P&amp;L'!$B$8:$B$59,0),MATCH(V$45,'Monthly P&amp;L'!$Q$6:$AZ$6,0))</f>
        <v>21.002</v>
      </c>
      <c r="W54" s="151">
        <f>INDEX('Monthly P&amp;L'!$Q$8:$AZ$59,MATCH($B54,'Monthly P&amp;L'!$B$8:$B$59,0),MATCH(W$45,'Monthly P&amp;L'!$Q$6:$AZ$6,0))</f>
        <v>21.209</v>
      </c>
      <c r="X54" s="151">
        <f>INDEX('Monthly P&amp;L'!$Q$8:$AZ$59,MATCH($B54,'Monthly P&amp;L'!$B$8:$B$59,0),MATCH(X$45,'Monthly P&amp;L'!$Q$6:$AZ$6,0))</f>
        <v>21.416</v>
      </c>
      <c r="Y54" s="151">
        <f>INDEX('Monthly P&amp;L'!$Q$8:$AZ$59,MATCH($B54,'Monthly P&amp;L'!$B$8:$B$59,0),MATCH(Y$45,'Monthly P&amp;L'!$Q$6:$AZ$6,0))</f>
        <v>21.623</v>
      </c>
      <c r="Z54" s="151">
        <f>INDEX('Monthly P&amp;L'!$Q$8:$AZ$59,MATCH($B54,'Monthly P&amp;L'!$B$8:$B$59,0),MATCH(Z$45,'Monthly P&amp;L'!$Q$6:$AZ$6,0))</f>
        <v>21.83</v>
      </c>
      <c r="AA54" s="151">
        <f>INDEX('Monthly P&amp;L'!$Q$8:$AZ$59,MATCH($B54,'Monthly P&amp;L'!$B$8:$B$59,0),MATCH(AA$45,'Monthly P&amp;L'!$Q$6:$AZ$6,0))</f>
        <v>22.79</v>
      </c>
      <c r="AB54" s="151">
        <f>INDEX('Monthly P&amp;L'!$Q$8:$AZ$59,MATCH($B54,'Monthly P&amp;L'!$B$8:$B$59,0),MATCH(AB$45,'Monthly P&amp;L'!$Q$6:$AZ$6,0))</f>
        <v>23.031</v>
      </c>
      <c r="AC54" s="151">
        <f>INDEX('Monthly P&amp;L'!$Q$8:$AZ$59,MATCH($B54,'Monthly P&amp;L'!$B$8:$B$59,0),MATCH(AC$45,'Monthly P&amp;L'!$Q$6:$AZ$6,0))</f>
        <v>23.273</v>
      </c>
      <c r="AD54" s="151">
        <f>INDEX('Monthly P&amp;L'!$Q$8:$AZ$59,MATCH($B54,'Monthly P&amp;L'!$B$8:$B$59,0),MATCH(AD$45,'Monthly P&amp;L'!$Q$6:$AZ$6,0))</f>
        <v>23.514</v>
      </c>
      <c r="AE54" s="151">
        <f>INDEX('Monthly P&amp;L'!$Q$8:$AZ$59,MATCH($B54,'Monthly P&amp;L'!$B$8:$B$59,0),MATCH(AE$45,'Monthly P&amp;L'!$Q$6:$AZ$6,0))</f>
        <v>23.755</v>
      </c>
      <c r="AF54" s="151">
        <f>INDEX('Monthly P&amp;L'!$Q$8:$AZ$59,MATCH($B54,'Monthly P&amp;L'!$B$8:$B$59,0),MATCH(AF$45,'Monthly P&amp;L'!$Q$6:$AZ$6,0))</f>
        <v>23.996</v>
      </c>
      <c r="AG54" s="151">
        <f>INDEX('Monthly P&amp;L'!$Q$8:$AZ$59,MATCH($B54,'Monthly P&amp;L'!$B$8:$B$59,0),MATCH(AG$45,'Monthly P&amp;L'!$Q$6:$AZ$6,0))</f>
        <v>24.237</v>
      </c>
      <c r="AH54" s="151">
        <f>INDEX('Monthly P&amp;L'!$Q$8:$AZ$59,MATCH($B54,'Monthly P&amp;L'!$B$8:$B$59,0),MATCH(AH$45,'Monthly P&amp;L'!$Q$6:$AZ$6,0))</f>
        <v>24.478</v>
      </c>
      <c r="AI54" s="151">
        <f>INDEX('Monthly P&amp;L'!$Q$8:$AZ$59,MATCH($B54,'Monthly P&amp;L'!$B$8:$B$59,0),MATCH(AI$45,'Monthly P&amp;L'!$Q$6:$AZ$6,0))</f>
        <v>24.72</v>
      </c>
      <c r="AJ54" s="151">
        <f>INDEX('Monthly P&amp;L'!$Q$8:$AZ$59,MATCH($B54,'Monthly P&amp;L'!$B$8:$B$59,0),MATCH(AJ$45,'Monthly P&amp;L'!$Q$6:$AZ$6,0))</f>
        <v>24.961</v>
      </c>
      <c r="AK54" s="151">
        <f>INDEX('Monthly P&amp;L'!$Q$8:$AZ$59,MATCH($B54,'Monthly P&amp;L'!$B$8:$B$59,0),MATCH(AK$45,'Monthly P&amp;L'!$Q$6:$AZ$6,0))</f>
        <v>25.202</v>
      </c>
      <c r="AL54" s="151">
        <f>INDEX('Monthly P&amp;L'!$Q$8:$AZ$59,MATCH($B54,'Monthly P&amp;L'!$B$8:$B$59,0),MATCH(AL$45,'Monthly P&amp;L'!$Q$6:$AZ$6,0))</f>
        <v>25.443</v>
      </c>
      <c r="AN54" s="150">
        <f>SUM(C54:AL54)</f>
        <v>752.3</v>
      </c>
      <c r="AO54" s="151">
        <f>SUMIFS('Monthly P&amp;L'!$Q$11:$AZ$11,'Monthly P&amp;L'!$Q$6:$AZ$6,"&gt;="&amp;$C$45,'Monthly P&amp;L'!$Q$6:$AZ$6,"&lt;="&amp;$AL$45)</f>
        <v>752.3</v>
      </c>
      <c r="AP54" s="130">
        <f>ROUND(AN54-AO54,6)</f>
        <v>0</v>
      </c>
    </row>
    <row r="55" ht="12" customHeight="1" spans="2:42" x14ac:dyDescent="0.25" outlineLevel="1" collapsed="1">
      <c r="B55" s="16" t="s">
        <v>531</v>
      </c>
      <c r="C55" s="150">
        <f>C56-C52-C53-C54</f>
        <v>-1.374</v>
      </c>
      <c r="D55" s="150">
        <f>D56-D52-D53-D54</f>
        <v>-1.243</v>
      </c>
      <c r="E55" s="150">
        <f>E56-E52-E53-E54</f>
        <v>-1.182</v>
      </c>
      <c r="F55" s="150">
        <f>F56-F52-F53-F54</f>
        <v>-1.269</v>
      </c>
      <c r="G55" s="150">
        <f>G56-G52-G53-G54</f>
        <v>-1.508</v>
      </c>
      <c r="H55" s="150">
        <f>H56-H52-H53-H54</f>
        <v>-1.828</v>
      </c>
      <c r="I55" s="150">
        <f>I56-I52-I53-I54</f>
        <v>-2</v>
      </c>
      <c r="J55" s="150">
        <f>J56-J52-J53-J54</f>
        <v>-1.864</v>
      </c>
      <c r="K55" s="150">
        <f>K56-K52-K53-K54</f>
        <v>-1.569</v>
      </c>
      <c r="L55" s="150">
        <f>L56-L52-L53-L54</f>
        <v>-1.347</v>
      </c>
      <c r="M55" s="150">
        <f>M56-M52-M53-M54</f>
        <v>-1.44</v>
      </c>
      <c r="N55" s="150">
        <f>N56-N52-N53-N54</f>
        <v>-1.776</v>
      </c>
      <c r="O55" s="150">
        <f>O56-O52-O53-O54</f>
        <v>-1.576</v>
      </c>
      <c r="P55" s="150">
        <f>P56-P52-P53-P54</f>
        <v>-1.425</v>
      </c>
      <c r="Q55" s="150">
        <f>Q56-Q52-Q53-Q54</f>
        <v>-1.355</v>
      </c>
      <c r="R55" s="150">
        <f>R56-R52-R53-R54</f>
        <v>-1.455</v>
      </c>
      <c r="S55" s="150">
        <f>S56-S52-S53-S54</f>
        <v>-1.729</v>
      </c>
      <c r="T55" s="150">
        <f>T56-T52-T53-T54</f>
        <v>-2.096</v>
      </c>
      <c r="U55" s="150">
        <f>U56-U52-U53-U54</f>
        <v>-2.294</v>
      </c>
      <c r="V55" s="150">
        <f>V56-V52-V53-V54</f>
        <v>-2.138</v>
      </c>
      <c r="W55" s="150">
        <f>W56-W52-W53-W54</f>
        <v>-1.799</v>
      </c>
      <c r="X55" s="150">
        <f>X56-X52-X53-X54</f>
        <v>-1.545</v>
      </c>
      <c r="Y55" s="150">
        <f>Y56-Y52-Y53-Y54</f>
        <v>-1.651</v>
      </c>
      <c r="Z55" s="150">
        <f>Z56-Z52-Z53-Z54</f>
        <v>-2.037</v>
      </c>
      <c r="AA55" s="150">
        <f>AA56-AA52-AA53-AA54</f>
        <v>-1.837</v>
      </c>
      <c r="AB55" s="150">
        <f>AB56-AB52-AB53-AB54</f>
        <v>-1.661</v>
      </c>
      <c r="AC55" s="150">
        <f>AC56-AC52-AC53-AC54</f>
        <v>-1.58</v>
      </c>
      <c r="AD55" s="150">
        <f>AD56-AD52-AD53-AD54</f>
        <v>-1.696</v>
      </c>
      <c r="AE55" s="150">
        <f>AE56-AE52-AE53-AE54</f>
        <v>-2.016</v>
      </c>
      <c r="AF55" s="150">
        <f>AF56-AF52-AF53-AF54</f>
        <v>-2.444</v>
      </c>
      <c r="AG55" s="150">
        <f>AG56-AG52-AG53-AG54</f>
        <v>-2.674</v>
      </c>
      <c r="AH55" s="150">
        <f>AH56-AH52-AH53-AH54</f>
        <v>-2.493</v>
      </c>
      <c r="AI55" s="150">
        <f>AI56-AI52-AI53-AI54</f>
        <v>-2.098</v>
      </c>
      <c r="AJ55" s="150">
        <f>AJ56-AJ52-AJ53-AJ54</f>
        <v>-1.801</v>
      </c>
      <c r="AK55" s="150">
        <f>AK56-AK52-AK53-AK54</f>
        <v>-1.925</v>
      </c>
      <c r="AL55" s="150">
        <f>AL56-AL52-AL53-AL54</f>
        <v>-2.375</v>
      </c>
      <c r="AN55" s="150">
        <f>SUM(C55:AL55)</f>
        <v>-64.1</v>
      </c>
      <c r="AO55" s="150">
        <f>AO56-AO52-AO53-AO54</f>
        <v>-64.1</v>
      </c>
      <c r="AP55" s="130">
        <f>ROUND(AN55-AO55,6)</f>
        <v>0</v>
      </c>
    </row>
    <row r="56" ht="12" customHeight="1" spans="2:42" x14ac:dyDescent="0.25" outlineLevel="1" collapsed="1">
      <c r="B56" s="16" t="s">
        <v>87</v>
      </c>
      <c r="C56" s="151">
        <f>INDEX('Monthly P&amp;L'!$Q$8:$AZ$59,MATCH($B56,'Monthly P&amp;L'!$B$8:$B$59,0),MATCH(C$45,'Monthly P&amp;L'!$Q$6:$AZ$6,0))</f>
        <v>180.67</v>
      </c>
      <c r="D56" s="151">
        <f>INDEX('Monthly P&amp;L'!$Q$8:$AZ$59,MATCH($B56,'Monthly P&amp;L'!$B$8:$B$59,0),MATCH(D$45,'Monthly P&amp;L'!$Q$6:$AZ$6,0))</f>
        <v>167.538</v>
      </c>
      <c r="E56" s="151">
        <f>INDEX('Monthly P&amp;L'!$Q$8:$AZ$59,MATCH($B56,'Monthly P&amp;L'!$B$8:$B$59,0),MATCH(E$45,'Monthly P&amp;L'!$Q$6:$AZ$6,0))</f>
        <v>162.893</v>
      </c>
      <c r="F56" s="151">
        <f>INDEX('Monthly P&amp;L'!$Q$8:$AZ$59,MATCH($B56,'Monthly P&amp;L'!$B$8:$B$59,0),MATCH(F$45,'Monthly P&amp;L'!$Q$6:$AZ$6,0))</f>
        <v>173.474</v>
      </c>
      <c r="G56" s="151">
        <f>INDEX('Monthly P&amp;L'!$Q$8:$AZ$59,MATCH($B56,'Monthly P&amp;L'!$B$8:$B$59,0),MATCH(G$45,'Monthly P&amp;L'!$Q$6:$AZ$6,0))</f>
        <v>197.3</v>
      </c>
      <c r="H56" s="151">
        <f>INDEX('Monthly P&amp;L'!$Q$8:$AZ$59,MATCH($B56,'Monthly P&amp;L'!$B$8:$B$59,0),MATCH(H$45,'Monthly P&amp;L'!$Q$6:$AZ$6,0))</f>
        <v>230.651</v>
      </c>
      <c r="I56" s="151">
        <f>INDEX('Monthly P&amp;L'!$Q$8:$AZ$59,MATCH($B56,'Monthly P&amp;L'!$B$8:$B$59,0),MATCH(I$45,'Monthly P&amp;L'!$Q$6:$AZ$6,0))</f>
        <v>248.799</v>
      </c>
      <c r="J56" s="151">
        <f>INDEX('Monthly P&amp;L'!$Q$8:$AZ$59,MATCH($B56,'Monthly P&amp;L'!$B$8:$B$59,0),MATCH(J$45,'Monthly P&amp;L'!$Q$6:$AZ$6,0))</f>
        <v>235.288</v>
      </c>
      <c r="K56" s="151">
        <f>INDEX('Monthly P&amp;L'!$Q$8:$AZ$59,MATCH($B56,'Monthly P&amp;L'!$B$8:$B$59,0),MATCH(K$45,'Monthly P&amp;L'!$Q$6:$AZ$6,0))</f>
        <v>207.865</v>
      </c>
      <c r="L56" s="151">
        <f>INDEX('Monthly P&amp;L'!$Q$8:$AZ$59,MATCH($B56,'Monthly P&amp;L'!$B$8:$B$59,0),MATCH(L$45,'Monthly P&amp;L'!$Q$6:$AZ$6,0))</f>
        <v>184.149</v>
      </c>
      <c r="M56" s="151">
        <f>INDEX('Monthly P&amp;L'!$Q$8:$AZ$59,MATCH($B56,'Monthly P&amp;L'!$B$8:$B$59,0),MATCH(M$45,'Monthly P&amp;L'!$Q$6:$AZ$6,0))</f>
        <v>192.858</v>
      </c>
      <c r="N56" s="151">
        <f>INDEX('Monthly P&amp;L'!$Q$8:$AZ$59,MATCH($B56,'Monthly P&amp;L'!$B$8:$B$59,0),MATCH(N$45,'Monthly P&amp;L'!$Q$6:$AZ$6,0))</f>
        <v>225.315</v>
      </c>
      <c r="O56" s="151">
        <f>INDEX('Monthly P&amp;L'!$Q$8:$AZ$59,MATCH($B56,'Monthly P&amp;L'!$B$8:$B$59,0),MATCH(O$45,'Monthly P&amp;L'!$Q$6:$AZ$6,0))</f>
        <v>204.101</v>
      </c>
      <c r="P56" s="151">
        <f>INDEX('Monthly P&amp;L'!$Q$8:$AZ$59,MATCH($B56,'Monthly P&amp;L'!$B$8:$B$59,0),MATCH(P$45,'Monthly P&amp;L'!$Q$6:$AZ$6,0))</f>
        <v>189.421</v>
      </c>
      <c r="Q56" s="151">
        <f>INDEX('Monthly P&amp;L'!$Q$8:$AZ$59,MATCH($B56,'Monthly P&amp;L'!$B$8:$B$59,0),MATCH(Q$45,'Monthly P&amp;L'!$Q$6:$AZ$6,0))</f>
        <v>184.308</v>
      </c>
      <c r="R56" s="151">
        <f>INDEX('Monthly P&amp;L'!$Q$8:$AZ$59,MATCH($B56,'Monthly P&amp;L'!$B$8:$B$59,0),MATCH(R$45,'Monthly P&amp;L'!$Q$6:$AZ$6,0))</f>
        <v>196.238</v>
      </c>
      <c r="S56" s="151">
        <f>INDEX('Monthly P&amp;L'!$Q$8:$AZ$59,MATCH($B56,'Monthly P&amp;L'!$B$8:$B$59,0),MATCH(S$45,'Monthly P&amp;L'!$Q$6:$AZ$6,0))</f>
        <v>222.864</v>
      </c>
      <c r="T56" s="151">
        <f>INDEX('Monthly P&amp;L'!$Q$8:$AZ$59,MATCH($B56,'Monthly P&amp;L'!$B$8:$B$59,0),MATCH(T$45,'Monthly P&amp;L'!$Q$6:$AZ$6,0))</f>
        <v>260.214</v>
      </c>
      <c r="U56" s="151">
        <f>INDEX('Monthly P&amp;L'!$Q$8:$AZ$59,MATCH($B56,'Monthly P&amp;L'!$B$8:$B$59,0),MATCH(U$45,'Monthly P&amp;L'!$Q$6:$AZ$6,0))</f>
        <v>280.549</v>
      </c>
      <c r="V56" s="151">
        <f>INDEX('Monthly P&amp;L'!$Q$8:$AZ$59,MATCH($B56,'Monthly P&amp;L'!$B$8:$B$59,0),MATCH(V$45,'Monthly P&amp;L'!$Q$6:$AZ$6,0))</f>
        <v>265.445</v>
      </c>
      <c r="W56" s="151">
        <f>INDEX('Monthly P&amp;L'!$Q$8:$AZ$59,MATCH($B56,'Monthly P&amp;L'!$B$8:$B$59,0),MATCH(W$45,'Monthly P&amp;L'!$Q$6:$AZ$6,0))</f>
        <v>234.912</v>
      </c>
      <c r="X56" s="151">
        <f>INDEX('Monthly P&amp;L'!$Q$8:$AZ$59,MATCH($B56,'Monthly P&amp;L'!$B$8:$B$59,0),MATCH(X$45,'Monthly P&amp;L'!$Q$6:$AZ$6,0))</f>
        <v>208.315</v>
      </c>
      <c r="Y56" s="151">
        <f>INDEX('Monthly P&amp;L'!$Q$8:$AZ$59,MATCH($B56,'Monthly P&amp;L'!$B$8:$B$59,0),MATCH(Y$45,'Monthly P&amp;L'!$Q$6:$AZ$6,0))</f>
        <v>218.014</v>
      </c>
      <c r="Z56" s="151">
        <f>INDEX('Monthly P&amp;L'!$Q$8:$AZ$59,MATCH($B56,'Monthly P&amp;L'!$B$8:$B$59,0),MATCH(Z$45,'Monthly P&amp;L'!$Q$6:$AZ$6,0))</f>
        <v>254.219</v>
      </c>
      <c r="AA56" s="151">
        <f>INDEX('Monthly P&amp;L'!$Q$8:$AZ$59,MATCH($B56,'Monthly P&amp;L'!$B$8:$B$59,0),MATCH(AA$45,'Monthly P&amp;L'!$Q$6:$AZ$6,0))</f>
        <v>228.339</v>
      </c>
      <c r="AB56" s="151">
        <f>INDEX('Monthly P&amp;L'!$Q$8:$AZ$59,MATCH($B56,'Monthly P&amp;L'!$B$8:$B$59,0),MATCH(AB$45,'Monthly P&amp;L'!$Q$6:$AZ$6,0))</f>
        <v>212.116</v>
      </c>
      <c r="AC56" s="151">
        <f>INDEX('Monthly P&amp;L'!$Q$8:$AZ$59,MATCH($B56,'Monthly P&amp;L'!$B$8:$B$59,0),MATCH(AC$45,'Monthly P&amp;L'!$Q$6:$AZ$6,0))</f>
        <v>206.551</v>
      </c>
      <c r="AD56" s="151">
        <f>INDEX('Monthly P&amp;L'!$Q$8:$AZ$59,MATCH($B56,'Monthly P&amp;L'!$B$8:$B$59,0),MATCH(AD$45,'Monthly P&amp;L'!$Q$6:$AZ$6,0))</f>
        <v>219.853</v>
      </c>
      <c r="AE56" s="151">
        <f>INDEX('Monthly P&amp;L'!$Q$8:$AZ$59,MATCH($B56,'Monthly P&amp;L'!$B$8:$B$59,0),MATCH(AE$45,'Monthly P&amp;L'!$Q$6:$AZ$6,0))</f>
        <v>249.28</v>
      </c>
      <c r="AF56" s="151">
        <f>INDEX('Monthly P&amp;L'!$Q$8:$AZ$59,MATCH($B56,'Monthly P&amp;L'!$B$8:$B$59,0),MATCH(AF$45,'Monthly P&amp;L'!$Q$6:$AZ$6,0))</f>
        <v>290.649</v>
      </c>
      <c r="AG56" s="151">
        <f>INDEX('Monthly P&amp;L'!$Q$8:$AZ$59,MATCH($B56,'Monthly P&amp;L'!$B$8:$B$59,0),MATCH(AG$45,'Monthly P&amp;L'!$Q$6:$AZ$6,0))</f>
        <v>313.184</v>
      </c>
      <c r="AH56" s="151">
        <f>INDEX('Monthly P&amp;L'!$Q$8:$AZ$59,MATCH($B56,'Monthly P&amp;L'!$B$8:$B$59,0),MATCH(AH$45,'Monthly P&amp;L'!$Q$6:$AZ$6,0))</f>
        <v>296.491</v>
      </c>
      <c r="AI56" s="151">
        <f>INDEX('Monthly P&amp;L'!$Q$8:$AZ$59,MATCH($B56,'Monthly P&amp;L'!$B$8:$B$59,0),MATCH(AI$45,'Monthly P&amp;L'!$Q$6:$AZ$6,0))</f>
        <v>262.866</v>
      </c>
      <c r="AJ56" s="151">
        <f>INDEX('Monthly P&amp;L'!$Q$8:$AZ$59,MATCH($B56,'Monthly P&amp;L'!$B$8:$B$59,0),MATCH(AJ$45,'Monthly P&amp;L'!$Q$6:$AZ$6,0))</f>
        <v>233.382</v>
      </c>
      <c r="AK56" s="151">
        <f>INDEX('Monthly P&amp;L'!$Q$8:$AZ$59,MATCH($B56,'Monthly P&amp;L'!$B$8:$B$59,0),MATCH(AK$45,'Monthly P&amp;L'!$Q$6:$AZ$6,0))</f>
        <v>244.069</v>
      </c>
      <c r="AL56" s="151">
        <f>INDEX('Monthly P&amp;L'!$Q$8:$AZ$59,MATCH($B56,'Monthly P&amp;L'!$B$8:$B$59,0),MATCH(AL$45,'Monthly P&amp;L'!$Q$6:$AZ$6,0))</f>
        <v>284.02</v>
      </c>
      <c r="AN56" s="150">
        <f>SUM(C56:AL56)</f>
        <v>8166.200000000001</v>
      </c>
      <c r="AO56" s="151">
        <f>SUMIFS('Monthly P&amp;L'!$Q$14:$AZ$14,'Monthly P&amp;L'!$Q$6:$AZ$6,"&gt;="&amp;$C$45,'Monthly P&amp;L'!$Q$6:$AZ$6,"&lt;="&amp;$AL$45)</f>
        <v>8166.200000000001</v>
      </c>
      <c r="AP56" s="130">
        <f>ROUND(AN56-AO56,6)</f>
        <v>0</v>
      </c>
    </row>
  </sheetData>
  <conditionalFormatting sqref="AP48:AP56">
    <cfRule type="expression" dxfId="14" priority="1">
      <formula>ROUND(AP48,3)&lt;&gt;0</formula>
    </cfRule>
  </conditionalFormatting>
  <printOptions horizontalCentered="1"/>
  <pageMargins left="0.5" right="0.5" top="0.6" bottom="0.7" header="0.3" footer="0.3"/>
  <pageSetup paperSize="1" orientation="landscape" fitToWidth="1" fitToHeight="0"/>
  <headerFooter>
    <oddHeader>&amp;RProject Ridgeline | As of 12/31/25</oddHeader>
    <oddFooter>&amp;LAMB Advisory Services | Strictly confidential&amp;C&amp;A&amp;RPage &amp;P of &amp;N</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AG45"/>
  <sheetViews>
    <sheetView workbookViewId="0" showGridLines="0" zoomScale="100">
      <pane xSplit="2" ySplit="6" topLeftCell="C7" activePane="bottomRight" state="frozen"/>
      <selection pane="bottomRight"/>
    </sheetView>
  </sheetViews>
  <sheetFormatPr defaultRowHeight="12.75" outlineLevelRow="0" outlineLevelCol="0" x14ac:dyDescent="55" customHeight="1"/>
  <cols>
    <col min="1" max="1" width="1.7" customWidth="1"/>
    <col min="2" max="2" width="45" customWidth="1"/>
    <col min="3" max="5" width="9.1" customWidth="1"/>
    <col min="6" max="6" width="0.9" customWidth="1"/>
    <col min="7" max="8" width="9.1" customWidth="1"/>
    <col min="9" max="9" width="0.9" customWidth="1"/>
    <col min="10" max="12" width="9.1" customWidth="1"/>
    <col min="13" max="13" width="0.9" customWidth="1"/>
    <col min="14" max="15" width="9.1" customWidth="1"/>
    <col min="16" max="16" width="0.9" customWidth="1"/>
    <col min="17" max="19" width="9.1" customWidth="1"/>
    <col min="20" max="20" width="0.9" customWidth="1"/>
    <col min="21" max="21" width="6.7" hidden="1" outlineLevel="1" collapsed="1" customWidth="1"/>
    <col min="22" max="33" width="6.7" customWidth="1"/>
  </cols>
  <sheetData>
    <row r="2" ht="16.5" customHeight="1" spans="2:2" x14ac:dyDescent="0.25">
      <c r="B2" s="9">
        <f>Cover!B24</f>
      </c>
    </row>
    <row r="3" spans="2:33" x14ac:dyDescent="0.25">
      <c r="B3" s="10" t="s">
        <v>532</v>
      </c>
      <c r="C3" s="11"/>
      <c r="D3" s="11"/>
      <c r="E3" s="11"/>
      <c r="F3" s="11"/>
      <c r="G3" s="11"/>
      <c r="H3" s="11"/>
      <c r="I3" s="11"/>
      <c r="J3" s="11"/>
      <c r="K3" s="11"/>
      <c r="L3" s="11"/>
      <c r="M3" s="11"/>
      <c r="N3" s="34" t="s">
        <v>80</v>
      </c>
      <c r="O3" s="35">
        <f>'Contents'!$I$18</f>
      </c>
      <c r="P3" s="11"/>
      <c r="Q3" s="11"/>
      <c r="R3" s="11"/>
      <c r="S3" s="11"/>
      <c r="T3" s="11"/>
      <c r="U3" s="11"/>
      <c r="V3" s="11"/>
      <c r="W3" s="11"/>
      <c r="X3" s="11"/>
      <c r="Y3" s="11"/>
      <c r="Z3" s="11"/>
      <c r="AA3" s="11"/>
      <c r="AB3" s="11"/>
      <c r="AC3" s="11"/>
      <c r="AD3" s="11"/>
      <c r="AE3" s="11"/>
      <c r="AF3" s="11"/>
      <c r="AG3" s="11"/>
    </row>
    <row r="5" spans="2:33" x14ac:dyDescent="0.25">
      <c r="B5" s="36"/>
      <c r="C5" s="36" t="s">
        <v>81</v>
      </c>
      <c r="D5" s="36"/>
      <c r="E5" s="36"/>
      <c r="G5" s="36" t="s">
        <v>327</v>
      </c>
      <c r="H5" s="36"/>
      <c r="J5" s="36" t="s">
        <v>82</v>
      </c>
      <c r="K5" s="36"/>
      <c r="L5" s="36" t="s">
        <v>83</v>
      </c>
      <c r="N5" s="36" t="s">
        <v>328</v>
      </c>
      <c r="O5" s="36"/>
      <c r="Q5" s="36" t="s">
        <v>82</v>
      </c>
      <c r="R5" s="36"/>
      <c r="S5" s="36" t="s">
        <v>83</v>
      </c>
      <c r="V5" s="36" t="s">
        <v>533</v>
      </c>
      <c r="W5" s="36"/>
      <c r="X5" s="36"/>
      <c r="Y5" s="36"/>
      <c r="Z5" s="36"/>
      <c r="AA5" s="36"/>
      <c r="AB5" s="36"/>
      <c r="AC5" s="36"/>
      <c r="AD5" s="36"/>
      <c r="AE5" s="36"/>
      <c r="AF5" s="36"/>
      <c r="AG5" s="36"/>
    </row>
    <row r="6" spans="2:33" x14ac:dyDescent="0.25">
      <c r="B6" s="13" t="s">
        <v>534</v>
      </c>
      <c r="C6" s="12" t="str">
        <f>"FY"&amp;YEAR(C$45)</f>
        <v>FY2023</v>
      </c>
      <c r="D6" s="12" t="str">
        <f>"FY"&amp;YEAR(D$45)</f>
        <v>FY2024</v>
      </c>
      <c r="E6" s="12" t="str">
        <f>"FY"&amp;YEAR(E$45)</f>
        <v>FY2025</v>
      </c>
      <c r="G6" s="12" t="str">
        <f>TEXT(G$45,"mmm-yy")</f>
        <v>Dec-24</v>
      </c>
      <c r="H6" s="12" t="str">
        <f>TEXT(H$45,"mmm-yy")</f>
        <v>Dec-25</v>
      </c>
      <c r="J6" s="12" t="str">
        <f>TEXT(J$45,"mmm-yy")</f>
        <v>Dec-24</v>
      </c>
      <c r="K6" s="12" t="str">
        <f>TEXT(K$45,"mmm-yy")</f>
        <v>Dec-25</v>
      </c>
      <c r="L6" s="12" t="str">
        <f>TEXT(L$45,"mmm-yy")</f>
        <v>Dec-25</v>
      </c>
      <c r="N6" s="12" t="s">
        <v>330</v>
      </c>
      <c r="O6" s="12" t="s">
        <v>331</v>
      </c>
      <c r="Q6" s="12" t="str">
        <f>J6</f>
        <v>Dec-24</v>
      </c>
      <c r="R6" s="12" t="str">
        <f>K6</f>
        <v>Dec-25</v>
      </c>
      <c r="S6" s="12" t="str">
        <f>L6</f>
        <v>Dec-25</v>
      </c>
      <c r="U6" s="138">
        <f>EOMONTH('Assumptions'!$C$9,-13)+1</f>
        <v>45627</v>
      </c>
      <c r="V6" s="138">
        <f>EOMONTH(U6,0)+1</f>
        <v>45658</v>
      </c>
      <c r="W6" s="138">
        <f>EOMONTH(V6,0)+1</f>
        <v>45689</v>
      </c>
      <c r="X6" s="138">
        <f>EOMONTH(W6,0)+1</f>
        <v>45717</v>
      </c>
      <c r="Y6" s="138">
        <f>EOMONTH(X6,0)+1</f>
        <v>45748</v>
      </c>
      <c r="Z6" s="138">
        <f>EOMONTH(Y6,0)+1</f>
        <v>45778</v>
      </c>
      <c r="AA6" s="138">
        <f>EOMONTH(Z6,0)+1</f>
        <v>45809</v>
      </c>
      <c r="AB6" s="138">
        <f>EOMONTH(AA6,0)+1</f>
        <v>45839</v>
      </c>
      <c r="AC6" s="138">
        <f>EOMONTH(AB6,0)+1</f>
        <v>45870</v>
      </c>
      <c r="AD6" s="138">
        <f>EOMONTH(AC6,0)+1</f>
        <v>45901</v>
      </c>
      <c r="AE6" s="138">
        <f>EOMONTH(AD6,0)+1</f>
        <v>45931</v>
      </c>
      <c r="AF6" s="138">
        <f>EOMONTH(AE6,0)+1</f>
        <v>45962</v>
      </c>
      <c r="AG6" s="138">
        <f>EOMONTH(AF6,0)+1</f>
        <v>45992</v>
      </c>
    </row>
    <row r="8" spans="2:33" x14ac:dyDescent="0.25">
      <c r="B8" s="37" t="s">
        <v>535</v>
      </c>
      <c r="C8" s="37"/>
      <c r="D8" s="37"/>
      <c r="E8" s="37"/>
      <c r="G8" s="37"/>
      <c r="H8" s="37"/>
      <c r="J8" s="37"/>
      <c r="K8" s="37"/>
      <c r="L8" s="37"/>
      <c r="N8" s="37"/>
      <c r="O8" s="37"/>
      <c r="Q8" s="37"/>
      <c r="R8" s="37"/>
      <c r="S8" s="37"/>
      <c r="V8" s="37"/>
      <c r="W8" s="37"/>
      <c r="X8" s="37"/>
      <c r="Y8" s="37"/>
      <c r="Z8" s="37"/>
      <c r="AA8" s="37"/>
      <c r="AB8" s="37"/>
      <c r="AC8" s="37"/>
      <c r="AD8" s="37"/>
      <c r="AE8" s="37"/>
      <c r="AF8" s="37"/>
      <c r="AG8" s="37"/>
    </row>
    <row r="9" spans="2:33" x14ac:dyDescent="0.25">
      <c r="B9" s="163" t="s">
        <v>344</v>
      </c>
      <c r="C9" s="39">
        <f>SUMIFS('Monthly P&amp;L'!$Q$16:$AZ$16,'Monthly P&amp;L'!$Q$6:$AZ$6,"&gt;="&amp;C$44,'Monthly P&amp;L'!$Q$6:$AZ$6,"&lt;="&amp;C$45)</f>
        <v>938.8</v>
      </c>
      <c r="D9" s="39">
        <f>SUMIFS('Monthly P&amp;L'!$Q$16:$AZ$16,'Monthly P&amp;L'!$Q$6:$AZ$6,"&gt;="&amp;D$44,'Monthly P&amp;L'!$Q$6:$AZ$6,"&lt;="&amp;D$45)</f>
        <v>1047.9</v>
      </c>
      <c r="E9" s="39">
        <f>SUMIFS('Monthly P&amp;L'!$Q$16:$AZ$16,'Monthly P&amp;L'!$Q$6:$AZ$6,"&gt;="&amp;E$44,'Monthly P&amp;L'!$Q$6:$AZ$6,"&lt;="&amp;E$45)</f>
        <v>1158.9</v>
      </c>
      <c r="G9" s="39">
        <f>SUMIFS('Monthly P&amp;L'!$Q$16:$AZ$16,'Monthly P&amp;L'!$Q$6:$AZ$6,"&gt;="&amp;G$44,'Monthly P&amp;L'!$Q$6:$AZ$6,"&lt;="&amp;G$45)</f>
        <v>1047.9</v>
      </c>
      <c r="H9" s="39">
        <f>SUMIFS('Monthly P&amp;L'!$Q$16:$AZ$16,'Monthly P&amp;L'!$Q$6:$AZ$6,"&gt;="&amp;H$44,'Monthly P&amp;L'!$Q$6:$AZ$6,"&lt;="&amp;H$45)</f>
        <v>1158.9</v>
      </c>
      <c r="J9" s="39">
        <f>SUMIFS('Monthly P&amp;L'!$Q$16:$AZ$16,'Monthly P&amp;L'!$Q$6:$AZ$6,"&gt;="&amp;J$44,'Monthly P&amp;L'!$Q$6:$AZ$6,"&lt;="&amp;J$45)</f>
        <v>1047.9</v>
      </c>
      <c r="K9" s="39">
        <f>SUMIFS('Monthly P&amp;L'!$Q$16:$AZ$16,'Monthly P&amp;L'!$Q$6:$AZ$6,"&gt;="&amp;K$44,'Monthly P&amp;L'!$Q$6:$AZ$6,"&lt;="&amp;K$45)</f>
        <v>1158.9</v>
      </c>
      <c r="L9" s="39">
        <f>SUMIFS('Monthly P&amp;L'!$Q$16:$AZ$16,'Monthly P&amp;L'!$Q$6:$AZ$6,"&gt;="&amp;L$44,'Monthly P&amp;L'!$Q$6:$AZ$6,"&lt;="&amp;L$45)</f>
        <v>1158.9</v>
      </c>
      <c r="N9" s="38">
        <f>L9-K9</f>
        <v>0</v>
      </c>
      <c r="O9" s="115">
        <f>IFERROR(L9/K9-1,"n.a.")</f>
        <v>0</v>
      </c>
      <c r="Q9" s="39">
        <f>J9</f>
        <v>1047.9</v>
      </c>
      <c r="R9" s="39">
        <f>K9</f>
        <v>1158.9</v>
      </c>
      <c r="S9" s="39">
        <f>L9</f>
        <v>1158.9</v>
      </c>
      <c r="U9" s="39">
        <f>'Monthly P&amp;L'!AN16</f>
        <v>100.229</v>
      </c>
      <c r="V9" s="39">
        <f>'Monthly P&amp;L'!AO16</f>
        <v>86.566</v>
      </c>
      <c r="W9" s="39">
        <f>'Monthly P&amp;L'!AP16</f>
        <v>78.744</v>
      </c>
      <c r="X9" s="39">
        <f>'Monthly P&amp;L'!AQ16</f>
        <v>75.391</v>
      </c>
      <c r="Y9" s="39">
        <f>'Monthly P&amp;L'!AR16</f>
        <v>80.873</v>
      </c>
      <c r="Z9" s="39">
        <f>'Monthly P&amp;L'!AS16</f>
        <v>94.979</v>
      </c>
      <c r="AA9" s="39">
        <f>'Monthly P&amp;L'!AT16</f>
        <v>114.152</v>
      </c>
      <c r="AB9" s="39">
        <f>'Monthly P&amp;L'!AU16</f>
        <v>124.494</v>
      </c>
      <c r="AC9" s="39">
        <f>'Monthly P&amp;L'!AV16</f>
        <v>116.447</v>
      </c>
      <c r="AD9" s="39">
        <f>'Monthly P&amp;L'!AW16</f>
        <v>99.34</v>
      </c>
      <c r="AE9" s="39">
        <f>'Monthly P&amp;L'!AX16</f>
        <v>85.849</v>
      </c>
      <c r="AF9" s="39">
        <f>'Monthly P&amp;L'!AY16</f>
        <v>91.203</v>
      </c>
      <c r="AG9" s="39">
        <f>'Monthly P&amp;L'!AZ16</f>
        <v>110.862</v>
      </c>
    </row>
    <row r="10" spans="2:33" x14ac:dyDescent="0.25">
      <c r="B10" s="165" t="s">
        <v>89</v>
      </c>
      <c r="C10" s="166">
        <f>SUMIFS('Monthly P&amp;L'!$Q$18:$AZ$18,'Monthly P&amp;L'!$Q$6:$AZ$6,"&gt;="&amp;C$44,'Monthly P&amp;L'!$Q$6:$AZ$6,"&lt;="&amp;C$45)</f>
        <v>1468</v>
      </c>
      <c r="D10" s="167">
        <f>SUMIFS('Monthly P&amp;L'!$Q$18:$AZ$18,'Monthly P&amp;L'!$Q$6:$AZ$6,"&gt;="&amp;D$44,'Monthly P&amp;L'!$Q$6:$AZ$6,"&lt;="&amp;D$45)</f>
        <v>1670.7</v>
      </c>
      <c r="E10" s="168">
        <f>SUMIFS('Monthly P&amp;L'!$Q$18:$AZ$18,'Monthly P&amp;L'!$Q$6:$AZ$6,"&gt;="&amp;E$44,'Monthly P&amp;L'!$Q$6:$AZ$6,"&lt;="&amp;E$45)</f>
        <v>1881.9</v>
      </c>
      <c r="G10" s="166">
        <f>SUMIFS('Monthly P&amp;L'!$Q$18:$AZ$18,'Monthly P&amp;L'!$Q$6:$AZ$6,"&gt;="&amp;G$44,'Monthly P&amp;L'!$Q$6:$AZ$6,"&lt;="&amp;G$45)</f>
        <v>1670.7</v>
      </c>
      <c r="H10" s="168">
        <f>SUMIFS('Monthly P&amp;L'!$Q$18:$AZ$18,'Monthly P&amp;L'!$Q$6:$AZ$6,"&gt;="&amp;H$44,'Monthly P&amp;L'!$Q$6:$AZ$6,"&lt;="&amp;H$45)</f>
        <v>1881.9</v>
      </c>
      <c r="J10" s="166">
        <f>SUMIFS('Monthly P&amp;L'!$Q$18:$AZ$18,'Monthly P&amp;L'!$Q$6:$AZ$6,"&gt;="&amp;J$44,'Monthly P&amp;L'!$Q$6:$AZ$6,"&lt;="&amp;J$45)</f>
        <v>1670.7</v>
      </c>
      <c r="K10" s="168">
        <f>SUMIFS('Monthly P&amp;L'!$Q$18:$AZ$18,'Monthly P&amp;L'!$Q$6:$AZ$6,"&gt;="&amp;K$44,'Monthly P&amp;L'!$Q$6:$AZ$6,"&lt;="&amp;K$45)</f>
        <v>1881.9</v>
      </c>
      <c r="L10" s="169">
        <f>SUMIFS('Monthly P&amp;L'!$Q$18:$AZ$18,'Monthly P&amp;L'!$Q$6:$AZ$6,"&gt;="&amp;L$44,'Monthly P&amp;L'!$Q$6:$AZ$6,"&lt;="&amp;L$45)</f>
        <v>1881.9</v>
      </c>
      <c r="N10" s="170">
        <f>L10-K10</f>
        <v>0</v>
      </c>
      <c r="O10" s="171">
        <f>IFERROR(L10/K10-1,"n.a.")</f>
        <v>0</v>
      </c>
      <c r="Q10" s="166">
        <f>J10</f>
        <v>1670.7</v>
      </c>
      <c r="R10" s="167">
        <f>K10</f>
        <v>1881.9</v>
      </c>
      <c r="S10" s="168">
        <f>L10</f>
        <v>1881.9</v>
      </c>
      <c r="U10" s="172">
        <f>'Monthly P&amp;L'!AN18</f>
        <v>153.99</v>
      </c>
      <c r="V10" s="166">
        <f>'Monthly P&amp;L'!AO18</f>
        <v>141.773</v>
      </c>
      <c r="W10" s="167">
        <f>'Monthly P&amp;L'!AP18</f>
        <v>133.372</v>
      </c>
      <c r="X10" s="167">
        <f>'Monthly P&amp;L'!AQ18</f>
        <v>131.16</v>
      </c>
      <c r="Y10" s="167">
        <f>'Monthly P&amp;L'!AR18</f>
        <v>138.98</v>
      </c>
      <c r="Z10" s="167">
        <f>'Monthly P&amp;L'!AS18</f>
        <v>154.301</v>
      </c>
      <c r="AA10" s="167">
        <f>'Monthly P&amp;L'!AT18</f>
        <v>176.497</v>
      </c>
      <c r="AB10" s="167">
        <f>'Monthly P&amp;L'!AU18</f>
        <v>188.69</v>
      </c>
      <c r="AC10" s="167">
        <f>'Monthly P&amp;L'!AV18</f>
        <v>180.044</v>
      </c>
      <c r="AD10" s="167">
        <f>'Monthly P&amp;L'!AW18</f>
        <v>163.526</v>
      </c>
      <c r="AE10" s="167">
        <f>'Monthly P&amp;L'!AX18</f>
        <v>147.533</v>
      </c>
      <c r="AF10" s="167">
        <f>'Monthly P&amp;L'!AY18</f>
        <v>152.866</v>
      </c>
      <c r="AG10" s="168">
        <f>'Monthly P&amp;L'!AZ18</f>
        <v>173.158</v>
      </c>
    </row>
    <row r="11" spans="2:33" x14ac:dyDescent="0.25">
      <c r="B11" s="163" t="s">
        <v>349</v>
      </c>
      <c r="C11" s="39">
        <f>SUMIFS('Monthly P&amp;L'!$Q$22:$AZ$22,'Monthly P&amp;L'!$Q$6:$AZ$6,"&gt;="&amp;C$44,'Monthly P&amp;L'!$Q$6:$AZ$6,"&lt;="&amp;C$45)</f>
        <v>730.6</v>
      </c>
      <c r="D11" s="39">
        <f>SUMIFS('Monthly P&amp;L'!$Q$22:$AZ$22,'Monthly P&amp;L'!$Q$6:$AZ$6,"&gt;="&amp;D$44,'Monthly P&amp;L'!$Q$6:$AZ$6,"&lt;="&amp;D$45)</f>
        <v>818.1</v>
      </c>
      <c r="E11" s="39">
        <f>SUMIFS('Monthly P&amp;L'!$Q$22:$AZ$22,'Monthly P&amp;L'!$Q$6:$AZ$6,"&gt;="&amp;E$44,'Monthly P&amp;L'!$Q$6:$AZ$6,"&lt;="&amp;E$45)</f>
        <v>904.7</v>
      </c>
      <c r="G11" s="39">
        <f>SUMIFS('Monthly P&amp;L'!$Q$22:$AZ$22,'Monthly P&amp;L'!$Q$6:$AZ$6,"&gt;="&amp;G$44,'Monthly P&amp;L'!$Q$6:$AZ$6,"&lt;="&amp;G$45)</f>
        <v>818.1</v>
      </c>
      <c r="H11" s="39">
        <f>SUMIFS('Monthly P&amp;L'!$Q$22:$AZ$22,'Monthly P&amp;L'!$Q$6:$AZ$6,"&gt;="&amp;H$44,'Monthly P&amp;L'!$Q$6:$AZ$6,"&lt;="&amp;H$45)</f>
        <v>904.7</v>
      </c>
      <c r="J11" s="39">
        <f>SUMIFS('Monthly P&amp;L'!$Q$22:$AZ$22,'Monthly P&amp;L'!$Q$6:$AZ$6,"&gt;="&amp;J$44,'Monthly P&amp;L'!$Q$6:$AZ$6,"&lt;="&amp;J$45)</f>
        <v>818.1</v>
      </c>
      <c r="K11" s="39">
        <f>SUMIFS('Monthly P&amp;L'!$Q$22:$AZ$22,'Monthly P&amp;L'!$Q$6:$AZ$6,"&gt;="&amp;K$44,'Monthly P&amp;L'!$Q$6:$AZ$6,"&lt;="&amp;K$45)</f>
        <v>904.7</v>
      </c>
      <c r="L11" s="39">
        <f>SUMIFS('Monthly P&amp;L'!$Q$22:$AZ$22,'Monthly P&amp;L'!$Q$6:$AZ$6,"&gt;="&amp;L$44,'Monthly P&amp;L'!$Q$6:$AZ$6,"&lt;="&amp;L$45)</f>
        <v>904.7</v>
      </c>
      <c r="N11" s="38">
        <f>L11-K11</f>
        <v>0</v>
      </c>
      <c r="O11" s="115">
        <f>IFERROR(L11/K11-1,"n.a.")</f>
        <v>0</v>
      </c>
      <c r="Q11" s="39">
        <f>J11</f>
        <v>818.1</v>
      </c>
      <c r="R11" s="39">
        <f>K11</f>
        <v>904.7</v>
      </c>
      <c r="S11" s="39">
        <f>L11</f>
        <v>904.7</v>
      </c>
      <c r="U11" s="39">
        <f>'Monthly P&amp;L'!AN22</f>
        <v>66.019</v>
      </c>
      <c r="V11" s="39">
        <f>'Monthly P&amp;L'!AO22</f>
        <v>70.584</v>
      </c>
      <c r="W11" s="39">
        <f>'Monthly P&amp;L'!AP22</f>
        <v>69.383</v>
      </c>
      <c r="X11" s="39">
        <f>'Monthly P&amp;L'!AQ22</f>
        <v>72.387</v>
      </c>
      <c r="Y11" s="39">
        <f>'Monthly P&amp;L'!AR22</f>
        <v>74.191</v>
      </c>
      <c r="Z11" s="39">
        <f>'Monthly P&amp;L'!AS22</f>
        <v>76.595</v>
      </c>
      <c r="AA11" s="39">
        <f>'Monthly P&amp;L'!AT22</f>
        <v>81.402</v>
      </c>
      <c r="AB11" s="39">
        <f>'Monthly P&amp;L'!AU22</f>
        <v>84.407</v>
      </c>
      <c r="AC11" s="39">
        <f>'Monthly P&amp;L'!AV22</f>
        <v>81.401</v>
      </c>
      <c r="AD11" s="39">
        <f>'Monthly P&amp;L'!AW22</f>
        <v>76.592</v>
      </c>
      <c r="AE11" s="39">
        <f>'Monthly P&amp;L'!AX22</f>
        <v>72.987</v>
      </c>
      <c r="AF11" s="39">
        <f>'Monthly P&amp;L'!AY22</f>
        <v>71.784</v>
      </c>
      <c r="AG11" s="39">
        <f>'Monthly P&amp;L'!AZ22</f>
        <v>72.987</v>
      </c>
    </row>
    <row r="12" spans="2:33" x14ac:dyDescent="0.25">
      <c r="B12" s="164" t="s">
        <v>351</v>
      </c>
      <c r="C12" s="53">
        <f>SUMIFS('Monthly P&amp;L'!$Q$23:$AZ$23,'Monthly P&amp;L'!$Q$6:$AZ$6,"&gt;="&amp;C$44,'Monthly P&amp;L'!$Q$6:$AZ$6,"&lt;="&amp;C$45)</f>
        <v>180</v>
      </c>
      <c r="D12" s="53">
        <f>SUMIFS('Monthly P&amp;L'!$Q$23:$AZ$23,'Monthly P&amp;L'!$Q$6:$AZ$6,"&gt;="&amp;D$44,'Monthly P&amp;L'!$Q$6:$AZ$6,"&lt;="&amp;D$45)</f>
        <v>190</v>
      </c>
      <c r="E12" s="53">
        <f>SUMIFS('Monthly P&amp;L'!$Q$23:$AZ$23,'Monthly P&amp;L'!$Q$6:$AZ$6,"&gt;="&amp;E$44,'Monthly P&amp;L'!$Q$6:$AZ$6,"&lt;="&amp;E$45)</f>
        <v>200</v>
      </c>
      <c r="G12" s="53">
        <f>SUMIFS('Monthly P&amp;L'!$Q$23:$AZ$23,'Monthly P&amp;L'!$Q$6:$AZ$6,"&gt;="&amp;G$44,'Monthly P&amp;L'!$Q$6:$AZ$6,"&lt;="&amp;G$45)</f>
        <v>190</v>
      </c>
      <c r="H12" s="53">
        <f>SUMIFS('Monthly P&amp;L'!$Q$23:$AZ$23,'Monthly P&amp;L'!$Q$6:$AZ$6,"&gt;="&amp;H$44,'Monthly P&amp;L'!$Q$6:$AZ$6,"&lt;="&amp;H$45)</f>
        <v>200</v>
      </c>
      <c r="J12" s="53">
        <f>SUMIFS('Monthly P&amp;L'!$Q$23:$AZ$23,'Monthly P&amp;L'!$Q$6:$AZ$6,"&gt;="&amp;J$44,'Monthly P&amp;L'!$Q$6:$AZ$6,"&lt;="&amp;J$45)</f>
        <v>190</v>
      </c>
      <c r="K12" s="53">
        <f>SUMIFS('Monthly P&amp;L'!$Q$23:$AZ$23,'Monthly P&amp;L'!$Q$6:$AZ$6,"&gt;="&amp;K$44,'Monthly P&amp;L'!$Q$6:$AZ$6,"&lt;="&amp;K$45)</f>
        <v>200</v>
      </c>
      <c r="L12" s="53">
        <f>SUMIFS('Monthly P&amp;L'!$Q$23:$AZ$23,'Monthly P&amp;L'!$Q$6:$AZ$6,"&gt;="&amp;L$44,'Monthly P&amp;L'!$Q$6:$AZ$6,"&lt;="&amp;L$45)</f>
        <v>200</v>
      </c>
      <c r="N12" s="52">
        <f>L12-K12</f>
        <v>0</v>
      </c>
      <c r="O12" s="115">
        <f>IFERROR(L12/K12-1,"n.a.")</f>
        <v>0</v>
      </c>
      <c r="Q12" s="53">
        <f>J12</f>
        <v>190</v>
      </c>
      <c r="R12" s="53">
        <f>K12</f>
        <v>200</v>
      </c>
      <c r="S12" s="53">
        <f>L12</f>
        <v>200</v>
      </c>
      <c r="U12" s="53">
        <f>'Monthly P&amp;L'!AN23</f>
        <v>15.833</v>
      </c>
      <c r="V12" s="53">
        <f>'Monthly P&amp;L'!AO23</f>
        <v>16.667</v>
      </c>
      <c r="W12" s="53">
        <f>'Monthly P&amp;L'!AP23</f>
        <v>16.667</v>
      </c>
      <c r="X12" s="53">
        <f>'Monthly P&amp;L'!AQ23</f>
        <v>16.667</v>
      </c>
      <c r="Y12" s="53">
        <f>'Monthly P&amp;L'!AR23</f>
        <v>16.667</v>
      </c>
      <c r="Z12" s="53">
        <f>'Monthly P&amp;L'!AS23</f>
        <v>16.667</v>
      </c>
      <c r="AA12" s="53">
        <f>'Monthly P&amp;L'!AT23</f>
        <v>16.667</v>
      </c>
      <c r="AB12" s="53">
        <f>'Monthly P&amp;L'!AU23</f>
        <v>16.667</v>
      </c>
      <c r="AC12" s="53">
        <f>'Monthly P&amp;L'!AV23</f>
        <v>16.667</v>
      </c>
      <c r="AD12" s="53">
        <f>'Monthly P&amp;L'!AW23</f>
        <v>16.666</v>
      </c>
      <c r="AE12" s="53">
        <f>'Monthly P&amp;L'!AX23</f>
        <v>16.666</v>
      </c>
      <c r="AF12" s="53">
        <f>'Monthly P&amp;L'!AY23</f>
        <v>16.666</v>
      </c>
      <c r="AG12" s="53">
        <f>'Monthly P&amp;L'!AZ23</f>
        <v>16.666</v>
      </c>
    </row>
    <row r="13" spans="2:33" x14ac:dyDescent="0.25">
      <c r="B13" s="164" t="s">
        <v>353</v>
      </c>
      <c r="C13" s="53">
        <f>SUMIFS('Monthly P&amp;L'!$Q$24:$AZ$24,'Monthly P&amp;L'!$Q$6:$AZ$6,"&gt;="&amp;C$44,'Monthly P&amp;L'!$Q$6:$AZ$6,"&lt;="&amp;C$45)</f>
        <v>72</v>
      </c>
      <c r="D13" s="53">
        <f>SUMIFS('Monthly P&amp;L'!$Q$24:$AZ$24,'Monthly P&amp;L'!$Q$6:$AZ$6,"&gt;="&amp;D$44,'Monthly P&amp;L'!$Q$6:$AZ$6,"&lt;="&amp;D$45)</f>
        <v>74.16</v>
      </c>
      <c r="E13" s="53">
        <f>SUMIFS('Monthly P&amp;L'!$Q$24:$AZ$24,'Monthly P&amp;L'!$Q$6:$AZ$6,"&gt;="&amp;E$44,'Monthly P&amp;L'!$Q$6:$AZ$6,"&lt;="&amp;E$45)</f>
        <v>76.385</v>
      </c>
      <c r="G13" s="53">
        <f>SUMIFS('Monthly P&amp;L'!$Q$24:$AZ$24,'Monthly P&amp;L'!$Q$6:$AZ$6,"&gt;="&amp;G$44,'Monthly P&amp;L'!$Q$6:$AZ$6,"&lt;="&amp;G$45)</f>
        <v>74.16</v>
      </c>
      <c r="H13" s="53">
        <f>SUMIFS('Monthly P&amp;L'!$Q$24:$AZ$24,'Monthly P&amp;L'!$Q$6:$AZ$6,"&gt;="&amp;H$44,'Monthly P&amp;L'!$Q$6:$AZ$6,"&lt;="&amp;H$45)</f>
        <v>76.385</v>
      </c>
      <c r="J13" s="53">
        <f>SUMIFS('Monthly P&amp;L'!$Q$24:$AZ$24,'Monthly P&amp;L'!$Q$6:$AZ$6,"&gt;="&amp;J$44,'Monthly P&amp;L'!$Q$6:$AZ$6,"&lt;="&amp;J$45)</f>
        <v>74.16</v>
      </c>
      <c r="K13" s="53">
        <f>SUMIFS('Monthly P&amp;L'!$Q$24:$AZ$24,'Monthly P&amp;L'!$Q$6:$AZ$6,"&gt;="&amp;K$44,'Monthly P&amp;L'!$Q$6:$AZ$6,"&lt;="&amp;K$45)</f>
        <v>76.385</v>
      </c>
      <c r="L13" s="53">
        <f>SUMIFS('Monthly P&amp;L'!$Q$24:$AZ$24,'Monthly P&amp;L'!$Q$6:$AZ$6,"&gt;="&amp;L$44,'Monthly P&amp;L'!$Q$6:$AZ$6,"&lt;="&amp;L$45)</f>
        <v>76.385</v>
      </c>
      <c r="N13" s="52">
        <f>L13-K13</f>
        <v>0</v>
      </c>
      <c r="O13" s="115">
        <f>IFERROR(L13/K13-1,"n.a.")</f>
        <v>0</v>
      </c>
      <c r="Q13" s="53">
        <f>J13</f>
        <v>74.16</v>
      </c>
      <c r="R13" s="53">
        <f>K13</f>
        <v>76.385</v>
      </c>
      <c r="S13" s="53">
        <f>L13</f>
        <v>76.385</v>
      </c>
      <c r="U13" s="53">
        <f>'Monthly P&amp;L'!AN24</f>
        <v>6.18</v>
      </c>
      <c r="V13" s="53">
        <f>'Monthly P&amp;L'!AO24</f>
        <v>6.366</v>
      </c>
      <c r="W13" s="53">
        <f>'Monthly P&amp;L'!AP24</f>
        <v>6.366</v>
      </c>
      <c r="X13" s="53">
        <f>'Monthly P&amp;L'!AQ24</f>
        <v>6.366</v>
      </c>
      <c r="Y13" s="53">
        <f>'Monthly P&amp;L'!AR24</f>
        <v>6.366</v>
      </c>
      <c r="Z13" s="53">
        <f>'Monthly P&amp;L'!AS24</f>
        <v>6.366</v>
      </c>
      <c r="AA13" s="53">
        <f>'Monthly P&amp;L'!AT24</f>
        <v>6.365</v>
      </c>
      <c r="AB13" s="53">
        <f>'Monthly P&amp;L'!AU24</f>
        <v>6.365</v>
      </c>
      <c r="AC13" s="53">
        <f>'Monthly P&amp;L'!AV24</f>
        <v>6.365</v>
      </c>
      <c r="AD13" s="53">
        <f>'Monthly P&amp;L'!AW24</f>
        <v>6.365</v>
      </c>
      <c r="AE13" s="53">
        <f>'Monthly P&amp;L'!AX24</f>
        <v>6.365</v>
      </c>
      <c r="AF13" s="53">
        <f>'Monthly P&amp;L'!AY24</f>
        <v>6.365</v>
      </c>
      <c r="AG13" s="53">
        <f>'Monthly P&amp;L'!AZ24</f>
        <v>6.365</v>
      </c>
    </row>
    <row r="14" spans="2:33" x14ac:dyDescent="0.25">
      <c r="B14" s="164" t="s">
        <v>355</v>
      </c>
      <c r="C14" s="53">
        <f>SUMIFS('Monthly P&amp;L'!$Q$25:$AZ$25,'Monthly P&amp;L'!$Q$6:$AZ$6,"&gt;="&amp;C$44,'Monthly P&amp;L'!$Q$6:$AZ$6,"&lt;="&amp;C$45)</f>
        <v>64.8</v>
      </c>
      <c r="D14" s="53">
        <f>SUMIFS('Monthly P&amp;L'!$Q$25:$AZ$25,'Monthly P&amp;L'!$Q$6:$AZ$6,"&gt;="&amp;D$44,'Monthly P&amp;L'!$Q$6:$AZ$6,"&lt;="&amp;D$45)</f>
        <v>71.2</v>
      </c>
      <c r="E14" s="53">
        <f>SUMIFS('Monthly P&amp;L'!$Q$25:$AZ$25,'Monthly P&amp;L'!$Q$6:$AZ$6,"&gt;="&amp;E$44,'Monthly P&amp;L'!$Q$6:$AZ$6,"&lt;="&amp;E$45)</f>
        <v>79.6</v>
      </c>
      <c r="G14" s="53">
        <f>SUMIFS('Monthly P&amp;L'!$Q$25:$AZ$25,'Monthly P&amp;L'!$Q$6:$AZ$6,"&gt;="&amp;G$44,'Monthly P&amp;L'!$Q$6:$AZ$6,"&lt;="&amp;G$45)</f>
        <v>71.2</v>
      </c>
      <c r="H14" s="53">
        <f>SUMIFS('Monthly P&amp;L'!$Q$25:$AZ$25,'Monthly P&amp;L'!$Q$6:$AZ$6,"&gt;="&amp;H$44,'Monthly P&amp;L'!$Q$6:$AZ$6,"&lt;="&amp;H$45)</f>
        <v>79.6</v>
      </c>
      <c r="J14" s="53">
        <f>SUMIFS('Monthly P&amp;L'!$Q$25:$AZ$25,'Monthly P&amp;L'!$Q$6:$AZ$6,"&gt;="&amp;J$44,'Monthly P&amp;L'!$Q$6:$AZ$6,"&lt;="&amp;J$45)</f>
        <v>71.2</v>
      </c>
      <c r="K14" s="53">
        <f>SUMIFS('Monthly P&amp;L'!$Q$25:$AZ$25,'Monthly P&amp;L'!$Q$6:$AZ$6,"&gt;="&amp;K$44,'Monthly P&amp;L'!$Q$6:$AZ$6,"&lt;="&amp;K$45)</f>
        <v>79.6</v>
      </c>
      <c r="L14" s="53">
        <f>SUMIFS('Monthly P&amp;L'!$Q$25:$AZ$25,'Monthly P&amp;L'!$Q$6:$AZ$6,"&gt;="&amp;L$44,'Monthly P&amp;L'!$Q$6:$AZ$6,"&lt;="&amp;L$45)</f>
        <v>79.6</v>
      </c>
      <c r="N14" s="52">
        <f>L14-K14</f>
        <v>0</v>
      </c>
      <c r="O14" s="115">
        <f>IFERROR(L14/K14-1,"n.a.")</f>
        <v>0</v>
      </c>
      <c r="Q14" s="53">
        <f>J14</f>
        <v>71.2</v>
      </c>
      <c r="R14" s="53">
        <f>K14</f>
        <v>79.6</v>
      </c>
      <c r="S14" s="53">
        <f>L14</f>
        <v>79.6</v>
      </c>
      <c r="U14" s="53">
        <f>'Monthly P&amp;L'!AN25</f>
        <v>4.153</v>
      </c>
      <c r="V14" s="53">
        <f>'Monthly P&amp;L'!AO25</f>
        <v>5.307</v>
      </c>
      <c r="W14" s="53">
        <f>'Monthly P&amp;L'!AP25</f>
        <v>5.97</v>
      </c>
      <c r="X14" s="53">
        <f>'Monthly P&amp;L'!AQ25</f>
        <v>7.96</v>
      </c>
      <c r="Y14" s="53">
        <f>'Monthly P&amp;L'!AR25</f>
        <v>8.623</v>
      </c>
      <c r="Z14" s="53">
        <f>'Monthly P&amp;L'!AS25</f>
        <v>7.96</v>
      </c>
      <c r="AA14" s="53">
        <f>'Monthly P&amp;L'!AT25</f>
        <v>6.633</v>
      </c>
      <c r="AB14" s="53">
        <f>'Monthly P&amp;L'!AU25</f>
        <v>5.97</v>
      </c>
      <c r="AC14" s="53">
        <f>'Monthly P&amp;L'!AV25</f>
        <v>5.97</v>
      </c>
      <c r="AD14" s="53">
        <f>'Monthly P&amp;L'!AW25</f>
        <v>7.297</v>
      </c>
      <c r="AE14" s="53">
        <f>'Monthly P&amp;L'!AX25</f>
        <v>7.96</v>
      </c>
      <c r="AF14" s="53">
        <f>'Monthly P&amp;L'!AY25</f>
        <v>5.307</v>
      </c>
      <c r="AG14" s="53">
        <f>'Monthly P&amp;L'!AZ25</f>
        <v>4.643</v>
      </c>
    </row>
    <row r="15" spans="2:33" x14ac:dyDescent="0.25">
      <c r="B15" s="164" t="s">
        <v>357</v>
      </c>
      <c r="C15" s="53">
        <f>SUMIFS('Monthly P&amp;L'!$Q$26:$AZ$26,'Monthly P&amp;L'!$Q$6:$AZ$6,"&gt;="&amp;C$44,'Monthly P&amp;L'!$Q$6:$AZ$6,"&lt;="&amp;C$45)</f>
        <v>263.6</v>
      </c>
      <c r="D15" s="53">
        <f>SUMIFS('Monthly P&amp;L'!$Q$26:$AZ$26,'Monthly P&amp;L'!$Q$6:$AZ$6,"&gt;="&amp;D$44,'Monthly P&amp;L'!$Q$6:$AZ$6,"&lt;="&amp;D$45)</f>
        <v>305</v>
      </c>
      <c r="E15" s="53">
        <f>SUMIFS('Monthly P&amp;L'!$Q$26:$AZ$26,'Monthly P&amp;L'!$Q$6:$AZ$6,"&gt;="&amp;E$44,'Monthly P&amp;L'!$Q$6:$AZ$6,"&lt;="&amp;E$45)</f>
        <v>304.8</v>
      </c>
      <c r="G15" s="53">
        <f>SUMIFS('Monthly P&amp;L'!$Q$26:$AZ$26,'Monthly P&amp;L'!$Q$6:$AZ$6,"&gt;="&amp;G$44,'Monthly P&amp;L'!$Q$6:$AZ$6,"&lt;="&amp;G$45)</f>
        <v>305</v>
      </c>
      <c r="H15" s="53">
        <f>SUMIFS('Monthly P&amp;L'!$Q$26:$AZ$26,'Monthly P&amp;L'!$Q$6:$AZ$6,"&gt;="&amp;H$44,'Monthly P&amp;L'!$Q$6:$AZ$6,"&lt;="&amp;H$45)</f>
        <v>304.8</v>
      </c>
      <c r="J15" s="53">
        <f>SUMIFS('Monthly P&amp;L'!$Q$26:$AZ$26,'Monthly P&amp;L'!$Q$6:$AZ$6,"&gt;="&amp;J$44,'Monthly P&amp;L'!$Q$6:$AZ$6,"&lt;="&amp;J$45)</f>
        <v>305</v>
      </c>
      <c r="K15" s="53">
        <f>SUMIFS('Monthly P&amp;L'!$Q$26:$AZ$26,'Monthly P&amp;L'!$Q$6:$AZ$6,"&gt;="&amp;K$44,'Monthly P&amp;L'!$Q$6:$AZ$6,"&lt;="&amp;K$45)</f>
        <v>304.8</v>
      </c>
      <c r="L15" s="53">
        <f>SUMIFS('Monthly P&amp;L'!$Q$26:$AZ$26,'Monthly P&amp;L'!$Q$6:$AZ$6,"&gt;="&amp;L$44,'Monthly P&amp;L'!$Q$6:$AZ$6,"&lt;="&amp;L$45)</f>
        <v>304.8</v>
      </c>
      <c r="N15" s="52">
        <f>L15-K15</f>
        <v>0</v>
      </c>
      <c r="O15" s="115">
        <f>IFERROR(L15/K15-1,"n.a.")</f>
        <v>0</v>
      </c>
      <c r="Q15" s="53">
        <f>J15</f>
        <v>305</v>
      </c>
      <c r="R15" s="53">
        <f>K15</f>
        <v>304.8</v>
      </c>
      <c r="S15" s="53">
        <f>L15</f>
        <v>304.8</v>
      </c>
      <c r="U15" s="53">
        <f>'Monthly P&amp;L'!AN26</f>
        <v>25.305</v>
      </c>
      <c r="V15" s="53">
        <f>'Monthly P&amp;L'!AO26</f>
        <v>24.404</v>
      </c>
      <c r="W15" s="53">
        <f>'Monthly P&amp;L'!AP26</f>
        <v>23.832</v>
      </c>
      <c r="X15" s="53">
        <f>'Monthly P&amp;L'!AQ26</f>
        <v>24.423</v>
      </c>
      <c r="Y15" s="53">
        <f>'Monthly P&amp;L'!AR26</f>
        <v>24.934</v>
      </c>
      <c r="Z15" s="53">
        <f>'Monthly P&amp;L'!AS26</f>
        <v>25.039</v>
      </c>
      <c r="AA15" s="53">
        <f>'Monthly P&amp;L'!AT26</f>
        <v>26.42</v>
      </c>
      <c r="AB15" s="53">
        <f>'Monthly P&amp;L'!AU26</f>
        <v>27.336</v>
      </c>
      <c r="AC15" s="53">
        <f>'Monthly P&amp;L'!AV26</f>
        <v>26.43</v>
      </c>
      <c r="AD15" s="53">
        <f>'Monthly P&amp;L'!AW26</f>
        <v>25.222</v>
      </c>
      <c r="AE15" s="53">
        <f>'Monthly P&amp;L'!AX26</f>
        <v>24.477</v>
      </c>
      <c r="AF15" s="53">
        <f>'Monthly P&amp;L'!AY26</f>
        <v>24.413</v>
      </c>
      <c r="AG15" s="53">
        <f>'Monthly P&amp;L'!AZ26</f>
        <v>27.87</v>
      </c>
    </row>
    <row r="16" spans="2:33" x14ac:dyDescent="0.25">
      <c r="B16" s="165" t="s">
        <v>359</v>
      </c>
      <c r="C16" s="166">
        <f>SUMIFS('Monthly P&amp;L'!$Q$28:$AZ$28,'Monthly P&amp;L'!$Q$6:$AZ$6,"&gt;="&amp;C$44,'Monthly P&amp;L'!$Q$6:$AZ$6,"&lt;="&amp;C$45)</f>
        <v>1311</v>
      </c>
      <c r="D16" s="167">
        <f>SUMIFS('Monthly P&amp;L'!$Q$28:$AZ$28,'Monthly P&amp;L'!$Q$6:$AZ$6,"&gt;="&amp;D$44,'Monthly P&amp;L'!$Q$6:$AZ$6,"&lt;="&amp;D$45)</f>
        <v>1458.46</v>
      </c>
      <c r="E16" s="168">
        <f>SUMIFS('Monthly P&amp;L'!$Q$28:$AZ$28,'Monthly P&amp;L'!$Q$6:$AZ$6,"&gt;="&amp;E$44,'Monthly P&amp;L'!$Q$6:$AZ$6,"&lt;="&amp;E$45)</f>
        <v>1565.485</v>
      </c>
      <c r="G16" s="166">
        <f>SUMIFS('Monthly P&amp;L'!$Q$28:$AZ$28,'Monthly P&amp;L'!$Q$6:$AZ$6,"&gt;="&amp;G$44,'Monthly P&amp;L'!$Q$6:$AZ$6,"&lt;="&amp;G$45)</f>
        <v>1458.46</v>
      </c>
      <c r="H16" s="168">
        <f>SUMIFS('Monthly P&amp;L'!$Q$28:$AZ$28,'Monthly P&amp;L'!$Q$6:$AZ$6,"&gt;="&amp;H$44,'Monthly P&amp;L'!$Q$6:$AZ$6,"&lt;="&amp;H$45)</f>
        <v>1565.485</v>
      </c>
      <c r="J16" s="166">
        <f>SUMIFS('Monthly P&amp;L'!$Q$28:$AZ$28,'Monthly P&amp;L'!$Q$6:$AZ$6,"&gt;="&amp;J$44,'Monthly P&amp;L'!$Q$6:$AZ$6,"&lt;="&amp;J$45)</f>
        <v>1458.46</v>
      </c>
      <c r="K16" s="168">
        <f>SUMIFS('Monthly P&amp;L'!$Q$28:$AZ$28,'Monthly P&amp;L'!$Q$6:$AZ$6,"&gt;="&amp;K$44,'Monthly P&amp;L'!$Q$6:$AZ$6,"&lt;="&amp;K$45)</f>
        <v>1565.485</v>
      </c>
      <c r="L16" s="169">
        <f>SUMIFS('Monthly P&amp;L'!$Q$28:$AZ$28,'Monthly P&amp;L'!$Q$6:$AZ$6,"&gt;="&amp;L$44,'Monthly P&amp;L'!$Q$6:$AZ$6,"&lt;="&amp;L$45)</f>
        <v>1565.485</v>
      </c>
      <c r="N16" s="170">
        <f>L16-K16</f>
        <v>0</v>
      </c>
      <c r="O16" s="171">
        <f>IFERROR(L16/K16-1,"n.a.")</f>
        <v>0</v>
      </c>
      <c r="Q16" s="166">
        <f>J16</f>
        <v>1458.46</v>
      </c>
      <c r="R16" s="167">
        <f>K16</f>
        <v>1565.485</v>
      </c>
      <c r="S16" s="168">
        <f>L16</f>
        <v>1565.485</v>
      </c>
      <c r="U16" s="172">
        <f>'Monthly P&amp;L'!AN28</f>
        <v>117.49</v>
      </c>
      <c r="V16" s="166">
        <f>'Monthly P&amp;L'!AO28</f>
        <v>123.328</v>
      </c>
      <c r="W16" s="167">
        <f>'Monthly P&amp;L'!AP28</f>
        <v>122.218</v>
      </c>
      <c r="X16" s="167">
        <f>'Monthly P&amp;L'!AQ28</f>
        <v>127.803</v>
      </c>
      <c r="Y16" s="167">
        <f>'Monthly P&amp;L'!AR28</f>
        <v>130.781</v>
      </c>
      <c r="Z16" s="167">
        <f>'Monthly P&amp;L'!AS28</f>
        <v>132.627</v>
      </c>
      <c r="AA16" s="167">
        <f>'Monthly P&amp;L'!AT28</f>
        <v>137.487</v>
      </c>
      <c r="AB16" s="167">
        <f>'Monthly P&amp;L'!AU28</f>
        <v>140.745</v>
      </c>
      <c r="AC16" s="167">
        <f>'Monthly P&amp;L'!AV28</f>
        <v>136.833</v>
      </c>
      <c r="AD16" s="167">
        <f>'Monthly P&amp;L'!AW28</f>
        <v>132.142</v>
      </c>
      <c r="AE16" s="167">
        <f>'Monthly P&amp;L'!AX28</f>
        <v>128.455</v>
      </c>
      <c r="AF16" s="167">
        <f>'Monthly P&amp;L'!AY28</f>
        <v>124.535</v>
      </c>
      <c r="AG16" s="168">
        <f>'Monthly P&amp;L'!AZ28</f>
        <v>128.531</v>
      </c>
    </row>
    <row r="17" ht="3.95" customHeight="1" x14ac:dyDescent="0.25"/>
    <row r="18" spans="2:33" x14ac:dyDescent="0.25">
      <c r="B18" s="37" t="s">
        <v>536</v>
      </c>
      <c r="C18" s="37"/>
      <c r="D18" s="37"/>
      <c r="E18" s="37"/>
      <c r="G18" s="37"/>
      <c r="H18" s="37"/>
      <c r="J18" s="37"/>
      <c r="K18" s="37"/>
      <c r="L18" s="37"/>
      <c r="N18" s="37"/>
      <c r="O18" s="37"/>
      <c r="Q18" s="37"/>
      <c r="R18" s="37"/>
      <c r="S18" s="37"/>
      <c r="V18" s="37"/>
      <c r="W18" s="37"/>
      <c r="X18" s="37"/>
      <c r="Y18" s="37"/>
      <c r="Z18" s="37"/>
      <c r="AA18" s="37"/>
      <c r="AB18" s="37"/>
      <c r="AC18" s="37"/>
      <c r="AD18" s="37"/>
      <c r="AE18" s="37"/>
      <c r="AF18" s="37"/>
      <c r="AG18" s="37"/>
    </row>
    <row r="19" spans="2:33" x14ac:dyDescent="0.25">
      <c r="B19" s="40" t="s">
        <v>344</v>
      </c>
      <c r="C19" s="41">
        <f>IFERROR(C9/'P&amp;L Summary'!C14,"n.a.")</f>
        <v>0.3900614924380921</v>
      </c>
      <c r="D19" s="41">
        <f>IFERROR(D9/'P&amp;L Summary'!D14,"n.a.")</f>
        <v>0.38545574928271903</v>
      </c>
      <c r="E19" s="41">
        <f>IFERROR(E9/'P&amp;L Summary'!E14,"n.a.")</f>
        <v>0.38111681136543013</v>
      </c>
      <c r="G19" s="41">
        <f>IFERROR(G9/'P&amp;L Summary'!G14,"n.a.")</f>
        <v>0.38545574928271903</v>
      </c>
      <c r="H19" s="41">
        <f>IFERROR(H9/'P&amp;L Summary'!H14,"n.a.")</f>
        <v>0.38111681136543013</v>
      </c>
      <c r="J19" s="41">
        <f>IFERROR(J9/'P&amp;L Summary'!J14,"n.a.")</f>
        <v>0.38545574928271903</v>
      </c>
      <c r="K19" s="41">
        <f>IFERROR(K9/'P&amp;L Summary'!K14,"n.a.")</f>
        <v>0.38111681136543013</v>
      </c>
      <c r="L19" s="41">
        <f>IFERROR(L9/'P&amp;L Summary'!L14,"n.a.")</f>
        <v>0.38111681136543013</v>
      </c>
      <c r="Q19" s="41">
        <f>J19</f>
        <v>0.38545574928271903</v>
      </c>
      <c r="R19" s="41">
        <f>K19</f>
        <v>0.38111681136543013</v>
      </c>
      <c r="S19" s="41">
        <f>L19</f>
        <v>0.38111681136543013</v>
      </c>
      <c r="U19" s="41">
        <f>IFERROR(U9/'Monthly P&amp;L'!AN14,"n.a.")</f>
        <v>0.3942624272772688</v>
      </c>
      <c r="V19" s="41">
        <f>IFERROR(V9/'Monthly P&amp;L'!AO14,"n.a.")</f>
        <v>0.3791117592702079</v>
      </c>
      <c r="W19" s="41">
        <f>IFERROR(W9/'Monthly P&amp;L'!AP14,"n.a.")</f>
        <v>0.3712308359576835</v>
      </c>
      <c r="X19" s="41">
        <f>IFERROR(X9/'Monthly P&amp;L'!AQ14,"n.a.")</f>
        <v>0.3649994432367793</v>
      </c>
      <c r="Y19" s="41">
        <f>IFERROR(Y9/'Monthly P&amp;L'!AR14,"n.a.")</f>
        <v>0.367850336361114</v>
      </c>
      <c r="Z19" s="41">
        <f>IFERROR(Z9/'Monthly P&amp;L'!AS14,"n.a.")</f>
        <v>0.3810133183568678</v>
      </c>
      <c r="AA19" s="41">
        <f>IFERROR(AA9/'Monthly P&amp;L'!AT14,"n.a.")</f>
        <v>0.39274864183258845</v>
      </c>
      <c r="AB19" s="41">
        <f>IFERROR(AB9/'Monthly P&amp;L'!AU14,"n.a.")</f>
        <v>0.3975107285174211</v>
      </c>
      <c r="AC19" s="41">
        <f>IFERROR(AC9/'Monthly P&amp;L'!AV14,"n.a.")</f>
        <v>0.39275053880218963</v>
      </c>
      <c r="AD19" s="41">
        <f>IFERROR(AD9/'Monthly P&amp;L'!AW14,"n.a.")</f>
        <v>0.37791117907983535</v>
      </c>
      <c r="AE19" s="41">
        <f>IFERROR(AE9/'Monthly P&amp;L'!AX14,"n.a.")</f>
        <v>0.3678475632225279</v>
      </c>
      <c r="AF19" s="41">
        <f>IFERROR(AF9/'Monthly P&amp;L'!AY14,"n.a.")</f>
        <v>0.37367711589755354</v>
      </c>
      <c r="AG19" s="41">
        <f>IFERROR(AG9/'Monthly P&amp;L'!AZ14,"n.a.")</f>
        <v>0.3903316667840293</v>
      </c>
    </row>
    <row r="20" spans="2:33" x14ac:dyDescent="0.25">
      <c r="B20" s="40" t="s">
        <v>89</v>
      </c>
      <c r="C20" s="41">
        <f>IFERROR(C10/'P&amp;L Summary'!C14,"n.a.")</f>
        <v>0.6099385075619079</v>
      </c>
      <c r="D20" s="41">
        <f>IFERROR(D10/'P&amp;L Summary'!D14,"n.a.")</f>
        <v>0.6145442507172809</v>
      </c>
      <c r="E20" s="41">
        <f>IFERROR(E10/'P&amp;L Summary'!E14,"n.a.")</f>
        <v>0.6188831886345698</v>
      </c>
      <c r="G20" s="41">
        <f>IFERROR(G10/'P&amp;L Summary'!G14,"n.a.")</f>
        <v>0.6145442507172809</v>
      </c>
      <c r="H20" s="41">
        <f>IFERROR(H10/'P&amp;L Summary'!H14,"n.a.")</f>
        <v>0.6188831886345698</v>
      </c>
      <c r="J20" s="41">
        <f>IFERROR(J10/'P&amp;L Summary'!J14,"n.a.")</f>
        <v>0.6145442507172809</v>
      </c>
      <c r="K20" s="41">
        <f>IFERROR(K10/'P&amp;L Summary'!K14,"n.a.")</f>
        <v>0.6188831886345698</v>
      </c>
      <c r="L20" s="41">
        <f>IFERROR(L10/'P&amp;L Summary'!L14,"n.a.")</f>
        <v>0.6188831886345698</v>
      </c>
      <c r="Q20" s="41">
        <f>J20</f>
        <v>0.6145442507172809</v>
      </c>
      <c r="R20" s="41">
        <f>K20</f>
        <v>0.6188831886345698</v>
      </c>
      <c r="S20" s="41">
        <f>L20</f>
        <v>0.6188831886345698</v>
      </c>
      <c r="U20" s="41">
        <f>IFERROR(U10/'Monthly P&amp;L'!AN14,"n.a.")</f>
        <v>0.6057375727227312</v>
      </c>
      <c r="V20" s="41">
        <f>IFERROR(V10/'Monthly P&amp;L'!AO14,"n.a.")</f>
        <v>0.6208882407297921</v>
      </c>
      <c r="W20" s="41">
        <f>IFERROR(W10/'Monthly P&amp;L'!AP14,"n.a.")</f>
        <v>0.6287691640423164</v>
      </c>
      <c r="X20" s="41">
        <f>IFERROR(X10/'Monthly P&amp;L'!AQ14,"n.a.")</f>
        <v>0.6350005567632208</v>
      </c>
      <c r="Y20" s="41">
        <f>IFERROR(Y10/'Monthly P&amp;L'!AR14,"n.a.")</f>
        <v>0.632149663638886</v>
      </c>
      <c r="Z20" s="41">
        <f>IFERROR(Z10/'Monthly P&amp;L'!AS14,"n.a.")</f>
        <v>0.6189866816431322</v>
      </c>
      <c r="AA20" s="41">
        <f>IFERROR(AA10/'Monthly P&amp;L'!AT14,"n.a.")</f>
        <v>0.6072513581674116</v>
      </c>
      <c r="AB20" s="41">
        <f>IFERROR(AB10/'Monthly P&amp;L'!AU14,"n.a.")</f>
        <v>0.6024892714825789</v>
      </c>
      <c r="AC20" s="41">
        <f>IFERROR(AC10/'Monthly P&amp;L'!AV14,"n.a.")</f>
        <v>0.6072494611978104</v>
      </c>
      <c r="AD20" s="41">
        <f>IFERROR(AD10/'Monthly P&amp;L'!AW14,"n.a.")</f>
        <v>0.6220888209201646</v>
      </c>
      <c r="AE20" s="41">
        <f>IFERROR(AE10/'Monthly P&amp;L'!AX14,"n.a.")</f>
        <v>0.6321524367774721</v>
      </c>
      <c r="AF20" s="41">
        <f>IFERROR(AF10/'Monthly P&amp;L'!AY14,"n.a.")</f>
        <v>0.6263228841024464</v>
      </c>
      <c r="AG20" s="41">
        <f>IFERROR(AG10/'Monthly P&amp;L'!AZ14,"n.a.")</f>
        <v>0.6096683332159707</v>
      </c>
    </row>
    <row r="21" spans="2:33" x14ac:dyDescent="0.25">
      <c r="B21" s="40" t="s">
        <v>349</v>
      </c>
      <c r="C21" s="41">
        <f>IFERROR(C11/'P&amp;L Summary'!C14,"n.a.")</f>
        <v>0.30355658966262256</v>
      </c>
      <c r="D21" s="41">
        <f>IFERROR(D11/'P&amp;L Summary'!D14,"n.a.")</f>
        <v>0.30092694769366585</v>
      </c>
      <c r="E21" s="41">
        <f>IFERROR(E11/'P&amp;L Summary'!E14,"n.a.")</f>
        <v>0.2975203893712181</v>
      </c>
      <c r="G21" s="41">
        <f>IFERROR(G11/'P&amp;L Summary'!G14,"n.a.")</f>
        <v>0.30092694769366585</v>
      </c>
      <c r="H21" s="41">
        <f>IFERROR(H11/'P&amp;L Summary'!H14,"n.a.")</f>
        <v>0.2975203893712181</v>
      </c>
      <c r="J21" s="41">
        <f>IFERROR(J11/'P&amp;L Summary'!J14,"n.a.")</f>
        <v>0.30092694769366585</v>
      </c>
      <c r="K21" s="41">
        <f>IFERROR(K11/'P&amp;L Summary'!K14,"n.a.")</f>
        <v>0.2975203893712181</v>
      </c>
      <c r="L21" s="41">
        <f>IFERROR(L11/'P&amp;L Summary'!L14,"n.a.")</f>
        <v>0.2975203893712181</v>
      </c>
      <c r="Q21" s="41">
        <f>J21</f>
        <v>0.30092694769366585</v>
      </c>
      <c r="R21" s="41">
        <f>K21</f>
        <v>0.2975203893712181</v>
      </c>
      <c r="S21" s="41">
        <f>L21</f>
        <v>0.2975203893712181</v>
      </c>
      <c r="U21" s="41">
        <f>IFERROR(U11/'Monthly P&amp;L'!AN14,"n.a.")</f>
        <v>0.2596934139462432</v>
      </c>
      <c r="V21" s="41">
        <f>IFERROR(V11/'Monthly P&amp;L'!AO14,"n.a.")</f>
        <v>0.3091193357245149</v>
      </c>
      <c r="W21" s="41">
        <f>IFERROR(W11/'Monthly P&amp;L'!AP14,"n.a.")</f>
        <v>0.32709932301193684</v>
      </c>
      <c r="X21" s="41">
        <f>IFERROR(X11/'Monthly P&amp;L'!AQ14,"n.a.")</f>
        <v>0.35045581962808214</v>
      </c>
      <c r="Y21" s="41">
        <f>IFERROR(Y11/'Monthly P&amp;L'!AR14,"n.a.")</f>
        <v>0.33745730101476895</v>
      </c>
      <c r="Z21" s="41">
        <f>IFERROR(Z11/'Monthly P&amp;L'!AS14,"n.a.")</f>
        <v>0.30726492297817715</v>
      </c>
      <c r="AA21" s="41">
        <f>IFERROR(AA11/'Monthly P&amp;L'!AT14,"n.a.")</f>
        <v>0.2800697748831064</v>
      </c>
      <c r="AB21" s="41">
        <f>IFERROR(AB11/'Monthly P&amp;L'!AU14,"n.a.")</f>
        <v>0.2695124910595688</v>
      </c>
      <c r="AC21" s="41">
        <f>IFERROR(AC11/'Monthly P&amp;L'!AV14,"n.a.")</f>
        <v>0.27454796267003045</v>
      </c>
      <c r="AD21" s="41">
        <f>IFERROR(AD11/'Monthly P&amp;L'!AW14,"n.a.")</f>
        <v>0.29137279069944383</v>
      </c>
      <c r="AE21" s="41">
        <f>IFERROR(AE11/'Monthly P&amp;L'!AX14,"n.a.")</f>
        <v>0.3127362007352752</v>
      </c>
      <c r="AF21" s="41">
        <f>IFERROR(AF11/'Monthly P&amp;L'!AY14,"n.a.")</f>
        <v>0.29411354985680277</v>
      </c>
      <c r="AG21" s="41">
        <f>IFERROR(AG11/'Monthly P&amp;L'!AZ14,"n.a.")</f>
        <v>0.2569783818040983</v>
      </c>
    </row>
    <row r="22" spans="2:33" x14ac:dyDescent="0.25">
      <c r="B22" s="40" t="s">
        <v>351</v>
      </c>
      <c r="C22" s="41">
        <f>IFERROR(C12/'P&amp;L Summary'!C14,"n.a.")</f>
        <v>0.0747881003822503</v>
      </c>
      <c r="D22" s="41">
        <f>IFERROR(D12/'P&amp;L Summary'!D14,"n.a.")</f>
        <v>0.06988891341131465</v>
      </c>
      <c r="E22" s="41">
        <f>IFERROR(E12/'P&amp;L Summary'!E14,"n.a.")</f>
        <v>0.06577216521967903</v>
      </c>
      <c r="G22" s="41">
        <f>IFERROR(G12/'P&amp;L Summary'!G14,"n.a.")</f>
        <v>0.06988891341131465</v>
      </c>
      <c r="H22" s="41">
        <f>IFERROR(H12/'P&amp;L Summary'!H14,"n.a.")</f>
        <v>0.06577216521967903</v>
      </c>
      <c r="J22" s="41">
        <f>IFERROR(J12/'P&amp;L Summary'!J14,"n.a.")</f>
        <v>0.06988891341131465</v>
      </c>
      <c r="K22" s="41">
        <f>IFERROR(K12/'P&amp;L Summary'!K14,"n.a.")</f>
        <v>0.06577216521967903</v>
      </c>
      <c r="L22" s="41">
        <f>IFERROR(L12/'P&amp;L Summary'!L14,"n.a.")</f>
        <v>0.06577216521967903</v>
      </c>
      <c r="Q22" s="41">
        <f>J22</f>
        <v>0.06988891341131465</v>
      </c>
      <c r="R22" s="41">
        <f>K22</f>
        <v>0.06577216521967903</v>
      </c>
      <c r="S22" s="41">
        <f>L22</f>
        <v>0.06577216521967903</v>
      </c>
      <c r="U22" s="41">
        <f>IFERROR(U12/'Monthly P&amp;L'!AN14,"n.a.")</f>
        <v>0.06228094674276903</v>
      </c>
      <c r="V22" s="41">
        <f>IFERROR(V12/'Monthly P&amp;L'!AO14,"n.a.")</f>
        <v>0.07299234909498596</v>
      </c>
      <c r="W22" s="41">
        <f>IFERROR(W12/'Monthly P&amp;L'!AP14,"n.a.")</f>
        <v>0.07857493069829716</v>
      </c>
      <c r="X22" s="41">
        <f>IFERROR(X12/'Monthly P&amp;L'!AQ14,"n.a.")</f>
        <v>0.08069193564785453</v>
      </c>
      <c r="Y22" s="41">
        <f>IFERROR(Y12/'Monthly P&amp;L'!AR14,"n.a.")</f>
        <v>0.07580974560274366</v>
      </c>
      <c r="Z22" s="41">
        <f>IFERROR(Z12/'Monthly P&amp;L'!AS14,"n.a.")</f>
        <v>0.06686055840821566</v>
      </c>
      <c r="AA22" s="41">
        <f>IFERROR(AA12/'Monthly P&amp;L'!AT14,"n.a.")</f>
        <v>0.05734408169303868</v>
      </c>
      <c r="AB22" s="41">
        <f>IFERROR(AB12/'Monthly P&amp;L'!AU14,"n.a.")</f>
        <v>0.053217916624093184</v>
      </c>
      <c r="AC22" s="41">
        <f>IFERROR(AC12/'Monthly P&amp;L'!AV14,"n.a.")</f>
        <v>0.056214185253515285</v>
      </c>
      <c r="AD22" s="41">
        <f>IFERROR(AD12/'Monthly P&amp;L'!AW14,"n.a.")</f>
        <v>0.06340112452732571</v>
      </c>
      <c r="AE22" s="41">
        <f>IFERROR(AE12/'Monthly P&amp;L'!AX14,"n.a.")</f>
        <v>0.07141082002896539</v>
      </c>
      <c r="AF22" s="41">
        <f>IFERROR(AF12/'Monthly P&amp;L'!AY14,"n.a.")</f>
        <v>0.06828396887765345</v>
      </c>
      <c r="AG22" s="41">
        <f>IFERROR(AG12/'Monthly P&amp;L'!AZ14,"n.a.")</f>
        <v>0.05867896626998099</v>
      </c>
    </row>
    <row r="23" spans="2:33" x14ac:dyDescent="0.25">
      <c r="B23" s="40" t="s">
        <v>353</v>
      </c>
      <c r="C23" s="41">
        <f>IFERROR(C13/'P&amp;L Summary'!C14,"n.a.")</f>
        <v>0.029915240152900115</v>
      </c>
      <c r="D23" s="41">
        <f>IFERROR(D13/'P&amp;L Summary'!D14,"n.a.")</f>
        <v>0.027278746413595234</v>
      </c>
      <c r="E23" s="41">
        <f>IFERROR(E13/'P&amp;L Summary'!E14,"n.a.")</f>
        <v>0.025120034201525913</v>
      </c>
      <c r="G23" s="41">
        <f>IFERROR(G13/'P&amp;L Summary'!G14,"n.a.")</f>
        <v>0.027278746413595234</v>
      </c>
      <c r="H23" s="41">
        <f>IFERROR(H13/'P&amp;L Summary'!H14,"n.a.")</f>
        <v>0.025120034201525913</v>
      </c>
      <c r="J23" s="41">
        <f>IFERROR(J13/'P&amp;L Summary'!J14,"n.a.")</f>
        <v>0.027278746413595234</v>
      </c>
      <c r="K23" s="41">
        <f>IFERROR(K13/'P&amp;L Summary'!K14,"n.a.")</f>
        <v>0.025120034201525913</v>
      </c>
      <c r="L23" s="41">
        <f>IFERROR(L13/'P&amp;L Summary'!L14,"n.a.")</f>
        <v>0.025120034201525913</v>
      </c>
      <c r="Q23" s="41">
        <f>J23</f>
        <v>0.027278746413595234</v>
      </c>
      <c r="R23" s="41">
        <f>K23</f>
        <v>0.025120034201525913</v>
      </c>
      <c r="S23" s="41">
        <f>L23</f>
        <v>0.025120034201525913</v>
      </c>
      <c r="U23" s="41">
        <f>IFERROR(U13/'Monthly P&amp;L'!AN14,"n.a.")</f>
        <v>0.024309748681255138</v>
      </c>
      <c r="V23" s="41">
        <f>IFERROR(V13/'Monthly P&amp;L'!AO14,"n.a.")</f>
        <v>0.027879600068319473</v>
      </c>
      <c r="W23" s="41">
        <f>IFERROR(W13/'Monthly P&amp;L'!AP14,"n.a.")</f>
        <v>0.030011880291915743</v>
      </c>
      <c r="X23" s="41">
        <f>IFERROR(X13/'Monthly P&amp;L'!AQ14,"n.a.")</f>
        <v>0.030820475330547905</v>
      </c>
      <c r="Y23" s="41">
        <f>IFERROR(Y13/'Monthly P&amp;L'!AR14,"n.a.")</f>
        <v>0.02895571131619764</v>
      </c>
      <c r="Z23" s="41">
        <f>IFERROR(Z13/'Monthly P&amp;L'!AS14,"n.a.")</f>
        <v>0.02553754813863928</v>
      </c>
      <c r="AA23" s="41">
        <f>IFERROR(AA13/'Monthly P&amp;L'!AT14,"n.a.")</f>
        <v>0.02189926681323521</v>
      </c>
      <c r="AB23" s="41">
        <f>IFERROR(AB13/'Monthly P&amp;L'!AU14,"n.a.")</f>
        <v>0.02032351588842342</v>
      </c>
      <c r="AC23" s="41">
        <f>IFERROR(AC13/'Monthly P&amp;L'!AV14,"n.a.")</f>
        <v>0.021467767992957628</v>
      </c>
      <c r="AD23" s="41">
        <f>IFERROR(AD13/'Monthly P&amp;L'!AW14,"n.a.")</f>
        <v>0.02421385801130614</v>
      </c>
      <c r="AE23" s="41">
        <f>IFERROR(AE13/'Monthly P&amp;L'!AX14,"n.a.")</f>
        <v>0.027272883084385257</v>
      </c>
      <c r="AF23" s="41">
        <f>IFERROR(AF13/'Monthly P&amp;L'!AY14,"n.a.")</f>
        <v>0.026078690862010333</v>
      </c>
      <c r="AG23" s="41">
        <f>IFERROR(AG13/'Monthly P&amp;L'!AZ14,"n.a.")</f>
        <v>0.02241039363425111</v>
      </c>
    </row>
    <row r="24" spans="2:33" x14ac:dyDescent="0.25">
      <c r="B24" s="40" t="s">
        <v>355</v>
      </c>
      <c r="C24" s="41">
        <f>IFERROR(C14/'P&amp;L Summary'!C14,"n.a.")</f>
        <v>0.026923716137610104</v>
      </c>
      <c r="D24" s="41">
        <f>IFERROR(D14/'P&amp;L Summary'!D14,"n.a.")</f>
        <v>0.026189950709924227</v>
      </c>
      <c r="E24" s="41">
        <f>IFERROR(E14/'P&amp;L Summary'!E14,"n.a.")</f>
        <v>0.026177321757432256</v>
      </c>
      <c r="G24" s="41">
        <f>IFERROR(G14/'P&amp;L Summary'!G14,"n.a.")</f>
        <v>0.026189950709924227</v>
      </c>
      <c r="H24" s="41">
        <f>IFERROR(H14/'P&amp;L Summary'!H14,"n.a.")</f>
        <v>0.026177321757432256</v>
      </c>
      <c r="J24" s="41">
        <f>IFERROR(J14/'P&amp;L Summary'!J14,"n.a.")</f>
        <v>0.026189950709924227</v>
      </c>
      <c r="K24" s="41">
        <f>IFERROR(K14/'P&amp;L Summary'!K14,"n.a.")</f>
        <v>0.026177321757432256</v>
      </c>
      <c r="L24" s="41">
        <f>IFERROR(L14/'P&amp;L Summary'!L14,"n.a.")</f>
        <v>0.026177321757432256</v>
      </c>
      <c r="Q24" s="41">
        <f>J24</f>
        <v>0.026189950709924227</v>
      </c>
      <c r="R24" s="41">
        <f>K24</f>
        <v>0.026177321757432256</v>
      </c>
      <c r="S24" s="41">
        <f>L24</f>
        <v>0.026177321757432256</v>
      </c>
      <c r="U24" s="41">
        <f>IFERROR(U14/'Monthly P&amp;L'!AN14,"n.a.")</f>
        <v>0.01633630845845511</v>
      </c>
      <c r="V24" s="41">
        <f>IFERROR(V14/'Monthly P&amp;L'!AO14,"n.a.")</f>
        <v>0.023241758963646157</v>
      </c>
      <c r="W24" s="41">
        <f>IFERROR(W14/'Monthly P&amp;L'!AP14,"n.a.")</f>
        <v>0.02814497727658451</v>
      </c>
      <c r="X24" s="41">
        <f>IFERROR(X14/'Monthly P&amp;L'!AQ14,"n.a.")</f>
        <v>0.038537697711461094</v>
      </c>
      <c r="Y24" s="41">
        <f>IFERROR(Y14/'Monthly P&amp;L'!AR14,"n.a.")</f>
        <v>0.03922166174671258</v>
      </c>
      <c r="Z24" s="41">
        <f>IFERROR(Z14/'Monthly P&amp;L'!AS14,"n.a.")</f>
        <v>0.03193196405648267</v>
      </c>
      <c r="AA24" s="41">
        <f>IFERROR(AA14/'Monthly P&amp;L'!AT14,"n.a.")</f>
        <v>0.022821341205371427</v>
      </c>
      <c r="AB24" s="41">
        <f>IFERROR(AB14/'Monthly P&amp;L'!AU14,"n.a.")</f>
        <v>0.019062276489220393</v>
      </c>
      <c r="AC24" s="41">
        <f>IFERROR(AC14/'Monthly P&amp;L'!AV14,"n.a.")</f>
        <v>0.020135518447440225</v>
      </c>
      <c r="AD24" s="41">
        <f>IFERROR(AD14/'Monthly P&amp;L'!AW14,"n.a.")</f>
        <v>0.02775939071618239</v>
      </c>
      <c r="AE24" s="41">
        <f>IFERROR(AE14/'Monthly P&amp;L'!AX14,"n.a.")</f>
        <v>0.03410717193271118</v>
      </c>
      <c r="AF24" s="41">
        <f>IFERROR(AF14/'Monthly P&amp;L'!AY14,"n.a.")</f>
        <v>0.021743851124067376</v>
      </c>
      <c r="AG24" s="41">
        <f>IFERROR(AG14/'Monthly P&amp;L'!AZ14,"n.a.")</f>
        <v>0.016347440321104148</v>
      </c>
    </row>
    <row r="25" spans="2:33" x14ac:dyDescent="0.25">
      <c r="B25" s="40" t="s">
        <v>357</v>
      </c>
      <c r="C25" s="41">
        <f>IFERROR(C15/'P&amp;L Summary'!C14,"n.a.")</f>
        <v>0.10952301811533988</v>
      </c>
      <c r="D25" s="41">
        <f>IFERROR(D15/'P&amp;L Summary'!D14,"n.a.")</f>
        <v>0.11219009784447878</v>
      </c>
      <c r="E25" s="41">
        <f>IFERROR(E15/'P&amp;L Summary'!E14,"n.a.")</f>
        <v>0.10023677979479084</v>
      </c>
      <c r="G25" s="41">
        <f>IFERROR(G15/'P&amp;L Summary'!G14,"n.a.")</f>
        <v>0.11219009784447878</v>
      </c>
      <c r="H25" s="41">
        <f>IFERROR(H15/'P&amp;L Summary'!H14,"n.a.")</f>
        <v>0.10023677979479084</v>
      </c>
      <c r="J25" s="41">
        <f>IFERROR(J15/'P&amp;L Summary'!J14,"n.a.")</f>
        <v>0.11219009784447878</v>
      </c>
      <c r="K25" s="41">
        <f>IFERROR(K15/'P&amp;L Summary'!K14,"n.a.")</f>
        <v>0.10023677979479084</v>
      </c>
      <c r="L25" s="41">
        <f>IFERROR(L15/'P&amp;L Summary'!L14,"n.a.")</f>
        <v>0.10023677979479084</v>
      </c>
      <c r="Q25" s="41">
        <f>J25</f>
        <v>0.11219009784447878</v>
      </c>
      <c r="R25" s="41">
        <f>K25</f>
        <v>0.10023677979479084</v>
      </c>
      <c r="S25" s="41">
        <f>L25</f>
        <v>0.10023677979479084</v>
      </c>
      <c r="U25" s="41">
        <f>IFERROR(U15/'Monthly P&amp;L'!AN14,"n.a.")</f>
        <v>0.09954016025552771</v>
      </c>
      <c r="V25" s="41">
        <f>IFERROR(V15/'Monthly P&amp;L'!AO14,"n.a.")</f>
        <v>0.10687617971524795</v>
      </c>
      <c r="W25" s="41">
        <f>IFERROR(W15/'Monthly P&amp;L'!AP14,"n.a.")</f>
        <v>0.11235361783175243</v>
      </c>
      <c r="X25" s="41">
        <f>IFERROR(X15/'Monthly P&amp;L'!AQ14,"n.a.")</f>
        <v>0.11824198381997666</v>
      </c>
      <c r="Y25" s="41">
        <f>IFERROR(Y15/'Monthly P&amp;L'!AR14,"n.a.")</f>
        <v>0.11341214356865724</v>
      </c>
      <c r="Z25" s="41">
        <f>IFERROR(Z15/'Monthly P&amp;L'!AS14,"n.a.")</f>
        <v>0.10044528241335045</v>
      </c>
      <c r="AA25" s="41">
        <f>IFERROR(AA15/'Monthly P&amp;L'!AT14,"n.a.")</f>
        <v>0.09090002029939893</v>
      </c>
      <c r="AB25" s="41">
        <f>IFERROR(AB15/'Monthly P&amp;L'!AU14,"n.a.")</f>
        <v>0.08728415244712373</v>
      </c>
      <c r="AC25" s="41">
        <f>IFERROR(AC15/'Monthly P&amp;L'!AV14,"n.a.")</f>
        <v>0.08914267212158211</v>
      </c>
      <c r="AD25" s="41">
        <f>IFERROR(AD15/'Monthly P&amp;L'!AW14,"n.a.")</f>
        <v>0.09595002777080337</v>
      </c>
      <c r="AE25" s="41">
        <f>IFERROR(AE15/'Monthly P&amp;L'!AX14,"n.a.")</f>
        <v>0.10487955369308687</v>
      </c>
      <c r="AF25" s="41">
        <f>IFERROR(AF15/'Monthly P&amp;L'!AY14,"n.a.")</f>
        <v>0.10002499293232651</v>
      </c>
      <c r="AG25" s="41">
        <f>IFERROR(AG15/'Monthly P&amp;L'!AZ14,"n.a.")</f>
        <v>0.0981268924723611</v>
      </c>
    </row>
    <row r="26" spans="2:33" x14ac:dyDescent="0.25">
      <c r="B26" s="40" t="s">
        <v>359</v>
      </c>
      <c r="C26" s="41">
        <f>IFERROR(C16/'P&amp;L Summary'!C14,"n.a.")</f>
        <v>0.5447066644507229</v>
      </c>
      <c r="D26" s="41">
        <f>IFERROR(D16/'P&amp;L Summary'!D14,"n.a.")</f>
        <v>0.5364746560729787</v>
      </c>
      <c r="E26" s="41">
        <f>IFERROR(E16/'P&amp;L Summary'!E14,"n.a.")</f>
        <v>0.5148266903446461</v>
      </c>
      <c r="G26" s="41">
        <f>IFERROR(G16/'P&amp;L Summary'!G14,"n.a.")</f>
        <v>0.5364746560729787</v>
      </c>
      <c r="H26" s="41">
        <f>IFERROR(H16/'P&amp;L Summary'!H14,"n.a.")</f>
        <v>0.5148266903446461</v>
      </c>
      <c r="J26" s="41">
        <f>IFERROR(J16/'P&amp;L Summary'!J14,"n.a.")</f>
        <v>0.5364746560729787</v>
      </c>
      <c r="K26" s="41">
        <f>IFERROR(K16/'P&amp;L Summary'!K14,"n.a.")</f>
        <v>0.5148266903446461</v>
      </c>
      <c r="L26" s="41">
        <f>IFERROR(L16/'P&amp;L Summary'!L14,"n.a.")</f>
        <v>0.5148266903446461</v>
      </c>
      <c r="Q26" s="41">
        <f>J26</f>
        <v>0.5364746560729787</v>
      </c>
      <c r="R26" s="41">
        <f>K26</f>
        <v>0.5148266903446461</v>
      </c>
      <c r="S26" s="41">
        <f>L26</f>
        <v>0.5148266903446461</v>
      </c>
      <c r="U26" s="41">
        <f>IFERROR(U16/'Monthly P&amp;L'!AN14,"n.a.")</f>
        <v>0.4621605780842502</v>
      </c>
      <c r="V26" s="41">
        <f>IFERROR(V16/'Monthly P&amp;L'!AO14,"n.a.")</f>
        <v>0.5401092235667144</v>
      </c>
      <c r="W26" s="41">
        <f>IFERROR(W16/'Monthly P&amp;L'!AP14,"n.a.")</f>
        <v>0.5761847291104867</v>
      </c>
      <c r="X26" s="41">
        <f>IFERROR(X16/'Monthly P&amp;L'!AQ14,"n.a.")</f>
        <v>0.6187479121379224</v>
      </c>
      <c r="Y26" s="41">
        <f>IFERROR(Y16/'Monthly P&amp;L'!AR14,"n.a.")</f>
        <v>0.5948565632490801</v>
      </c>
      <c r="Z26" s="41">
        <f>IFERROR(Z16/'Monthly P&amp;L'!AS14,"n.a.")</f>
        <v>0.5320402759948653</v>
      </c>
      <c r="AA26" s="41">
        <f>IFERROR(AA16/'Monthly P&amp;L'!AT14,"n.a.")</f>
        <v>0.4730344848941507</v>
      </c>
      <c r="AB26" s="41">
        <f>IFERROR(AB16/'Monthly P&amp;L'!AU14,"n.a.")</f>
        <v>0.4494003525084295</v>
      </c>
      <c r="AC26" s="41">
        <f>IFERROR(AC16/'Monthly P&amp;L'!AV14,"n.a.")</f>
        <v>0.4615081064855257</v>
      </c>
      <c r="AD26" s="41">
        <f>IFERROR(AD16/'Monthly P&amp;L'!AW14,"n.a.")</f>
        <v>0.5026971917250614</v>
      </c>
      <c r="AE26" s="41">
        <f>IFERROR(AE16/'Monthly P&amp;L'!AX14,"n.a.")</f>
        <v>0.5504066294744239</v>
      </c>
      <c r="AF26" s="41">
        <f>IFERROR(AF16/'Monthly P&amp;L'!AY14,"n.a.")</f>
        <v>0.5102450536528604</v>
      </c>
      <c r="AG26" s="41">
        <f>IFERROR(AG16/'Monthly P&amp;L'!AZ14,"n.a.")</f>
        <v>0.4525420745017956</v>
      </c>
    </row>
    <row r="27" ht="3.95" customHeight="1" x14ac:dyDescent="0.25"/>
    <row r="28" spans="2:33" x14ac:dyDescent="0.25">
      <c r="B28" s="37" t="s">
        <v>537</v>
      </c>
      <c r="C28" s="37"/>
      <c r="D28" s="37"/>
      <c r="E28" s="37"/>
      <c r="G28" s="37"/>
      <c r="H28" s="37"/>
      <c r="J28" s="37"/>
      <c r="K28" s="37"/>
      <c r="L28" s="37"/>
      <c r="N28" s="37"/>
      <c r="O28" s="37"/>
      <c r="Q28" s="37"/>
      <c r="R28" s="37"/>
      <c r="S28" s="37"/>
      <c r="V28" s="37"/>
      <c r="W28" s="37"/>
      <c r="X28" s="37"/>
      <c r="Y28" s="37"/>
      <c r="Z28" s="37"/>
      <c r="AA28" s="37"/>
      <c r="AB28" s="37"/>
      <c r="AC28" s="37"/>
      <c r="AD28" s="37"/>
      <c r="AE28" s="37"/>
      <c r="AF28" s="37"/>
      <c r="AG28" s="37"/>
    </row>
    <row r="29" spans="2:33" x14ac:dyDescent="0.25">
      <c r="B29" s="40" t="s">
        <v>344</v>
      </c>
      <c r="C29" s="118" t="s">
        <v>136</v>
      </c>
      <c r="D29" s="115">
        <f>IFERROR(D9/C9-1,"n.a.")</f>
        <v>0.116212185769067</v>
      </c>
      <c r="E29" s="115">
        <f>IFERROR(E9/D9-1,"n.a.")</f>
        <v>0.10592613799026629</v>
      </c>
      <c r="G29" s="41">
        <f>IFERROR(G9/(SUMIFS('Monthly P&amp;L'!$Q$16:$AZ$16,'Monthly P&amp;L'!$Q$6:$AZ$6,"&gt;="&amp;(EOMONTH(G$44,-13)+1),'Monthly P&amp;L'!$Q$6:$AZ$6,"&lt;="&amp;EOMONTH(G$45,-12)))-1,"n.a.")</f>
        <v>0.116212185769067</v>
      </c>
      <c r="H29" s="115">
        <f>IFERROR(H9/G9-1,"n.a.")</f>
        <v>0.10592613799026629</v>
      </c>
      <c r="J29" s="41">
        <f>IFERROR(J9/(SUMIFS('Monthly P&amp;L'!$Q$16:$AZ$16,'Monthly P&amp;L'!$Q$6:$AZ$6,"&gt;="&amp;(EOMONTH(J$44,-13)+1),'Monthly P&amp;L'!$Q$6:$AZ$6,"&lt;="&amp;EOMONTH(J$45,-12)))-1,"n.a.")</f>
        <v>0.116212185769067</v>
      </c>
      <c r="K29" s="115">
        <f>IFERROR(K9/J9-1,"n.a.")</f>
        <v>0.10592613799026629</v>
      </c>
      <c r="L29" s="118" t="s">
        <v>136</v>
      </c>
      <c r="Q29" s="41">
        <f>J29</f>
        <v>0.116212185769067</v>
      </c>
      <c r="R29" s="115">
        <f>K29</f>
        <v>0.10592613799026629</v>
      </c>
      <c r="S29" s="115" t="str">
        <f>L29</f>
        <v>n.a.</v>
      </c>
      <c r="V29" s="115">
        <f>IFERROR(V9/U9-1,"n.a.")</f>
        <v>-0.13631783216434368</v>
      </c>
      <c r="W29" s="115">
        <f>IFERROR(W9/V9-1,"n.a.")</f>
        <v>-0.09035880137698404</v>
      </c>
      <c r="X29" s="115">
        <f>IFERROR(X9/W9-1,"n.a.")</f>
        <v>-0.04258102204612413</v>
      </c>
      <c r="Y29" s="115">
        <f>IFERROR(Y9/X9-1,"n.a.")</f>
        <v>0.07271424971150409</v>
      </c>
      <c r="Z29" s="115">
        <f>IFERROR(Z9/Y9-1,"n.a.")</f>
        <v>0.1744216240277967</v>
      </c>
      <c r="AA29" s="115">
        <f>IFERROR(AA9/Z9-1,"n.a.")</f>
        <v>0.20186567557038915</v>
      </c>
      <c r="AB29" s="115">
        <f>IFERROR(AB9/AA9-1,"n.a.")</f>
        <v>0.09059850024528693</v>
      </c>
      <c r="AC29" s="115">
        <f>IFERROR(AC9/AB9-1,"n.a.")</f>
        <v>-0.06463765322023551</v>
      </c>
      <c r="AD29" s="115">
        <f>IFERROR(AD9/AC9-1,"n.a.")</f>
        <v>-0.14690803541525332</v>
      </c>
      <c r="AE29" s="115">
        <f>IFERROR(AE9/AD9-1,"n.a.")</f>
        <v>-0.13580632172337426</v>
      </c>
      <c r="AF29" s="115">
        <f>IFERROR(AF9/AE9-1,"n.a.")</f>
        <v>0.06236531584526328</v>
      </c>
      <c r="AG29" s="115">
        <f>IFERROR(AG9/AF9-1,"n.a.")</f>
        <v>0.21555211999605284</v>
      </c>
    </row>
    <row r="30" spans="2:33" x14ac:dyDescent="0.25">
      <c r="B30" s="40" t="s">
        <v>89</v>
      </c>
      <c r="C30" s="118" t="s">
        <v>136</v>
      </c>
      <c r="D30" s="115">
        <f>IFERROR(D10/C10-1,"n.a.")</f>
        <v>0.13807901907356945</v>
      </c>
      <c r="E30" s="115">
        <f>IFERROR(E10/D10-1,"n.a.")</f>
        <v>0.12641407793140602</v>
      </c>
      <c r="G30" s="41">
        <f>IFERROR(G10/(SUMIFS('Monthly P&amp;L'!$Q$18:$AZ$18,'Monthly P&amp;L'!$Q$6:$AZ$6,"&gt;="&amp;(EOMONTH(G$44,-13)+1),'Monthly P&amp;L'!$Q$6:$AZ$6,"&lt;="&amp;EOMONTH(G$45,-12)))-1,"n.a.")</f>
        <v>0.13807901907356945</v>
      </c>
      <c r="H30" s="115">
        <f>IFERROR(H10/G10-1,"n.a.")</f>
        <v>0.12641407793140602</v>
      </c>
      <c r="J30" s="41">
        <f>IFERROR(J10/(SUMIFS('Monthly P&amp;L'!$Q$18:$AZ$18,'Monthly P&amp;L'!$Q$6:$AZ$6,"&gt;="&amp;(EOMONTH(J$44,-13)+1),'Monthly P&amp;L'!$Q$6:$AZ$6,"&lt;="&amp;EOMONTH(J$45,-12)))-1,"n.a.")</f>
        <v>0.13807901907356945</v>
      </c>
      <c r="K30" s="115">
        <f>IFERROR(K10/J10-1,"n.a.")</f>
        <v>0.12641407793140602</v>
      </c>
      <c r="L30" s="118" t="s">
        <v>136</v>
      </c>
      <c r="Q30" s="41">
        <f>J30</f>
        <v>0.13807901907356945</v>
      </c>
      <c r="R30" s="115">
        <f>K30</f>
        <v>0.12641407793140602</v>
      </c>
      <c r="S30" s="115" t="str">
        <f>L30</f>
        <v>n.a.</v>
      </c>
      <c r="V30" s="115">
        <f>IFERROR(V10/U10-1,"n.a.")</f>
        <v>-0.07933632054029482</v>
      </c>
      <c r="W30" s="115">
        <f>IFERROR(W10/V10-1,"n.a.")</f>
        <v>-0.05925669908938935</v>
      </c>
      <c r="X30" s="115">
        <f>IFERROR(X10/W10-1,"n.a.")</f>
        <v>-0.016585190294814534</v>
      </c>
      <c r="Y30" s="115">
        <f>IFERROR(Y10/X10-1,"n.a.")</f>
        <v>0.05962183592558712</v>
      </c>
      <c r="Z30" s="115">
        <f>IFERROR(Z10/Y10-1,"n.a.")</f>
        <v>0.11023888329256004</v>
      </c>
      <c r="AA30" s="115">
        <f>IFERROR(AA10/Z10-1,"n.a.")</f>
        <v>0.1438487112850857</v>
      </c>
      <c r="AB30" s="115">
        <f>IFERROR(AB10/AA10-1,"n.a.")</f>
        <v>0.06908332719536303</v>
      </c>
      <c r="AC30" s="115">
        <f>IFERROR(AC10/AB10-1,"n.a.")</f>
        <v>-0.04582118819227299</v>
      </c>
      <c r="AD30" s="115">
        <f>IFERROR(AD10/AC10-1,"n.a.")</f>
        <v>-0.09174424029681638</v>
      </c>
      <c r="AE30" s="115">
        <f>IFERROR(AE10/AD10-1,"n.a.")</f>
        <v>-0.09780096131502025</v>
      </c>
      <c r="AF30" s="115">
        <f>IFERROR(AF10/AE10-1,"n.a.")</f>
        <v>0.03614784488894007</v>
      </c>
      <c r="AG30" s="115">
        <f>IFERROR(AG10/AF10-1,"n.a.")</f>
        <v>0.13274371017754105</v>
      </c>
    </row>
    <row r="31" spans="2:33" x14ac:dyDescent="0.25">
      <c r="B31" s="40" t="s">
        <v>349</v>
      </c>
      <c r="C31" s="118" t="s">
        <v>136</v>
      </c>
      <c r="D31" s="115">
        <f>IFERROR(D11/C11-1,"n.a.")</f>
        <v>0.1197645770599507</v>
      </c>
      <c r="E31" s="115">
        <f>IFERROR(E11/D11-1,"n.a.")</f>
        <v>0.10585502994743923</v>
      </c>
      <c r="G31" s="41">
        <f>IFERROR(G11/(SUMIFS('Monthly P&amp;L'!$Q$22:$AZ$22,'Monthly P&amp;L'!$Q$6:$AZ$6,"&gt;="&amp;(EOMONTH(G$44,-13)+1),'Monthly P&amp;L'!$Q$6:$AZ$6,"&lt;="&amp;EOMONTH(G$45,-12)))-1,"n.a.")</f>
        <v>0.1197645770599507</v>
      </c>
      <c r="H31" s="115">
        <f>IFERROR(H11/G11-1,"n.a.")</f>
        <v>0.10585502994743923</v>
      </c>
      <c r="J31" s="41">
        <f>IFERROR(J11/(SUMIFS('Monthly P&amp;L'!$Q$22:$AZ$22,'Monthly P&amp;L'!$Q$6:$AZ$6,"&gt;="&amp;(EOMONTH(J$44,-13)+1),'Monthly P&amp;L'!$Q$6:$AZ$6,"&lt;="&amp;EOMONTH(J$45,-12)))-1,"n.a.")</f>
        <v>0.1197645770599507</v>
      </c>
      <c r="K31" s="115">
        <f>IFERROR(K11/J11-1,"n.a.")</f>
        <v>0.10585502994743923</v>
      </c>
      <c r="L31" s="118" t="s">
        <v>136</v>
      </c>
      <c r="Q31" s="41">
        <f>J31</f>
        <v>0.1197645770599507</v>
      </c>
      <c r="R31" s="115">
        <f>K31</f>
        <v>0.10585502994743923</v>
      </c>
      <c r="S31" s="115" t="str">
        <f>L31</f>
        <v>n.a.</v>
      </c>
      <c r="V31" s="115">
        <f>IFERROR(V11/U11-1,"n.a.")</f>
        <v>0.06914676078098725</v>
      </c>
      <c r="W31" s="115">
        <f>IFERROR(W11/V11-1,"n.a.")</f>
        <v>-0.01701518757792131</v>
      </c>
      <c r="X31" s="115">
        <f>IFERROR(X11/W11-1,"n.a.")</f>
        <v>0.04329590821959273</v>
      </c>
      <c r="Y31" s="115">
        <f>IFERROR(Y11/X11-1,"n.a.")</f>
        <v>0.024921601945100624</v>
      </c>
      <c r="Z31" s="115">
        <f>IFERROR(Z11/Y11-1,"n.a.")</f>
        <v>0.03240285209796334</v>
      </c>
      <c r="AA31" s="115">
        <f>IFERROR(AA11/Z11-1,"n.a.")</f>
        <v>0.06275866570925004</v>
      </c>
      <c r="AB31" s="115">
        <f>IFERROR(AB11/AA11-1,"n.a.")</f>
        <v>0.03691555490037102</v>
      </c>
      <c r="AC31" s="115">
        <f>IFERROR(AC11/AB11-1,"n.a.")</f>
        <v>-0.03561316004596771</v>
      </c>
      <c r="AD31" s="115">
        <f>IFERROR(AD11/AC11-1,"n.a.")</f>
        <v>-0.05907789830591759</v>
      </c>
      <c r="AE31" s="115">
        <f>IFERROR(AE11/AD11-1,"n.a.")</f>
        <v>-0.04706757885941093</v>
      </c>
      <c r="AF31" s="115">
        <f>IFERROR(AF11/AE11-1,"n.a.")</f>
        <v>-0.016482387274446175</v>
      </c>
      <c r="AG31" s="115">
        <f>IFERROR(AG11/AF11-1,"n.a.")</f>
        <v>0.01675860916081584</v>
      </c>
    </row>
    <row r="32" spans="2:33" x14ac:dyDescent="0.25">
      <c r="B32" s="40" t="s">
        <v>351</v>
      </c>
      <c r="C32" s="118" t="s">
        <v>136</v>
      </c>
      <c r="D32" s="115">
        <f>IFERROR(D12/C12-1,"n.a.")</f>
        <v>0.05555555555555558</v>
      </c>
      <c r="E32" s="115">
        <f>IFERROR(E12/D12-1,"n.a.")</f>
        <v>0.05263157894736836</v>
      </c>
      <c r="G32" s="41">
        <f>IFERROR(G12/(SUMIFS('Monthly P&amp;L'!$Q$23:$AZ$23,'Monthly P&amp;L'!$Q$6:$AZ$6,"&gt;="&amp;(EOMONTH(G$44,-13)+1),'Monthly P&amp;L'!$Q$6:$AZ$6,"&lt;="&amp;EOMONTH(G$45,-12)))-1,"n.a.")</f>
        <v>0.05555555555555558</v>
      </c>
      <c r="H32" s="115">
        <f>IFERROR(H12/G12-1,"n.a.")</f>
        <v>0.05263157894736836</v>
      </c>
      <c r="J32" s="41">
        <f>IFERROR(J12/(SUMIFS('Monthly P&amp;L'!$Q$23:$AZ$23,'Monthly P&amp;L'!$Q$6:$AZ$6,"&gt;="&amp;(EOMONTH(J$44,-13)+1),'Monthly P&amp;L'!$Q$6:$AZ$6,"&lt;="&amp;EOMONTH(J$45,-12)))-1,"n.a.")</f>
        <v>0.05555555555555558</v>
      </c>
      <c r="K32" s="115">
        <f>IFERROR(K12/J12-1,"n.a.")</f>
        <v>0.05263157894736836</v>
      </c>
      <c r="L32" s="118" t="s">
        <v>136</v>
      </c>
      <c r="Q32" s="41">
        <f>J32</f>
        <v>0.05555555555555558</v>
      </c>
      <c r="R32" s="115">
        <f>K32</f>
        <v>0.05263157894736836</v>
      </c>
      <c r="S32" s="115" t="str">
        <f>L32</f>
        <v>n.a.</v>
      </c>
      <c r="V32" s="115">
        <f>IFERROR(V12/U12-1,"n.a.")</f>
        <v>0.05267479315354007</v>
      </c>
      <c r="W32" s="115">
        <f>IFERROR(W12/V12-1,"n.a.")</f>
        <v>0</v>
      </c>
      <c r="X32" s="115">
        <f>IFERROR(X12/W12-1,"n.a.")</f>
        <v>0</v>
      </c>
      <c r="Y32" s="115">
        <f>IFERROR(Y12/X12-1,"n.a.")</f>
        <v>0</v>
      </c>
      <c r="Z32" s="115">
        <f>IFERROR(Z12/Y12-1,"n.a.")</f>
        <v>0</v>
      </c>
      <c r="AA32" s="115">
        <f>IFERROR(AA12/Z12-1,"n.a.")</f>
        <v>0</v>
      </c>
      <c r="AB32" s="115">
        <f>IFERROR(AB12/AA12-1,"n.a.")</f>
        <v>0</v>
      </c>
      <c r="AC32" s="115">
        <f>IFERROR(AC12/AB12-1,"n.a.")</f>
        <v>0</v>
      </c>
      <c r="AD32" s="115">
        <f>IFERROR(AD12/AC12-1,"n.a.")</f>
        <v>-0.000059998800024052557</v>
      </c>
      <c r="AE32" s="115">
        <f>IFERROR(AE12/AD12-1,"n.a.")</f>
        <v>0</v>
      </c>
      <c r="AF32" s="115">
        <f>IFERROR(AF12/AE12-1,"n.a.")</f>
        <v>0</v>
      </c>
      <c r="AG32" s="115">
        <f>IFERROR(AG12/AF12-1,"n.a.")</f>
        <v>0</v>
      </c>
    </row>
    <row r="33" spans="2:33" x14ac:dyDescent="0.25">
      <c r="B33" s="40" t="s">
        <v>353</v>
      </c>
      <c r="C33" s="118" t="s">
        <v>136</v>
      </c>
      <c r="D33" s="115">
        <f>IFERROR(D13/C13-1,"n.a.")</f>
        <v>0.030000000000000027</v>
      </c>
      <c r="E33" s="115">
        <f>IFERROR(E13/D13-1,"n.a.")</f>
        <v>0.03000269687162893</v>
      </c>
      <c r="G33" s="41">
        <f>IFERROR(G13/(SUMIFS('Monthly P&amp;L'!$Q$24:$AZ$24,'Monthly P&amp;L'!$Q$6:$AZ$6,"&gt;="&amp;(EOMONTH(G$44,-13)+1),'Monthly P&amp;L'!$Q$6:$AZ$6,"&lt;="&amp;EOMONTH(G$45,-12)))-1,"n.a.")</f>
        <v>0.030000000000000027</v>
      </c>
      <c r="H33" s="115">
        <f>IFERROR(H13/G13-1,"n.a.")</f>
        <v>0.03000269687162893</v>
      </c>
      <c r="J33" s="41">
        <f>IFERROR(J13/(SUMIFS('Monthly P&amp;L'!$Q$24:$AZ$24,'Monthly P&amp;L'!$Q$6:$AZ$6,"&gt;="&amp;(EOMONTH(J$44,-13)+1),'Monthly P&amp;L'!$Q$6:$AZ$6,"&lt;="&amp;EOMONTH(J$45,-12)))-1,"n.a.")</f>
        <v>0.030000000000000027</v>
      </c>
      <c r="K33" s="115">
        <f>IFERROR(K13/J13-1,"n.a.")</f>
        <v>0.03000269687162893</v>
      </c>
      <c r="L33" s="118" t="s">
        <v>136</v>
      </c>
      <c r="Q33" s="41">
        <f>J33</f>
        <v>0.030000000000000027</v>
      </c>
      <c r="R33" s="115">
        <f>K33</f>
        <v>0.03000269687162893</v>
      </c>
      <c r="S33" s="115" t="str">
        <f>L33</f>
        <v>n.a.</v>
      </c>
      <c r="V33" s="115">
        <f>IFERROR(V13/U13-1,"n.a.")</f>
        <v>0.030097087378640808</v>
      </c>
      <c r="W33" s="115">
        <f>IFERROR(W13/V13-1,"n.a.")</f>
        <v>0</v>
      </c>
      <c r="X33" s="115">
        <f>IFERROR(X13/W13-1,"n.a.")</f>
        <v>0</v>
      </c>
      <c r="Y33" s="115">
        <f>IFERROR(Y13/X13-1,"n.a.")</f>
        <v>0</v>
      </c>
      <c r="Z33" s="115">
        <f>IFERROR(Z13/Y13-1,"n.a.")</f>
        <v>0</v>
      </c>
      <c r="AA33" s="115">
        <f>IFERROR(AA13/Z13-1,"n.a.")</f>
        <v>-0.00015708451146712044</v>
      </c>
      <c r="AB33" s="115">
        <f>IFERROR(AB13/AA13-1,"n.a.")</f>
        <v>0</v>
      </c>
      <c r="AC33" s="115">
        <f>IFERROR(AC13/AB13-1,"n.a.")</f>
        <v>0</v>
      </c>
      <c r="AD33" s="115">
        <f>IFERROR(AD13/AC13-1,"n.a.")</f>
        <v>0</v>
      </c>
      <c r="AE33" s="115">
        <f>IFERROR(AE13/AD13-1,"n.a.")</f>
        <v>0</v>
      </c>
      <c r="AF33" s="115">
        <f>IFERROR(AF13/AE13-1,"n.a.")</f>
        <v>0</v>
      </c>
      <c r="AG33" s="115">
        <f>IFERROR(AG13/AF13-1,"n.a.")</f>
        <v>0</v>
      </c>
    </row>
    <row r="34" spans="2:33" x14ac:dyDescent="0.25">
      <c r="B34" s="40" t="s">
        <v>355</v>
      </c>
      <c r="C34" s="118" t="s">
        <v>136</v>
      </c>
      <c r="D34" s="115">
        <f>IFERROR(D14/C14-1,"n.a.")</f>
        <v>0.09876543209876543</v>
      </c>
      <c r="E34" s="115">
        <f>IFERROR(E14/D14-1,"n.a.")</f>
        <v>0.1179775280898876</v>
      </c>
      <c r="G34" s="41">
        <f>IFERROR(G14/(SUMIFS('Monthly P&amp;L'!$Q$25:$AZ$25,'Monthly P&amp;L'!$Q$6:$AZ$6,"&gt;="&amp;(EOMONTH(G$44,-13)+1),'Monthly P&amp;L'!$Q$6:$AZ$6,"&lt;="&amp;EOMONTH(G$45,-12)))-1,"n.a.")</f>
        <v>0.09876543209876543</v>
      </c>
      <c r="H34" s="115">
        <f>IFERROR(H14/G14-1,"n.a.")</f>
        <v>0.1179775280898876</v>
      </c>
      <c r="J34" s="41">
        <f>IFERROR(J14/(SUMIFS('Monthly P&amp;L'!$Q$25:$AZ$25,'Monthly P&amp;L'!$Q$6:$AZ$6,"&gt;="&amp;(EOMONTH(J$44,-13)+1),'Monthly P&amp;L'!$Q$6:$AZ$6,"&lt;="&amp;EOMONTH(J$45,-12)))-1,"n.a.")</f>
        <v>0.09876543209876543</v>
      </c>
      <c r="K34" s="115">
        <f>IFERROR(K14/J14-1,"n.a.")</f>
        <v>0.1179775280898876</v>
      </c>
      <c r="L34" s="118" t="s">
        <v>136</v>
      </c>
      <c r="Q34" s="41">
        <f>J34</f>
        <v>0.09876543209876543</v>
      </c>
      <c r="R34" s="115">
        <f>K34</f>
        <v>0.1179775280898876</v>
      </c>
      <c r="S34" s="115" t="str">
        <f>L34</f>
        <v>n.a.</v>
      </c>
      <c r="V34" s="115">
        <f>IFERROR(V14/U14-1,"n.a.")</f>
        <v>0.27787141825186623</v>
      </c>
      <c r="W34" s="115">
        <f>IFERROR(W14/V14-1,"n.a.")</f>
        <v>0.12492933860938393</v>
      </c>
      <c r="X34" s="115">
        <f>IFERROR(X14/W14-1,"n.a.")</f>
        <v>0.33333333333333326</v>
      </c>
      <c r="Y34" s="115">
        <f>IFERROR(Y14/X14-1,"n.a.")</f>
        <v>0.08329145728643206</v>
      </c>
      <c r="Z34" s="115">
        <f>IFERROR(Z14/Y14-1,"n.a.")</f>
        <v>-0.07688739417836021</v>
      </c>
      <c r="AA34" s="115">
        <f>IFERROR(AA14/Z14-1,"n.a.")</f>
        <v>-0.16670854271356783</v>
      </c>
      <c r="AB34" s="115">
        <f>IFERROR(AB14/AA14-1,"n.a.")</f>
        <v>-0.09995477159656263</v>
      </c>
      <c r="AC34" s="115">
        <f>IFERROR(AC14/AB14-1,"n.a.")</f>
        <v>0</v>
      </c>
      <c r="AD34" s="115">
        <f>IFERROR(AD14/AC14-1,"n.a.")</f>
        <v>0.22227805695142377</v>
      </c>
      <c r="AE34" s="115">
        <f>IFERROR(AE14/AD14-1,"n.a.")</f>
        <v>0.09085925722899812</v>
      </c>
      <c r="AF34" s="115">
        <f>IFERROR(AF14/AE14-1,"n.a.")</f>
        <v>-0.33329145728643217</v>
      </c>
      <c r="AG34" s="115">
        <f>IFERROR(AG14/AF14-1,"n.a.")</f>
        <v>-0.12511776898436033</v>
      </c>
    </row>
    <row r="35" spans="2:33" x14ac:dyDescent="0.25">
      <c r="B35" s="40" t="s">
        <v>357</v>
      </c>
      <c r="C35" s="118" t="s">
        <v>136</v>
      </c>
      <c r="D35" s="115">
        <f>IFERROR(D15/C15-1,"n.a.")</f>
        <v>0.1570561456752655</v>
      </c>
      <c r="E35" s="115">
        <f>IFERROR(E15/D15-1,"n.a.")</f>
        <v>-0.0006557377049180024</v>
      </c>
      <c r="G35" s="41">
        <f>IFERROR(G15/(SUMIFS('Monthly P&amp;L'!$Q$26:$AZ$26,'Monthly P&amp;L'!$Q$6:$AZ$6,"&gt;="&amp;(EOMONTH(G$44,-13)+1),'Monthly P&amp;L'!$Q$6:$AZ$6,"&lt;="&amp;EOMONTH(G$45,-12)))-1,"n.a.")</f>
        <v>0.1570561456752655</v>
      </c>
      <c r="H35" s="115">
        <f>IFERROR(H15/G15-1,"n.a.")</f>
        <v>-0.0006557377049180024</v>
      </c>
      <c r="J35" s="41">
        <f>IFERROR(J15/(SUMIFS('Monthly P&amp;L'!$Q$26:$AZ$26,'Monthly P&amp;L'!$Q$6:$AZ$6,"&gt;="&amp;(EOMONTH(J$44,-13)+1),'Monthly P&amp;L'!$Q$6:$AZ$6,"&lt;="&amp;EOMONTH(J$45,-12)))-1,"n.a.")</f>
        <v>0.1570561456752655</v>
      </c>
      <c r="K35" s="115">
        <f>IFERROR(K15/J15-1,"n.a.")</f>
        <v>-0.0006557377049180024</v>
      </c>
      <c r="L35" s="118" t="s">
        <v>136</v>
      </c>
      <c r="Q35" s="41">
        <f>J35</f>
        <v>0.1570561456752655</v>
      </c>
      <c r="R35" s="115">
        <f>K35</f>
        <v>-0.0006557377049180024</v>
      </c>
      <c r="S35" s="115" t="str">
        <f>L35</f>
        <v>n.a.</v>
      </c>
      <c r="V35" s="115">
        <f>IFERROR(V15/U15-1,"n.a.")</f>
        <v>-0.03560561153922148</v>
      </c>
      <c r="W35" s="115">
        <f>IFERROR(W15/V15-1,"n.a.")</f>
        <v>-0.023438780527782366</v>
      </c>
      <c r="X35" s="115">
        <f>IFERROR(X15/W15-1,"n.a.")</f>
        <v>0.024798590130916454</v>
      </c>
      <c r="Y35" s="115">
        <f>IFERROR(Y15/X15-1,"n.a.")</f>
        <v>0.02092290054456858</v>
      </c>
      <c r="Z35" s="115">
        <f>IFERROR(Z15/Y15-1,"n.a.")</f>
        <v>0.004211117349803395</v>
      </c>
      <c r="AA35" s="115">
        <f>IFERROR(AA15/Z15-1,"n.a.")</f>
        <v>0.05515395982267668</v>
      </c>
      <c r="AB35" s="115">
        <f>IFERROR(AB15/AA15-1,"n.a.")</f>
        <v>0.03467070401211214</v>
      </c>
      <c r="AC35" s="115">
        <f>IFERROR(AC15/AB15-1,"n.a.")</f>
        <v>-0.033143107989464404</v>
      </c>
      <c r="AD35" s="115">
        <f>IFERROR(AD15/AC15-1,"n.a.")</f>
        <v>-0.0457056375331063</v>
      </c>
      <c r="AE35" s="115">
        <f>IFERROR(AE15/AD15-1,"n.a.")</f>
        <v>-0.029537705178019236</v>
      </c>
      <c r="AF35" s="115">
        <f>IFERROR(AF15/AE15-1,"n.a.")</f>
        <v>-0.0026146995138293105</v>
      </c>
      <c r="AG35" s="115">
        <f>IFERROR(AG15/AF15-1,"n.a.")</f>
        <v>0.14160488264449267</v>
      </c>
    </row>
    <row r="36" spans="2:33" x14ac:dyDescent="0.25">
      <c r="B36" s="40" t="s">
        <v>359</v>
      </c>
      <c r="C36" s="118" t="s">
        <v>136</v>
      </c>
      <c r="D36" s="115">
        <f>IFERROR(D16/C16-1,"n.a.")</f>
        <v>0.11247902364607176</v>
      </c>
      <c r="E36" s="115">
        <f>IFERROR(E16/D16-1,"n.a.")</f>
        <v>0.07338219766054599</v>
      </c>
      <c r="G36" s="41">
        <f>IFERROR(G16/(SUMIFS('Monthly P&amp;L'!$Q$28:$AZ$28,'Monthly P&amp;L'!$Q$6:$AZ$6,"&gt;="&amp;(EOMONTH(G$44,-13)+1),'Monthly P&amp;L'!$Q$6:$AZ$6,"&lt;="&amp;EOMONTH(G$45,-12)))-1,"n.a.")</f>
        <v>0.11247902364607176</v>
      </c>
      <c r="H36" s="115">
        <f>IFERROR(H16/G16-1,"n.a.")</f>
        <v>0.07338219766054599</v>
      </c>
      <c r="J36" s="41">
        <f>IFERROR(J16/(SUMIFS('Monthly P&amp;L'!$Q$28:$AZ$28,'Monthly P&amp;L'!$Q$6:$AZ$6,"&gt;="&amp;(EOMONTH(J$44,-13)+1),'Monthly P&amp;L'!$Q$6:$AZ$6,"&lt;="&amp;EOMONTH(J$45,-12)))-1,"n.a.")</f>
        <v>0.11247902364607176</v>
      </c>
      <c r="K36" s="115">
        <f>IFERROR(K16/J16-1,"n.a.")</f>
        <v>0.07338219766054599</v>
      </c>
      <c r="L36" s="118" t="s">
        <v>136</v>
      </c>
      <c r="Q36" s="41">
        <f>J36</f>
        <v>0.11247902364607176</v>
      </c>
      <c r="R36" s="115">
        <f>K36</f>
        <v>0.07338219766054599</v>
      </c>
      <c r="S36" s="115" t="str">
        <f>L36</f>
        <v>n.a.</v>
      </c>
      <c r="V36" s="115">
        <f>IFERROR(V16/U16-1,"n.a.")</f>
        <v>0.049689335262575574</v>
      </c>
      <c r="W36" s="115">
        <f>IFERROR(W16/V16-1,"n.a.")</f>
        <v>-0.009000389206019754</v>
      </c>
      <c r="X36" s="115">
        <f>IFERROR(X16/W16-1,"n.a.")</f>
        <v>0.04569703317023688</v>
      </c>
      <c r="Y36" s="115">
        <f>IFERROR(Y16/X16-1,"n.a.")</f>
        <v>0.023301487445521518</v>
      </c>
      <c r="Z36" s="115">
        <f>IFERROR(Z16/Y16-1,"n.a.")</f>
        <v>0.014115200220215396</v>
      </c>
      <c r="AA36" s="115">
        <f>IFERROR(AA16/Z16-1,"n.a.")</f>
        <v>0.036644122237553534</v>
      </c>
      <c r="AB36" s="115">
        <f>IFERROR(AB16/AA16-1,"n.a.")</f>
        <v>0.023696785877937554</v>
      </c>
      <c r="AC36" s="115">
        <f>IFERROR(AC16/AB16-1,"n.a.")</f>
        <v>-0.02779494831077478</v>
      </c>
      <c r="AD36" s="115">
        <f>IFERROR(AD16/AC16-1,"n.a.")</f>
        <v>-0.03428266573121985</v>
      </c>
      <c r="AE36" s="115">
        <f>IFERROR(AE16/AD16-1,"n.a.")</f>
        <v>-0.027901802606287163</v>
      </c>
      <c r="AF36" s="115">
        <f>IFERROR(AF16/AE16-1,"n.a.")</f>
        <v>-0.030516523296095888</v>
      </c>
      <c r="AG36" s="115">
        <f>IFERROR(AG16/AF16-1,"n.a.")</f>
        <v>0.032087364997791745</v>
      </c>
    </row>
    <row r="37" spans="2:33" x14ac:dyDescent="0.25">
      <c r="B37" s="178" t="s">
        <v>538</v>
      </c>
      <c r="C37" s="179" t="s">
        <v>136</v>
      </c>
      <c r="D37" s="180">
        <f>IFERROR(D16/C16-1,"n.a.")</f>
        <v>0.11247902364607176</v>
      </c>
      <c r="E37" s="181">
        <f>IFERROR(E16/D16-1,"n.a.")</f>
        <v>0.07338219766054599</v>
      </c>
      <c r="G37" s="182">
        <f>IFERROR(G16/(SUMIFS('Monthly P&amp;L'!$Q$28:$AZ$28,'Monthly P&amp;L'!$Q$6:$AZ$6,"&gt;="&amp;(EOMONTH(G$44,-13)+1),'Monthly P&amp;L'!$Q$6:$AZ$6,"&lt;="&amp;EOMONTH(G$45,-12)))-1,"n.a.")</f>
        <v>0.11247902364607176</v>
      </c>
      <c r="H37" s="181">
        <f>IFERROR(H16/G16-1,"n.a.")</f>
        <v>0.07338219766054599</v>
      </c>
      <c r="J37" s="182">
        <f>IFERROR(J16/(SUMIFS('Monthly P&amp;L'!$Q$28:$AZ$28,'Monthly P&amp;L'!$Q$6:$AZ$6,"&gt;="&amp;(EOMONTH(J$44,-13)+1),'Monthly P&amp;L'!$Q$6:$AZ$6,"&lt;="&amp;EOMONTH(J$45,-12)))-1,"n.a.")</f>
        <v>0.11247902364607176</v>
      </c>
      <c r="K37" s="181">
        <f>IFERROR(K16/J16-1,"n.a.")</f>
        <v>0.07338219766054599</v>
      </c>
      <c r="L37" s="183" t="s">
        <v>136</v>
      </c>
      <c r="N37" s="184"/>
      <c r="O37" s="185"/>
      <c r="Q37" s="182">
        <f>J37</f>
        <v>0.11247902364607176</v>
      </c>
      <c r="R37" s="180">
        <f>K37</f>
        <v>0.07338219766054599</v>
      </c>
      <c r="S37" s="186" t="str">
        <f>L37</f>
        <v>n.a.</v>
      </c>
      <c r="V37" s="187">
        <f>IFERROR(V16/U16-1,"n.a.")</f>
        <v>0.049689335262575574</v>
      </c>
      <c r="W37" s="180">
        <f>IFERROR(W16/V16-1,"n.a.")</f>
        <v>-0.009000389206019754</v>
      </c>
      <c r="X37" s="180">
        <f>IFERROR(X16/W16-1,"n.a.")</f>
        <v>0.04569703317023688</v>
      </c>
      <c r="Y37" s="180">
        <f>IFERROR(Y16/X16-1,"n.a.")</f>
        <v>0.023301487445521518</v>
      </c>
      <c r="Z37" s="180">
        <f>IFERROR(Z16/Y16-1,"n.a.")</f>
        <v>0.014115200220215396</v>
      </c>
      <c r="AA37" s="180">
        <f>IFERROR(AA16/Z16-1,"n.a.")</f>
        <v>0.036644122237553534</v>
      </c>
      <c r="AB37" s="180">
        <f>IFERROR(AB16/AA16-1,"n.a.")</f>
        <v>0.023696785877937554</v>
      </c>
      <c r="AC37" s="180">
        <f>IFERROR(AC16/AB16-1,"n.a.")</f>
        <v>-0.02779494831077478</v>
      </c>
      <c r="AD37" s="180">
        <f>IFERROR(AD16/AC16-1,"n.a.")</f>
        <v>-0.03428266573121985</v>
      </c>
      <c r="AE37" s="180">
        <f>IFERROR(AE16/AD16-1,"n.a.")</f>
        <v>-0.027901802606287163</v>
      </c>
      <c r="AF37" s="180">
        <f>IFERROR(AF16/AE16-1,"n.a.")</f>
        <v>-0.030516523296095888</v>
      </c>
      <c r="AG37" s="181">
        <f>IFERROR(AG16/AF16-1,"n.a.")</f>
        <v>0.032087364997791745</v>
      </c>
    </row>
    <row r="38" ht="3.95" customHeight="1" x14ac:dyDescent="0.25"/>
    <row r="39" spans="2:3" x14ac:dyDescent="0.25">
      <c r="B39" s="130" t="s">
        <v>517</v>
      </c>
      <c r="C39" s="130">
        <f>ROUND(SUM(V16:AG16)-SUMIFS('Monthly P&amp;L'!$Q$28:$AZ$28,'Monthly P&amp;L'!$Q$6:$AZ$6,"&gt;="&amp;V6,'Monthly P&amp;L'!$Q$6:$AZ$6,"&lt;="&amp;AG6),6)</f>
        <v>0</v>
      </c>
    </row>
    <row r="40" spans="2:3" x14ac:dyDescent="0.25">
      <c r="B40" s="130" t="s">
        <v>518</v>
      </c>
      <c r="C40" s="130">
        <f>ROUND(ABS(V6-(EOMONTH('Assumptions'!$C$9,-12)+1))+ABS(AG6-(EOMONTH('Assumptions'!$C$9,-1)+1)),6)</f>
        <v>0</v>
      </c>
    </row>
    <row r="42" ht="25" customHeight="1" spans="2:15" x14ac:dyDescent="0.25">
      <c r="B42" s="60" t="s">
        <v>519</v>
      </c>
      <c r="C42" s="60"/>
      <c r="D42" s="60"/>
      <c r="E42" s="60"/>
      <c r="F42" s="60"/>
      <c r="G42" s="60"/>
      <c r="H42" s="60"/>
      <c r="I42" s="60"/>
      <c r="J42" s="60"/>
      <c r="K42" s="60"/>
      <c r="L42" s="60"/>
      <c r="M42" s="60"/>
      <c r="N42" s="60"/>
      <c r="O42" s="60"/>
    </row>
    <row r="44" spans="2:12" x14ac:dyDescent="0.25">
      <c r="B44" s="131" t="s">
        <v>380</v>
      </c>
      <c r="C44" s="132">
        <f>EOMONTH(EOMONTH(DATE('Assumptions'!$C$15-2,'Assumptions'!$C$14,1),0),-12)+1</f>
        <v>44927</v>
      </c>
      <c r="D44" s="132">
        <f>EOMONTH(EOMONTH(DATE('Assumptions'!$C$15-1,'Assumptions'!$C$14,1),0),-12)+1</f>
        <v>45292</v>
      </c>
      <c r="E44" s="132">
        <f>EOMONTH(EOMONTH(DATE('Assumptions'!$C$15-0,'Assumptions'!$C$14,1),0),-12)+1</f>
        <v>45658</v>
      </c>
      <c r="G44" s="132">
        <f>EOMONTH(EOMONTH(DATE(YEAR('Assumptions'!$C$9)-IF(MONTH('Assumptions'!$C$9)&gt;'Assumptions'!$C$14,0,1),'Assumptions'!$C$14,1),0)+1,-13)+1</f>
        <v>45292</v>
      </c>
      <c r="H44" s="132">
        <f>EOMONTH(DATE(YEAR('Assumptions'!$C$9)-IF(MONTH('Assumptions'!$C$9)&gt;'Assumptions'!$C$14,0,1),'Assumptions'!$C$14,1),0)+1</f>
        <v>45658</v>
      </c>
      <c r="J44" s="132">
        <f>EOMONTH('Assumptions'!$C$9,-24)+1</f>
        <v>45292</v>
      </c>
      <c r="K44" s="132">
        <f>EOMONTH('Assumptions'!$C$9,-12)+1</f>
        <v>45658</v>
      </c>
      <c r="L44" s="132">
        <f>EOMONTH('Assumptions'!$C$9,-12)+1</f>
        <v>45658</v>
      </c>
    </row>
    <row r="45" spans="2:12" x14ac:dyDescent="0.25">
      <c r="B45" s="131" t="s">
        <v>381</v>
      </c>
      <c r="C45" s="132">
        <f>EOMONTH(DATE('Assumptions'!$C$15-2,'Assumptions'!$C$14,1),0)</f>
        <v>45291</v>
      </c>
      <c r="D45" s="132">
        <f>EOMONTH(DATE('Assumptions'!$C$15-1,'Assumptions'!$C$14,1),0)</f>
        <v>45657</v>
      </c>
      <c r="E45" s="132">
        <f>EOMONTH(DATE('Assumptions'!$C$15-0,'Assumptions'!$C$14,1),0)</f>
        <v>46022</v>
      </c>
      <c r="G45" s="132">
        <f>EOMONTH('Assumptions'!$C$9,-12)</f>
        <v>45657</v>
      </c>
      <c r="H45" s="132">
        <f>EOMONTH('Assumptions'!$C$9,0)</f>
        <v>46022</v>
      </c>
      <c r="J45" s="132">
        <f>EOMONTH('Assumptions'!$C$9,-12)</f>
        <v>45657</v>
      </c>
      <c r="K45" s="132">
        <f>EOMONTH('Assumptions'!$C$9,0)</f>
        <v>46022</v>
      </c>
      <c r="L45" s="132">
        <f>EOMONTH('Assumptions'!$C$9,0)</f>
        <v>46022</v>
      </c>
    </row>
  </sheetData>
  <mergeCells count="1">
    <mergeCell ref="B42:O42"/>
  </mergeCells>
  <conditionalFormatting sqref="C39:C39">
    <cfRule type="expression" dxfId="15" priority="1">
      <formula>ROUND(C39,3)&lt;&gt;0</formula>
    </cfRule>
  </conditionalFormatting>
  <conditionalFormatting sqref="C40:C40">
    <cfRule type="expression" dxfId="16" priority="2">
      <formula>ROUND(C40,3)&lt;&gt;0</formula>
    </cfRule>
  </conditionalFormatting>
  <conditionalFormatting sqref="B2 O3 C9:E16 G9:H16 J9:L16 Q9:S16 U9:AG16 C19:E26 G19:H26 J19:L26 Q19:S26 U19:AG26 G29:G37 J29:J37 Q29:Q37 B39:C40">
    <cfRule type="expression" dxfId="17" priority="3">
      <formula>$O$3=1</formula>
    </cfRule>
  </conditionalFormatting>
  <printOptions horizontalCentered="1"/>
  <pageMargins left="0.5" right="0.5" top="0.6" bottom="0.7" header="0.3" footer="0.3"/>
  <pageSetup paperSize="1" orientation="landscape" fitToWidth="1" fitToHeight="0"/>
  <headerFooter>
    <oddHeader>&amp;RProject Ridgeline | As of 12/31/25</oddHeader>
    <oddFooter>&amp;LAMB Advisory Services | Strictly confidential&amp;C&amp;A&amp;RPage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AP56"/>
  <sheetViews>
    <sheetView workbookViewId="0" showGridLines="0" zoomScale="100"/>
  </sheetViews>
  <sheetFormatPr defaultRowHeight="12.75" outlineLevelRow="0" outlineLevelCol="0" x14ac:dyDescent="55" customHeight="1"/>
  <cols>
    <col min="1" max="1" width="1.7" customWidth="1"/>
    <col min="2" max="2" width="34" customWidth="1"/>
    <col min="3" max="38" width="9.1" customWidth="1"/>
    <col min="39" max="39" width="0.9" customWidth="1"/>
    <col min="40" max="42" width="11" customWidth="1"/>
  </cols>
  <sheetData>
    <row r="2" ht="16.5" customHeight="1" spans="2:2" x14ac:dyDescent="0.25">
      <c r="B2" s="9">
        <f>Cover!B24</f>
      </c>
    </row>
    <row r="3" ht="12" customHeight="1" spans="2:13" x14ac:dyDescent="0.25">
      <c r="B3" s="10" t="s">
        <v>539</v>
      </c>
      <c r="C3" s="11"/>
      <c r="D3" s="11"/>
      <c r="E3" s="11"/>
      <c r="F3" s="11"/>
      <c r="G3" s="11"/>
      <c r="H3" s="11"/>
      <c r="I3" s="11"/>
      <c r="J3" s="11"/>
      <c r="K3" s="11"/>
      <c r="L3" s="11"/>
      <c r="M3" s="11"/>
    </row>
    <row r="4" ht="12" customHeight="1" x14ac:dyDescent="0.25"/>
    <row r="5" ht="12" customHeight="1" spans="2:2" x14ac:dyDescent="0.25">
      <c r="B5" s="188" t="str">
        <f>"Monthly Payroll, "&amp;TEXT(ChartStart,"mmm-yy")&amp;" – "&amp;TEXT(ChartEnd,"mmm-yy")&amp;" ($000s)"</f>
        <v>Monthly Payroll, Jan-23 – Dec-25 ($000s)</v>
      </c>
    </row>
    <row r="6" ht="12" customHeight="1" x14ac:dyDescent="0.25"/>
    <row r="7" ht="12" customHeight="1" x14ac:dyDescent="0.25"/>
    <row r="8" ht="12" customHeight="1" x14ac:dyDescent="0.25"/>
    <row r="9" ht="12" customHeight="1" x14ac:dyDescent="0.25"/>
    <row r="10" ht="12" customHeight="1" x14ac:dyDescent="0.25"/>
    <row r="11" ht="12" customHeight="1" x14ac:dyDescent="0.25"/>
    <row r="12" ht="12" customHeight="1" x14ac:dyDescent="0.25"/>
    <row r="13" ht="12" customHeight="1" x14ac:dyDescent="0.25"/>
    <row r="14" ht="12" customHeight="1" x14ac:dyDescent="0.25"/>
    <row r="15" ht="12" customHeight="1" x14ac:dyDescent="0.25"/>
    <row r="16"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spans="2:2" x14ac:dyDescent="0.25">
      <c r="B22" s="189" t="s">
        <v>540</v>
      </c>
    </row>
    <row r="23" ht="12" customHeight="1" x14ac:dyDescent="0.25"/>
    <row r="24" ht="12" customHeight="1" spans="2:2" x14ac:dyDescent="0.25">
      <c r="B24" s="188" t="str">
        <f>"Monthly Vehicle Expenses, "&amp;TEXT(ChartStart,"mmm-yy")&amp;" – "&amp;TEXT(ChartEnd,"mmm-yy")&amp;" ($000s)"</f>
        <v>Monthly Vehicle Expenses, Jan-23 – Dec-25 ($000s)</v>
      </c>
    </row>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spans="2:2" x14ac:dyDescent="0.25">
      <c r="B41" s="189" t="s">
        <v>541</v>
      </c>
    </row>
    <row r="42" ht="12" customHeight="1" x14ac:dyDescent="0.25"/>
    <row r="43" ht="12" customHeight="1" x14ac:dyDescent="0.25"/>
    <row r="44" ht="12" customHeight="1" spans="2:42" x14ac:dyDescent="0.25" outlineLevel="1" collapsed="1">
      <c r="B44" s="13" t="s">
        <v>523</v>
      </c>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N44" s="190" t="s">
        <v>524</v>
      </c>
      <c r="AO44" s="190" t="s">
        <v>525</v>
      </c>
      <c r="AP44" s="190" t="s">
        <v>526</v>
      </c>
    </row>
    <row r="45" ht="12" customHeight="1" spans="2:38" x14ac:dyDescent="0.25" outlineLevel="1" collapsed="1">
      <c r="B45" s="16" t="s">
        <v>527</v>
      </c>
      <c r="C45" s="191">
        <f>EOMONTH('Assumptions'!$C$9,-36)+1</f>
        <v>44927</v>
      </c>
      <c r="D45" s="79">
        <f>EDATE(C45,1)</f>
        <v>44958</v>
      </c>
      <c r="E45" s="79">
        <f>EDATE(D45,1)</f>
        <v>44986</v>
      </c>
      <c r="F45" s="79">
        <f>EDATE(E45,1)</f>
        <v>45017</v>
      </c>
      <c r="G45" s="79">
        <f>EDATE(F45,1)</f>
        <v>45047</v>
      </c>
      <c r="H45" s="79">
        <f>EDATE(G45,1)</f>
        <v>45078</v>
      </c>
      <c r="I45" s="79">
        <f>EDATE(H45,1)</f>
        <v>45108</v>
      </c>
      <c r="J45" s="79">
        <f>EDATE(I45,1)</f>
        <v>45139</v>
      </c>
      <c r="K45" s="79">
        <f>EDATE(J45,1)</f>
        <v>45170</v>
      </c>
      <c r="L45" s="79">
        <f>EDATE(K45,1)</f>
        <v>45200</v>
      </c>
      <c r="M45" s="79">
        <f>EDATE(L45,1)</f>
        <v>45231</v>
      </c>
      <c r="N45" s="79">
        <f>EDATE(M45,1)</f>
        <v>45261</v>
      </c>
      <c r="O45" s="79">
        <f>EDATE(N45,1)</f>
        <v>45292</v>
      </c>
      <c r="P45" s="79">
        <f>EDATE(O45,1)</f>
        <v>45323</v>
      </c>
      <c r="Q45" s="79">
        <f>EDATE(P45,1)</f>
        <v>45352</v>
      </c>
      <c r="R45" s="79">
        <f>EDATE(Q45,1)</f>
        <v>45383</v>
      </c>
      <c r="S45" s="79">
        <f>EDATE(R45,1)</f>
        <v>45413</v>
      </c>
      <c r="T45" s="79">
        <f>EDATE(S45,1)</f>
        <v>45444</v>
      </c>
      <c r="U45" s="79">
        <f>EDATE(T45,1)</f>
        <v>45474</v>
      </c>
      <c r="V45" s="79">
        <f>EDATE(U45,1)</f>
        <v>45505</v>
      </c>
      <c r="W45" s="79">
        <f>EDATE(V45,1)</f>
        <v>45536</v>
      </c>
      <c r="X45" s="79">
        <f>EDATE(W45,1)</f>
        <v>45566</v>
      </c>
      <c r="Y45" s="79">
        <f>EDATE(X45,1)</f>
        <v>45597</v>
      </c>
      <c r="Z45" s="79">
        <f>EDATE(Y45,1)</f>
        <v>45627</v>
      </c>
      <c r="AA45" s="79">
        <f>EDATE(Z45,1)</f>
        <v>45658</v>
      </c>
      <c r="AB45" s="79">
        <f>EDATE(AA45,1)</f>
        <v>45689</v>
      </c>
      <c r="AC45" s="79">
        <f>EDATE(AB45,1)</f>
        <v>45717</v>
      </c>
      <c r="AD45" s="79">
        <f>EDATE(AC45,1)</f>
        <v>45748</v>
      </c>
      <c r="AE45" s="79">
        <f>EDATE(AD45,1)</f>
        <v>45778</v>
      </c>
      <c r="AF45" s="79">
        <f>EDATE(AE45,1)</f>
        <v>45809</v>
      </c>
      <c r="AG45" s="79">
        <f>EDATE(AF45,1)</f>
        <v>45839</v>
      </c>
      <c r="AH45" s="79">
        <f>EDATE(AG45,1)</f>
        <v>45870</v>
      </c>
      <c r="AI45" s="79">
        <f>EDATE(AH45,1)</f>
        <v>45901</v>
      </c>
      <c r="AJ45" s="79">
        <f>EDATE(AI45,1)</f>
        <v>45931</v>
      </c>
      <c r="AK45" s="79">
        <f>EDATE(AJ45,1)</f>
        <v>45962</v>
      </c>
      <c r="AL45" s="79">
        <f>EDATE(AK45,1)</f>
        <v>45992</v>
      </c>
    </row>
    <row r="46" ht="12" customHeight="1" spans="2:38" x14ac:dyDescent="0.25" outlineLevel="1" collapsed="1">
      <c r="B46" s="131" t="s">
        <v>528</v>
      </c>
      <c r="C46" s="131" t="str">
        <f>IF(COUNT($C$45:$AL$45)&lt;=24,TEXT(C$45,"mmm-yy"),IF(MOD(MONTH(C$45)-1,3)=0,TEXT(C$45,"mmm-yy"),""))</f>
        <v>Jan-23</v>
      </c>
      <c r="D46" s="131" t="str">
        <f>IF(COUNT($C$45:$AL$45)&lt;=24,TEXT(D$45,"mmm-yy"),IF(MOD(MONTH(D$45)-1,3)=0,TEXT(D$45,"mmm-yy"),""))</f>
        <v/>
      </c>
      <c r="E46" s="131" t="str">
        <f>IF(COUNT($C$45:$AL$45)&lt;=24,TEXT(E$45,"mmm-yy"),IF(MOD(MONTH(E$45)-1,3)=0,TEXT(E$45,"mmm-yy"),""))</f>
        <v/>
      </c>
      <c r="F46" s="131" t="str">
        <f>IF(COUNT($C$45:$AL$45)&lt;=24,TEXT(F$45,"mmm-yy"),IF(MOD(MONTH(F$45)-1,3)=0,TEXT(F$45,"mmm-yy"),""))</f>
        <v>Apr-23</v>
      </c>
      <c r="G46" s="131" t="str">
        <f>IF(COUNT($C$45:$AL$45)&lt;=24,TEXT(G$45,"mmm-yy"),IF(MOD(MONTH(G$45)-1,3)=0,TEXT(G$45,"mmm-yy"),""))</f>
        <v/>
      </c>
      <c r="H46" s="131" t="str">
        <f>IF(COUNT($C$45:$AL$45)&lt;=24,TEXT(H$45,"mmm-yy"),IF(MOD(MONTH(H$45)-1,3)=0,TEXT(H$45,"mmm-yy"),""))</f>
        <v/>
      </c>
      <c r="I46" s="131" t="str">
        <f>IF(COUNT($C$45:$AL$45)&lt;=24,TEXT(I$45,"mmm-yy"),IF(MOD(MONTH(I$45)-1,3)=0,TEXT(I$45,"mmm-yy"),""))</f>
        <v>Jul-23</v>
      </c>
      <c r="J46" s="131" t="str">
        <f>IF(COUNT($C$45:$AL$45)&lt;=24,TEXT(J$45,"mmm-yy"),IF(MOD(MONTH(J$45)-1,3)=0,TEXT(J$45,"mmm-yy"),""))</f>
        <v/>
      </c>
      <c r="K46" s="131" t="str">
        <f>IF(COUNT($C$45:$AL$45)&lt;=24,TEXT(K$45,"mmm-yy"),IF(MOD(MONTH(K$45)-1,3)=0,TEXT(K$45,"mmm-yy"),""))</f>
        <v/>
      </c>
      <c r="L46" s="131" t="str">
        <f>IF(COUNT($C$45:$AL$45)&lt;=24,TEXT(L$45,"mmm-yy"),IF(MOD(MONTH(L$45)-1,3)=0,TEXT(L$45,"mmm-yy"),""))</f>
        <v>Oct-23</v>
      </c>
      <c r="M46" s="131" t="str">
        <f>IF(COUNT($C$45:$AL$45)&lt;=24,TEXT(M$45,"mmm-yy"),IF(MOD(MONTH(M$45)-1,3)=0,TEXT(M$45,"mmm-yy"),""))</f>
        <v/>
      </c>
      <c r="N46" s="131" t="str">
        <f>IF(COUNT($C$45:$AL$45)&lt;=24,TEXT(N$45,"mmm-yy"),IF(MOD(MONTH(N$45)-1,3)=0,TEXT(N$45,"mmm-yy"),""))</f>
        <v/>
      </c>
      <c r="O46" s="131" t="str">
        <f>IF(COUNT($C$45:$AL$45)&lt;=24,TEXT(O$45,"mmm-yy"),IF(MOD(MONTH(O$45)-1,3)=0,TEXT(O$45,"mmm-yy"),""))</f>
        <v>Jan-24</v>
      </c>
      <c r="P46" s="131" t="str">
        <f>IF(COUNT($C$45:$AL$45)&lt;=24,TEXT(P$45,"mmm-yy"),IF(MOD(MONTH(P$45)-1,3)=0,TEXT(P$45,"mmm-yy"),""))</f>
        <v/>
      </c>
      <c r="Q46" s="131" t="str">
        <f>IF(COUNT($C$45:$AL$45)&lt;=24,TEXT(Q$45,"mmm-yy"),IF(MOD(MONTH(Q$45)-1,3)=0,TEXT(Q$45,"mmm-yy"),""))</f>
        <v/>
      </c>
      <c r="R46" s="131" t="str">
        <f>IF(COUNT($C$45:$AL$45)&lt;=24,TEXT(R$45,"mmm-yy"),IF(MOD(MONTH(R$45)-1,3)=0,TEXT(R$45,"mmm-yy"),""))</f>
        <v>Apr-24</v>
      </c>
      <c r="S46" s="131" t="str">
        <f>IF(COUNT($C$45:$AL$45)&lt;=24,TEXT(S$45,"mmm-yy"),IF(MOD(MONTH(S$45)-1,3)=0,TEXT(S$45,"mmm-yy"),""))</f>
        <v/>
      </c>
      <c r="T46" s="131" t="str">
        <f>IF(COUNT($C$45:$AL$45)&lt;=24,TEXT(T$45,"mmm-yy"),IF(MOD(MONTH(T$45)-1,3)=0,TEXT(T$45,"mmm-yy"),""))</f>
        <v/>
      </c>
      <c r="U46" s="131" t="str">
        <f>IF(COUNT($C$45:$AL$45)&lt;=24,TEXT(U$45,"mmm-yy"),IF(MOD(MONTH(U$45)-1,3)=0,TEXT(U$45,"mmm-yy"),""))</f>
        <v>Jul-24</v>
      </c>
      <c r="V46" s="131" t="str">
        <f>IF(COUNT($C$45:$AL$45)&lt;=24,TEXT(V$45,"mmm-yy"),IF(MOD(MONTH(V$45)-1,3)=0,TEXT(V$45,"mmm-yy"),""))</f>
        <v/>
      </c>
      <c r="W46" s="131" t="str">
        <f>IF(COUNT($C$45:$AL$45)&lt;=24,TEXT(W$45,"mmm-yy"),IF(MOD(MONTH(W$45)-1,3)=0,TEXT(W$45,"mmm-yy"),""))</f>
        <v/>
      </c>
      <c r="X46" s="131" t="str">
        <f>IF(COUNT($C$45:$AL$45)&lt;=24,TEXT(X$45,"mmm-yy"),IF(MOD(MONTH(X$45)-1,3)=0,TEXT(X$45,"mmm-yy"),""))</f>
        <v>Oct-24</v>
      </c>
      <c r="Y46" s="131" t="str">
        <f>IF(COUNT($C$45:$AL$45)&lt;=24,TEXT(Y$45,"mmm-yy"),IF(MOD(MONTH(Y$45)-1,3)=0,TEXT(Y$45,"mmm-yy"),""))</f>
        <v/>
      </c>
      <c r="Z46" s="131" t="str">
        <f>IF(COUNT($C$45:$AL$45)&lt;=24,TEXT(Z$45,"mmm-yy"),IF(MOD(MONTH(Z$45)-1,3)=0,TEXT(Z$45,"mmm-yy"),""))</f>
        <v/>
      </c>
      <c r="AA46" s="131" t="str">
        <f>IF(COUNT($C$45:$AL$45)&lt;=24,TEXT(AA$45,"mmm-yy"),IF(MOD(MONTH(AA$45)-1,3)=0,TEXT(AA$45,"mmm-yy"),""))</f>
        <v>Jan-25</v>
      </c>
      <c r="AB46" s="131" t="str">
        <f>IF(COUNT($C$45:$AL$45)&lt;=24,TEXT(AB$45,"mmm-yy"),IF(MOD(MONTH(AB$45)-1,3)=0,TEXT(AB$45,"mmm-yy"),""))</f>
        <v/>
      </c>
      <c r="AC46" s="131" t="str">
        <f>IF(COUNT($C$45:$AL$45)&lt;=24,TEXT(AC$45,"mmm-yy"),IF(MOD(MONTH(AC$45)-1,3)=0,TEXT(AC$45,"mmm-yy"),""))</f>
        <v/>
      </c>
      <c r="AD46" s="131" t="str">
        <f>IF(COUNT($C$45:$AL$45)&lt;=24,TEXT(AD$45,"mmm-yy"),IF(MOD(MONTH(AD$45)-1,3)=0,TEXT(AD$45,"mmm-yy"),""))</f>
        <v>Apr-25</v>
      </c>
      <c r="AE46" s="131" t="str">
        <f>IF(COUNT($C$45:$AL$45)&lt;=24,TEXT(AE$45,"mmm-yy"),IF(MOD(MONTH(AE$45)-1,3)=0,TEXT(AE$45,"mmm-yy"),""))</f>
        <v/>
      </c>
      <c r="AF46" s="131" t="str">
        <f>IF(COUNT($C$45:$AL$45)&lt;=24,TEXT(AF$45,"mmm-yy"),IF(MOD(MONTH(AF$45)-1,3)=0,TEXT(AF$45,"mmm-yy"),""))</f>
        <v/>
      </c>
      <c r="AG46" s="131" t="str">
        <f>IF(COUNT($C$45:$AL$45)&lt;=24,TEXT(AG$45,"mmm-yy"),IF(MOD(MONTH(AG$45)-1,3)=0,TEXT(AG$45,"mmm-yy"),""))</f>
        <v>Jul-25</v>
      </c>
      <c r="AH46" s="131" t="str">
        <f>IF(COUNT($C$45:$AL$45)&lt;=24,TEXT(AH$45,"mmm-yy"),IF(MOD(MONTH(AH$45)-1,3)=0,TEXT(AH$45,"mmm-yy"),""))</f>
        <v/>
      </c>
      <c r="AI46" s="131" t="str">
        <f>IF(COUNT($C$45:$AL$45)&lt;=24,TEXT(AI$45,"mmm-yy"),IF(MOD(MONTH(AI$45)-1,3)=0,TEXT(AI$45,"mmm-yy"),""))</f>
        <v/>
      </c>
      <c r="AJ46" s="131" t="str">
        <f>IF(COUNT($C$45:$AL$45)&lt;=24,TEXT(AJ$45,"mmm-yy"),IF(MOD(MONTH(AJ$45)-1,3)=0,TEXT(AJ$45,"mmm-yy"),""))</f>
        <v>Oct-25</v>
      </c>
      <c r="AK46" s="131" t="str">
        <f>IF(COUNT($C$45:$AL$45)&lt;=24,TEXT(AK$45,"mmm-yy"),IF(MOD(MONTH(AK$45)-1,3)=0,TEXT(AK$45,"mmm-yy"),""))</f>
        <v/>
      </c>
      <c r="AL46" s="131" t="str">
        <f>IF(COUNT($C$45:$AL$45)&lt;=24,TEXT(AL$45,"mmm-yy"),IF(MOD(MONTH(AL$45)-1,3)=0,TEXT(AL$45,"mmm-yy"),""))</f>
        <v/>
      </c>
    </row>
    <row r="47" ht="12" customHeight="1" x14ac:dyDescent="0.25" outlineLevel="1" collapsed="1"/>
    <row r="48" ht="12" customHeight="1" spans="2:2" x14ac:dyDescent="0.25" outlineLevel="1" collapsed="1">
      <c r="B48" s="18" t="s">
        <v>542</v>
      </c>
    </row>
    <row r="49" ht="12" customHeight="1" spans="2:42" x14ac:dyDescent="0.25" outlineLevel="1" collapsed="1">
      <c r="B49" s="16" t="s">
        <v>349</v>
      </c>
      <c r="C49" s="151">
        <f>INDEX('Monthly P&amp;L'!$Q$8:$AZ$59,MATCH($B49,'Monthly P&amp;L'!$B$8:$B$59,0),MATCH(C$45,'Monthly P&amp;L'!$Q$6:$AZ$6,0))</f>
        <v>57.076</v>
      </c>
      <c r="D49" s="151">
        <f>INDEX('Monthly P&amp;L'!$Q$8:$AZ$59,MATCH($B49,'Monthly P&amp;L'!$B$8:$B$59,0),MATCH(D$45,'Monthly P&amp;L'!$Q$6:$AZ$6,0))</f>
        <v>56.124</v>
      </c>
      <c r="E49" s="151">
        <f>INDEX('Monthly P&amp;L'!$Q$8:$AZ$59,MATCH($B49,'Monthly P&amp;L'!$B$8:$B$59,0),MATCH(E$45,'Monthly P&amp;L'!$Q$6:$AZ$6,0))</f>
        <v>58.504</v>
      </c>
      <c r="F49" s="151">
        <f>INDEX('Monthly P&amp;L'!$Q$8:$AZ$59,MATCH($B49,'Monthly P&amp;L'!$B$8:$B$59,0),MATCH(F$45,'Monthly P&amp;L'!$Q$6:$AZ$6,0))</f>
        <v>59.932</v>
      </c>
      <c r="G49" s="151">
        <f>INDEX('Monthly P&amp;L'!$Q$8:$AZ$59,MATCH($B49,'Monthly P&amp;L'!$B$8:$B$59,0),MATCH(G$45,'Monthly P&amp;L'!$Q$6:$AZ$6,0))</f>
        <v>61.836</v>
      </c>
      <c r="H49" s="151">
        <f>INDEX('Monthly P&amp;L'!$Q$8:$AZ$59,MATCH($B49,'Monthly P&amp;L'!$B$8:$B$59,0),MATCH(H$45,'Monthly P&amp;L'!$Q$6:$AZ$6,0))</f>
        <v>65.643</v>
      </c>
      <c r="I49" s="151">
        <f>INDEX('Monthly P&amp;L'!$Q$8:$AZ$59,MATCH($B49,'Monthly P&amp;L'!$B$8:$B$59,0),MATCH(I$45,'Monthly P&amp;L'!$Q$6:$AZ$6,0))</f>
        <v>68.022</v>
      </c>
      <c r="J49" s="151">
        <f>INDEX('Monthly P&amp;L'!$Q$8:$AZ$59,MATCH($B49,'Monthly P&amp;L'!$B$8:$B$59,0),MATCH(J$45,'Monthly P&amp;L'!$Q$6:$AZ$6,0))</f>
        <v>65.643</v>
      </c>
      <c r="K49" s="151">
        <f>INDEX('Monthly P&amp;L'!$Q$8:$AZ$59,MATCH($B49,'Monthly P&amp;L'!$B$8:$B$59,0),MATCH(K$45,'Monthly P&amp;L'!$Q$6:$AZ$6,0))</f>
        <v>61.835</v>
      </c>
      <c r="L49" s="151">
        <f>INDEX('Monthly P&amp;L'!$Q$8:$AZ$59,MATCH($B49,'Monthly P&amp;L'!$B$8:$B$59,0),MATCH(L$45,'Monthly P&amp;L'!$Q$6:$AZ$6,0))</f>
        <v>58.979</v>
      </c>
      <c r="M49" s="151">
        <f>INDEX('Monthly P&amp;L'!$Q$8:$AZ$59,MATCH($B49,'Monthly P&amp;L'!$B$8:$B$59,0),MATCH(M$45,'Monthly P&amp;L'!$Q$6:$AZ$6,0))</f>
        <v>58.027</v>
      </c>
      <c r="N49" s="151">
        <f>INDEX('Monthly P&amp;L'!$Q$8:$AZ$59,MATCH($B49,'Monthly P&amp;L'!$B$8:$B$59,0),MATCH(N$45,'Monthly P&amp;L'!$Q$6:$AZ$6,0))</f>
        <v>58.979</v>
      </c>
      <c r="O49" s="151">
        <f>INDEX('Monthly P&amp;L'!$Q$8:$AZ$59,MATCH($B49,'Monthly P&amp;L'!$B$8:$B$59,0),MATCH(O$45,'Monthly P&amp;L'!$Q$6:$AZ$6,0))</f>
        <v>63.864</v>
      </c>
      <c r="P49" s="151">
        <f>INDEX('Monthly P&amp;L'!$Q$8:$AZ$59,MATCH($B49,'Monthly P&amp;L'!$B$8:$B$59,0),MATCH(P$45,'Monthly P&amp;L'!$Q$6:$AZ$6,0))</f>
        <v>62.787</v>
      </c>
      <c r="Q49" s="151">
        <f>INDEX('Monthly P&amp;L'!$Q$8:$AZ$59,MATCH($B49,'Monthly P&amp;L'!$B$8:$B$59,0),MATCH(Q$45,'Monthly P&amp;L'!$Q$6:$AZ$6,0))</f>
        <v>65.482</v>
      </c>
      <c r="R49" s="151">
        <f>INDEX('Monthly P&amp;L'!$Q$8:$AZ$59,MATCH($B49,'Monthly P&amp;L'!$B$8:$B$59,0),MATCH(R$45,'Monthly P&amp;L'!$Q$6:$AZ$6,0))</f>
        <v>67.098</v>
      </c>
      <c r="S49" s="151">
        <f>INDEX('Monthly P&amp;L'!$Q$8:$AZ$59,MATCH($B49,'Monthly P&amp;L'!$B$8:$B$59,0),MATCH(S$45,'Monthly P&amp;L'!$Q$6:$AZ$6,0))</f>
        <v>69.252</v>
      </c>
      <c r="T49" s="151">
        <f>INDEX('Monthly P&amp;L'!$Q$8:$AZ$59,MATCH($B49,'Monthly P&amp;L'!$B$8:$B$59,0),MATCH(T$45,'Monthly P&amp;L'!$Q$6:$AZ$6,0))</f>
        <v>73.564</v>
      </c>
      <c r="U49" s="151">
        <f>INDEX('Monthly P&amp;L'!$Q$8:$AZ$59,MATCH($B49,'Monthly P&amp;L'!$B$8:$B$59,0),MATCH(U$45,'Monthly P&amp;L'!$Q$6:$AZ$6,0))</f>
        <v>76.258</v>
      </c>
      <c r="V49" s="151">
        <f>INDEX('Monthly P&amp;L'!$Q$8:$AZ$59,MATCH($B49,'Monthly P&amp;L'!$B$8:$B$59,0),MATCH(V$45,'Monthly P&amp;L'!$Q$6:$AZ$6,0))</f>
        <v>73.564</v>
      </c>
      <c r="W49" s="151">
        <f>INDEX('Monthly P&amp;L'!$Q$8:$AZ$59,MATCH($B49,'Monthly P&amp;L'!$B$8:$B$59,0),MATCH(W$45,'Monthly P&amp;L'!$Q$6:$AZ$6,0))</f>
        <v>69.252</v>
      </c>
      <c r="X49" s="151">
        <f>INDEX('Monthly P&amp;L'!$Q$8:$AZ$59,MATCH($B49,'Monthly P&amp;L'!$B$8:$B$59,0),MATCH(X$45,'Monthly P&amp;L'!$Q$6:$AZ$6,0))</f>
        <v>66.019</v>
      </c>
      <c r="Y49" s="151">
        <f>INDEX('Monthly P&amp;L'!$Q$8:$AZ$59,MATCH($B49,'Monthly P&amp;L'!$B$8:$B$59,0),MATCH(Y$45,'Monthly P&amp;L'!$Q$6:$AZ$6,0))</f>
        <v>64.941</v>
      </c>
      <c r="Z49" s="151">
        <f>INDEX('Monthly P&amp;L'!$Q$8:$AZ$59,MATCH($B49,'Monthly P&amp;L'!$B$8:$B$59,0),MATCH(Z$45,'Monthly P&amp;L'!$Q$6:$AZ$6,0))</f>
        <v>66.019</v>
      </c>
      <c r="AA49" s="151">
        <f>INDEX('Monthly P&amp;L'!$Q$8:$AZ$59,MATCH($B49,'Monthly P&amp;L'!$B$8:$B$59,0),MATCH(AA$45,'Monthly P&amp;L'!$Q$6:$AZ$6,0))</f>
        <v>70.584</v>
      </c>
      <c r="AB49" s="151">
        <f>INDEX('Monthly P&amp;L'!$Q$8:$AZ$59,MATCH($B49,'Monthly P&amp;L'!$B$8:$B$59,0),MATCH(AB$45,'Monthly P&amp;L'!$Q$6:$AZ$6,0))</f>
        <v>69.383</v>
      </c>
      <c r="AC49" s="151">
        <f>INDEX('Monthly P&amp;L'!$Q$8:$AZ$59,MATCH($B49,'Monthly P&amp;L'!$B$8:$B$59,0),MATCH(AC$45,'Monthly P&amp;L'!$Q$6:$AZ$6,0))</f>
        <v>72.387</v>
      </c>
      <c r="AD49" s="151">
        <f>INDEX('Monthly P&amp;L'!$Q$8:$AZ$59,MATCH($B49,'Monthly P&amp;L'!$B$8:$B$59,0),MATCH(AD$45,'Monthly P&amp;L'!$Q$6:$AZ$6,0))</f>
        <v>74.191</v>
      </c>
      <c r="AE49" s="151">
        <f>INDEX('Monthly P&amp;L'!$Q$8:$AZ$59,MATCH($B49,'Monthly P&amp;L'!$B$8:$B$59,0),MATCH(AE$45,'Monthly P&amp;L'!$Q$6:$AZ$6,0))</f>
        <v>76.595</v>
      </c>
      <c r="AF49" s="151">
        <f>INDEX('Monthly P&amp;L'!$Q$8:$AZ$59,MATCH($B49,'Monthly P&amp;L'!$B$8:$B$59,0),MATCH(AF$45,'Monthly P&amp;L'!$Q$6:$AZ$6,0))</f>
        <v>81.402</v>
      </c>
      <c r="AG49" s="151">
        <f>INDEX('Monthly P&amp;L'!$Q$8:$AZ$59,MATCH($B49,'Monthly P&amp;L'!$B$8:$B$59,0),MATCH(AG$45,'Monthly P&amp;L'!$Q$6:$AZ$6,0))</f>
        <v>84.407</v>
      </c>
      <c r="AH49" s="151">
        <f>INDEX('Monthly P&amp;L'!$Q$8:$AZ$59,MATCH($B49,'Monthly P&amp;L'!$B$8:$B$59,0),MATCH(AH$45,'Monthly P&amp;L'!$Q$6:$AZ$6,0))</f>
        <v>81.401</v>
      </c>
      <c r="AI49" s="151">
        <f>INDEX('Monthly P&amp;L'!$Q$8:$AZ$59,MATCH($B49,'Monthly P&amp;L'!$B$8:$B$59,0),MATCH(AI$45,'Monthly P&amp;L'!$Q$6:$AZ$6,0))</f>
        <v>76.592</v>
      </c>
      <c r="AJ49" s="151">
        <f>INDEX('Monthly P&amp;L'!$Q$8:$AZ$59,MATCH($B49,'Monthly P&amp;L'!$B$8:$B$59,0),MATCH(AJ$45,'Monthly P&amp;L'!$Q$6:$AZ$6,0))</f>
        <v>72.987</v>
      </c>
      <c r="AK49" s="151">
        <f>INDEX('Monthly P&amp;L'!$Q$8:$AZ$59,MATCH($B49,'Monthly P&amp;L'!$B$8:$B$59,0),MATCH(AK$45,'Monthly P&amp;L'!$Q$6:$AZ$6,0))</f>
        <v>71.784</v>
      </c>
      <c r="AL49" s="151">
        <f>INDEX('Monthly P&amp;L'!$Q$8:$AZ$59,MATCH($B49,'Monthly P&amp;L'!$B$8:$B$59,0),MATCH(AL$45,'Monthly P&amp;L'!$Q$6:$AZ$6,0))</f>
        <v>72.987</v>
      </c>
      <c r="AN49" s="150">
        <f>SUM(C49:AL49)</f>
        <v>2453.4000000000005</v>
      </c>
      <c r="AO49" s="151">
        <f>SUMIFS('Monthly P&amp;L'!$Q$22:$AZ$22,'Monthly P&amp;L'!$Q$6:$AZ$6,"&gt;="&amp;$C$45,'Monthly P&amp;L'!$Q$6:$AZ$6,"&lt;="&amp;$AL$45)</f>
        <v>2453.4000000000005</v>
      </c>
      <c r="AP49" s="130">
        <f>ROUND(AN49-AO49,6)</f>
        <v>0</v>
      </c>
    </row>
    <row r="50" ht="12" customHeight="1" spans="2:42" x14ac:dyDescent="0.25" outlineLevel="1" collapsed="1">
      <c r="B50" s="16" t="s">
        <v>87</v>
      </c>
      <c r="C50" s="151">
        <f>INDEX('Monthly P&amp;L'!$Q$8:$AZ$59,MATCH($B50,'Monthly P&amp;L'!$B$8:$B$59,0),MATCH(C$45,'Monthly P&amp;L'!$Q$6:$AZ$6,0))</f>
        <v>180.67</v>
      </c>
      <c r="D50" s="151">
        <f>INDEX('Monthly P&amp;L'!$Q$8:$AZ$59,MATCH($B50,'Monthly P&amp;L'!$B$8:$B$59,0),MATCH(D$45,'Monthly P&amp;L'!$Q$6:$AZ$6,0))</f>
        <v>167.538</v>
      </c>
      <c r="E50" s="151">
        <f>INDEX('Monthly P&amp;L'!$Q$8:$AZ$59,MATCH($B50,'Monthly P&amp;L'!$B$8:$B$59,0),MATCH(E$45,'Monthly P&amp;L'!$Q$6:$AZ$6,0))</f>
        <v>162.893</v>
      </c>
      <c r="F50" s="151">
        <f>INDEX('Monthly P&amp;L'!$Q$8:$AZ$59,MATCH($B50,'Monthly P&amp;L'!$B$8:$B$59,0),MATCH(F$45,'Monthly P&amp;L'!$Q$6:$AZ$6,0))</f>
        <v>173.474</v>
      </c>
      <c r="G50" s="151">
        <f>INDEX('Monthly P&amp;L'!$Q$8:$AZ$59,MATCH($B50,'Monthly P&amp;L'!$B$8:$B$59,0),MATCH(G$45,'Monthly P&amp;L'!$Q$6:$AZ$6,0))</f>
        <v>197.3</v>
      </c>
      <c r="H50" s="151">
        <f>INDEX('Monthly P&amp;L'!$Q$8:$AZ$59,MATCH($B50,'Monthly P&amp;L'!$B$8:$B$59,0),MATCH(H$45,'Monthly P&amp;L'!$Q$6:$AZ$6,0))</f>
        <v>230.651</v>
      </c>
      <c r="I50" s="151">
        <f>INDEX('Monthly P&amp;L'!$Q$8:$AZ$59,MATCH($B50,'Monthly P&amp;L'!$B$8:$B$59,0),MATCH(I$45,'Monthly P&amp;L'!$Q$6:$AZ$6,0))</f>
        <v>248.799</v>
      </c>
      <c r="J50" s="151">
        <f>INDEX('Monthly P&amp;L'!$Q$8:$AZ$59,MATCH($B50,'Monthly P&amp;L'!$B$8:$B$59,0),MATCH(J$45,'Monthly P&amp;L'!$Q$6:$AZ$6,0))</f>
        <v>235.288</v>
      </c>
      <c r="K50" s="151">
        <f>INDEX('Monthly P&amp;L'!$Q$8:$AZ$59,MATCH($B50,'Monthly P&amp;L'!$B$8:$B$59,0),MATCH(K$45,'Monthly P&amp;L'!$Q$6:$AZ$6,0))</f>
        <v>207.865</v>
      </c>
      <c r="L50" s="151">
        <f>INDEX('Monthly P&amp;L'!$Q$8:$AZ$59,MATCH($B50,'Monthly P&amp;L'!$B$8:$B$59,0),MATCH(L$45,'Monthly P&amp;L'!$Q$6:$AZ$6,0))</f>
        <v>184.149</v>
      </c>
      <c r="M50" s="151">
        <f>INDEX('Monthly P&amp;L'!$Q$8:$AZ$59,MATCH($B50,'Monthly P&amp;L'!$B$8:$B$59,0),MATCH(M$45,'Monthly P&amp;L'!$Q$6:$AZ$6,0))</f>
        <v>192.858</v>
      </c>
      <c r="N50" s="151">
        <f>INDEX('Monthly P&amp;L'!$Q$8:$AZ$59,MATCH($B50,'Monthly P&amp;L'!$B$8:$B$59,0),MATCH(N$45,'Monthly P&amp;L'!$Q$6:$AZ$6,0))</f>
        <v>225.315</v>
      </c>
      <c r="O50" s="151">
        <f>INDEX('Monthly P&amp;L'!$Q$8:$AZ$59,MATCH($B50,'Monthly P&amp;L'!$B$8:$B$59,0),MATCH(O$45,'Monthly P&amp;L'!$Q$6:$AZ$6,0))</f>
        <v>204.101</v>
      </c>
      <c r="P50" s="151">
        <f>INDEX('Monthly P&amp;L'!$Q$8:$AZ$59,MATCH($B50,'Monthly P&amp;L'!$B$8:$B$59,0),MATCH(P$45,'Monthly P&amp;L'!$Q$6:$AZ$6,0))</f>
        <v>189.421</v>
      </c>
      <c r="Q50" s="151">
        <f>INDEX('Monthly P&amp;L'!$Q$8:$AZ$59,MATCH($B50,'Monthly P&amp;L'!$B$8:$B$59,0),MATCH(Q$45,'Monthly P&amp;L'!$Q$6:$AZ$6,0))</f>
        <v>184.308</v>
      </c>
      <c r="R50" s="151">
        <f>INDEX('Monthly P&amp;L'!$Q$8:$AZ$59,MATCH($B50,'Monthly P&amp;L'!$B$8:$B$59,0),MATCH(R$45,'Monthly P&amp;L'!$Q$6:$AZ$6,0))</f>
        <v>196.238</v>
      </c>
      <c r="S50" s="151">
        <f>INDEX('Monthly P&amp;L'!$Q$8:$AZ$59,MATCH($B50,'Monthly P&amp;L'!$B$8:$B$59,0),MATCH(S$45,'Monthly P&amp;L'!$Q$6:$AZ$6,0))</f>
        <v>222.864</v>
      </c>
      <c r="T50" s="151">
        <f>INDEX('Monthly P&amp;L'!$Q$8:$AZ$59,MATCH($B50,'Monthly P&amp;L'!$B$8:$B$59,0),MATCH(T$45,'Monthly P&amp;L'!$Q$6:$AZ$6,0))</f>
        <v>260.214</v>
      </c>
      <c r="U50" s="151">
        <f>INDEX('Monthly P&amp;L'!$Q$8:$AZ$59,MATCH($B50,'Monthly P&amp;L'!$B$8:$B$59,0),MATCH(U$45,'Monthly P&amp;L'!$Q$6:$AZ$6,0))</f>
        <v>280.549</v>
      </c>
      <c r="V50" s="151">
        <f>INDEX('Monthly P&amp;L'!$Q$8:$AZ$59,MATCH($B50,'Monthly P&amp;L'!$B$8:$B$59,0),MATCH(V$45,'Monthly P&amp;L'!$Q$6:$AZ$6,0))</f>
        <v>265.445</v>
      </c>
      <c r="W50" s="151">
        <f>INDEX('Monthly P&amp;L'!$Q$8:$AZ$59,MATCH($B50,'Monthly P&amp;L'!$B$8:$B$59,0),MATCH(W$45,'Monthly P&amp;L'!$Q$6:$AZ$6,0))</f>
        <v>234.912</v>
      </c>
      <c r="X50" s="151">
        <f>INDEX('Monthly P&amp;L'!$Q$8:$AZ$59,MATCH($B50,'Monthly P&amp;L'!$B$8:$B$59,0),MATCH(X$45,'Monthly P&amp;L'!$Q$6:$AZ$6,0))</f>
        <v>208.315</v>
      </c>
      <c r="Y50" s="151">
        <f>INDEX('Monthly P&amp;L'!$Q$8:$AZ$59,MATCH($B50,'Monthly P&amp;L'!$B$8:$B$59,0),MATCH(Y$45,'Monthly P&amp;L'!$Q$6:$AZ$6,0))</f>
        <v>218.014</v>
      </c>
      <c r="Z50" s="151">
        <f>INDEX('Monthly P&amp;L'!$Q$8:$AZ$59,MATCH($B50,'Monthly P&amp;L'!$B$8:$B$59,0),MATCH(Z$45,'Monthly P&amp;L'!$Q$6:$AZ$6,0))</f>
        <v>254.219</v>
      </c>
      <c r="AA50" s="151">
        <f>INDEX('Monthly P&amp;L'!$Q$8:$AZ$59,MATCH($B50,'Monthly P&amp;L'!$B$8:$B$59,0),MATCH(AA$45,'Monthly P&amp;L'!$Q$6:$AZ$6,0))</f>
        <v>228.339</v>
      </c>
      <c r="AB50" s="151">
        <f>INDEX('Monthly P&amp;L'!$Q$8:$AZ$59,MATCH($B50,'Monthly P&amp;L'!$B$8:$B$59,0),MATCH(AB$45,'Monthly P&amp;L'!$Q$6:$AZ$6,0))</f>
        <v>212.116</v>
      </c>
      <c r="AC50" s="151">
        <f>INDEX('Monthly P&amp;L'!$Q$8:$AZ$59,MATCH($B50,'Monthly P&amp;L'!$B$8:$B$59,0),MATCH(AC$45,'Monthly P&amp;L'!$Q$6:$AZ$6,0))</f>
        <v>206.551</v>
      </c>
      <c r="AD50" s="151">
        <f>INDEX('Monthly P&amp;L'!$Q$8:$AZ$59,MATCH($B50,'Monthly P&amp;L'!$B$8:$B$59,0),MATCH(AD$45,'Monthly P&amp;L'!$Q$6:$AZ$6,0))</f>
        <v>219.853</v>
      </c>
      <c r="AE50" s="151">
        <f>INDEX('Monthly P&amp;L'!$Q$8:$AZ$59,MATCH($B50,'Monthly P&amp;L'!$B$8:$B$59,0),MATCH(AE$45,'Monthly P&amp;L'!$Q$6:$AZ$6,0))</f>
        <v>249.28</v>
      </c>
      <c r="AF50" s="151">
        <f>INDEX('Monthly P&amp;L'!$Q$8:$AZ$59,MATCH($B50,'Monthly P&amp;L'!$B$8:$B$59,0),MATCH(AF$45,'Monthly P&amp;L'!$Q$6:$AZ$6,0))</f>
        <v>290.649</v>
      </c>
      <c r="AG50" s="151">
        <f>INDEX('Monthly P&amp;L'!$Q$8:$AZ$59,MATCH($B50,'Monthly P&amp;L'!$B$8:$B$59,0),MATCH(AG$45,'Monthly P&amp;L'!$Q$6:$AZ$6,0))</f>
        <v>313.184</v>
      </c>
      <c r="AH50" s="151">
        <f>INDEX('Monthly P&amp;L'!$Q$8:$AZ$59,MATCH($B50,'Monthly P&amp;L'!$B$8:$B$59,0),MATCH(AH$45,'Monthly P&amp;L'!$Q$6:$AZ$6,0))</f>
        <v>296.491</v>
      </c>
      <c r="AI50" s="151">
        <f>INDEX('Monthly P&amp;L'!$Q$8:$AZ$59,MATCH($B50,'Monthly P&amp;L'!$B$8:$B$59,0),MATCH(AI$45,'Monthly P&amp;L'!$Q$6:$AZ$6,0))</f>
        <v>262.866</v>
      </c>
      <c r="AJ50" s="151">
        <f>INDEX('Monthly P&amp;L'!$Q$8:$AZ$59,MATCH($B50,'Monthly P&amp;L'!$B$8:$B$59,0),MATCH(AJ$45,'Monthly P&amp;L'!$Q$6:$AZ$6,0))</f>
        <v>233.382</v>
      </c>
      <c r="AK50" s="151">
        <f>INDEX('Monthly P&amp;L'!$Q$8:$AZ$59,MATCH($B50,'Monthly P&amp;L'!$B$8:$B$59,0),MATCH(AK$45,'Monthly P&amp;L'!$Q$6:$AZ$6,0))</f>
        <v>244.069</v>
      </c>
      <c r="AL50" s="151">
        <f>INDEX('Monthly P&amp;L'!$Q$8:$AZ$59,MATCH($B50,'Monthly P&amp;L'!$B$8:$B$59,0),MATCH(AL$45,'Monthly P&amp;L'!$Q$6:$AZ$6,0))</f>
        <v>284.02</v>
      </c>
      <c r="AN50" s="150">
        <f>SUM(C50:AL50)</f>
        <v>8166.200000000001</v>
      </c>
      <c r="AO50" s="151">
        <f>SUMIFS('Monthly P&amp;L'!$Q$14:$AZ$14,'Monthly P&amp;L'!$Q$6:$AZ$6,"&gt;="&amp;$C$45,'Monthly P&amp;L'!$Q$6:$AZ$6,"&lt;="&amp;$AL$45)</f>
        <v>8166.200000000001</v>
      </c>
      <c r="AP50" s="130">
        <f>ROUND(AN50-AO50,6)</f>
        <v>0</v>
      </c>
    </row>
    <row r="51" ht="12" customHeight="1" spans="2:38" x14ac:dyDescent="0.25" outlineLevel="1" collapsed="1">
      <c r="B51" s="16" t="s">
        <v>543</v>
      </c>
      <c r="C51" s="192">
        <f>IFERROR(C49/C50,0)</f>
        <v>0.31591299053523</v>
      </c>
      <c r="D51" s="192">
        <f>IFERROR(D49/D50,0)</f>
        <v>0.334992658381979</v>
      </c>
      <c r="E51" s="192">
        <f>IFERROR(E49/E50,0)</f>
        <v>0.3591560103871867</v>
      </c>
      <c r="F51" s="192">
        <f>IFERROR(F49/F50,0)</f>
        <v>0.3454811672066131</v>
      </c>
      <c r="G51" s="192">
        <f>IFERROR(G49/G50,0)</f>
        <v>0.3134110491637101</v>
      </c>
      <c r="H51" s="192">
        <f>IFERROR(H49/H50,0)</f>
        <v>0.2845988094567117</v>
      </c>
      <c r="I51" s="192">
        <f>IFERROR(I49/I50,0)</f>
        <v>0.2734014204237155</v>
      </c>
      <c r="J51" s="192">
        <f>IFERROR(J49/J50,0)</f>
        <v>0.27899000374009725</v>
      </c>
      <c r="K51" s="192">
        <f>IFERROR(K49/K50,0)</f>
        <v>0.29747672768383326</v>
      </c>
      <c r="L51" s="192">
        <f>IFERROR(L49/L50,0)</f>
        <v>0.320278687367295</v>
      </c>
      <c r="M51" s="192">
        <f>IFERROR(M49/M50,0)</f>
        <v>0.30087940349894743</v>
      </c>
      <c r="N51" s="192">
        <f>IFERROR(N49/N50,0)</f>
        <v>0.2617624214987906</v>
      </c>
      <c r="O51" s="192">
        <f>IFERROR(O49/O50,0)</f>
        <v>0.3129039054193757</v>
      </c>
      <c r="P51" s="192">
        <f>IFERROR(P49/P50,0)</f>
        <v>0.3314679998521811</v>
      </c>
      <c r="Q51" s="192">
        <f>IFERROR(Q49/Q50,0)</f>
        <v>0.35528571738611453</v>
      </c>
      <c r="R51" s="192">
        <f>IFERROR(R49/R50,0)</f>
        <v>0.34192154424729154</v>
      </c>
      <c r="S51" s="192">
        <f>IFERROR(S49/S50,0)</f>
        <v>0.31073659272022397</v>
      </c>
      <c r="T51" s="192">
        <f>IFERROR(T49/T50,0)</f>
        <v>0.2827057729407334</v>
      </c>
      <c r="U51" s="192">
        <f>IFERROR(U49/U50,0)</f>
        <v>0.27181704443787</v>
      </c>
      <c r="V51" s="192">
        <f>IFERROR(V49/V50,0)</f>
        <v>0.2771346229915802</v>
      </c>
      <c r="W51" s="192">
        <f>IFERROR(W49/W50,0)</f>
        <v>0.2947997548017981</v>
      </c>
      <c r="X51" s="192">
        <f>IFERROR(X49/X50,0)</f>
        <v>0.3169190888798214</v>
      </c>
      <c r="Y51" s="192">
        <f>IFERROR(Y49/Y50,0)</f>
        <v>0.2978753658021962</v>
      </c>
      <c r="Z51" s="192">
        <f>IFERROR(Z49/Z50,0)</f>
        <v>0.2596934139462432</v>
      </c>
      <c r="AA51" s="192">
        <f>IFERROR(AA49/AA50,0)</f>
        <v>0.3091193357245149</v>
      </c>
      <c r="AB51" s="192">
        <f>IFERROR(AB49/AB50,0)</f>
        <v>0.32709932301193684</v>
      </c>
      <c r="AC51" s="192">
        <f>IFERROR(AC49/AC50,0)</f>
        <v>0.35045581962808214</v>
      </c>
      <c r="AD51" s="192">
        <f>IFERROR(AD49/AD50,0)</f>
        <v>0.33745730101476895</v>
      </c>
      <c r="AE51" s="192">
        <f>IFERROR(AE49/AE50,0)</f>
        <v>0.30726492297817715</v>
      </c>
      <c r="AF51" s="192">
        <f>IFERROR(AF49/AF50,0)</f>
        <v>0.2800697748831064</v>
      </c>
      <c r="AG51" s="192">
        <f>IFERROR(AG49/AG50,0)</f>
        <v>0.2695124910595688</v>
      </c>
      <c r="AH51" s="192">
        <f>IFERROR(AH49/AH50,0)</f>
        <v>0.27454796267003045</v>
      </c>
      <c r="AI51" s="192">
        <f>IFERROR(AI49/AI50,0)</f>
        <v>0.29137279069944383</v>
      </c>
      <c r="AJ51" s="192">
        <f>IFERROR(AJ49/AJ50,0)</f>
        <v>0.3127362007352752</v>
      </c>
      <c r="AK51" s="192">
        <f>IFERROR(AK49/AK50,0)</f>
        <v>0.29411354985680277</v>
      </c>
      <c r="AL51" s="192">
        <f>IFERROR(AL49/AL50,0)</f>
        <v>0.2569783818040983</v>
      </c>
    </row>
    <row r="52" ht="12" customHeight="1" x14ac:dyDescent="0.25" outlineLevel="1" collapsed="1"/>
    <row r="53" ht="12" customHeight="1" spans="2:2" x14ac:dyDescent="0.25" outlineLevel="1" collapsed="1">
      <c r="B53" s="18" t="s">
        <v>544</v>
      </c>
    </row>
    <row r="54" ht="12" customHeight="1" spans="2:42" x14ac:dyDescent="0.25" outlineLevel="1" collapsed="1">
      <c r="B54" s="16" t="s">
        <v>545</v>
      </c>
      <c r="C54" s="151">
        <f>INDEX('Databook'!$Q$8:$AZ$33,MATCH($B54,'Databook'!$B$8:$B$33,0),MATCH(C$45,'Databook'!$Q$6:$AZ$6,0))/1000</f>
        <v>6.777</v>
      </c>
      <c r="D54" s="151">
        <f>INDEX('Databook'!$Q$8:$AZ$33,MATCH($B54,'Databook'!$B$8:$B$33,0),MATCH(D$45,'Databook'!$Q$6:$AZ$6,0))/1000</f>
        <v>6.63</v>
      </c>
      <c r="E54" s="151">
        <f>INDEX('Databook'!$Q$8:$AZ$33,MATCH($B54,'Databook'!$B$8:$B$33,0),MATCH(E$45,'Databook'!$Q$6:$AZ$6,0))/1000</f>
        <v>6.998</v>
      </c>
      <c r="F54" s="151">
        <f>INDEX('Databook'!$Q$8:$AZ$33,MATCH($B54,'Databook'!$B$8:$B$33,0),MATCH(F$45,'Databook'!$Q$6:$AZ$6,0))/1000</f>
        <v>7.219</v>
      </c>
      <c r="G54" s="151">
        <f>INDEX('Databook'!$Q$8:$AZ$33,MATCH($B54,'Databook'!$B$8:$B$33,0),MATCH(G$45,'Databook'!$Q$6:$AZ$6,0))/1000</f>
        <v>7.514</v>
      </c>
      <c r="H54" s="151">
        <f>INDEX('Databook'!$Q$8:$AZ$33,MATCH($B54,'Databook'!$B$8:$B$33,0),MATCH(H$45,'Databook'!$Q$6:$AZ$6,0))/1000</f>
        <v>8.104</v>
      </c>
      <c r="I54" s="151">
        <f>INDEX('Databook'!$Q$8:$AZ$33,MATCH($B54,'Databook'!$B$8:$B$33,0),MATCH(I$45,'Databook'!$Q$6:$AZ$6,0))/1000</f>
        <v>8.472</v>
      </c>
      <c r="J54" s="151">
        <f>INDEX('Databook'!$Q$8:$AZ$33,MATCH($B54,'Databook'!$B$8:$B$33,0),MATCH(J$45,'Databook'!$Q$6:$AZ$6,0))/1000</f>
        <v>8.103</v>
      </c>
      <c r="K54" s="151">
        <f>INDEX('Databook'!$Q$8:$AZ$33,MATCH($B54,'Databook'!$B$8:$B$33,0),MATCH(K$45,'Databook'!$Q$6:$AZ$6,0))/1000</f>
        <v>7.514</v>
      </c>
      <c r="L54" s="151">
        <f>INDEX('Databook'!$Q$8:$AZ$33,MATCH($B54,'Databook'!$B$8:$B$33,0),MATCH(L$45,'Databook'!$Q$6:$AZ$6,0))/1000</f>
        <v>7.072</v>
      </c>
      <c r="M54" s="151">
        <f>INDEX('Databook'!$Q$8:$AZ$33,MATCH($B54,'Databook'!$B$8:$B$33,0),MATCH(M$45,'Databook'!$Q$6:$AZ$6,0))/1000</f>
        <v>6.925</v>
      </c>
      <c r="N54" s="151">
        <f>INDEX('Databook'!$Q$8:$AZ$33,MATCH($B54,'Databook'!$B$8:$B$33,0),MATCH(N$45,'Databook'!$Q$6:$AZ$6,0))/1000</f>
        <v>7.072</v>
      </c>
      <c r="O54" s="151">
        <f>INDEX('Databook'!$Q$8:$AZ$33,MATCH($B54,'Databook'!$B$8:$B$33,0),MATCH(O$45,'Databook'!$Q$6:$AZ$6,0))/1000</f>
        <v>7.26</v>
      </c>
      <c r="P54" s="151">
        <f>INDEX('Databook'!$Q$8:$AZ$33,MATCH($B54,'Databook'!$B$8:$B$33,0),MATCH(P$45,'Databook'!$Q$6:$AZ$6,0))/1000</f>
        <v>7.102</v>
      </c>
      <c r="Q54" s="151">
        <f>INDEX('Databook'!$Q$8:$AZ$33,MATCH($B54,'Databook'!$B$8:$B$33,0),MATCH(Q$45,'Databook'!$Q$6:$AZ$6,0))/1000</f>
        <v>7.497</v>
      </c>
      <c r="R54" s="151">
        <f>INDEX('Databook'!$Q$8:$AZ$33,MATCH($B54,'Databook'!$B$8:$B$33,0),MATCH(R$45,'Databook'!$Q$6:$AZ$6,0))/1000</f>
        <v>7.734</v>
      </c>
      <c r="S54" s="151">
        <f>INDEX('Databook'!$Q$8:$AZ$33,MATCH($B54,'Databook'!$B$8:$B$33,0),MATCH(S$45,'Databook'!$Q$6:$AZ$6,0))/1000</f>
        <v>8.05</v>
      </c>
      <c r="T54" s="151">
        <f>INDEX('Databook'!$Q$8:$AZ$33,MATCH($B54,'Databook'!$B$8:$B$33,0),MATCH(T$45,'Databook'!$Q$6:$AZ$6,0))/1000</f>
        <v>8.681</v>
      </c>
      <c r="U54" s="151">
        <f>INDEX('Databook'!$Q$8:$AZ$33,MATCH($B54,'Databook'!$B$8:$B$33,0),MATCH(U$45,'Databook'!$Q$6:$AZ$6,0))/1000</f>
        <v>9.075</v>
      </c>
      <c r="V54" s="151">
        <f>INDEX('Databook'!$Q$8:$AZ$33,MATCH($B54,'Databook'!$B$8:$B$33,0),MATCH(V$45,'Databook'!$Q$6:$AZ$6,0))/1000</f>
        <v>8.681</v>
      </c>
      <c r="W54" s="151">
        <f>INDEX('Databook'!$Q$8:$AZ$33,MATCH($B54,'Databook'!$B$8:$B$33,0),MATCH(W$45,'Databook'!$Q$6:$AZ$6,0))/1000</f>
        <v>8.05</v>
      </c>
      <c r="X54" s="151">
        <f>INDEX('Databook'!$Q$8:$AZ$33,MATCH($B54,'Databook'!$B$8:$B$33,0),MATCH(X$45,'Databook'!$Q$6:$AZ$6,0))/1000</f>
        <v>7.576</v>
      </c>
      <c r="Y54" s="151">
        <f>INDEX('Databook'!$Q$8:$AZ$33,MATCH($B54,'Databook'!$B$8:$B$33,0),MATCH(Y$45,'Databook'!$Q$6:$AZ$6,0))/1000</f>
        <v>7.418</v>
      </c>
      <c r="Z54" s="151">
        <f>INDEX('Databook'!$Q$8:$AZ$33,MATCH($B54,'Databook'!$B$8:$B$33,0),MATCH(Z$45,'Databook'!$Q$6:$AZ$6,0))/1000</f>
        <v>7.576</v>
      </c>
      <c r="AA54" s="151">
        <f>INDEX('Databook'!$Q$8:$AZ$33,MATCH($B54,'Databook'!$B$8:$B$33,0),MATCH(AA$45,'Databook'!$Q$6:$AZ$6,0))/1000</f>
        <v>7.759</v>
      </c>
      <c r="AB54" s="151">
        <f>INDEX('Databook'!$Q$8:$AZ$33,MATCH($B54,'Databook'!$B$8:$B$33,0),MATCH(AB$45,'Databook'!$Q$6:$AZ$6,0))/1000</f>
        <v>7.59</v>
      </c>
      <c r="AC54" s="151">
        <f>INDEX('Databook'!$Q$8:$AZ$33,MATCH($B54,'Databook'!$B$8:$B$33,0),MATCH(AC$45,'Databook'!$Q$6:$AZ$6,0))/1000</f>
        <v>8.011</v>
      </c>
      <c r="AD54" s="151">
        <f>INDEX('Databook'!$Q$8:$AZ$33,MATCH($B54,'Databook'!$B$8:$B$33,0),MATCH(AD$45,'Databook'!$Q$6:$AZ$6,0))/1000</f>
        <v>8.265</v>
      </c>
      <c r="AE54" s="151">
        <f>INDEX('Databook'!$Q$8:$AZ$33,MATCH($B54,'Databook'!$B$8:$B$33,0),MATCH(AE$45,'Databook'!$Q$6:$AZ$6,0))/1000</f>
        <v>8.602</v>
      </c>
      <c r="AF54" s="151">
        <f>INDEX('Databook'!$Q$8:$AZ$33,MATCH($B54,'Databook'!$B$8:$B$33,0),MATCH(AF$45,'Databook'!$Q$6:$AZ$6,0))/1000</f>
        <v>9.277</v>
      </c>
      <c r="AG54" s="151">
        <f>INDEX('Databook'!$Q$8:$AZ$33,MATCH($B54,'Databook'!$B$8:$B$33,0),MATCH(AG$45,'Databook'!$Q$6:$AZ$6,0))/1000</f>
        <v>9.698</v>
      </c>
      <c r="AH54" s="151">
        <f>INDEX('Databook'!$Q$8:$AZ$33,MATCH($B54,'Databook'!$B$8:$B$33,0),MATCH(AH$45,'Databook'!$Q$6:$AZ$6,0))/1000</f>
        <v>9.277</v>
      </c>
      <c r="AI54" s="151">
        <f>INDEX('Databook'!$Q$8:$AZ$33,MATCH($B54,'Databook'!$B$8:$B$33,0),MATCH(AI$45,'Databook'!$Q$6:$AZ$6,0))/1000</f>
        <v>8.602</v>
      </c>
      <c r="AJ54" s="151">
        <f>INDEX('Databook'!$Q$8:$AZ$33,MATCH($B54,'Databook'!$B$8:$B$33,0),MATCH(AJ$45,'Databook'!$Q$6:$AZ$6,0))/1000</f>
        <v>8.096</v>
      </c>
      <c r="AK54" s="151">
        <f>INDEX('Databook'!$Q$8:$AZ$33,MATCH($B54,'Databook'!$B$8:$B$33,0),MATCH(AK$45,'Databook'!$Q$6:$AZ$6,0))/1000</f>
        <v>7.927</v>
      </c>
      <c r="AL54" s="151">
        <f>INDEX('Databook'!$Q$8:$AZ$33,MATCH($B54,'Databook'!$B$8:$B$33,0),MATCH(AL$45,'Databook'!$Q$6:$AZ$6,0))/1000</f>
        <v>8.096</v>
      </c>
      <c r="AN54" s="150">
        <f>SUM(C54:AL54)</f>
        <v>284.3</v>
      </c>
      <c r="AO54" s="151">
        <f>SUMIFS('Databook'!$Q$31:$AZ$31,'Databook'!$Q$6:$AZ$6,"&gt;="&amp;$C$45,'Databook'!$Q$6:$AZ$6,"&lt;="&amp;$AL$45)/1000</f>
        <v>284.3</v>
      </c>
      <c r="AP54" s="130">
        <f>ROUND(AN54-AO54,6)</f>
        <v>0</v>
      </c>
    </row>
    <row r="55" ht="12" customHeight="1" spans="2:42" x14ac:dyDescent="0.25" outlineLevel="1" collapsed="1">
      <c r="B55" s="16" t="s">
        <v>87</v>
      </c>
      <c r="C55" s="151">
        <f>INDEX('Monthly P&amp;L'!$Q$8:$AZ$59,MATCH($B55,'Monthly P&amp;L'!$B$8:$B$59,0),MATCH(C$45,'Monthly P&amp;L'!$Q$6:$AZ$6,0))</f>
        <v>180.67</v>
      </c>
      <c r="D55" s="151">
        <f>INDEX('Monthly P&amp;L'!$Q$8:$AZ$59,MATCH($B55,'Monthly P&amp;L'!$B$8:$B$59,0),MATCH(D$45,'Monthly P&amp;L'!$Q$6:$AZ$6,0))</f>
        <v>167.538</v>
      </c>
      <c r="E55" s="151">
        <f>INDEX('Monthly P&amp;L'!$Q$8:$AZ$59,MATCH($B55,'Monthly P&amp;L'!$B$8:$B$59,0),MATCH(E$45,'Monthly P&amp;L'!$Q$6:$AZ$6,0))</f>
        <v>162.893</v>
      </c>
      <c r="F55" s="151">
        <f>INDEX('Monthly P&amp;L'!$Q$8:$AZ$59,MATCH($B55,'Monthly P&amp;L'!$B$8:$B$59,0),MATCH(F$45,'Monthly P&amp;L'!$Q$6:$AZ$6,0))</f>
        <v>173.474</v>
      </c>
      <c r="G55" s="151">
        <f>INDEX('Monthly P&amp;L'!$Q$8:$AZ$59,MATCH($B55,'Monthly P&amp;L'!$B$8:$B$59,0),MATCH(G$45,'Monthly P&amp;L'!$Q$6:$AZ$6,0))</f>
        <v>197.3</v>
      </c>
      <c r="H55" s="151">
        <f>INDEX('Monthly P&amp;L'!$Q$8:$AZ$59,MATCH($B55,'Monthly P&amp;L'!$B$8:$B$59,0),MATCH(H$45,'Monthly P&amp;L'!$Q$6:$AZ$6,0))</f>
        <v>230.651</v>
      </c>
      <c r="I55" s="151">
        <f>INDEX('Monthly P&amp;L'!$Q$8:$AZ$59,MATCH($B55,'Monthly P&amp;L'!$B$8:$B$59,0),MATCH(I$45,'Monthly P&amp;L'!$Q$6:$AZ$6,0))</f>
        <v>248.799</v>
      </c>
      <c r="J55" s="151">
        <f>INDEX('Monthly P&amp;L'!$Q$8:$AZ$59,MATCH($B55,'Monthly P&amp;L'!$B$8:$B$59,0),MATCH(J$45,'Monthly P&amp;L'!$Q$6:$AZ$6,0))</f>
        <v>235.288</v>
      </c>
      <c r="K55" s="151">
        <f>INDEX('Monthly P&amp;L'!$Q$8:$AZ$59,MATCH($B55,'Monthly P&amp;L'!$B$8:$B$59,0),MATCH(K$45,'Monthly P&amp;L'!$Q$6:$AZ$6,0))</f>
        <v>207.865</v>
      </c>
      <c r="L55" s="151">
        <f>INDEX('Monthly P&amp;L'!$Q$8:$AZ$59,MATCH($B55,'Monthly P&amp;L'!$B$8:$B$59,0),MATCH(L$45,'Monthly P&amp;L'!$Q$6:$AZ$6,0))</f>
        <v>184.149</v>
      </c>
      <c r="M55" s="151">
        <f>INDEX('Monthly P&amp;L'!$Q$8:$AZ$59,MATCH($B55,'Monthly P&amp;L'!$B$8:$B$59,0),MATCH(M$45,'Monthly P&amp;L'!$Q$6:$AZ$6,0))</f>
        <v>192.858</v>
      </c>
      <c r="N55" s="151">
        <f>INDEX('Monthly P&amp;L'!$Q$8:$AZ$59,MATCH($B55,'Monthly P&amp;L'!$B$8:$B$59,0),MATCH(N$45,'Monthly P&amp;L'!$Q$6:$AZ$6,0))</f>
        <v>225.315</v>
      </c>
      <c r="O55" s="151">
        <f>INDEX('Monthly P&amp;L'!$Q$8:$AZ$59,MATCH($B55,'Monthly P&amp;L'!$B$8:$B$59,0),MATCH(O$45,'Monthly P&amp;L'!$Q$6:$AZ$6,0))</f>
        <v>204.101</v>
      </c>
      <c r="P55" s="151">
        <f>INDEX('Monthly P&amp;L'!$Q$8:$AZ$59,MATCH($B55,'Monthly P&amp;L'!$B$8:$B$59,0),MATCH(P$45,'Monthly P&amp;L'!$Q$6:$AZ$6,0))</f>
        <v>189.421</v>
      </c>
      <c r="Q55" s="151">
        <f>INDEX('Monthly P&amp;L'!$Q$8:$AZ$59,MATCH($B55,'Monthly P&amp;L'!$B$8:$B$59,0),MATCH(Q$45,'Monthly P&amp;L'!$Q$6:$AZ$6,0))</f>
        <v>184.308</v>
      </c>
      <c r="R55" s="151">
        <f>INDEX('Monthly P&amp;L'!$Q$8:$AZ$59,MATCH($B55,'Monthly P&amp;L'!$B$8:$B$59,0),MATCH(R$45,'Monthly P&amp;L'!$Q$6:$AZ$6,0))</f>
        <v>196.238</v>
      </c>
      <c r="S55" s="151">
        <f>INDEX('Monthly P&amp;L'!$Q$8:$AZ$59,MATCH($B55,'Monthly P&amp;L'!$B$8:$B$59,0),MATCH(S$45,'Monthly P&amp;L'!$Q$6:$AZ$6,0))</f>
        <v>222.864</v>
      </c>
      <c r="T55" s="151">
        <f>INDEX('Monthly P&amp;L'!$Q$8:$AZ$59,MATCH($B55,'Monthly P&amp;L'!$B$8:$B$59,0),MATCH(T$45,'Monthly P&amp;L'!$Q$6:$AZ$6,0))</f>
        <v>260.214</v>
      </c>
      <c r="U55" s="151">
        <f>INDEX('Monthly P&amp;L'!$Q$8:$AZ$59,MATCH($B55,'Monthly P&amp;L'!$B$8:$B$59,0),MATCH(U$45,'Monthly P&amp;L'!$Q$6:$AZ$6,0))</f>
        <v>280.549</v>
      </c>
      <c r="V55" s="151">
        <f>INDEX('Monthly P&amp;L'!$Q$8:$AZ$59,MATCH($B55,'Monthly P&amp;L'!$B$8:$B$59,0),MATCH(V$45,'Monthly P&amp;L'!$Q$6:$AZ$6,0))</f>
        <v>265.445</v>
      </c>
      <c r="W55" s="151">
        <f>INDEX('Monthly P&amp;L'!$Q$8:$AZ$59,MATCH($B55,'Monthly P&amp;L'!$B$8:$B$59,0),MATCH(W$45,'Monthly P&amp;L'!$Q$6:$AZ$6,0))</f>
        <v>234.912</v>
      </c>
      <c r="X55" s="151">
        <f>INDEX('Monthly P&amp;L'!$Q$8:$AZ$59,MATCH($B55,'Monthly P&amp;L'!$B$8:$B$59,0),MATCH(X$45,'Monthly P&amp;L'!$Q$6:$AZ$6,0))</f>
        <v>208.315</v>
      </c>
      <c r="Y55" s="151">
        <f>INDEX('Monthly P&amp;L'!$Q$8:$AZ$59,MATCH($B55,'Monthly P&amp;L'!$B$8:$B$59,0),MATCH(Y$45,'Monthly P&amp;L'!$Q$6:$AZ$6,0))</f>
        <v>218.014</v>
      </c>
      <c r="Z55" s="151">
        <f>INDEX('Monthly P&amp;L'!$Q$8:$AZ$59,MATCH($B55,'Monthly P&amp;L'!$B$8:$B$59,0),MATCH(Z$45,'Monthly P&amp;L'!$Q$6:$AZ$6,0))</f>
        <v>254.219</v>
      </c>
      <c r="AA55" s="151">
        <f>INDEX('Monthly P&amp;L'!$Q$8:$AZ$59,MATCH($B55,'Monthly P&amp;L'!$B$8:$B$59,0),MATCH(AA$45,'Monthly P&amp;L'!$Q$6:$AZ$6,0))</f>
        <v>228.339</v>
      </c>
      <c r="AB55" s="151">
        <f>INDEX('Monthly P&amp;L'!$Q$8:$AZ$59,MATCH($B55,'Monthly P&amp;L'!$B$8:$B$59,0),MATCH(AB$45,'Monthly P&amp;L'!$Q$6:$AZ$6,0))</f>
        <v>212.116</v>
      </c>
      <c r="AC55" s="151">
        <f>INDEX('Monthly P&amp;L'!$Q$8:$AZ$59,MATCH($B55,'Monthly P&amp;L'!$B$8:$B$59,0),MATCH(AC$45,'Monthly P&amp;L'!$Q$6:$AZ$6,0))</f>
        <v>206.551</v>
      </c>
      <c r="AD55" s="151">
        <f>INDEX('Monthly P&amp;L'!$Q$8:$AZ$59,MATCH($B55,'Monthly P&amp;L'!$B$8:$B$59,0),MATCH(AD$45,'Monthly P&amp;L'!$Q$6:$AZ$6,0))</f>
        <v>219.853</v>
      </c>
      <c r="AE55" s="151">
        <f>INDEX('Monthly P&amp;L'!$Q$8:$AZ$59,MATCH($B55,'Monthly P&amp;L'!$B$8:$B$59,0),MATCH(AE$45,'Monthly P&amp;L'!$Q$6:$AZ$6,0))</f>
        <v>249.28</v>
      </c>
      <c r="AF55" s="151">
        <f>INDEX('Monthly P&amp;L'!$Q$8:$AZ$59,MATCH($B55,'Monthly P&amp;L'!$B$8:$B$59,0),MATCH(AF$45,'Monthly P&amp;L'!$Q$6:$AZ$6,0))</f>
        <v>290.649</v>
      </c>
      <c r="AG55" s="151">
        <f>INDEX('Monthly P&amp;L'!$Q$8:$AZ$59,MATCH($B55,'Monthly P&amp;L'!$B$8:$B$59,0),MATCH(AG$45,'Monthly P&amp;L'!$Q$6:$AZ$6,0))</f>
        <v>313.184</v>
      </c>
      <c r="AH55" s="151">
        <f>INDEX('Monthly P&amp;L'!$Q$8:$AZ$59,MATCH($B55,'Monthly P&amp;L'!$B$8:$B$59,0),MATCH(AH$45,'Monthly P&amp;L'!$Q$6:$AZ$6,0))</f>
        <v>296.491</v>
      </c>
      <c r="AI55" s="151">
        <f>INDEX('Monthly P&amp;L'!$Q$8:$AZ$59,MATCH($B55,'Monthly P&amp;L'!$B$8:$B$59,0),MATCH(AI$45,'Monthly P&amp;L'!$Q$6:$AZ$6,0))</f>
        <v>262.866</v>
      </c>
      <c r="AJ55" s="151">
        <f>INDEX('Monthly P&amp;L'!$Q$8:$AZ$59,MATCH($B55,'Monthly P&amp;L'!$B$8:$B$59,0),MATCH(AJ$45,'Monthly P&amp;L'!$Q$6:$AZ$6,0))</f>
        <v>233.382</v>
      </c>
      <c r="AK55" s="151">
        <f>INDEX('Monthly P&amp;L'!$Q$8:$AZ$59,MATCH($B55,'Monthly P&amp;L'!$B$8:$B$59,0),MATCH(AK$45,'Monthly P&amp;L'!$Q$6:$AZ$6,0))</f>
        <v>244.069</v>
      </c>
      <c r="AL55" s="151">
        <f>INDEX('Monthly P&amp;L'!$Q$8:$AZ$59,MATCH($B55,'Monthly P&amp;L'!$B$8:$B$59,0),MATCH(AL$45,'Monthly P&amp;L'!$Q$6:$AZ$6,0))</f>
        <v>284.02</v>
      </c>
      <c r="AN55" s="150">
        <f>SUM(C55:AL55)</f>
        <v>8166.200000000001</v>
      </c>
      <c r="AO55" s="151">
        <f>SUMIFS('Monthly P&amp;L'!$Q$14:$AZ$14,'Monthly P&amp;L'!$Q$6:$AZ$6,"&gt;="&amp;$C$45,'Monthly P&amp;L'!$Q$6:$AZ$6,"&lt;="&amp;$AL$45)</f>
        <v>8166.200000000001</v>
      </c>
      <c r="AP55" s="130">
        <f>ROUND(AN55-AO55,6)</f>
        <v>0</v>
      </c>
    </row>
    <row r="56" ht="12" customHeight="1" spans="2:38" x14ac:dyDescent="0.25" outlineLevel="1" collapsed="1">
      <c r="B56" s="16" t="s">
        <v>546</v>
      </c>
      <c r="C56" s="192">
        <f>IFERROR(C54/C55,0)</f>
        <v>0.037510378037305586</v>
      </c>
      <c r="D56" s="192">
        <f>IFERROR(D54/D55,0)</f>
        <v>0.039573111771657773</v>
      </c>
      <c r="E56" s="192">
        <f>IFERROR(E54/E55,0)</f>
        <v>0.042960716543988996</v>
      </c>
      <c r="F56" s="192">
        <f>IFERROR(F54/F55,0)</f>
        <v>0.0416143053137646</v>
      </c>
      <c r="G56" s="192">
        <f>IFERROR(G54/G55,0)</f>
        <v>0.0380841358337557</v>
      </c>
      <c r="H56" s="192">
        <f>IFERROR(H54/H55,0)</f>
        <v>0.035135334336291624</v>
      </c>
      <c r="I56" s="192">
        <f>IFERROR(I54/I55,0)</f>
        <v>0.034051583808616594</v>
      </c>
      <c r="J56" s="192">
        <f>IFERROR(J54/J55,0)</f>
        <v>0.034438645404780525</v>
      </c>
      <c r="K56" s="192">
        <f>IFERROR(K54/K55,0)</f>
        <v>0.036148461741996006</v>
      </c>
      <c r="L56" s="192">
        <f>IFERROR(L54/L55,0)</f>
        <v>0.03840368397330423</v>
      </c>
      <c r="M56" s="192">
        <f>IFERROR(M54/M55,0)</f>
        <v>0.03590724781963932</v>
      </c>
      <c r="N56" s="192">
        <f>IFERROR(N54/N55,0)</f>
        <v>0.03138716907440694</v>
      </c>
      <c r="O56" s="192">
        <f>IFERROR(O54/O55,0)</f>
        <v>0.0355706243477494</v>
      </c>
      <c r="P56" s="192">
        <f>IFERROR(P54/P55,0)</f>
        <v>0.03749320297115948</v>
      </c>
      <c r="Q56" s="192">
        <f>IFERROR(Q54/Q55,0)</f>
        <v>0.040676476333094604</v>
      </c>
      <c r="R56" s="192">
        <f>IFERROR(R54/R55,0)</f>
        <v>0.03941132706203691</v>
      </c>
      <c r="S56" s="192">
        <f>IFERROR(S54/S55,0)</f>
        <v>0.03612068346614976</v>
      </c>
      <c r="T56" s="192">
        <f>IFERROR(T54/T55,0)</f>
        <v>0.03336100286687111</v>
      </c>
      <c r="U56" s="192">
        <f>IFERROR(U54/U55,0)</f>
        <v>0.03234729049114415</v>
      </c>
      <c r="V56" s="192">
        <f>IFERROR(V54/V55,0)</f>
        <v>0.03270357324492833</v>
      </c>
      <c r="W56" s="192">
        <f>IFERROR(W54/W55,0)</f>
        <v>0.034268151478000275</v>
      </c>
      <c r="X56" s="192">
        <f>IFERROR(X54/X55,0)</f>
        <v>0.036368000384033795</v>
      </c>
      <c r="Y56" s="192">
        <f>IFERROR(Y54/Y55,0)</f>
        <v>0.034025337822341684</v>
      </c>
      <c r="Z56" s="192">
        <f>IFERROR(Z54/Z55,0)</f>
        <v>0.029801077024140605</v>
      </c>
      <c r="AA56" s="192">
        <f>IFERROR(AA54/AA55,0)</f>
        <v>0.03398017859410788</v>
      </c>
      <c r="AB56" s="192">
        <f>IFERROR(AB54/AB55,0)</f>
        <v>0.035782307793848646</v>
      </c>
      <c r="AC56" s="192">
        <f>IFERROR(AC54/AC55,0)</f>
        <v>0.03878461009629583</v>
      </c>
      <c r="AD56" s="192">
        <f>IFERROR(AD54/AD55,0)</f>
        <v>0.03759330097838101</v>
      </c>
      <c r="AE56" s="192">
        <f>IFERROR(AE54/AE55,0)</f>
        <v>0.034507381258023107</v>
      </c>
      <c r="AF56" s="192">
        <f>IFERROR(AF54/AF55,0)</f>
        <v>0.031918224387491444</v>
      </c>
      <c r="AG56" s="192">
        <f>IFERROR(AG54/AG55,0)</f>
        <v>0.030965822008787166</v>
      </c>
      <c r="AH56" s="192">
        <f>IFERROR(AH54/AH55,0)</f>
        <v>0.031289314009531485</v>
      </c>
      <c r="AI56" s="192">
        <f>IFERROR(AI54/AI55,0)</f>
        <v>0.032723897346937224</v>
      </c>
      <c r="AJ56" s="192">
        <f>IFERROR(AJ54/AJ55,0)</f>
        <v>0.03468990753357157</v>
      </c>
      <c r="AK56" s="192">
        <f>IFERROR(AK54/AK55,0)</f>
        <v>0.03247852041840627</v>
      </c>
      <c r="AL56" s="192">
        <f>IFERROR(AL54/AL55,0)</f>
        <v>0.028505034856700234</v>
      </c>
    </row>
  </sheetData>
  <conditionalFormatting sqref="AP48:AP56">
    <cfRule type="expression" dxfId="18" priority="1">
      <formula>ROUND(AP48,3)&lt;&gt;0</formula>
    </cfRule>
  </conditionalFormatting>
  <printOptions horizontalCentered="1"/>
  <pageMargins left="0.5" right="0.5" top="0.6" bottom="0.7" header="0.3" footer="0.3"/>
  <pageSetup paperSize="1" orientation="landscape" fitToWidth="1" fitToHeight="0"/>
  <headerFooter>
    <oddHeader>&amp;RProject Ridgeline | As of 12/31/25</oddHeader>
    <oddFooter>&amp;LAMB Advisory Services | Strictly confidential&amp;C&amp;A&amp;RPage &amp;P of &amp;N</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G30"/>
  <sheetViews>
    <sheetView workbookViewId="0" showGridLines="0" zoomScale="100"/>
  </sheetViews>
  <sheetFormatPr defaultRowHeight="12.75" outlineLevelRow="0" outlineLevelCol="0" x14ac:dyDescent="55" customHeight="1"/>
  <cols>
    <col min="1" max="1" width="1.7" customWidth="1"/>
    <col min="2" max="2" width="34" customWidth="1"/>
    <col min="3" max="3" width="12" customWidth="1"/>
    <col min="4" max="4" width="10" customWidth="1"/>
    <col min="5" max="5" width="14" customWidth="1"/>
    <col min="6" max="6" width="12" customWidth="1"/>
    <col min="7" max="7" width="16" customWidth="1"/>
  </cols>
  <sheetData>
    <row r="2" ht="16.5" customHeight="1" spans="2:2" x14ac:dyDescent="0.25">
      <c r="B2" s="9">
        <f>Cover!B24</f>
      </c>
    </row>
    <row r="3" spans="2:7" x14ac:dyDescent="0.25">
      <c r="B3" s="10" t="s">
        <v>547</v>
      </c>
      <c r="C3" s="11"/>
      <c r="D3" s="11"/>
      <c r="E3" s="11"/>
      <c r="F3" s="34" t="s">
        <v>80</v>
      </c>
      <c r="G3" s="35">
        <f>'Contents'!$I$18</f>
      </c>
    </row>
    <row r="5" spans="2:7" x14ac:dyDescent="0.25">
      <c r="B5" s="36" t="s">
        <v>548</v>
      </c>
      <c r="C5" s="36"/>
      <c r="D5" s="36"/>
      <c r="E5" s="36"/>
      <c r="F5" s="36"/>
      <c r="G5" s="36"/>
    </row>
    <row r="6" spans="2:7" x14ac:dyDescent="0.25">
      <c r="B6" s="13" t="s">
        <v>549</v>
      </c>
      <c r="C6" s="12" t="s">
        <v>550</v>
      </c>
      <c r="D6" s="12" t="s">
        <v>551</v>
      </c>
      <c r="E6" s="12" t="s">
        <v>552</v>
      </c>
      <c r="F6" s="12" t="s">
        <v>546</v>
      </c>
      <c r="G6" s="12" t="s">
        <v>553</v>
      </c>
    </row>
    <row r="8" spans="2:7" x14ac:dyDescent="0.25">
      <c r="B8" s="52" t="s">
        <v>554</v>
      </c>
      <c r="C8" s="53">
        <f>COUNTIFS('Raw - Customers'!$C:$C,"Property manager",'Raw - Customers'!$K:$K,"&gt;0")+COUNTIFS('Raw - Customers'!$C:$C,"Property manager",'Raw - Customers'!$K:$K,"&lt;=0",'Raw - Customers'!$E:$E,"&lt;="&amp;'Assumptions'!$C$9,'Raw - Customers'!$F:$F,"")+COUNTIFS('Raw - Customers'!$C:$C,"Property manager",'Raw - Customers'!$K:$K,"&lt;=0",'Raw - Customers'!$E:$E,"&lt;="&amp;'Assumptions'!$C$9,'Raw - Customers'!$F:$F,"&gt;"&amp;'Assumptions'!$C$9)</f>
        <v>10</v>
      </c>
      <c r="D8" s="115">
        <f>IFERROR(C8/C$30,"n.a.")</f>
        <v>0.17857142857142858</v>
      </c>
      <c r="E8" s="39">
        <f>$C$29*SUMIFS('Raw - Customers'!$I:$I,'Raw - Customers'!$C:$C,"Property manager")+$D$29*SUMIFS('Raw - Customers'!$J:$J,'Raw - Customers'!$C:$C,"Property manager")+$E$29*SUMIFS('Raw - Customers'!$K:$K,'Raw - Customers'!$C:$C,"Property manager")</f>
        <v>311235</v>
      </c>
      <c r="F8" s="115">
        <f>IFERROR(E8/E$17,"n.a.")</f>
        <v>0.10235299921073401</v>
      </c>
      <c r="G8" s="38">
        <f>IFERROR(E8/C8,"n.a.")</f>
        <v>31123.5</v>
      </c>
    </row>
    <row r="9" spans="2:7" x14ac:dyDescent="0.25">
      <c r="B9" s="52" t="s">
        <v>555</v>
      </c>
      <c r="C9" s="53">
        <f>COUNTIFS('Raw - Customers'!$C:$C,"Restaurant group",'Raw - Customers'!$K:$K,"&gt;0")+COUNTIFS('Raw - Customers'!$C:$C,"Restaurant group",'Raw - Customers'!$K:$K,"&lt;=0",'Raw - Customers'!$E:$E,"&lt;="&amp;'Assumptions'!$C$9,'Raw - Customers'!$F:$F,"")+COUNTIFS('Raw - Customers'!$C:$C,"Restaurant group",'Raw - Customers'!$K:$K,"&lt;=0",'Raw - Customers'!$E:$E,"&lt;="&amp;'Assumptions'!$C$9,'Raw - Customers'!$F:$F,"&gt;"&amp;'Assumptions'!$C$9)</f>
        <v>4</v>
      </c>
      <c r="D9" s="115">
        <f>IFERROR(C9/C$30,"n.a.")</f>
        <v>0.07142857142857142</v>
      </c>
      <c r="E9" s="53">
        <f>$C$29*SUMIFS('Raw - Customers'!$I:$I,'Raw - Customers'!$C:$C,"Restaurant group")+$D$29*SUMIFS('Raw - Customers'!$J:$J,'Raw - Customers'!$C:$C,"Restaurant group")+$E$29*SUMIFS('Raw - Customers'!$K:$K,'Raw - Customers'!$C:$C,"Restaurant group")</f>
        <v>180695</v>
      </c>
      <c r="F9" s="115">
        <f>IFERROR(E9/E$17,"n.a.")</f>
        <v>0.05942350697184951</v>
      </c>
      <c r="G9" s="52">
        <f>IFERROR(E9/C9,"n.a.")</f>
        <v>45173.75</v>
      </c>
    </row>
    <row r="10" spans="2:7" x14ac:dyDescent="0.25">
      <c r="B10" s="52" t="s">
        <v>556</v>
      </c>
      <c r="C10" s="53">
        <f>COUNTIFS('Raw - Customers'!$C:$C,"Office building",'Raw - Customers'!$K:$K,"&gt;0")+COUNTIFS('Raw - Customers'!$C:$C,"Office building",'Raw - Customers'!$K:$K,"&lt;=0",'Raw - Customers'!$E:$E,"&lt;="&amp;'Assumptions'!$C$9,'Raw - Customers'!$F:$F,"")+COUNTIFS('Raw - Customers'!$C:$C,"Office building",'Raw - Customers'!$K:$K,"&lt;=0",'Raw - Customers'!$E:$E,"&lt;="&amp;'Assumptions'!$C$9,'Raw - Customers'!$F:$F,"&gt;"&amp;'Assumptions'!$C$9)</f>
        <v>19</v>
      </c>
      <c r="D10" s="115">
        <f>IFERROR(C10/C$30,"n.a.")</f>
        <v>0.3392857142857143</v>
      </c>
      <c r="E10" s="53">
        <f>$C$29*SUMIFS('Raw - Customers'!$I:$I,'Raw - Customers'!$C:$C,"Office building")+$D$29*SUMIFS('Raw - Customers'!$J:$J,'Raw - Customers'!$C:$C,"Office building")+$E$29*SUMIFS('Raw - Customers'!$K:$K,'Raw - Customers'!$C:$C,"Office building")</f>
        <v>135334</v>
      </c>
      <c r="F10" s="115">
        <f>IFERROR(E10/E$17,"n.a.")</f>
        <v>0.04450605103920021</v>
      </c>
      <c r="G10" s="52">
        <f>IFERROR(E10/C10,"n.a.")</f>
        <v>7122.8421052631575</v>
      </c>
    </row>
    <row r="11" spans="2:7" x14ac:dyDescent="0.25">
      <c r="B11" s="52" t="s">
        <v>557</v>
      </c>
      <c r="C11" s="53">
        <f>COUNTIFS('Raw - Customers'!$C:$C,"Retail",'Raw - Customers'!$K:$K,"&gt;0")+COUNTIFS('Raw - Customers'!$C:$C,"Retail",'Raw - Customers'!$K:$K,"&lt;=0",'Raw - Customers'!$E:$E,"&lt;="&amp;'Assumptions'!$C$9,'Raw - Customers'!$F:$F,"")+COUNTIFS('Raw - Customers'!$C:$C,"Retail",'Raw - Customers'!$K:$K,"&lt;=0",'Raw - Customers'!$E:$E,"&lt;="&amp;'Assumptions'!$C$9,'Raw - Customers'!$F:$F,"&gt;"&amp;'Assumptions'!$C$9)</f>
        <v>8</v>
      </c>
      <c r="D11" s="115">
        <f>IFERROR(C11/C$30,"n.a.")</f>
        <v>0.14285714285714285</v>
      </c>
      <c r="E11" s="53">
        <f>$C$29*SUMIFS('Raw - Customers'!$I:$I,'Raw - Customers'!$C:$C,"Retail")+$D$29*SUMIFS('Raw - Customers'!$J:$J,'Raw - Customers'!$C:$C,"Retail")+$E$29*SUMIFS('Raw - Customers'!$K:$K,'Raw - Customers'!$C:$C,"Retail")</f>
        <v>63801</v>
      </c>
      <c r="F11" s="115">
        <f>IFERROR(E11/E$17,"n.a.")</f>
        <v>0.02098164956590371</v>
      </c>
      <c r="G11" s="52">
        <f>IFERROR(E11/C11,"n.a.")</f>
        <v>7975.125</v>
      </c>
    </row>
    <row r="12" spans="2:7" x14ac:dyDescent="0.25">
      <c r="B12" s="52" t="s">
        <v>558</v>
      </c>
      <c r="C12" s="53">
        <f>COUNTIFS('Raw - Customers'!$C:$C,"Medical office",'Raw - Customers'!$K:$K,"&gt;0")+COUNTIFS('Raw - Customers'!$C:$C,"Medical office",'Raw - Customers'!$K:$K,"&lt;=0",'Raw - Customers'!$E:$E,"&lt;="&amp;'Assumptions'!$C$9,'Raw - Customers'!$F:$F,"")+COUNTIFS('Raw - Customers'!$C:$C,"Medical office",'Raw - Customers'!$K:$K,"&lt;=0",'Raw - Customers'!$E:$E,"&lt;="&amp;'Assumptions'!$C$9,'Raw - Customers'!$F:$F,"&gt;"&amp;'Assumptions'!$C$9)</f>
        <v>5</v>
      </c>
      <c r="D12" s="115">
        <f>IFERROR(C12/C$30,"n.a.")</f>
        <v>0.08928571428571429</v>
      </c>
      <c r="E12" s="53">
        <f>$C$29*SUMIFS('Raw - Customers'!$I:$I,'Raw - Customers'!$C:$C,"Medical office")+$D$29*SUMIFS('Raw - Customers'!$J:$J,'Raw - Customers'!$C:$C,"Medical office")+$E$29*SUMIFS('Raw - Customers'!$K:$K,'Raw - Customers'!$C:$C,"Medical office")</f>
        <v>62647</v>
      </c>
      <c r="F12" s="115">
        <f>IFERROR(E12/E$17,"n.a.")</f>
        <v>0.02060214417258616</v>
      </c>
      <c r="G12" s="52">
        <f>IFERROR(E12/C12,"n.a.")</f>
        <v>12529.4</v>
      </c>
    </row>
    <row r="13" spans="2:7" x14ac:dyDescent="0.25">
      <c r="B13" s="52" t="s">
        <v>559</v>
      </c>
      <c r="C13" s="53">
        <f>COUNTIFS('Raw - Customers'!$C:$C,"Church or nonprofit",'Raw - Customers'!$K:$K,"&gt;0")+COUNTIFS('Raw - Customers'!$C:$C,"Church or nonprofit",'Raw - Customers'!$K:$K,"&lt;=0",'Raw - Customers'!$E:$E,"&lt;="&amp;'Assumptions'!$C$9,'Raw - Customers'!$F:$F,"")+COUNTIFS('Raw - Customers'!$C:$C,"Church or nonprofit",'Raw - Customers'!$K:$K,"&lt;=0",'Raw - Customers'!$E:$E,"&lt;="&amp;'Assumptions'!$C$9,'Raw - Customers'!$F:$F,"&gt;"&amp;'Assumptions'!$C$9)</f>
        <v>4</v>
      </c>
      <c r="D13" s="115">
        <f>IFERROR(C13/C$30,"n.a.")</f>
        <v>0.07142857142857142</v>
      </c>
      <c r="E13" s="53">
        <f>$C$29*SUMIFS('Raw - Customers'!$I:$I,'Raw - Customers'!$C:$C,"Church or nonprofit")+$D$29*SUMIFS('Raw - Customers'!$J:$J,'Raw - Customers'!$C:$C,"Church or nonprofit")+$E$29*SUMIFS('Raw - Customers'!$K:$K,'Raw - Customers'!$C:$C,"Church or nonprofit")</f>
        <v>24032</v>
      </c>
      <c r="F13" s="115">
        <f>IFERROR(E13/E$17,"n.a.")</f>
        <v>0.007903183372796633</v>
      </c>
      <c r="G13" s="52">
        <f>IFERROR(E13/C13,"n.a.")</f>
        <v>6008</v>
      </c>
    </row>
    <row r="14" spans="2:7" x14ac:dyDescent="0.25">
      <c r="B14" s="52" t="s">
        <v>560</v>
      </c>
      <c r="C14" s="53">
        <f>COUNTIFS('Raw - Customers'!$C:$C,"School or daycare",'Raw - Customers'!$K:$K,"&gt;0")+COUNTIFS('Raw - Customers'!$C:$C,"School or daycare",'Raw - Customers'!$K:$K,"&lt;=0",'Raw - Customers'!$E:$E,"&lt;="&amp;'Assumptions'!$C$9,'Raw - Customers'!$F:$F,"")+COUNTIFS('Raw - Customers'!$C:$C,"School or daycare",'Raw - Customers'!$K:$K,"&lt;=0",'Raw - Customers'!$E:$E,"&lt;="&amp;'Assumptions'!$C$9,'Raw - Customers'!$F:$F,"&gt;"&amp;'Assumptions'!$C$9)</f>
        <v>4</v>
      </c>
      <c r="D14" s="115">
        <f>IFERROR(C14/C$30,"n.a.")</f>
        <v>0.07142857142857142</v>
      </c>
      <c r="E14" s="53">
        <f>$C$29*SUMIFS('Raw - Customers'!$I:$I,'Raw - Customers'!$C:$C,"School or daycare")+$D$29*SUMIFS('Raw - Customers'!$J:$J,'Raw - Customers'!$C:$C,"School or daycare")+$E$29*SUMIFS('Raw - Customers'!$K:$K,'Raw - Customers'!$C:$C,"School or daycare")</f>
        <v>23679</v>
      </c>
      <c r="F14" s="115">
        <f>IFERROR(E14/E$17,"n.a.")</f>
        <v>0.007787095501183899</v>
      </c>
      <c r="G14" s="52">
        <f>IFERROR(E14/C14,"n.a.")</f>
        <v>5919.75</v>
      </c>
    </row>
    <row r="15" spans="2:7" x14ac:dyDescent="0.25">
      <c r="B15" s="52" t="s">
        <v>561</v>
      </c>
      <c r="C15" s="53">
        <f>COUNTIFS('Raw - Customers'!$C:$C,"Residential landlord",'Raw - Customers'!$K:$K,"&gt;0")+COUNTIFS('Raw - Customers'!$C:$C,"Residential landlord",'Raw - Customers'!$K:$K,"&lt;=0",'Raw - Customers'!$E:$E,"&lt;="&amp;'Assumptions'!$C$9,'Raw - Customers'!$F:$F,"")+COUNTIFS('Raw - Customers'!$C:$C,"Residential landlord",'Raw - Customers'!$K:$K,"&lt;=0",'Raw - Customers'!$E:$E,"&lt;="&amp;'Assumptions'!$C$9,'Raw - Customers'!$F:$F,"&gt;"&amp;'Assumptions'!$C$9)</f>
        <v>2</v>
      </c>
      <c r="D15" s="115">
        <f>IFERROR(C15/C$30,"n.a.")</f>
        <v>0.03571428571428571</v>
      </c>
      <c r="E15" s="53">
        <f>$C$29*SUMIFS('Raw - Customers'!$I:$I,'Raw - Customers'!$C:$C,"Residential landlord")+$D$29*SUMIFS('Raw - Customers'!$J:$J,'Raw - Customers'!$C:$C,"Residential landlord")+$E$29*SUMIFS('Raw - Customers'!$K:$K,'Raw - Customers'!$C:$C,"Residential landlord")</f>
        <v>10277</v>
      </c>
      <c r="F15" s="115">
        <f>IFERROR(E15/E$17,"n.a.")</f>
        <v>0.003379702709813207</v>
      </c>
      <c r="G15" s="52">
        <f>IFERROR(E15/C15,"n.a.")</f>
        <v>5138.5</v>
      </c>
    </row>
    <row r="16" spans="2:7" x14ac:dyDescent="0.25">
      <c r="B16" s="193" t="s">
        <v>562</v>
      </c>
      <c r="C16" s="72" t="s">
        <v>136</v>
      </c>
      <c r="D16" s="194" t="s">
        <v>136</v>
      </c>
      <c r="E16" s="195">
        <f>$C$29*SUMIFS('Raw - Customers'!$I:$I,'Raw - Customers'!$A:$A,"Residual")+$D$29*SUMIFS('Raw - Customers'!$J:$J,'Raw - Customers'!$A:$A,"Residual")+$E$29*SUMIFS('Raw - Customers'!$K:$K,'Raw - Customers'!$A:$A,"Residual")</f>
        <v>2229100</v>
      </c>
      <c r="F16" s="196">
        <f>IFERROR(E16/E$17,"n.a.")</f>
        <v>0.7330636674559327</v>
      </c>
      <c r="G16" s="72" t="s">
        <v>136</v>
      </c>
    </row>
    <row r="17" spans="2:7" x14ac:dyDescent="0.25">
      <c r="B17" s="197" t="s">
        <v>563</v>
      </c>
      <c r="C17" s="198">
        <f>SUM(C8:C16)</f>
        <v>56</v>
      </c>
      <c r="D17" s="199"/>
      <c r="E17" s="200">
        <f>SUM(E8:E16)</f>
        <v>3040800</v>
      </c>
      <c r="F17" s="201">
        <f>IFERROR(E17/E17,"n.a.")</f>
        <v>1</v>
      </c>
      <c r="G17" s="185"/>
    </row>
    <row r="19" spans="2:7" x14ac:dyDescent="0.25">
      <c r="B19" s="37" t="s">
        <v>564</v>
      </c>
      <c r="C19" s="37"/>
      <c r="D19" s="37"/>
      <c r="E19" s="37"/>
      <c r="F19" s="37"/>
      <c r="G19" s="37"/>
    </row>
    <row r="20" spans="2:3" x14ac:dyDescent="0.25">
      <c r="B20" s="52" t="s">
        <v>565</v>
      </c>
      <c r="C20" s="53">
        <f>COUNTIFS('Raw - Customers'!$E:$E,"&lt;="&amp;'Assumptions'!$C$9,'Raw - Customers'!$F:$F,"")+COUNTIFS('Raw - Customers'!$E:$E,"&lt;="&amp;'Assumptions'!$C$9,'Raw - Customers'!$F:$F,"&gt;"&amp;'Assumptions'!$C$9)+COUNTIFS('Raw - Customers'!$E:$E,"",'Raw - Customers'!$K:$K,"&gt;0",'Raw - Customers'!$A:$A,"&lt;&gt;Residual")</f>
        <v>52</v>
      </c>
    </row>
    <row r="21" spans="2:3" x14ac:dyDescent="0.25">
      <c r="B21" s="193" t="s">
        <v>566</v>
      </c>
      <c r="C21" s="202">
        <f>SUM('Raw - Customers'!$K:$K)</f>
        <v>3040800</v>
      </c>
    </row>
    <row r="22" spans="2:3" x14ac:dyDescent="0.25">
      <c r="B22" s="52" t="s">
        <v>567</v>
      </c>
      <c r="C22" s="39">
        <f>'P&amp;L Summary'!E14*1000</f>
        <v>3040800</v>
      </c>
    </row>
    <row r="23" spans="2:3" x14ac:dyDescent="0.25">
      <c r="B23" s="130" t="s">
        <v>568</v>
      </c>
      <c r="C23" s="203">
        <f>ROUND(IFERROR((C21-C22)/C22,0),6)</f>
        <v>0</v>
      </c>
    </row>
    <row r="25" ht="36.5" customHeight="1" spans="2:7" x14ac:dyDescent="0.25">
      <c r="B25" s="60" t="s">
        <v>569</v>
      </c>
      <c r="C25" s="60"/>
      <c r="D25" s="60"/>
      <c r="E25" s="60"/>
      <c r="F25" s="60"/>
      <c r="G25" s="60"/>
    </row>
    <row r="28" spans="2:5" x14ac:dyDescent="0.25">
      <c r="B28" s="131" t="s">
        <v>570</v>
      </c>
      <c r="C28" s="131" t="s">
        <v>571</v>
      </c>
      <c r="D28" s="131" t="s">
        <v>572</v>
      </c>
      <c r="E28" s="131" t="s">
        <v>573</v>
      </c>
    </row>
    <row r="29" spans="3:5" x14ac:dyDescent="0.25">
      <c r="C29" s="133">
        <f>MAX(0,(YEAR(MIN(EOMONTH(DATE('Assumptions'!$C$15-0,'Assumptions'!$C$14,1),0),EOMONTH(DATE('Assumptions'!$C$15-2,'Assumptions'!$C$14,1),0)))-YEAR(MAX(EOMONTH(EOMONTH(DATE('Assumptions'!$C$15-0,'Assumptions'!$C$14,1),0),-12)+1,EOMONTH(EOMONTH(DATE('Assumptions'!$C$15-2,'Assumptions'!$C$14,1),0),-12)+1)))*12+MONTH(MIN(EOMONTH(DATE('Assumptions'!$C$15-0,'Assumptions'!$C$14,1),0),EOMONTH(DATE('Assumptions'!$C$15-2,'Assumptions'!$C$14,1),0)))-MONTH(MAX(EOMONTH(EOMONTH(DATE('Assumptions'!$C$15-0,'Assumptions'!$C$14,1),0),-12)+1,EOMONTH(EOMONTH(DATE('Assumptions'!$C$15-2,'Assumptions'!$C$14,1),0),-12)+1))+1)/12</f>
        <v>0</v>
      </c>
      <c r="D29" s="133">
        <f>MAX(0,(YEAR(MIN(EOMONTH(DATE('Assumptions'!$C$15-0,'Assumptions'!$C$14,1),0),EOMONTH(DATE('Assumptions'!$C$15-1,'Assumptions'!$C$14,1),0)))-YEAR(MAX(EOMONTH(EOMONTH(DATE('Assumptions'!$C$15-0,'Assumptions'!$C$14,1),0),-12)+1,EOMONTH(EOMONTH(DATE('Assumptions'!$C$15-1,'Assumptions'!$C$14,1),0),-12)+1)))*12+MONTH(MIN(EOMONTH(DATE('Assumptions'!$C$15-0,'Assumptions'!$C$14,1),0),EOMONTH(DATE('Assumptions'!$C$15-1,'Assumptions'!$C$14,1),0)))-MONTH(MAX(EOMONTH(EOMONTH(DATE('Assumptions'!$C$15-0,'Assumptions'!$C$14,1),0),-12)+1,EOMONTH(EOMONTH(DATE('Assumptions'!$C$15-1,'Assumptions'!$C$14,1),0),-12)+1))+1)/12</f>
        <v>0</v>
      </c>
      <c r="E29" s="133">
        <f>MAX(0,(YEAR(MIN(EOMONTH(DATE('Assumptions'!$C$15-0,'Assumptions'!$C$14,1),0),EOMONTH(DATE('Assumptions'!$C$15-0,'Assumptions'!$C$14,1),0)))-YEAR(MAX(EOMONTH(EOMONTH(DATE('Assumptions'!$C$15-0,'Assumptions'!$C$14,1),0),-12)+1,EOMONTH(EOMONTH(DATE('Assumptions'!$C$15-0,'Assumptions'!$C$14,1),0),-12)+1)))*12+MONTH(MIN(EOMONTH(DATE('Assumptions'!$C$15-0,'Assumptions'!$C$14,1),0),EOMONTH(DATE('Assumptions'!$C$15-0,'Assumptions'!$C$14,1),0)))-MONTH(MAX(EOMONTH(EOMONTH(DATE('Assumptions'!$C$15-0,'Assumptions'!$C$14,1),0),-12)+1,EOMONTH(EOMONTH(DATE('Assumptions'!$C$15-0,'Assumptions'!$C$14,1),0),-12)+1))+1)/12</f>
        <v>1</v>
      </c>
    </row>
    <row r="30" spans="2:3" x14ac:dyDescent="0.25">
      <c r="B30" s="131" t="s">
        <v>574</v>
      </c>
      <c r="C30" s="204">
        <f>SUM(C8:C16)</f>
        <v>56</v>
      </c>
    </row>
  </sheetData>
  <mergeCells count="1">
    <mergeCell ref="B25:G25"/>
  </mergeCells>
  <conditionalFormatting sqref="C23">
    <cfRule type="expression" dxfId="19" priority="1">
      <formula>ABS(C23)&gt;0.02</formula>
    </cfRule>
  </conditionalFormatting>
  <conditionalFormatting sqref="B2 G3 C8:C15 E8:E16 C20:C22 B23:C23">
    <cfRule type="expression" dxfId="20" priority="2">
      <formula>$G$3=1</formula>
    </cfRule>
  </conditionalFormatting>
  <printOptions horizontalCentered="1"/>
  <pageMargins left="0.5" right="0.5" top="0.6" bottom="0.7" header="0.3" footer="0.3"/>
  <pageSetup paperSize="1" orientation="portrait" fitToWidth="1" fitToHeight="0"/>
  <headerFooter>
    <oddHeader>&amp;RProject Ridgeline | As of 12/31/25</oddHeader>
    <oddFooter>&amp;LAMB Advisory Services | Strictly confidential&amp;C&amp;A&amp;RPage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AF103"/>
  <sheetViews>
    <sheetView workbookViewId="0" showGridLines="0" zoomScale="100">
      <pane xSplit="2" ySplit="6" topLeftCell="C7" activePane="bottomRight" state="frozen"/>
      <selection pane="bottomRight"/>
    </sheetView>
  </sheetViews>
  <sheetFormatPr defaultRowHeight="12.75" outlineLevelRow="0" outlineLevelCol="0" x14ac:dyDescent="55" customHeight="1"/>
  <cols>
    <col min="1" max="1" width="1.7" customWidth="1"/>
    <col min="2" max="2" width="45" customWidth="1"/>
    <col min="3" max="5" width="9.1" customWidth="1"/>
    <col min="6" max="6" width="0.9" customWidth="1"/>
    <col min="7" max="8" width="9.1" customWidth="1"/>
    <col min="9" max="9" width="0.9" customWidth="1"/>
    <col min="10" max="11" width="9.1" customWidth="1"/>
    <col min="12" max="12" width="0.9" customWidth="1"/>
    <col min="13" max="13" width="9" hidden="1" outlineLevel="1" collapsed="1" customWidth="1"/>
    <col min="14" max="25" width="9.1" customWidth="1"/>
  </cols>
  <sheetData>
    <row r="2" ht="16.5" customHeight="1" spans="2:2" x14ac:dyDescent="0.25">
      <c r="B2" s="9">
        <f>Cover!B24</f>
      </c>
    </row>
    <row r="3" spans="2:25" x14ac:dyDescent="0.25">
      <c r="B3" s="10" t="s">
        <v>575</v>
      </c>
      <c r="C3" s="11"/>
      <c r="D3" s="11"/>
      <c r="E3" s="11"/>
      <c r="F3" s="11"/>
      <c r="G3" s="11"/>
      <c r="H3" s="11"/>
      <c r="I3" s="11"/>
      <c r="J3" s="34" t="s">
        <v>80</v>
      </c>
      <c r="K3" s="35">
        <f>'Contents'!$I$18</f>
      </c>
      <c r="L3" s="11"/>
      <c r="M3" s="11"/>
      <c r="N3" s="11"/>
      <c r="O3" s="11"/>
      <c r="P3" s="11"/>
      <c r="Q3" s="11"/>
      <c r="R3" s="11"/>
      <c r="S3" s="11"/>
      <c r="T3" s="11"/>
      <c r="U3" s="11"/>
      <c r="V3" s="11"/>
      <c r="W3" s="11"/>
      <c r="X3" s="11"/>
      <c r="Y3" s="11"/>
    </row>
    <row r="5" spans="2:25" x14ac:dyDescent="0.25">
      <c r="B5" s="36"/>
      <c r="C5" s="36" t="s">
        <v>81</v>
      </c>
      <c r="D5" s="36"/>
      <c r="E5" s="36"/>
      <c r="G5" s="36" t="s">
        <v>327</v>
      </c>
      <c r="H5" s="36"/>
      <c r="J5" s="36" t="s">
        <v>82</v>
      </c>
      <c r="K5" s="36"/>
      <c r="N5" s="36" t="s">
        <v>576</v>
      </c>
      <c r="O5" s="36"/>
      <c r="P5" s="36"/>
      <c r="Q5" s="36"/>
      <c r="R5" s="36"/>
      <c r="S5" s="36"/>
      <c r="T5" s="36"/>
      <c r="U5" s="36"/>
      <c r="V5" s="36"/>
      <c r="W5" s="36"/>
      <c r="X5" s="36"/>
      <c r="Y5" s="36"/>
    </row>
    <row r="6" spans="2:25" x14ac:dyDescent="0.25">
      <c r="B6" s="13" t="s">
        <v>577</v>
      </c>
      <c r="C6" s="12" t="str">
        <f>"FY"&amp;YEAR(C$38)</f>
        <v>FY2023</v>
      </c>
      <c r="D6" s="12" t="str">
        <f>"FY"&amp;YEAR(D$38)</f>
        <v>FY2024</v>
      </c>
      <c r="E6" s="12" t="str">
        <f>"FY"&amp;YEAR(E$38)</f>
        <v>FY2025</v>
      </c>
      <c r="G6" s="12" t="str">
        <f>TEXT(G$38,"mmm-yy")</f>
        <v>Dec-24</v>
      </c>
      <c r="H6" s="12" t="str">
        <f>TEXT(H$38,"mmm-yy")</f>
        <v>Dec-25</v>
      </c>
      <c r="J6" s="12" t="str">
        <f>TEXT(J$38,"mmm-yy")</f>
        <v>Dec-24</v>
      </c>
      <c r="K6" s="12" t="str">
        <f>TEXT(K$38,"mmm-yy")</f>
        <v>Dec-25</v>
      </c>
      <c r="M6" s="138">
        <f>EOMONTH('Assumptions'!$C$9,-13)+1</f>
        <v>45627</v>
      </c>
      <c r="N6" s="138">
        <f>EOMONTH(M6,0)+1</f>
        <v>45658</v>
      </c>
      <c r="O6" s="138">
        <f>EOMONTH(N6,0)+1</f>
        <v>45689</v>
      </c>
      <c r="P6" s="138">
        <f>EOMONTH(O6,0)+1</f>
        <v>45717</v>
      </c>
      <c r="Q6" s="138">
        <f>EOMONTH(P6,0)+1</f>
        <v>45748</v>
      </c>
      <c r="R6" s="138">
        <f>EOMONTH(Q6,0)+1</f>
        <v>45778</v>
      </c>
      <c r="S6" s="138">
        <f>EOMONTH(R6,0)+1</f>
        <v>45809</v>
      </c>
      <c r="T6" s="138">
        <f>EOMONTH(S6,0)+1</f>
        <v>45839</v>
      </c>
      <c r="U6" s="138">
        <f>EOMONTH(T6,0)+1</f>
        <v>45870</v>
      </c>
      <c r="V6" s="138">
        <f>EOMONTH(U6,0)+1</f>
        <v>45901</v>
      </c>
      <c r="W6" s="138">
        <f>EOMONTH(V6,0)+1</f>
        <v>45931</v>
      </c>
      <c r="X6" s="138">
        <f>EOMONTH(W6,0)+1</f>
        <v>45962</v>
      </c>
      <c r="Y6" s="138">
        <f>EOMONTH(X6,0)+1</f>
        <v>45992</v>
      </c>
    </row>
    <row r="8" spans="2:25" x14ac:dyDescent="0.25">
      <c r="B8" s="37" t="s">
        <v>578</v>
      </c>
      <c r="C8" s="37"/>
      <c r="D8" s="37"/>
      <c r="E8" s="37"/>
      <c r="G8" s="37"/>
      <c r="H8" s="37"/>
      <c r="J8" s="37"/>
      <c r="K8" s="37"/>
      <c r="N8" s="37"/>
      <c r="O8" s="37"/>
      <c r="P8" s="37"/>
      <c r="Q8" s="37"/>
      <c r="R8" s="37"/>
      <c r="S8" s="37"/>
      <c r="T8" s="37"/>
      <c r="U8" s="37"/>
      <c r="V8" s="37"/>
      <c r="W8" s="37"/>
      <c r="X8" s="37"/>
      <c r="Y8" s="37"/>
    </row>
    <row r="9" spans="2:25" x14ac:dyDescent="0.25">
      <c r="B9" s="38" t="s">
        <v>579</v>
      </c>
      <c r="C9" s="53">
        <f>COUNTIFS('Raw - Customers'!$E:$E,"&lt;"&amp;C$37,'Raw - Customers'!$F:$F,"")+COUNTIFS('Raw - Customers'!$E:$E,"&lt;"&amp;C$37,'Raw - Customers'!$F:$F,"&gt;="&amp;C$37)</f>
        <v>40</v>
      </c>
      <c r="D9" s="53">
        <f>COUNTIFS('Raw - Customers'!$E:$E,"&lt;"&amp;D$37,'Raw - Customers'!$F:$F,"")+COUNTIFS('Raw - Customers'!$E:$E,"&lt;"&amp;D$37,'Raw - Customers'!$F:$F,"&gt;="&amp;D$37)</f>
        <v>44</v>
      </c>
      <c r="E9" s="53">
        <f>COUNTIFS('Raw - Customers'!$E:$E,"&lt;"&amp;E$37,'Raw - Customers'!$F:$F,"")+COUNTIFS('Raw - Customers'!$E:$E,"&lt;"&amp;E$37,'Raw - Customers'!$F:$F,"&gt;="&amp;E$37)</f>
        <v>49</v>
      </c>
      <c r="G9" s="53">
        <f>COUNTIFS('Raw - Customers'!$E:$E,"&lt;"&amp;G$37,'Raw - Customers'!$F:$F,"")+COUNTIFS('Raw - Customers'!$E:$E,"&lt;"&amp;G$37,'Raw - Customers'!$F:$F,"&gt;="&amp;G$37)</f>
        <v>44</v>
      </c>
      <c r="H9" s="53">
        <f>COUNTIFS('Raw - Customers'!$E:$E,"&lt;"&amp;H$37,'Raw - Customers'!$F:$F,"")+COUNTIFS('Raw - Customers'!$E:$E,"&lt;"&amp;H$37,'Raw - Customers'!$F:$F,"&gt;="&amp;H$37)</f>
        <v>49</v>
      </c>
      <c r="J9" s="53">
        <f>COUNTIFS('Raw - Customers'!$E:$E,"&lt;"&amp;J$37,'Raw - Customers'!$F:$F,"")+COUNTIFS('Raw - Customers'!$E:$E,"&lt;"&amp;J$37,'Raw - Customers'!$F:$F,"&gt;="&amp;J$37)</f>
        <v>44</v>
      </c>
      <c r="K9" s="53">
        <f>COUNTIFS('Raw - Customers'!$E:$E,"&lt;"&amp;K$37,'Raw - Customers'!$F:$F,"")+COUNTIFS('Raw - Customers'!$E:$E,"&lt;"&amp;K$37,'Raw - Customers'!$F:$F,"&gt;="&amp;K$37)</f>
        <v>49</v>
      </c>
      <c r="M9" s="53">
        <f>COUNTIFS('Raw - Customers'!$E:$E,"&lt;"&amp;M$6,'Raw - Customers'!$F:$F,"")+COUNTIFS('Raw - Customers'!$E:$E,"&lt;"&amp;M$6,'Raw - Customers'!$F:$F,"&gt;="&amp;M$6)</f>
        <v>48</v>
      </c>
      <c r="N9" s="205">
        <f>M15</f>
        <v>49</v>
      </c>
      <c r="O9" s="205">
        <f>N15</f>
        <v>48</v>
      </c>
      <c r="P9" s="205">
        <f>O15</f>
        <v>49</v>
      </c>
      <c r="Q9" s="205">
        <f>P15</f>
        <v>50</v>
      </c>
      <c r="R9" s="205">
        <f>Q15</f>
        <v>50</v>
      </c>
      <c r="S9" s="205">
        <f>R15</f>
        <v>50</v>
      </c>
      <c r="T9" s="205">
        <f>S15</f>
        <v>51</v>
      </c>
      <c r="U9" s="205">
        <f>T15</f>
        <v>51</v>
      </c>
      <c r="V9" s="205">
        <f>U15</f>
        <v>51</v>
      </c>
      <c r="W9" s="205">
        <f>V15</f>
        <v>51</v>
      </c>
      <c r="X9" s="205">
        <f>W15</f>
        <v>52</v>
      </c>
      <c r="Y9" s="205">
        <f>X15</f>
        <v>52</v>
      </c>
    </row>
    <row r="10" spans="2:25" x14ac:dyDescent="0.25">
      <c r="B10" s="52" t="s">
        <v>580</v>
      </c>
      <c r="C10" s="53">
        <f>COUNTIFS('Raw - Customers'!$E:$E,"&gt;="&amp;C$37,'Raw - Customers'!$E:$E,"&lt;="&amp;C$38)</f>
        <v>7</v>
      </c>
      <c r="D10" s="53">
        <f>COUNTIFS('Raw - Customers'!$E:$E,"&gt;="&amp;D$37,'Raw - Customers'!$E:$E,"&lt;="&amp;D$38)</f>
        <v>8</v>
      </c>
      <c r="E10" s="53">
        <f>COUNTIFS('Raw - Customers'!$E:$E,"&gt;="&amp;E$37,'Raw - Customers'!$E:$E,"&lt;="&amp;E$38)</f>
        <v>7</v>
      </c>
      <c r="G10" s="53">
        <f>COUNTIFS('Raw - Customers'!$E:$E,"&gt;="&amp;G$37,'Raw - Customers'!$E:$E,"&lt;="&amp;G$38)</f>
        <v>8</v>
      </c>
      <c r="H10" s="53">
        <f>COUNTIFS('Raw - Customers'!$E:$E,"&gt;="&amp;H$37,'Raw - Customers'!$E:$E,"&lt;="&amp;H$38)</f>
        <v>7</v>
      </c>
      <c r="J10" s="53">
        <f>COUNTIFS('Raw - Customers'!$E:$E,"&gt;="&amp;J$37,'Raw - Customers'!$E:$E,"&lt;="&amp;J$38)</f>
        <v>8</v>
      </c>
      <c r="K10" s="53">
        <f>COUNTIFS('Raw - Customers'!$E:$E,"&gt;="&amp;K$37,'Raw - Customers'!$E:$E,"&lt;="&amp;K$38)</f>
        <v>7</v>
      </c>
      <c r="M10" s="53">
        <f>COUNTIFS('Raw - Customers'!$E:$E,"&gt;="&amp;M$6,'Raw - Customers'!$E:$E,"&lt;="&amp;EOMONTH(M$6,0))</f>
        <v>1</v>
      </c>
      <c r="N10" s="53">
        <f>COUNTIFS('Raw - Customers'!$E:$E,"&gt;="&amp;N$6,'Raw - Customers'!$E:$E,"&lt;="&amp;EOMONTH(N$6,0))</f>
        <v>0</v>
      </c>
      <c r="O10" s="53">
        <f>COUNTIFS('Raw - Customers'!$E:$E,"&gt;="&amp;O$6,'Raw - Customers'!$E:$E,"&lt;="&amp;EOMONTH(O$6,0))</f>
        <v>1</v>
      </c>
      <c r="P10" s="53">
        <f>COUNTIFS('Raw - Customers'!$E:$E,"&gt;="&amp;P$6,'Raw - Customers'!$E:$E,"&lt;="&amp;EOMONTH(P$6,0))</f>
        <v>1</v>
      </c>
      <c r="Q10" s="53">
        <f>COUNTIFS('Raw - Customers'!$E:$E,"&gt;="&amp;Q$6,'Raw - Customers'!$E:$E,"&lt;="&amp;EOMONTH(Q$6,0))</f>
        <v>0</v>
      </c>
      <c r="R10" s="53">
        <f>COUNTIFS('Raw - Customers'!$E:$E,"&gt;="&amp;R$6,'Raw - Customers'!$E:$E,"&lt;="&amp;EOMONTH(R$6,0))</f>
        <v>1</v>
      </c>
      <c r="S10" s="53">
        <f>COUNTIFS('Raw - Customers'!$E:$E,"&gt;="&amp;S$6,'Raw - Customers'!$E:$E,"&lt;="&amp;EOMONTH(S$6,0))</f>
        <v>1</v>
      </c>
      <c r="T10" s="53">
        <f>COUNTIFS('Raw - Customers'!$E:$E,"&gt;="&amp;T$6,'Raw - Customers'!$E:$E,"&lt;="&amp;EOMONTH(T$6,0))</f>
        <v>0</v>
      </c>
      <c r="U10" s="53">
        <f>COUNTIFS('Raw - Customers'!$E:$E,"&gt;="&amp;U$6,'Raw - Customers'!$E:$E,"&lt;="&amp;EOMONTH(U$6,0))</f>
        <v>1</v>
      </c>
      <c r="V10" s="53">
        <f>COUNTIFS('Raw - Customers'!$E:$E,"&gt;="&amp;V$6,'Raw - Customers'!$E:$E,"&lt;="&amp;EOMONTH(V$6,0))</f>
        <v>0</v>
      </c>
      <c r="W10" s="53">
        <f>COUNTIFS('Raw - Customers'!$E:$E,"&gt;="&amp;W$6,'Raw - Customers'!$E:$E,"&lt;="&amp;EOMONTH(W$6,0))</f>
        <v>1</v>
      </c>
      <c r="X10" s="53">
        <f>COUNTIFS('Raw - Customers'!$E:$E,"&gt;="&amp;X$6,'Raw - Customers'!$E:$E,"&lt;="&amp;EOMONTH(X$6,0))</f>
        <v>1</v>
      </c>
      <c r="Y10" s="53">
        <f>COUNTIFS('Raw - Customers'!$E:$E,"&gt;="&amp;Y$6,'Raw - Customers'!$E:$E,"&lt;="&amp;EOMONTH(Y$6,0))</f>
        <v>0</v>
      </c>
    </row>
    <row r="11" spans="2:25" x14ac:dyDescent="0.25">
      <c r="B11" s="52" t="s">
        <v>581</v>
      </c>
      <c r="C11" s="53">
        <f>-COUNTIFS('Raw - Customers'!$F:$F,"&gt;="&amp;C$37,'Raw - Customers'!$F:$F,"&lt;="&amp;C$38,'Raw - Customers'!$G:$G,"regrettable")</f>
        <v>-2</v>
      </c>
      <c r="D11" s="53">
        <f>-COUNTIFS('Raw - Customers'!$F:$F,"&gt;="&amp;D$37,'Raw - Customers'!$F:$F,"&lt;="&amp;D$38,'Raw - Customers'!$G:$G,"regrettable")</f>
        <v>0</v>
      </c>
      <c r="E11" s="53">
        <f>-COUNTIFS('Raw - Customers'!$F:$F,"&gt;="&amp;E$37,'Raw - Customers'!$F:$F,"&lt;="&amp;E$38,'Raw - Customers'!$G:$G,"regrettable")</f>
        <v>-2</v>
      </c>
      <c r="G11" s="53">
        <f>-COUNTIFS('Raw - Customers'!$F:$F,"&gt;="&amp;G$37,'Raw - Customers'!$F:$F,"&lt;="&amp;G$38,'Raw - Customers'!$G:$G,"regrettable")</f>
        <v>0</v>
      </c>
      <c r="H11" s="53">
        <f>-COUNTIFS('Raw - Customers'!$F:$F,"&gt;="&amp;H$37,'Raw - Customers'!$F:$F,"&lt;="&amp;H$38,'Raw - Customers'!$G:$G,"regrettable")</f>
        <v>-2</v>
      </c>
      <c r="J11" s="53">
        <f>-COUNTIFS('Raw - Customers'!$F:$F,"&gt;="&amp;J$37,'Raw - Customers'!$F:$F,"&lt;="&amp;J$38,'Raw - Customers'!$G:$G,"regrettable")</f>
        <v>0</v>
      </c>
      <c r="K11" s="53">
        <f>-COUNTIFS('Raw - Customers'!$F:$F,"&gt;="&amp;K$37,'Raw - Customers'!$F:$F,"&lt;="&amp;K$38,'Raw - Customers'!$G:$G,"regrettable")</f>
        <v>-2</v>
      </c>
      <c r="M11" s="53">
        <f>-COUNTIFS('Raw - Customers'!$F:$F,"&gt;="&amp;M$6,'Raw - Customers'!$F:$F,"&lt;="&amp;EOMONTH(M$6,0),'Raw - Customers'!$G:$G,"regrettable")</f>
        <v>0</v>
      </c>
      <c r="N11" s="53">
        <f>-COUNTIFS('Raw - Customers'!$F:$F,"&gt;="&amp;N$6,'Raw - Customers'!$F:$F,"&lt;="&amp;EOMONTH(N$6,0),'Raw - Customers'!$G:$G,"regrettable")</f>
        <v>-1</v>
      </c>
      <c r="O11" s="53">
        <f>-COUNTIFS('Raw - Customers'!$F:$F,"&gt;="&amp;O$6,'Raw - Customers'!$F:$F,"&lt;="&amp;EOMONTH(O$6,0),'Raw - Customers'!$G:$G,"regrettable")</f>
        <v>0</v>
      </c>
      <c r="P11" s="53">
        <f>-COUNTIFS('Raw - Customers'!$F:$F,"&gt;="&amp;P$6,'Raw - Customers'!$F:$F,"&lt;="&amp;EOMONTH(P$6,0),'Raw - Customers'!$G:$G,"regrettable")</f>
        <v>0</v>
      </c>
      <c r="Q11" s="53">
        <f>-COUNTIFS('Raw - Customers'!$F:$F,"&gt;="&amp;Q$6,'Raw - Customers'!$F:$F,"&lt;="&amp;EOMONTH(Q$6,0),'Raw - Customers'!$G:$G,"regrettable")</f>
        <v>0</v>
      </c>
      <c r="R11" s="53">
        <f>-COUNTIFS('Raw - Customers'!$F:$F,"&gt;="&amp;R$6,'Raw - Customers'!$F:$F,"&lt;="&amp;EOMONTH(R$6,0),'Raw - Customers'!$G:$G,"regrettable")</f>
        <v>0</v>
      </c>
      <c r="S11" s="53">
        <f>-COUNTIFS('Raw - Customers'!$F:$F,"&gt;="&amp;S$6,'Raw - Customers'!$F:$F,"&lt;="&amp;EOMONTH(S$6,0),'Raw - Customers'!$G:$G,"regrettable")</f>
        <v>0</v>
      </c>
      <c r="T11" s="53">
        <f>-COUNTIFS('Raw - Customers'!$F:$F,"&gt;="&amp;T$6,'Raw - Customers'!$F:$F,"&lt;="&amp;EOMONTH(T$6,0),'Raw - Customers'!$G:$G,"regrettable")</f>
        <v>0</v>
      </c>
      <c r="U11" s="53">
        <f>-COUNTIFS('Raw - Customers'!$F:$F,"&gt;="&amp;U$6,'Raw - Customers'!$F:$F,"&lt;="&amp;EOMONTH(U$6,0),'Raw - Customers'!$G:$G,"regrettable")</f>
        <v>0</v>
      </c>
      <c r="V11" s="53">
        <f>-COUNTIFS('Raw - Customers'!$F:$F,"&gt;="&amp;V$6,'Raw - Customers'!$F:$F,"&lt;="&amp;EOMONTH(V$6,0),'Raw - Customers'!$G:$G,"regrettable")</f>
        <v>0</v>
      </c>
      <c r="W11" s="53">
        <f>-COUNTIFS('Raw - Customers'!$F:$F,"&gt;="&amp;W$6,'Raw - Customers'!$F:$F,"&lt;="&amp;EOMONTH(W$6,0),'Raw - Customers'!$G:$G,"regrettable")</f>
        <v>0</v>
      </c>
      <c r="X11" s="53">
        <f>-COUNTIFS('Raw - Customers'!$F:$F,"&gt;="&amp;X$6,'Raw - Customers'!$F:$F,"&lt;="&amp;EOMONTH(X$6,0),'Raw - Customers'!$G:$G,"regrettable")</f>
        <v>-1</v>
      </c>
      <c r="Y11" s="53">
        <f>-COUNTIFS('Raw - Customers'!$F:$F,"&gt;="&amp;Y$6,'Raw - Customers'!$F:$F,"&lt;="&amp;EOMONTH(Y$6,0),'Raw - Customers'!$G:$G,"regrettable")</f>
        <v>0</v>
      </c>
    </row>
    <row r="12" spans="2:25" x14ac:dyDescent="0.25">
      <c r="B12" s="52" t="s">
        <v>582</v>
      </c>
      <c r="C12" s="53">
        <f>-COUNTIFS('Raw - Customers'!$F:$F,"&gt;="&amp;C$37,'Raw - Customers'!$F:$F,"&lt;="&amp;C$38,'Raw - Customers'!$G:$G,"non_regrettable")</f>
        <v>-1</v>
      </c>
      <c r="D12" s="53">
        <f>-COUNTIFS('Raw - Customers'!$F:$F,"&gt;="&amp;D$37,'Raw - Customers'!$F:$F,"&lt;="&amp;D$38,'Raw - Customers'!$G:$G,"non_regrettable")</f>
        <v>0</v>
      </c>
      <c r="E12" s="53">
        <f>-COUNTIFS('Raw - Customers'!$F:$F,"&gt;="&amp;E$37,'Raw - Customers'!$F:$F,"&lt;="&amp;E$38,'Raw - Customers'!$G:$G,"non_regrettable")</f>
        <v>-2</v>
      </c>
      <c r="G12" s="53">
        <f>-COUNTIFS('Raw - Customers'!$F:$F,"&gt;="&amp;G$37,'Raw - Customers'!$F:$F,"&lt;="&amp;G$38,'Raw - Customers'!$G:$G,"non_regrettable")</f>
        <v>0</v>
      </c>
      <c r="H12" s="53">
        <f>-COUNTIFS('Raw - Customers'!$F:$F,"&gt;="&amp;H$37,'Raw - Customers'!$F:$F,"&lt;="&amp;H$38,'Raw - Customers'!$G:$G,"non_regrettable")</f>
        <v>-2</v>
      </c>
      <c r="J12" s="53">
        <f>-COUNTIFS('Raw - Customers'!$F:$F,"&gt;="&amp;J$37,'Raw - Customers'!$F:$F,"&lt;="&amp;J$38,'Raw - Customers'!$G:$G,"non_regrettable")</f>
        <v>0</v>
      </c>
      <c r="K12" s="53">
        <f>-COUNTIFS('Raw - Customers'!$F:$F,"&gt;="&amp;K$37,'Raw - Customers'!$F:$F,"&lt;="&amp;K$38,'Raw - Customers'!$G:$G,"non_regrettable")</f>
        <v>-2</v>
      </c>
      <c r="M12" s="53">
        <f>-COUNTIFS('Raw - Customers'!$F:$F,"&gt;="&amp;M$6,'Raw - Customers'!$F:$F,"&lt;="&amp;EOMONTH(M$6,0),'Raw - Customers'!$G:$G,"non_regrettable")</f>
        <v>0</v>
      </c>
      <c r="N12" s="53">
        <f>-COUNTIFS('Raw - Customers'!$F:$F,"&gt;="&amp;N$6,'Raw - Customers'!$F:$F,"&lt;="&amp;EOMONTH(N$6,0),'Raw - Customers'!$G:$G,"non_regrettable")</f>
        <v>0</v>
      </c>
      <c r="O12" s="53">
        <f>-COUNTIFS('Raw - Customers'!$F:$F,"&gt;="&amp;O$6,'Raw - Customers'!$F:$F,"&lt;="&amp;EOMONTH(O$6,0),'Raw - Customers'!$G:$G,"non_regrettable")</f>
        <v>0</v>
      </c>
      <c r="P12" s="53">
        <f>-COUNTIFS('Raw - Customers'!$F:$F,"&gt;="&amp;P$6,'Raw - Customers'!$F:$F,"&lt;="&amp;EOMONTH(P$6,0),'Raw - Customers'!$G:$G,"non_regrettable")</f>
        <v>0</v>
      </c>
      <c r="Q12" s="53">
        <f>-COUNTIFS('Raw - Customers'!$F:$F,"&gt;="&amp;Q$6,'Raw - Customers'!$F:$F,"&lt;="&amp;EOMONTH(Q$6,0),'Raw - Customers'!$G:$G,"non_regrettable")</f>
        <v>0</v>
      </c>
      <c r="R12" s="53">
        <f>-COUNTIFS('Raw - Customers'!$F:$F,"&gt;="&amp;R$6,'Raw - Customers'!$F:$F,"&lt;="&amp;EOMONTH(R$6,0),'Raw - Customers'!$G:$G,"non_regrettable")</f>
        <v>-1</v>
      </c>
      <c r="S12" s="53">
        <f>-COUNTIFS('Raw - Customers'!$F:$F,"&gt;="&amp;S$6,'Raw - Customers'!$F:$F,"&lt;="&amp;EOMONTH(S$6,0),'Raw - Customers'!$G:$G,"non_regrettable")</f>
        <v>0</v>
      </c>
      <c r="T12" s="53">
        <f>-COUNTIFS('Raw - Customers'!$F:$F,"&gt;="&amp;T$6,'Raw - Customers'!$F:$F,"&lt;="&amp;EOMONTH(T$6,0),'Raw - Customers'!$G:$G,"non_regrettable")</f>
        <v>0</v>
      </c>
      <c r="U12" s="53">
        <f>-COUNTIFS('Raw - Customers'!$F:$F,"&gt;="&amp;U$6,'Raw - Customers'!$F:$F,"&lt;="&amp;EOMONTH(U$6,0),'Raw - Customers'!$G:$G,"non_regrettable")</f>
        <v>-1</v>
      </c>
      <c r="V12" s="53">
        <f>-COUNTIFS('Raw - Customers'!$F:$F,"&gt;="&amp;V$6,'Raw - Customers'!$F:$F,"&lt;="&amp;EOMONTH(V$6,0),'Raw - Customers'!$G:$G,"non_regrettable")</f>
        <v>0</v>
      </c>
      <c r="W12" s="53">
        <f>-COUNTIFS('Raw - Customers'!$F:$F,"&gt;="&amp;W$6,'Raw - Customers'!$F:$F,"&lt;="&amp;EOMONTH(W$6,0),'Raw - Customers'!$G:$G,"non_regrettable")</f>
        <v>0</v>
      </c>
      <c r="X12" s="53">
        <f>-COUNTIFS('Raw - Customers'!$F:$F,"&gt;="&amp;X$6,'Raw - Customers'!$F:$F,"&lt;="&amp;EOMONTH(X$6,0),'Raw - Customers'!$G:$G,"non_regrettable")</f>
        <v>0</v>
      </c>
      <c r="Y12" s="53">
        <f>-COUNTIFS('Raw - Customers'!$F:$F,"&gt;="&amp;Y$6,'Raw - Customers'!$F:$F,"&lt;="&amp;EOMONTH(Y$6,0),'Raw - Customers'!$G:$G,"non_regrettable")</f>
        <v>0</v>
      </c>
    </row>
    <row r="13" spans="2:25" x14ac:dyDescent="0.25">
      <c r="B13" s="52" t="s">
        <v>583</v>
      </c>
      <c r="C13" s="53">
        <f>-COUNTIFS('Raw - Customers'!$F:$F,"&gt;="&amp;C$37,'Raw - Customers'!$F:$F,"&lt;="&amp;C$38)-C11-C12</f>
        <v>0</v>
      </c>
      <c r="D13" s="53">
        <f>-COUNTIFS('Raw - Customers'!$F:$F,"&gt;="&amp;D$37,'Raw - Customers'!$F:$F,"&lt;="&amp;D$38)-D11-D12</f>
        <v>-3</v>
      </c>
      <c r="E13" s="53">
        <f>-COUNTIFS('Raw - Customers'!$F:$F,"&gt;="&amp;E$37,'Raw - Customers'!$F:$F,"&lt;="&amp;E$38)-E11-E12</f>
        <v>0</v>
      </c>
      <c r="G13" s="53">
        <f>-COUNTIFS('Raw - Customers'!$F:$F,"&gt;="&amp;G$37,'Raw - Customers'!$F:$F,"&lt;="&amp;G$38)-G11-G12</f>
        <v>-3</v>
      </c>
      <c r="H13" s="53">
        <f>-COUNTIFS('Raw - Customers'!$F:$F,"&gt;="&amp;H$37,'Raw - Customers'!$F:$F,"&lt;="&amp;H$38)-H11-H12</f>
        <v>0</v>
      </c>
      <c r="J13" s="53">
        <f>-COUNTIFS('Raw - Customers'!$F:$F,"&gt;="&amp;J$37,'Raw - Customers'!$F:$F,"&lt;="&amp;J$38)-J11-J12</f>
        <v>-3</v>
      </c>
      <c r="K13" s="53">
        <f>-COUNTIFS('Raw - Customers'!$F:$F,"&gt;="&amp;K$37,'Raw - Customers'!$F:$F,"&lt;="&amp;K$38)-K11-K12</f>
        <v>0</v>
      </c>
      <c r="M13" s="53">
        <f>-COUNTIFS('Raw - Customers'!$F:$F,"&gt;="&amp;M$6,'Raw - Customers'!$F:$F,"&lt;="&amp;EOMONTH(M$6,0))-M11-M12</f>
        <v>0</v>
      </c>
      <c r="N13" s="53">
        <f>-COUNTIFS('Raw - Customers'!$F:$F,"&gt;="&amp;N$6,'Raw - Customers'!$F:$F,"&lt;="&amp;EOMONTH(N$6,0))-N11-N12</f>
        <v>0</v>
      </c>
      <c r="O13" s="53">
        <f>-COUNTIFS('Raw - Customers'!$F:$F,"&gt;="&amp;O$6,'Raw - Customers'!$F:$F,"&lt;="&amp;EOMONTH(O$6,0))-O11-O12</f>
        <v>0</v>
      </c>
      <c r="P13" s="53">
        <f>-COUNTIFS('Raw - Customers'!$F:$F,"&gt;="&amp;P$6,'Raw - Customers'!$F:$F,"&lt;="&amp;EOMONTH(P$6,0))-P11-P12</f>
        <v>0</v>
      </c>
      <c r="Q13" s="53">
        <f>-COUNTIFS('Raw - Customers'!$F:$F,"&gt;="&amp;Q$6,'Raw - Customers'!$F:$F,"&lt;="&amp;EOMONTH(Q$6,0))-Q11-Q12</f>
        <v>0</v>
      </c>
      <c r="R13" s="53">
        <f>-COUNTIFS('Raw - Customers'!$F:$F,"&gt;="&amp;R$6,'Raw - Customers'!$F:$F,"&lt;="&amp;EOMONTH(R$6,0))-R11-R12</f>
        <v>0</v>
      </c>
      <c r="S13" s="53">
        <f>-COUNTIFS('Raw - Customers'!$F:$F,"&gt;="&amp;S$6,'Raw - Customers'!$F:$F,"&lt;="&amp;EOMONTH(S$6,0))-S11-S12</f>
        <v>0</v>
      </c>
      <c r="T13" s="53">
        <f>-COUNTIFS('Raw - Customers'!$F:$F,"&gt;="&amp;T$6,'Raw - Customers'!$F:$F,"&lt;="&amp;EOMONTH(T$6,0))-T11-T12</f>
        <v>0</v>
      </c>
      <c r="U13" s="53">
        <f>-COUNTIFS('Raw - Customers'!$F:$F,"&gt;="&amp;U$6,'Raw - Customers'!$F:$F,"&lt;="&amp;EOMONTH(U$6,0))-U11-U12</f>
        <v>0</v>
      </c>
      <c r="V13" s="53">
        <f>-COUNTIFS('Raw - Customers'!$F:$F,"&gt;="&amp;V$6,'Raw - Customers'!$F:$F,"&lt;="&amp;EOMONTH(V$6,0))-V11-V12</f>
        <v>0</v>
      </c>
      <c r="W13" s="53">
        <f>-COUNTIFS('Raw - Customers'!$F:$F,"&gt;="&amp;W$6,'Raw - Customers'!$F:$F,"&lt;="&amp;EOMONTH(W$6,0))-W11-W12</f>
        <v>0</v>
      </c>
      <c r="X13" s="53">
        <f>-COUNTIFS('Raw - Customers'!$F:$F,"&gt;="&amp;X$6,'Raw - Customers'!$F:$F,"&lt;="&amp;EOMONTH(X$6,0))-X11-X12</f>
        <v>0</v>
      </c>
      <c r="Y13" s="53">
        <f>-COUNTIFS('Raw - Customers'!$F:$F,"&gt;="&amp;Y$6,'Raw - Customers'!$F:$F,"&lt;="&amp;EOMONTH(Y$6,0))-Y11-Y12</f>
        <v>0</v>
      </c>
    </row>
    <row r="14" spans="2:25" x14ac:dyDescent="0.25">
      <c r="B14" s="52" t="s">
        <v>584</v>
      </c>
      <c r="C14" s="52">
        <f>C11+C12+C13</f>
        <v>-3</v>
      </c>
      <c r="D14" s="52">
        <f>D11+D12+D13</f>
        <v>-3</v>
      </c>
      <c r="E14" s="52">
        <f>E11+E12+E13</f>
        <v>-4</v>
      </c>
      <c r="G14" s="52">
        <f>G11+G12+G13</f>
        <v>-3</v>
      </c>
      <c r="H14" s="52">
        <f>H11+H12+H13</f>
        <v>-4</v>
      </c>
      <c r="J14" s="52">
        <f>J11+J12+J13</f>
        <v>-3</v>
      </c>
      <c r="K14" s="52">
        <f>K11+K12+K13</f>
        <v>-4</v>
      </c>
      <c r="M14" s="52">
        <f>M11+M12+M13</f>
        <v>0</v>
      </c>
      <c r="N14" s="52">
        <f>N11+N12+N13</f>
        <v>-1</v>
      </c>
      <c r="O14" s="52">
        <f>O11+O12+O13</f>
        <v>0</v>
      </c>
      <c r="P14" s="52">
        <f>P11+P12+P13</f>
        <v>0</v>
      </c>
      <c r="Q14" s="52">
        <f>Q11+Q12+Q13</f>
        <v>0</v>
      </c>
      <c r="R14" s="52">
        <f>R11+R12+R13</f>
        <v>-1</v>
      </c>
      <c r="S14" s="52">
        <f>S11+S12+S13</f>
        <v>0</v>
      </c>
      <c r="T14" s="52">
        <f>T11+T12+T13</f>
        <v>0</v>
      </c>
      <c r="U14" s="52">
        <f>U11+U12+U13</f>
        <v>-1</v>
      </c>
      <c r="V14" s="52">
        <f>V11+V12+V13</f>
        <v>0</v>
      </c>
      <c r="W14" s="52">
        <f>W11+W12+W13</f>
        <v>0</v>
      </c>
      <c r="X14" s="52">
        <f>X11+X12+X13</f>
        <v>-1</v>
      </c>
      <c r="Y14" s="52">
        <f>Y11+Y12+Y13</f>
        <v>0</v>
      </c>
    </row>
    <row r="15" spans="2:25" x14ac:dyDescent="0.25">
      <c r="B15" s="197" t="s">
        <v>585</v>
      </c>
      <c r="C15" s="198">
        <f>C9+C10+C14</f>
        <v>44</v>
      </c>
      <c r="D15" s="206">
        <f>D9+D10+D14</f>
        <v>49</v>
      </c>
      <c r="E15" s="207">
        <f>E9+E10+E14</f>
        <v>52</v>
      </c>
      <c r="G15" s="198">
        <f>G9+G10+G14</f>
        <v>49</v>
      </c>
      <c r="H15" s="207">
        <f>H9+H10+H14</f>
        <v>52</v>
      </c>
      <c r="J15" s="198">
        <f>J9+J10+J14</f>
        <v>49</v>
      </c>
      <c r="K15" s="207">
        <f>K9+K10+K14</f>
        <v>52</v>
      </c>
      <c r="M15" s="208">
        <f>M9+M10+M14</f>
        <v>49</v>
      </c>
      <c r="N15" s="198">
        <f>N9+N10+N14</f>
        <v>48</v>
      </c>
      <c r="O15" s="206">
        <f>O9+O10+O14</f>
        <v>49</v>
      </c>
      <c r="P15" s="206">
        <f>P9+P10+P14</f>
        <v>50</v>
      </c>
      <c r="Q15" s="206">
        <f>Q9+Q10+Q14</f>
        <v>50</v>
      </c>
      <c r="R15" s="206">
        <f>R9+R10+R14</f>
        <v>50</v>
      </c>
      <c r="S15" s="206">
        <f>S9+S10+S14</f>
        <v>51</v>
      </c>
      <c r="T15" s="206">
        <f>T9+T10+T14</f>
        <v>51</v>
      </c>
      <c r="U15" s="206">
        <f>U9+U10+U14</f>
        <v>51</v>
      </c>
      <c r="V15" s="206">
        <f>V9+V10+V14</f>
        <v>51</v>
      </c>
      <c r="W15" s="206">
        <f>W9+W10+W14</f>
        <v>52</v>
      </c>
      <c r="X15" s="206">
        <f>X9+X10+X14</f>
        <v>52</v>
      </c>
      <c r="Y15" s="207">
        <f>Y9+Y10+Y14</f>
        <v>52</v>
      </c>
    </row>
    <row r="16" spans="2:25" x14ac:dyDescent="0.25">
      <c r="B16" s="52" t="s">
        <v>586</v>
      </c>
      <c r="C16" s="209">
        <f>(C9+C15)/2</f>
        <v>42</v>
      </c>
      <c r="D16" s="209">
        <f>(D9+D15)/2</f>
        <v>46.5</v>
      </c>
      <c r="E16" s="209">
        <f>(E9+E15)/2</f>
        <v>50.5</v>
      </c>
      <c r="G16" s="209">
        <f>(G9+G15)/2</f>
        <v>46.5</v>
      </c>
      <c r="H16" s="209">
        <f>(H9+H15)/2</f>
        <v>50.5</v>
      </c>
      <c r="J16" s="209">
        <f>(J9+J15)/2</f>
        <v>46.5</v>
      </c>
      <c r="K16" s="209">
        <f>(K9+K15)/2</f>
        <v>50.5</v>
      </c>
      <c r="M16" s="209">
        <f>(M9+M15)/2</f>
        <v>48.5</v>
      </c>
      <c r="N16" s="209">
        <f>(N9+N15)/2</f>
        <v>48.5</v>
      </c>
      <c r="O16" s="209">
        <f>(O9+O15)/2</f>
        <v>48.5</v>
      </c>
      <c r="P16" s="209">
        <f>(P9+P15)/2</f>
        <v>49.5</v>
      </c>
      <c r="Q16" s="209">
        <f>(Q9+Q15)/2</f>
        <v>50</v>
      </c>
      <c r="R16" s="209">
        <f>(R9+R15)/2</f>
        <v>50</v>
      </c>
      <c r="S16" s="209">
        <f>(S9+S15)/2</f>
        <v>50.5</v>
      </c>
      <c r="T16" s="209">
        <f>(T9+T15)/2</f>
        <v>51</v>
      </c>
      <c r="U16" s="209">
        <f>(U9+U15)/2</f>
        <v>51</v>
      </c>
      <c r="V16" s="209">
        <f>(V9+V15)/2</f>
        <v>51</v>
      </c>
      <c r="W16" s="209">
        <f>(W9+W15)/2</f>
        <v>51.5</v>
      </c>
      <c r="X16" s="209">
        <f>(X9+X15)/2</f>
        <v>52</v>
      </c>
      <c r="Y16" s="209">
        <f>(Y9+Y15)/2</f>
        <v>52</v>
      </c>
    </row>
    <row r="17" spans="2:25" x14ac:dyDescent="0.25">
      <c r="B17" s="40" t="s">
        <v>587</v>
      </c>
      <c r="C17" s="129">
        <f>IFERROR(C10/C9,"n.a.")</f>
        <v>0.175</v>
      </c>
      <c r="D17" s="129">
        <f>IFERROR(D10/D9,"n.a.")</f>
        <v>0.18181818181818182</v>
      </c>
      <c r="E17" s="129">
        <f>IFERROR(E10/E9,"n.a.")</f>
        <v>0.14285714285714285</v>
      </c>
      <c r="G17" s="129">
        <f>IFERROR(G10/G9,"n.a.")</f>
        <v>0.18181818181818182</v>
      </c>
      <c r="H17" s="129">
        <f>IFERROR(H10/H9,"n.a.")</f>
        <v>0.14285714285714285</v>
      </c>
      <c r="J17" s="129">
        <f>IFERROR(J10/J9,"n.a.")</f>
        <v>0.18181818181818182</v>
      </c>
      <c r="K17" s="129">
        <f>IFERROR(K10/K9,"n.a.")</f>
        <v>0.14285714285714285</v>
      </c>
      <c r="M17" s="129">
        <f>IFERROR(M10/M9,"n.a.")</f>
        <v>0.020833333333333332</v>
      </c>
      <c r="N17" s="129">
        <f>IFERROR(N10/N9,"n.a.")</f>
        <v>0</v>
      </c>
      <c r="O17" s="129">
        <f>IFERROR(O10/O9,"n.a.")</f>
        <v>0.020833333333333332</v>
      </c>
      <c r="P17" s="129">
        <f>IFERROR(P10/P9,"n.a.")</f>
        <v>0.02040816326530612</v>
      </c>
      <c r="Q17" s="129">
        <f>IFERROR(Q10/Q9,"n.a.")</f>
        <v>0</v>
      </c>
      <c r="R17" s="129">
        <f>IFERROR(R10/R9,"n.a.")</f>
        <v>0.02</v>
      </c>
      <c r="S17" s="129">
        <f>IFERROR(S10/S9,"n.a.")</f>
        <v>0.02</v>
      </c>
      <c r="T17" s="129">
        <f>IFERROR(T10/T9,"n.a.")</f>
        <v>0</v>
      </c>
      <c r="U17" s="129">
        <f>IFERROR(U10/U9,"n.a.")</f>
        <v>0.0196078431372549</v>
      </c>
      <c r="V17" s="129">
        <f>IFERROR(V10/V9,"n.a.")</f>
        <v>0</v>
      </c>
      <c r="W17" s="129">
        <f>IFERROR(W10/W9,"n.a.")</f>
        <v>0.0196078431372549</v>
      </c>
      <c r="X17" s="129">
        <f>IFERROR(X10/X9,"n.a.")</f>
        <v>0.019230769230769232</v>
      </c>
      <c r="Y17" s="129">
        <f>IFERROR(Y10/Y9,"n.a.")</f>
        <v>0</v>
      </c>
    </row>
    <row r="18" spans="2:25" x14ac:dyDescent="0.25">
      <c r="B18" s="40" t="s">
        <v>588</v>
      </c>
      <c r="C18" s="129">
        <f>IFERROR(-C14/C16,"n.a.")</f>
        <v>0.07142857142857142</v>
      </c>
      <c r="D18" s="129">
        <f>IFERROR(-D14/D16,"n.a.")</f>
        <v>0.06451612903225806</v>
      </c>
      <c r="E18" s="129">
        <f>IFERROR(-E14/E16,"n.a.")</f>
        <v>0.07920792079207921</v>
      </c>
      <c r="G18" s="129">
        <f>IFERROR(-G14/G16,"n.a.")</f>
        <v>0.06451612903225806</v>
      </c>
      <c r="H18" s="129">
        <f>IFERROR(-H14/H16,"n.a.")</f>
        <v>0.07920792079207921</v>
      </c>
      <c r="J18" s="129">
        <f>IFERROR(-J14/J16,"n.a.")</f>
        <v>0.06451612903225806</v>
      </c>
      <c r="K18" s="129">
        <f>IFERROR(-K14/K16,"n.a.")</f>
        <v>0.07920792079207921</v>
      </c>
      <c r="M18" s="129">
        <f>IFERROR(-M14/M16,"n.a.")</f>
        <v>0</v>
      </c>
      <c r="N18" s="129">
        <f>IFERROR(-N14/N16,"n.a.")</f>
        <v>0.020618556701030927</v>
      </c>
      <c r="O18" s="129">
        <f>IFERROR(-O14/O16,"n.a.")</f>
        <v>0</v>
      </c>
      <c r="P18" s="129">
        <f>IFERROR(-P14/P16,"n.a.")</f>
        <v>0</v>
      </c>
      <c r="Q18" s="129">
        <f>IFERROR(-Q14/Q16,"n.a.")</f>
        <v>0</v>
      </c>
      <c r="R18" s="129">
        <f>IFERROR(-R14/R16,"n.a.")</f>
        <v>0.02</v>
      </c>
      <c r="S18" s="129">
        <f>IFERROR(-S14/S16,"n.a.")</f>
        <v>0</v>
      </c>
      <c r="T18" s="129">
        <f>IFERROR(-T14/T16,"n.a.")</f>
        <v>0</v>
      </c>
      <c r="U18" s="129">
        <f>IFERROR(-U14/U16,"n.a.")</f>
        <v>0.0196078431372549</v>
      </c>
      <c r="V18" s="129">
        <f>IFERROR(-V14/V16,"n.a.")</f>
        <v>0</v>
      </c>
      <c r="W18" s="129">
        <f>IFERROR(-W14/W16,"n.a.")</f>
        <v>0</v>
      </c>
      <c r="X18" s="129">
        <f>IFERROR(-X14/X16,"n.a.")</f>
        <v>0.019230769230769232</v>
      </c>
      <c r="Y18" s="129">
        <f>IFERROR(-Y14/Y16,"n.a.")</f>
        <v>0</v>
      </c>
    </row>
    <row r="20" spans="2:5" x14ac:dyDescent="0.25">
      <c r="B20" s="37" t="s">
        <v>589</v>
      </c>
      <c r="C20" s="37"/>
      <c r="D20" s="37"/>
      <c r="E20" s="37"/>
    </row>
    <row r="21" spans="2:5" x14ac:dyDescent="0.25">
      <c r="B21" s="38" t="s">
        <v>590</v>
      </c>
      <c r="C21" s="210" t="s">
        <v>136</v>
      </c>
      <c r="D21" s="38">
        <f>SUM($T$42:$T$103)</f>
        <v>586908</v>
      </c>
      <c r="E21" s="38">
        <f>SUM($AC$42:$AC$103)</f>
        <v>691481</v>
      </c>
    </row>
    <row r="22" spans="2:5" x14ac:dyDescent="0.25">
      <c r="B22" s="52" t="s">
        <v>591</v>
      </c>
      <c r="C22" s="210" t="s">
        <v>136</v>
      </c>
      <c r="D22" s="52">
        <f>-SUM($U$42:$U$103)</f>
        <v>-16515</v>
      </c>
      <c r="E22" s="52">
        <f>-SUM($AD$42:$AD$103)</f>
        <v>-16171</v>
      </c>
    </row>
    <row r="23" spans="2:5" x14ac:dyDescent="0.25">
      <c r="B23" s="52" t="s">
        <v>592</v>
      </c>
      <c r="C23" s="210" t="s">
        <v>136</v>
      </c>
      <c r="D23" s="52">
        <f>-SUM($V$42:$V$103)</f>
        <v>0</v>
      </c>
      <c r="E23" s="52">
        <f>-SUM($AE$42:$AE$103)</f>
        <v>-4212</v>
      </c>
    </row>
    <row r="24" spans="2:5" x14ac:dyDescent="0.25">
      <c r="B24" s="52" t="s">
        <v>593</v>
      </c>
      <c r="C24" s="210" t="s">
        <v>136</v>
      </c>
      <c r="D24" s="52">
        <f>SUM($W$42:$W$103)</f>
        <v>104881</v>
      </c>
      <c r="E24" s="52">
        <f>SUM($AF$42:$AF$103)</f>
        <v>97876</v>
      </c>
    </row>
    <row r="25" spans="2:5" x14ac:dyDescent="0.25">
      <c r="B25" s="52" t="s">
        <v>594</v>
      </c>
      <c r="C25" s="210" t="s">
        <v>136</v>
      </c>
      <c r="D25" s="52">
        <f>SUMPRODUCT($S$42:$S$103,$P$42:$P$103)</f>
        <v>16207</v>
      </c>
      <c r="E25" s="52">
        <f>SUMPRODUCT($AB$42:$AB$103,$Y$42:$Y$103)</f>
        <v>30471</v>
      </c>
    </row>
    <row r="26" spans="2:5" x14ac:dyDescent="0.25">
      <c r="B26" s="197" t="s">
        <v>595</v>
      </c>
      <c r="C26" s="211" t="s">
        <v>136</v>
      </c>
      <c r="D26" s="200">
        <f>D21+D22+D23+D24+D25</f>
        <v>691481</v>
      </c>
      <c r="E26" s="212">
        <f>E21+E22+E23+E24+E25</f>
        <v>799445</v>
      </c>
    </row>
    <row r="27" spans="2:5" x14ac:dyDescent="0.25">
      <c r="B27" s="52" t="s">
        <v>596</v>
      </c>
      <c r="C27" s="210" t="s">
        <v>136</v>
      </c>
      <c r="D27" s="52">
        <f>SUMPRODUCT($Q$42:$Q$103,$R$42:$R$103,$P$42:$P$103)</f>
        <v>11019</v>
      </c>
      <c r="E27" s="52">
        <f>SUMPRODUCT($Z$42:$Z$103,$AA$42:$AA$103,$Y$42:$Y$103)</f>
        <v>12255</v>
      </c>
    </row>
    <row r="28" spans="2:5" x14ac:dyDescent="0.25">
      <c r="B28" s="197" t="s">
        <v>597</v>
      </c>
      <c r="C28" s="211" t="s">
        <v>136</v>
      </c>
      <c r="D28" s="200">
        <f>D26+D27</f>
        <v>702500</v>
      </c>
      <c r="E28" s="212">
        <f>E26+E27</f>
        <v>811700</v>
      </c>
    </row>
    <row r="29" spans="2:5" x14ac:dyDescent="0.25">
      <c r="B29" s="40" t="s">
        <v>598</v>
      </c>
      <c r="C29" s="118" t="s">
        <v>136</v>
      </c>
      <c r="D29" s="129">
        <f>IFERROR((D21+D22+D23)/D21,"n.a.")</f>
        <v>0.9718610071765933</v>
      </c>
      <c r="E29" s="129">
        <f>IFERROR((E21+E22+E23)/E21,"n.a.")</f>
        <v>0.9705226897051401</v>
      </c>
    </row>
    <row r="30" spans="2:5" x14ac:dyDescent="0.25">
      <c r="B30" s="40" t="s">
        <v>599</v>
      </c>
      <c r="C30" s="118" t="s">
        <v>136</v>
      </c>
      <c r="D30" s="129">
        <f>IFERROR((D21+D22+D23+D24)/D21,"n.a.")</f>
        <v>1.1505619279341908</v>
      </c>
      <c r="E30" s="129">
        <f>IFERROR((E21+E22+E23+E24)/E21,"n.a.")</f>
        <v>1.1120681551626148</v>
      </c>
    </row>
    <row r="31" spans="2:5" x14ac:dyDescent="0.25">
      <c r="B31" s="130" t="s">
        <v>600</v>
      </c>
      <c r="D31" s="130">
        <f>ROUND(D28-SUMIFS('Raw - Customers'!$J:$J,'Raw - Customers'!$A:$A,"&lt;&gt;Residual"),6)</f>
        <v>0</v>
      </c>
      <c r="E31" s="130">
        <f>ROUND(E28-SUMIFS('Raw - Customers'!$K:$K,'Raw - Customers'!$A:$A,"&lt;&gt;Residual"),6)</f>
        <v>0</v>
      </c>
    </row>
    <row r="33" spans="2:3" x14ac:dyDescent="0.25">
      <c r="B33" s="178" t="s">
        <v>601</v>
      </c>
      <c r="C33" s="213">
        <f>IFERROR(MEDIAN($E$42:$E$103),"n.a.")</f>
        <v>4.789869952087612</v>
      </c>
    </row>
    <row r="35" ht="36.5" customHeight="1" spans="2:11" x14ac:dyDescent="0.25">
      <c r="B35" s="60" t="s">
        <v>602</v>
      </c>
      <c r="C35" s="60"/>
      <c r="D35" s="60"/>
      <c r="E35" s="60"/>
      <c r="F35" s="60"/>
      <c r="G35" s="60"/>
      <c r="H35" s="60"/>
      <c r="I35" s="60"/>
      <c r="J35" s="60"/>
      <c r="K35" s="60"/>
    </row>
    <row r="37" spans="2:11" x14ac:dyDescent="0.25">
      <c r="B37" s="131" t="s">
        <v>380</v>
      </c>
      <c r="C37" s="132">
        <f>EOMONTH(EOMONTH(DATE('Assumptions'!$C$15-2,'Assumptions'!$C$14,1),0),-12)+1</f>
        <v>44927</v>
      </c>
      <c r="D37" s="132">
        <f>EOMONTH(EOMONTH(DATE('Assumptions'!$C$15-1,'Assumptions'!$C$14,1),0),-12)+1</f>
        <v>45292</v>
      </c>
      <c r="E37" s="132">
        <f>EOMONTH(EOMONTH(DATE('Assumptions'!$C$15-0,'Assumptions'!$C$14,1),0),-12)+1</f>
        <v>45658</v>
      </c>
      <c r="G37" s="132">
        <f>EOMONTH(EOMONTH(DATE(YEAR('Assumptions'!$C$9)-IF(MONTH('Assumptions'!$C$9)&gt;'Assumptions'!$C$14,0,1),'Assumptions'!$C$14,1),0)+1,-13)+1</f>
        <v>45292</v>
      </c>
      <c r="H37" s="132">
        <f>EOMONTH(DATE(YEAR('Assumptions'!$C$9)-IF(MONTH('Assumptions'!$C$9)&gt;'Assumptions'!$C$14,0,1),'Assumptions'!$C$14,1),0)+1</f>
        <v>45658</v>
      </c>
      <c r="J37" s="132">
        <f>EOMONTH('Assumptions'!$C$9,-24)+1</f>
        <v>45292</v>
      </c>
      <c r="K37" s="132">
        <f>EOMONTH('Assumptions'!$C$9,-12)+1</f>
        <v>45658</v>
      </c>
    </row>
    <row r="38" spans="2:11" x14ac:dyDescent="0.25">
      <c r="B38" s="131" t="s">
        <v>381</v>
      </c>
      <c r="C38" s="132">
        <f>EOMONTH(DATE('Assumptions'!$C$15-2,'Assumptions'!$C$14,1),0)</f>
        <v>45291</v>
      </c>
      <c r="D38" s="132">
        <f>EOMONTH(DATE('Assumptions'!$C$15-1,'Assumptions'!$C$14,1),0)</f>
        <v>45657</v>
      </c>
      <c r="E38" s="132">
        <f>EOMONTH(DATE('Assumptions'!$C$15-0,'Assumptions'!$C$14,1),0)</f>
        <v>46022</v>
      </c>
      <c r="G38" s="132">
        <f>EOMONTH('Assumptions'!$C$9,-12)</f>
        <v>45657</v>
      </c>
      <c r="H38" s="132">
        <f>EOMONTH('Assumptions'!$C$9,0)</f>
        <v>46022</v>
      </c>
      <c r="J38" s="132">
        <f>EOMONTH('Assumptions'!$C$9,-12)</f>
        <v>45657</v>
      </c>
      <c r="K38" s="132">
        <f>EOMONTH('Assumptions'!$C$9,0)</f>
        <v>46022</v>
      </c>
    </row>
    <row r="40" spans="2:2" x14ac:dyDescent="0.25">
      <c r="B40" s="131" t="s">
        <v>603</v>
      </c>
    </row>
    <row r="41" spans="2:32" x14ac:dyDescent="0.25">
      <c r="B41" s="131" t="s">
        <v>604</v>
      </c>
      <c r="C41" s="131" t="s">
        <v>605</v>
      </c>
      <c r="D41" s="131" t="s">
        <v>606</v>
      </c>
      <c r="E41" s="131" t="s">
        <v>607</v>
      </c>
      <c r="F41" s="131" t="s">
        <v>608</v>
      </c>
      <c r="G41" s="131" t="s">
        <v>609</v>
      </c>
      <c r="H41" s="131" t="s">
        <v>610</v>
      </c>
      <c r="I41" s="131" t="s">
        <v>611</v>
      </c>
      <c r="J41" s="131" t="s">
        <v>612</v>
      </c>
      <c r="K41" s="131" t="s">
        <v>613</v>
      </c>
      <c r="L41" s="131" t="s">
        <v>614</v>
      </c>
      <c r="M41" s="131" t="s">
        <v>615</v>
      </c>
      <c r="N41" s="131" t="s">
        <v>616</v>
      </c>
      <c r="O41" s="131" t="s">
        <v>617</v>
      </c>
      <c r="P41" s="131" t="s">
        <v>618</v>
      </c>
      <c r="Q41" s="131" t="s">
        <v>619</v>
      </c>
      <c r="R41" s="131" t="s">
        <v>620</v>
      </c>
      <c r="S41" s="131" t="s">
        <v>621</v>
      </c>
      <c r="T41" s="131" t="s">
        <v>622</v>
      </c>
      <c r="U41" s="131" t="s">
        <v>623</v>
      </c>
      <c r="V41" s="131" t="s">
        <v>624</v>
      </c>
      <c r="W41" s="131" t="s">
        <v>625</v>
      </c>
      <c r="X41" s="131" t="s">
        <v>626</v>
      </c>
      <c r="Y41" s="131" t="s">
        <v>627</v>
      </c>
      <c r="Z41" s="131" t="s">
        <v>628</v>
      </c>
      <c r="AA41" s="131" t="s">
        <v>629</v>
      </c>
      <c r="AB41" s="131" t="s">
        <v>630</v>
      </c>
      <c r="AC41" s="131" t="s">
        <v>631</v>
      </c>
      <c r="AD41" s="131" t="s">
        <v>632</v>
      </c>
      <c r="AE41" s="131" t="s">
        <v>633</v>
      </c>
      <c r="AF41" s="131" t="s">
        <v>634</v>
      </c>
    </row>
    <row r="42" spans="2:32" x14ac:dyDescent="0.25">
      <c r="B42" s="131" t="s">
        <v>635</v>
      </c>
      <c r="C42" s="132">
        <f>INDEX('Raw - Customers'!$E:$E,MATCH(B42,'Raw - Customers'!$A:$A,0))</f>
        <v>40969</v>
      </c>
      <c r="D42" s="132" t="str">
        <f>IF(INDEX('Raw - Customers'!$F:$F,MATCH(B42,'Raw - Customers'!$A:$A,0))="","",INDEX('Raw - Customers'!$F:$F,MATCH(B42,'Raw - Customers'!$A:$A,0)))</f>
        <v/>
      </c>
      <c r="E42" s="214">
        <f>IF(OR(C42=0,AND(D42&lt;&gt;"",N(D42)&lt;='Assumptions'!$C$9),C42&gt;'Assumptions'!$C$9),"",MAX(0,('Assumptions'!$C$9-C42)/365.25))</f>
        <v>13.834360027378509</v>
      </c>
      <c r="F42" s="204">
        <v>0</v>
      </c>
      <c r="G42" s="204">
        <f>INDEX('Raw - Customers'!$I:$I,MATCH(B42,'Raw - Customers'!$A:$A,0))</f>
        <v>96400</v>
      </c>
      <c r="H42" s="215">
        <f>IF(C42=0,IF(F42&gt;0,1,0),IF(AND(C42&lt;C$37,OR(D42="",D42&gt;=C$37)),1,0))</f>
        <v>1</v>
      </c>
      <c r="I42" s="215">
        <f>IF(C42=0,IF(AND(F42&gt;0,G42&lt;=0),1,0),IF(AND(D42&lt;&gt;"",D42&gt;=C$37,D42&lt;=C$38),1,0))</f>
        <v>0</v>
      </c>
      <c r="J42" s="215">
        <f>IF(C42=0,IF(AND(F42&lt;=0,G42&gt;0),1,0),IF(AND(C42&gt;=C$37,C42&lt;=C$38),1,0))</f>
        <v>0</v>
      </c>
      <c r="K42" s="204">
        <f>H42*F42</f>
        <v>0</v>
      </c>
      <c r="L42" s="204">
        <f>H42*I42*F42</f>
        <v>0</v>
      </c>
      <c r="M42" s="204">
        <f>H42*(1-I42)*MAX(0,F42-G42)</f>
        <v>0</v>
      </c>
      <c r="N42" s="204">
        <f>H42*(1-I42)*MAX(0,G42-F42)</f>
        <v>96400</v>
      </c>
      <c r="O42" s="204">
        <f>INDEX('Raw - Customers'!$I:$I,MATCH(B42,'Raw - Customers'!$A:$A,0))</f>
        <v>96400</v>
      </c>
      <c r="P42" s="204">
        <f>INDEX('Raw - Customers'!$J:$J,MATCH(B42,'Raw - Customers'!$A:$A,0))</f>
        <v>108900</v>
      </c>
      <c r="Q42" s="215">
        <f>IF(C42=0,IF(O42&gt;0,1,0),IF(AND(C42&lt;D$37,OR(D42="",D42&gt;=D$37)),1,0))</f>
        <v>1</v>
      </c>
      <c r="R42" s="215">
        <f>IF(C42=0,IF(AND(O42&gt;0,P42&lt;=0),1,0),IF(AND(D42&lt;&gt;"",D42&gt;=D$37,D42&lt;=D$38),1,0))</f>
        <v>0</v>
      </c>
      <c r="S42" s="215">
        <f>IF(C42=0,IF(AND(O42&lt;=0,P42&gt;0),1,0),IF(AND(C42&gt;=D$37,C42&lt;=D$38),1,0))</f>
        <v>0</v>
      </c>
      <c r="T42" s="204">
        <f>Q42*O42</f>
        <v>96400</v>
      </c>
      <c r="U42" s="204">
        <f>Q42*R42*O42</f>
        <v>0</v>
      </c>
      <c r="V42" s="204">
        <f>Q42*(1-R42)*MAX(0,O42-P42)</f>
        <v>0</v>
      </c>
      <c r="W42" s="204">
        <f>Q42*(1-R42)*MAX(0,P42-O42)</f>
        <v>12500</v>
      </c>
      <c r="X42" s="204">
        <f>INDEX('Raw - Customers'!$J:$J,MATCH(B42,'Raw - Customers'!$A:$A,0))</f>
        <v>108900</v>
      </c>
      <c r="Y42" s="204">
        <f>INDEX('Raw - Customers'!$K:$K,MATCH(B42,'Raw - Customers'!$A:$A,0))</f>
        <v>121600</v>
      </c>
      <c r="Z42" s="215">
        <f>IF(C42=0,IF(X42&gt;0,1,0),IF(AND(C42&lt;E$37,OR(D42="",D42&gt;=E$37)),1,0))</f>
        <v>1</v>
      </c>
      <c r="AA42" s="215">
        <f>IF(C42=0,IF(AND(X42&gt;0,Y42&lt;=0),1,0),IF(AND(D42&lt;&gt;"",D42&gt;=E$37,D42&lt;=E$38),1,0))</f>
        <v>0</v>
      </c>
      <c r="AB42" s="215">
        <f>IF(C42=0,IF(AND(X42&lt;=0,Y42&gt;0),1,0),IF(AND(C42&gt;=E$37,C42&lt;=E$38),1,0))</f>
        <v>0</v>
      </c>
      <c r="AC42" s="204">
        <f>Z42*X42</f>
        <v>108900</v>
      </c>
      <c r="AD42" s="204">
        <f>Z42*AA42*X42</f>
        <v>0</v>
      </c>
      <c r="AE42" s="204">
        <f>Z42*(1-AA42)*MAX(0,X42-Y42)</f>
        <v>0</v>
      </c>
      <c r="AF42" s="204">
        <f>Z42*(1-AA42)*MAX(0,Y42-X42)</f>
        <v>12700</v>
      </c>
    </row>
    <row r="43" spans="2:32" x14ac:dyDescent="0.25">
      <c r="B43" s="131" t="s">
        <v>636</v>
      </c>
      <c r="C43" s="132">
        <f>INDEX('Raw - Customers'!$E:$E,MATCH(B43,'Raw - Customers'!$A:$A,0))</f>
        <v>42217</v>
      </c>
      <c r="D43" s="132" t="str">
        <f>IF(INDEX('Raw - Customers'!$F:$F,MATCH(B43,'Raw - Customers'!$A:$A,0))="","",INDEX('Raw - Customers'!$F:$F,MATCH(B43,'Raw - Customers'!$A:$A,0)))</f>
        <v/>
      </c>
      <c r="E43" s="214">
        <f>IF(OR(C43=0,AND(D43&lt;&gt;"",N(D43)&lt;='Assumptions'!$C$9),C43&gt;'Assumptions'!$C$9),"",MAX(0,('Assumptions'!$C$9-C43)/365.25))</f>
        <v>10.417522245037645</v>
      </c>
      <c r="F43" s="204">
        <v>0</v>
      </c>
      <c r="G43" s="204">
        <f>INDEX('Raw - Customers'!$I:$I,MATCH(B43,'Raw - Customers'!$A:$A,0))</f>
        <v>66200</v>
      </c>
      <c r="H43" s="215">
        <f>IF(C43=0,IF(F43&gt;0,1,0),IF(AND(C43&lt;C$37,OR(D43="",D43&gt;=C$37)),1,0))</f>
        <v>1</v>
      </c>
      <c r="I43" s="215">
        <f>IF(C43=0,IF(AND(F43&gt;0,G43&lt;=0),1,0),IF(AND(D43&lt;&gt;"",D43&gt;=C$37,D43&lt;=C$38),1,0))</f>
        <v>0</v>
      </c>
      <c r="J43" s="215">
        <f>IF(C43=0,IF(AND(F43&lt;=0,G43&gt;0),1,0),IF(AND(C43&gt;=C$37,C43&lt;=C$38),1,0))</f>
        <v>0</v>
      </c>
      <c r="K43" s="204">
        <f>H43*F43</f>
        <v>0</v>
      </c>
      <c r="L43" s="204">
        <f>H43*I43*F43</f>
        <v>0</v>
      </c>
      <c r="M43" s="204">
        <f>H43*(1-I43)*MAX(0,F43-G43)</f>
        <v>0</v>
      </c>
      <c r="N43" s="204">
        <f>H43*(1-I43)*MAX(0,G43-F43)</f>
        <v>66200</v>
      </c>
      <c r="O43" s="204">
        <f>INDEX('Raw - Customers'!$I:$I,MATCH(B43,'Raw - Customers'!$A:$A,0))</f>
        <v>66200</v>
      </c>
      <c r="P43" s="204">
        <f>INDEX('Raw - Customers'!$J:$J,MATCH(B43,'Raw - Customers'!$A:$A,0))</f>
        <v>75800</v>
      </c>
      <c r="Q43" s="215">
        <f>IF(C43=0,IF(O43&gt;0,1,0),IF(AND(C43&lt;D$37,OR(D43="",D43&gt;=D$37)),1,0))</f>
        <v>1</v>
      </c>
      <c r="R43" s="215">
        <f>IF(C43=0,IF(AND(O43&gt;0,P43&lt;=0),1,0),IF(AND(D43&lt;&gt;"",D43&gt;=D$37,D43&lt;=D$38),1,0))</f>
        <v>0</v>
      </c>
      <c r="S43" s="215">
        <f>IF(C43=0,IF(AND(O43&lt;=0,P43&gt;0),1,0),IF(AND(C43&gt;=D$37,C43&lt;=D$38),1,0))</f>
        <v>0</v>
      </c>
      <c r="T43" s="204">
        <f>Q43*O43</f>
        <v>66200</v>
      </c>
      <c r="U43" s="204">
        <f>Q43*R43*O43</f>
        <v>0</v>
      </c>
      <c r="V43" s="204">
        <f>Q43*(1-R43)*MAX(0,O43-P43)</f>
        <v>0</v>
      </c>
      <c r="W43" s="204">
        <f>Q43*(1-R43)*MAX(0,P43-O43)</f>
        <v>9600</v>
      </c>
      <c r="X43" s="204">
        <f>INDEX('Raw - Customers'!$J:$J,MATCH(B43,'Raw - Customers'!$A:$A,0))</f>
        <v>75800</v>
      </c>
      <c r="Y43" s="204">
        <f>INDEX('Raw - Customers'!$K:$K,MATCH(B43,'Raw - Customers'!$A:$A,0))</f>
        <v>84300</v>
      </c>
      <c r="Z43" s="215">
        <f>IF(C43=0,IF(X43&gt;0,1,0),IF(AND(C43&lt;E$37,OR(D43="",D43&gt;=E$37)),1,0))</f>
        <v>1</v>
      </c>
      <c r="AA43" s="215">
        <f>IF(C43=0,IF(AND(X43&gt;0,Y43&lt;=0),1,0),IF(AND(D43&lt;&gt;"",D43&gt;=E$37,D43&lt;=E$38),1,0))</f>
        <v>0</v>
      </c>
      <c r="AB43" s="215">
        <f>IF(C43=0,IF(AND(X43&lt;=0,Y43&gt;0),1,0),IF(AND(C43&gt;=E$37,C43&lt;=E$38),1,0))</f>
        <v>0</v>
      </c>
      <c r="AC43" s="204">
        <f>Z43*X43</f>
        <v>75800</v>
      </c>
      <c r="AD43" s="204">
        <f>Z43*AA43*X43</f>
        <v>0</v>
      </c>
      <c r="AE43" s="204">
        <f>Z43*(1-AA43)*MAX(0,X43-Y43)</f>
        <v>0</v>
      </c>
      <c r="AF43" s="204">
        <f>Z43*(1-AA43)*MAX(0,Y43-X43)</f>
        <v>8500</v>
      </c>
    </row>
    <row r="44" spans="2:32" x14ac:dyDescent="0.25">
      <c r="B44" s="131" t="s">
        <v>637</v>
      </c>
      <c r="C44" s="132">
        <f>INDEX('Raw - Customers'!$E:$E,MATCH(B44,'Raw - Customers'!$A:$A,0))</f>
        <v>41640</v>
      </c>
      <c r="D44" s="132" t="str">
        <f>IF(INDEX('Raw - Customers'!$F:$F,MATCH(B44,'Raw - Customers'!$A:$A,0))="","",INDEX('Raw - Customers'!$F:$F,MATCH(B44,'Raw - Customers'!$A:$A,0)))</f>
        <v/>
      </c>
      <c r="E44" s="214">
        <f>IF(OR(C44=0,AND(D44&lt;&gt;"",N(D44)&lt;='Assumptions'!$C$9),C44&gt;'Assumptions'!$C$9),"",MAX(0,('Assumptions'!$C$9-C44)/365.25))</f>
        <v>11.997262149212867</v>
      </c>
      <c r="F44" s="204">
        <v>0</v>
      </c>
      <c r="G44" s="204">
        <f>INDEX('Raw - Customers'!$I:$I,MATCH(B44,'Raw - Customers'!$A:$A,0))</f>
        <v>58900</v>
      </c>
      <c r="H44" s="215">
        <f>IF(C44=0,IF(F44&gt;0,1,0),IF(AND(C44&lt;C$37,OR(D44="",D44&gt;=C$37)),1,0))</f>
        <v>1</v>
      </c>
      <c r="I44" s="215">
        <f>IF(C44=0,IF(AND(F44&gt;0,G44&lt;=0),1,0),IF(AND(D44&lt;&gt;"",D44&gt;=C$37,D44&lt;=C$38),1,0))</f>
        <v>0</v>
      </c>
      <c r="J44" s="215">
        <f>IF(C44=0,IF(AND(F44&lt;=0,G44&gt;0),1,0),IF(AND(C44&gt;=C$37,C44&lt;=C$38),1,0))</f>
        <v>0</v>
      </c>
      <c r="K44" s="204">
        <f>H44*F44</f>
        <v>0</v>
      </c>
      <c r="L44" s="204">
        <f>H44*I44*F44</f>
        <v>0</v>
      </c>
      <c r="M44" s="204">
        <f>H44*(1-I44)*MAX(0,F44-G44)</f>
        <v>0</v>
      </c>
      <c r="N44" s="204">
        <f>H44*(1-I44)*MAX(0,G44-F44)</f>
        <v>58900</v>
      </c>
      <c r="O44" s="204">
        <f>INDEX('Raw - Customers'!$I:$I,MATCH(B44,'Raw - Customers'!$A:$A,0))</f>
        <v>58900</v>
      </c>
      <c r="P44" s="204">
        <f>INDEX('Raw - Customers'!$J:$J,MATCH(B44,'Raw - Customers'!$A:$A,0))</f>
        <v>66100</v>
      </c>
      <c r="Q44" s="215">
        <f>IF(C44=0,IF(O44&gt;0,1,0),IF(AND(C44&lt;D$37,OR(D44="",D44&gt;=D$37)),1,0))</f>
        <v>1</v>
      </c>
      <c r="R44" s="215">
        <f>IF(C44=0,IF(AND(O44&gt;0,P44&lt;=0),1,0),IF(AND(D44&lt;&gt;"",D44&gt;=D$37,D44&lt;=D$38),1,0))</f>
        <v>0</v>
      </c>
      <c r="S44" s="215">
        <f>IF(C44=0,IF(AND(O44&lt;=0,P44&gt;0),1,0),IF(AND(C44&gt;=D$37,C44&lt;=D$38),1,0))</f>
        <v>0</v>
      </c>
      <c r="T44" s="204">
        <f>Q44*O44</f>
        <v>58900</v>
      </c>
      <c r="U44" s="204">
        <f>Q44*R44*O44</f>
        <v>0</v>
      </c>
      <c r="V44" s="204">
        <f>Q44*(1-R44)*MAX(0,O44-P44)</f>
        <v>0</v>
      </c>
      <c r="W44" s="204">
        <f>Q44*(1-R44)*MAX(0,P44-O44)</f>
        <v>7200</v>
      </c>
      <c r="X44" s="204">
        <f>INDEX('Raw - Customers'!$J:$J,MATCH(B44,'Raw - Customers'!$A:$A,0))</f>
        <v>66100</v>
      </c>
      <c r="Y44" s="204">
        <f>INDEX('Raw - Customers'!$K:$K,MATCH(B44,'Raw - Customers'!$A:$A,0))</f>
        <v>71200</v>
      </c>
      <c r="Z44" s="215">
        <f>IF(C44=0,IF(X44&gt;0,1,0),IF(AND(C44&lt;E$37,OR(D44="",D44&gt;=E$37)),1,0))</f>
        <v>1</v>
      </c>
      <c r="AA44" s="215">
        <f>IF(C44=0,IF(AND(X44&gt;0,Y44&lt;=0),1,0),IF(AND(D44&lt;&gt;"",D44&gt;=E$37,D44&lt;=E$38),1,0))</f>
        <v>0</v>
      </c>
      <c r="AB44" s="215">
        <f>IF(C44=0,IF(AND(X44&lt;=0,Y44&gt;0),1,0),IF(AND(C44&gt;=E$37,C44&lt;=E$38),1,0))</f>
        <v>0</v>
      </c>
      <c r="AC44" s="204">
        <f>Z44*X44</f>
        <v>66100</v>
      </c>
      <c r="AD44" s="204">
        <f>Z44*AA44*X44</f>
        <v>0</v>
      </c>
      <c r="AE44" s="204">
        <f>Z44*(1-AA44)*MAX(0,X44-Y44)</f>
        <v>0</v>
      </c>
      <c r="AF44" s="204">
        <f>Z44*(1-AA44)*MAX(0,Y44-X44)</f>
        <v>5100</v>
      </c>
    </row>
    <row r="45" spans="2:32" x14ac:dyDescent="0.25">
      <c r="B45" s="131" t="s">
        <v>638</v>
      </c>
      <c r="C45" s="132">
        <f>INDEX('Raw - Customers'!$E:$E,MATCH(B45,'Raw - Customers'!$A:$A,0))</f>
        <v>40695</v>
      </c>
      <c r="D45" s="132" t="str">
        <f>IF(INDEX('Raw - Customers'!$F:$F,MATCH(B45,'Raw - Customers'!$A:$A,0))="","",INDEX('Raw - Customers'!$F:$F,MATCH(B45,'Raw - Customers'!$A:$A,0)))</f>
        <v/>
      </c>
      <c r="E45" s="214">
        <f>IF(OR(C45=0,AND(D45&lt;&gt;"",N(D45)&lt;='Assumptions'!$C$9),C45&gt;'Assumptions'!$C$9),"",MAX(0,('Assumptions'!$C$9-C45)/365.25))</f>
        <v>14.584531143052704</v>
      </c>
      <c r="F45" s="204">
        <v>0</v>
      </c>
      <c r="G45" s="204">
        <f>INDEX('Raw - Customers'!$I:$I,MATCH(B45,'Raw - Customers'!$A:$A,0))</f>
        <v>60100</v>
      </c>
      <c r="H45" s="215">
        <f>IF(C45=0,IF(F45&gt;0,1,0),IF(AND(C45&lt;C$37,OR(D45="",D45&gt;=C$37)),1,0))</f>
        <v>1</v>
      </c>
      <c r="I45" s="215">
        <f>IF(C45=0,IF(AND(F45&gt;0,G45&lt;=0),1,0),IF(AND(D45&lt;&gt;"",D45&gt;=C$37,D45&lt;=C$38),1,0))</f>
        <v>0</v>
      </c>
      <c r="J45" s="215">
        <f>IF(C45=0,IF(AND(F45&lt;=0,G45&gt;0),1,0),IF(AND(C45&gt;=C$37,C45&lt;=C$38),1,0))</f>
        <v>0</v>
      </c>
      <c r="K45" s="204">
        <f>H45*F45</f>
        <v>0</v>
      </c>
      <c r="L45" s="204">
        <f>H45*I45*F45</f>
        <v>0</v>
      </c>
      <c r="M45" s="204">
        <f>H45*(1-I45)*MAX(0,F45-G45)</f>
        <v>0</v>
      </c>
      <c r="N45" s="204">
        <f>H45*(1-I45)*MAX(0,G45-F45)</f>
        <v>60100</v>
      </c>
      <c r="O45" s="204">
        <f>INDEX('Raw - Customers'!$I:$I,MATCH(B45,'Raw - Customers'!$A:$A,0))</f>
        <v>60100</v>
      </c>
      <c r="P45" s="204">
        <f>INDEX('Raw - Customers'!$J:$J,MATCH(B45,'Raw - Customers'!$A:$A,0))</f>
        <v>68400</v>
      </c>
      <c r="Q45" s="215">
        <f>IF(C45=0,IF(O45&gt;0,1,0),IF(AND(C45&lt;D$37,OR(D45="",D45&gt;=D$37)),1,0))</f>
        <v>1</v>
      </c>
      <c r="R45" s="215">
        <f>IF(C45=0,IF(AND(O45&gt;0,P45&lt;=0),1,0),IF(AND(D45&lt;&gt;"",D45&gt;=D$37,D45&lt;=D$38),1,0))</f>
        <v>0</v>
      </c>
      <c r="S45" s="215">
        <f>IF(C45=0,IF(AND(O45&lt;=0,P45&gt;0),1,0),IF(AND(C45&gt;=D$37,C45&lt;=D$38),1,0))</f>
        <v>0</v>
      </c>
      <c r="T45" s="204">
        <f>Q45*O45</f>
        <v>60100</v>
      </c>
      <c r="U45" s="204">
        <f>Q45*R45*O45</f>
        <v>0</v>
      </c>
      <c r="V45" s="204">
        <f>Q45*(1-R45)*MAX(0,O45-P45)</f>
        <v>0</v>
      </c>
      <c r="W45" s="204">
        <f>Q45*(1-R45)*MAX(0,P45-O45)</f>
        <v>8300</v>
      </c>
      <c r="X45" s="204">
        <f>INDEX('Raw - Customers'!$J:$J,MATCH(B45,'Raw - Customers'!$A:$A,0))</f>
        <v>68400</v>
      </c>
      <c r="Y45" s="204">
        <f>INDEX('Raw - Customers'!$K:$K,MATCH(B45,'Raw - Customers'!$A:$A,0))</f>
        <v>64800</v>
      </c>
      <c r="Z45" s="215">
        <f>IF(C45=0,IF(X45&gt;0,1,0),IF(AND(C45&lt;E$37,OR(D45="",D45&gt;=E$37)),1,0))</f>
        <v>1</v>
      </c>
      <c r="AA45" s="215">
        <f>IF(C45=0,IF(AND(X45&gt;0,Y45&lt;=0),1,0),IF(AND(D45&lt;&gt;"",D45&gt;=E$37,D45&lt;=E$38),1,0))</f>
        <v>0</v>
      </c>
      <c r="AB45" s="215">
        <f>IF(C45=0,IF(AND(X45&lt;=0,Y45&gt;0),1,0),IF(AND(C45&gt;=E$37,C45&lt;=E$38),1,0))</f>
        <v>0</v>
      </c>
      <c r="AC45" s="204">
        <f>Z45*X45</f>
        <v>68400</v>
      </c>
      <c r="AD45" s="204">
        <f>Z45*AA45*X45</f>
        <v>0</v>
      </c>
      <c r="AE45" s="204">
        <f>Z45*(1-AA45)*MAX(0,X45-Y45)</f>
        <v>3600</v>
      </c>
      <c r="AF45" s="204">
        <f>Z45*(1-AA45)*MAX(0,Y45-X45)</f>
        <v>0</v>
      </c>
    </row>
    <row r="46" spans="2:32" x14ac:dyDescent="0.25">
      <c r="B46" s="131" t="s">
        <v>639</v>
      </c>
      <c r="C46" s="132">
        <f>INDEX('Raw - Customers'!$E:$E,MATCH(B46,'Raw - Customers'!$A:$A,0))</f>
        <v>43191</v>
      </c>
      <c r="D46" s="132" t="str">
        <f>IF(INDEX('Raw - Customers'!$F:$F,MATCH(B46,'Raw - Customers'!$A:$A,0))="","",INDEX('Raw - Customers'!$F:$F,MATCH(B46,'Raw - Customers'!$A:$A,0)))</f>
        <v/>
      </c>
      <c r="E46" s="214">
        <f>IF(OR(C46=0,AND(D46&lt;&gt;"",N(D46)&lt;='Assumptions'!$C$9),C46&gt;'Assumptions'!$C$9),"",MAX(0,('Assumptions'!$C$9-C46)/365.25))</f>
        <v>7.750855578370979</v>
      </c>
      <c r="F46" s="204">
        <v>0</v>
      </c>
      <c r="G46" s="204">
        <f>INDEX('Raw - Customers'!$I:$I,MATCH(B46,'Raw - Customers'!$A:$A,0))</f>
        <v>40300</v>
      </c>
      <c r="H46" s="215">
        <f>IF(C46=0,IF(F46&gt;0,1,0),IF(AND(C46&lt;C$37,OR(D46="",D46&gt;=C$37)),1,0))</f>
        <v>1</v>
      </c>
      <c r="I46" s="215">
        <f>IF(C46=0,IF(AND(F46&gt;0,G46&lt;=0),1,0),IF(AND(D46&lt;&gt;"",D46&gt;=C$37,D46&lt;=C$38),1,0))</f>
        <v>0</v>
      </c>
      <c r="J46" s="215">
        <f>IF(C46=0,IF(AND(F46&lt;=0,G46&gt;0),1,0),IF(AND(C46&gt;=C$37,C46&lt;=C$38),1,0))</f>
        <v>0</v>
      </c>
      <c r="K46" s="204">
        <f>H46*F46</f>
        <v>0</v>
      </c>
      <c r="L46" s="204">
        <f>H46*I46*F46</f>
        <v>0</v>
      </c>
      <c r="M46" s="204">
        <f>H46*(1-I46)*MAX(0,F46-G46)</f>
        <v>0</v>
      </c>
      <c r="N46" s="204">
        <f>H46*(1-I46)*MAX(0,G46-F46)</f>
        <v>40300</v>
      </c>
      <c r="O46" s="204">
        <f>INDEX('Raw - Customers'!$I:$I,MATCH(B46,'Raw - Customers'!$A:$A,0))</f>
        <v>40300</v>
      </c>
      <c r="P46" s="204">
        <f>INDEX('Raw - Customers'!$J:$J,MATCH(B46,'Raw - Customers'!$A:$A,0))</f>
        <v>49600</v>
      </c>
      <c r="Q46" s="215">
        <f>IF(C46=0,IF(O46&gt;0,1,0),IF(AND(C46&lt;D$37,OR(D46="",D46&gt;=D$37)),1,0))</f>
        <v>1</v>
      </c>
      <c r="R46" s="215">
        <f>IF(C46=0,IF(AND(O46&gt;0,P46&lt;=0),1,0),IF(AND(D46&lt;&gt;"",D46&gt;=D$37,D46&lt;=D$38),1,0))</f>
        <v>0</v>
      </c>
      <c r="S46" s="215">
        <f>IF(C46=0,IF(AND(O46&lt;=0,P46&gt;0),1,0),IF(AND(C46&gt;=D$37,C46&lt;=D$38),1,0))</f>
        <v>0</v>
      </c>
      <c r="T46" s="204">
        <f>Q46*O46</f>
        <v>40300</v>
      </c>
      <c r="U46" s="204">
        <f>Q46*R46*O46</f>
        <v>0</v>
      </c>
      <c r="V46" s="204">
        <f>Q46*(1-R46)*MAX(0,O46-P46)</f>
        <v>0</v>
      </c>
      <c r="W46" s="204">
        <f>Q46*(1-R46)*MAX(0,P46-O46)</f>
        <v>9300</v>
      </c>
      <c r="X46" s="204">
        <f>INDEX('Raw - Customers'!$J:$J,MATCH(B46,'Raw - Customers'!$A:$A,0))</f>
        <v>49600</v>
      </c>
      <c r="Y46" s="204">
        <f>INDEX('Raw - Customers'!$K:$K,MATCH(B46,'Raw - Customers'!$A:$A,0))</f>
        <v>58900</v>
      </c>
      <c r="Z46" s="215">
        <f>IF(C46=0,IF(X46&gt;0,1,0),IF(AND(C46&lt;E$37,OR(D46="",D46&gt;=E$37)),1,0))</f>
        <v>1</v>
      </c>
      <c r="AA46" s="215">
        <f>IF(C46=0,IF(AND(X46&gt;0,Y46&lt;=0),1,0),IF(AND(D46&lt;&gt;"",D46&gt;=E$37,D46&lt;=E$38),1,0))</f>
        <v>0</v>
      </c>
      <c r="AB46" s="215">
        <f>IF(C46=0,IF(AND(X46&lt;=0,Y46&gt;0),1,0),IF(AND(C46&gt;=E$37,C46&lt;=E$38),1,0))</f>
        <v>0</v>
      </c>
      <c r="AC46" s="204">
        <f>Z46*X46</f>
        <v>49600</v>
      </c>
      <c r="AD46" s="204">
        <f>Z46*AA46*X46</f>
        <v>0</v>
      </c>
      <c r="AE46" s="204">
        <f>Z46*(1-AA46)*MAX(0,X46-Y46)</f>
        <v>0</v>
      </c>
      <c r="AF46" s="204">
        <f>Z46*(1-AA46)*MAX(0,Y46-X46)</f>
        <v>9300</v>
      </c>
    </row>
    <row r="47" spans="2:32" x14ac:dyDescent="0.25">
      <c r="B47" s="131" t="s">
        <v>640</v>
      </c>
      <c r="C47" s="132">
        <f>INDEX('Raw - Customers'!$E:$E,MATCH(B47,'Raw - Customers'!$A:$A,0))</f>
        <v>42644</v>
      </c>
      <c r="D47" s="132" t="str">
        <f>IF(INDEX('Raw - Customers'!$F:$F,MATCH(B47,'Raw - Customers'!$A:$A,0))="","",INDEX('Raw - Customers'!$F:$F,MATCH(B47,'Raw - Customers'!$A:$A,0)))</f>
        <v/>
      </c>
      <c r="E47" s="214">
        <f>IF(OR(C47=0,AND(D47&lt;&gt;"",N(D47)&lt;='Assumptions'!$C$9),C47&gt;'Assumptions'!$C$9),"",MAX(0,('Assumptions'!$C$9-C47)/365.25))</f>
        <v>9.248459958932239</v>
      </c>
      <c r="F47" s="204">
        <v>0</v>
      </c>
      <c r="G47" s="204">
        <f>INDEX('Raw - Customers'!$I:$I,MATCH(B47,'Raw - Customers'!$A:$A,0))</f>
        <v>44700</v>
      </c>
      <c r="H47" s="215">
        <f>IF(C47=0,IF(F47&gt;0,1,0),IF(AND(C47&lt;C$37,OR(D47="",D47&gt;=C$37)),1,0))</f>
        <v>1</v>
      </c>
      <c r="I47" s="215">
        <f>IF(C47=0,IF(AND(F47&gt;0,G47&lt;=0),1,0),IF(AND(D47&lt;&gt;"",D47&gt;=C$37,D47&lt;=C$38),1,0))</f>
        <v>0</v>
      </c>
      <c r="J47" s="215">
        <f>IF(C47=0,IF(AND(F47&lt;=0,G47&gt;0),1,0),IF(AND(C47&gt;=C$37,C47&lt;=C$38),1,0))</f>
        <v>0</v>
      </c>
      <c r="K47" s="204">
        <f>H47*F47</f>
        <v>0</v>
      </c>
      <c r="L47" s="204">
        <f>H47*I47*F47</f>
        <v>0</v>
      </c>
      <c r="M47" s="204">
        <f>H47*(1-I47)*MAX(0,F47-G47)</f>
        <v>0</v>
      </c>
      <c r="N47" s="204">
        <f>H47*(1-I47)*MAX(0,G47-F47)</f>
        <v>44700</v>
      </c>
      <c r="O47" s="204">
        <f>INDEX('Raw - Customers'!$I:$I,MATCH(B47,'Raw - Customers'!$A:$A,0))</f>
        <v>44700</v>
      </c>
      <c r="P47" s="204">
        <f>INDEX('Raw - Customers'!$J:$J,MATCH(B47,'Raw - Customers'!$A:$A,0))</f>
        <v>48200</v>
      </c>
      <c r="Q47" s="215">
        <f>IF(C47=0,IF(O47&gt;0,1,0),IF(AND(C47&lt;D$37,OR(D47="",D47&gt;=D$37)),1,0))</f>
        <v>1</v>
      </c>
      <c r="R47" s="215">
        <f>IF(C47=0,IF(AND(O47&gt;0,P47&lt;=0),1,0),IF(AND(D47&lt;&gt;"",D47&gt;=D$37,D47&lt;=D$38),1,0))</f>
        <v>0</v>
      </c>
      <c r="S47" s="215">
        <f>IF(C47=0,IF(AND(O47&lt;=0,P47&gt;0),1,0),IF(AND(C47&gt;=D$37,C47&lt;=D$38),1,0))</f>
        <v>0</v>
      </c>
      <c r="T47" s="204">
        <f>Q47*O47</f>
        <v>44700</v>
      </c>
      <c r="U47" s="204">
        <f>Q47*R47*O47</f>
        <v>0</v>
      </c>
      <c r="V47" s="204">
        <f>Q47*(1-R47)*MAX(0,O47-P47)</f>
        <v>0</v>
      </c>
      <c r="W47" s="204">
        <f>Q47*(1-R47)*MAX(0,P47-O47)</f>
        <v>3500</v>
      </c>
      <c r="X47" s="204">
        <f>INDEX('Raw - Customers'!$J:$J,MATCH(B47,'Raw - Customers'!$A:$A,0))</f>
        <v>48200</v>
      </c>
      <c r="Y47" s="204">
        <f>INDEX('Raw - Customers'!$K:$K,MATCH(B47,'Raw - Customers'!$A:$A,0))</f>
        <v>52400</v>
      </c>
      <c r="Z47" s="215">
        <f>IF(C47=0,IF(X47&gt;0,1,0),IF(AND(C47&lt;E$37,OR(D47="",D47&gt;=E$37)),1,0))</f>
        <v>1</v>
      </c>
      <c r="AA47" s="215">
        <f>IF(C47=0,IF(AND(X47&gt;0,Y47&lt;=0),1,0),IF(AND(D47&lt;&gt;"",D47&gt;=E$37,D47&lt;=E$38),1,0))</f>
        <v>0</v>
      </c>
      <c r="AB47" s="215">
        <f>IF(C47=0,IF(AND(X47&lt;=0,Y47&gt;0),1,0),IF(AND(C47&gt;=E$37,C47&lt;=E$38),1,0))</f>
        <v>0</v>
      </c>
      <c r="AC47" s="204">
        <f>Z47*X47</f>
        <v>48200</v>
      </c>
      <c r="AD47" s="204">
        <f>Z47*AA47*X47</f>
        <v>0</v>
      </c>
      <c r="AE47" s="204">
        <f>Z47*(1-AA47)*MAX(0,X47-Y47)</f>
        <v>0</v>
      </c>
      <c r="AF47" s="204">
        <f>Z47*(1-AA47)*MAX(0,Y47-X47)</f>
        <v>4200</v>
      </c>
    </row>
    <row r="48" spans="2:32" x14ac:dyDescent="0.25">
      <c r="B48" s="131" t="s">
        <v>641</v>
      </c>
      <c r="C48" s="132">
        <f>INDEX('Raw - Customers'!$E:$E,MATCH(B48,'Raw - Customers'!$A:$A,0))</f>
        <v>41395</v>
      </c>
      <c r="D48" s="132" t="str">
        <f>IF(INDEX('Raw - Customers'!$F:$F,MATCH(B48,'Raw - Customers'!$A:$A,0))="","",INDEX('Raw - Customers'!$F:$F,MATCH(B48,'Raw - Customers'!$A:$A,0)))</f>
        <v/>
      </c>
      <c r="E48" s="214">
        <f>IF(OR(C48=0,AND(D48&lt;&gt;"",N(D48)&lt;='Assumptions'!$C$9),C48&gt;'Assumptions'!$C$9),"",MAX(0,('Assumptions'!$C$9-C48)/365.25))</f>
        <v>12.668035592060233</v>
      </c>
      <c r="F48" s="204">
        <v>0</v>
      </c>
      <c r="G48" s="204">
        <f>INDEX('Raw - Customers'!$I:$I,MATCH(B48,'Raw - Customers'!$A:$A,0))</f>
        <v>31800</v>
      </c>
      <c r="H48" s="215">
        <f>IF(C48=0,IF(F48&gt;0,1,0),IF(AND(C48&lt;C$37,OR(D48="",D48&gt;=C$37)),1,0))</f>
        <v>1</v>
      </c>
      <c r="I48" s="215">
        <f>IF(C48=0,IF(AND(F48&gt;0,G48&lt;=0),1,0),IF(AND(D48&lt;&gt;"",D48&gt;=C$37,D48&lt;=C$38),1,0))</f>
        <v>0</v>
      </c>
      <c r="J48" s="215">
        <f>IF(C48=0,IF(AND(F48&lt;=0,G48&gt;0),1,0),IF(AND(C48&gt;=C$37,C48&lt;=C$38),1,0))</f>
        <v>0</v>
      </c>
      <c r="K48" s="204">
        <f>H48*F48</f>
        <v>0</v>
      </c>
      <c r="L48" s="204">
        <f>H48*I48*F48</f>
        <v>0</v>
      </c>
      <c r="M48" s="204">
        <f>H48*(1-I48)*MAX(0,F48-G48)</f>
        <v>0</v>
      </c>
      <c r="N48" s="204">
        <f>H48*(1-I48)*MAX(0,G48-F48)</f>
        <v>31800</v>
      </c>
      <c r="O48" s="204">
        <f>INDEX('Raw - Customers'!$I:$I,MATCH(B48,'Raw - Customers'!$A:$A,0))</f>
        <v>31800</v>
      </c>
      <c r="P48" s="204">
        <f>INDEX('Raw - Customers'!$J:$J,MATCH(B48,'Raw - Customers'!$A:$A,0))</f>
        <v>36900</v>
      </c>
      <c r="Q48" s="215">
        <f>IF(C48=0,IF(O48&gt;0,1,0),IF(AND(C48&lt;D$37,OR(D48="",D48&gt;=D$37)),1,0))</f>
        <v>1</v>
      </c>
      <c r="R48" s="215">
        <f>IF(C48=0,IF(AND(O48&gt;0,P48&lt;=0),1,0),IF(AND(D48&lt;&gt;"",D48&gt;=D$37,D48&lt;=D$38),1,0))</f>
        <v>0</v>
      </c>
      <c r="S48" s="215">
        <f>IF(C48=0,IF(AND(O48&lt;=0,P48&gt;0),1,0),IF(AND(C48&gt;=D$37,C48&lt;=D$38),1,0))</f>
        <v>0</v>
      </c>
      <c r="T48" s="204">
        <f>Q48*O48</f>
        <v>31800</v>
      </c>
      <c r="U48" s="204">
        <f>Q48*R48*O48</f>
        <v>0</v>
      </c>
      <c r="V48" s="204">
        <f>Q48*(1-R48)*MAX(0,O48-P48)</f>
        <v>0</v>
      </c>
      <c r="W48" s="204">
        <f>Q48*(1-R48)*MAX(0,P48-O48)</f>
        <v>5100</v>
      </c>
      <c r="X48" s="204">
        <f>INDEX('Raw - Customers'!$J:$J,MATCH(B48,'Raw - Customers'!$A:$A,0))</f>
        <v>36900</v>
      </c>
      <c r="Y48" s="204">
        <f>INDEX('Raw - Customers'!$K:$K,MATCH(B48,'Raw - Customers'!$A:$A,0))</f>
        <v>41700</v>
      </c>
      <c r="Z48" s="215">
        <f>IF(C48=0,IF(X48&gt;0,1,0),IF(AND(C48&lt;E$37,OR(D48="",D48&gt;=E$37)),1,0))</f>
        <v>1</v>
      </c>
      <c r="AA48" s="215">
        <f>IF(C48=0,IF(AND(X48&gt;0,Y48&lt;=0),1,0),IF(AND(D48&lt;&gt;"",D48&gt;=E$37,D48&lt;=E$38),1,0))</f>
        <v>0</v>
      </c>
      <c r="AB48" s="215">
        <f>IF(C48=0,IF(AND(X48&lt;=0,Y48&gt;0),1,0),IF(AND(C48&gt;=E$37,C48&lt;=E$38),1,0))</f>
        <v>0</v>
      </c>
      <c r="AC48" s="204">
        <f>Z48*X48</f>
        <v>36900</v>
      </c>
      <c r="AD48" s="204">
        <f>Z48*AA48*X48</f>
        <v>0</v>
      </c>
      <c r="AE48" s="204">
        <f>Z48*(1-AA48)*MAX(0,X48-Y48)</f>
        <v>0</v>
      </c>
      <c r="AF48" s="204">
        <f>Z48*(1-AA48)*MAX(0,Y48-X48)</f>
        <v>4800</v>
      </c>
    </row>
    <row r="49" spans="2:32" x14ac:dyDescent="0.25">
      <c r="B49" s="131" t="s">
        <v>642</v>
      </c>
      <c r="C49" s="132">
        <f>INDEX('Raw - Customers'!$E:$E,MATCH(B49,'Raw - Customers'!$A:$A,0))</f>
        <v>43497</v>
      </c>
      <c r="D49" s="132" t="str">
        <f>IF(INDEX('Raw - Customers'!$F:$F,MATCH(B49,'Raw - Customers'!$A:$A,0))="","",INDEX('Raw - Customers'!$F:$F,MATCH(B49,'Raw - Customers'!$A:$A,0)))</f>
        <v/>
      </c>
      <c r="E49" s="214">
        <f>IF(OR(C49=0,AND(D49&lt;&gt;"",N(D49)&lt;='Assumptions'!$C$9),C49&gt;'Assumptions'!$C$9),"",MAX(0,('Assumptions'!$C$9-C49)/365.25))</f>
        <v>6.913073237508556</v>
      </c>
      <c r="F49" s="204">
        <v>0</v>
      </c>
      <c r="G49" s="204">
        <f>INDEX('Raw - Customers'!$I:$I,MATCH(B49,'Raw - Customers'!$A:$A,0))</f>
        <v>30100</v>
      </c>
      <c r="H49" s="215">
        <f>IF(C49=0,IF(F49&gt;0,1,0),IF(AND(C49&lt;C$37,OR(D49="",D49&gt;=C$37)),1,0))</f>
        <v>1</v>
      </c>
      <c r="I49" s="215">
        <f>IF(C49=0,IF(AND(F49&gt;0,G49&lt;=0),1,0),IF(AND(D49&lt;&gt;"",D49&gt;=C$37,D49&lt;=C$38),1,0))</f>
        <v>0</v>
      </c>
      <c r="J49" s="215">
        <f>IF(C49=0,IF(AND(F49&lt;=0,G49&gt;0),1,0),IF(AND(C49&gt;=C$37,C49&lt;=C$38),1,0))</f>
        <v>0</v>
      </c>
      <c r="K49" s="204">
        <f>H49*F49</f>
        <v>0</v>
      </c>
      <c r="L49" s="204">
        <f>H49*I49*F49</f>
        <v>0</v>
      </c>
      <c r="M49" s="204">
        <f>H49*(1-I49)*MAX(0,F49-G49)</f>
        <v>0</v>
      </c>
      <c r="N49" s="204">
        <f>H49*(1-I49)*MAX(0,G49-F49)</f>
        <v>30100</v>
      </c>
      <c r="O49" s="204">
        <f>INDEX('Raw - Customers'!$I:$I,MATCH(B49,'Raw - Customers'!$A:$A,0))</f>
        <v>30100</v>
      </c>
      <c r="P49" s="204">
        <f>INDEX('Raw - Customers'!$J:$J,MATCH(B49,'Raw - Customers'!$A:$A,0))</f>
        <v>32400</v>
      </c>
      <c r="Q49" s="215">
        <f>IF(C49=0,IF(O49&gt;0,1,0),IF(AND(C49&lt;D$37,OR(D49="",D49&gt;=D$37)),1,0))</f>
        <v>1</v>
      </c>
      <c r="R49" s="215">
        <f>IF(C49=0,IF(AND(O49&gt;0,P49&lt;=0),1,0),IF(AND(D49&lt;&gt;"",D49&gt;=D$37,D49&lt;=D$38),1,0))</f>
        <v>0</v>
      </c>
      <c r="S49" s="215">
        <f>IF(C49=0,IF(AND(O49&lt;=0,P49&gt;0),1,0),IF(AND(C49&gt;=D$37,C49&lt;=D$38),1,0))</f>
        <v>0</v>
      </c>
      <c r="T49" s="204">
        <f>Q49*O49</f>
        <v>30100</v>
      </c>
      <c r="U49" s="204">
        <f>Q49*R49*O49</f>
        <v>0</v>
      </c>
      <c r="V49" s="204">
        <f>Q49*(1-R49)*MAX(0,O49-P49)</f>
        <v>0</v>
      </c>
      <c r="W49" s="204">
        <f>Q49*(1-R49)*MAX(0,P49-O49)</f>
        <v>2300</v>
      </c>
      <c r="X49" s="204">
        <f>INDEX('Raw - Customers'!$J:$J,MATCH(B49,'Raw - Customers'!$A:$A,0))</f>
        <v>32400</v>
      </c>
      <c r="Y49" s="204">
        <f>INDEX('Raw - Customers'!$K:$K,MATCH(B49,'Raw - Customers'!$A:$A,0))</f>
        <v>34600</v>
      </c>
      <c r="Z49" s="215">
        <f>IF(C49=0,IF(X49&gt;0,1,0),IF(AND(C49&lt;E$37,OR(D49="",D49&gt;=E$37)),1,0))</f>
        <v>1</v>
      </c>
      <c r="AA49" s="215">
        <f>IF(C49=0,IF(AND(X49&gt;0,Y49&lt;=0),1,0),IF(AND(D49&lt;&gt;"",D49&gt;=E$37,D49&lt;=E$38),1,0))</f>
        <v>0</v>
      </c>
      <c r="AB49" s="215">
        <f>IF(C49=0,IF(AND(X49&lt;=0,Y49&gt;0),1,0),IF(AND(C49&gt;=E$37,C49&lt;=E$38),1,0))</f>
        <v>0</v>
      </c>
      <c r="AC49" s="204">
        <f>Z49*X49</f>
        <v>32400</v>
      </c>
      <c r="AD49" s="204">
        <f>Z49*AA49*X49</f>
        <v>0</v>
      </c>
      <c r="AE49" s="204">
        <f>Z49*(1-AA49)*MAX(0,X49-Y49)</f>
        <v>0</v>
      </c>
      <c r="AF49" s="204">
        <f>Z49*(1-AA49)*MAX(0,Y49-X49)</f>
        <v>2200</v>
      </c>
    </row>
    <row r="50" spans="2:32" x14ac:dyDescent="0.25">
      <c r="B50" s="131" t="s">
        <v>643</v>
      </c>
      <c r="C50" s="132">
        <f>INDEX('Raw - Customers'!$E:$E,MATCH(B50,'Raw - Customers'!$A:$A,0))</f>
        <v>44440</v>
      </c>
      <c r="D50" s="132" t="str">
        <f>IF(INDEX('Raw - Customers'!$F:$F,MATCH(B50,'Raw - Customers'!$A:$A,0))="","",INDEX('Raw - Customers'!$F:$F,MATCH(B50,'Raw - Customers'!$A:$A,0)))</f>
        <v/>
      </c>
      <c r="E50" s="214">
        <f>IF(OR(C50=0,AND(D50&lt;&gt;"",N(D50)&lt;='Assumptions'!$C$9),C50&gt;'Assumptions'!$C$9),"",MAX(0,('Assumptions'!$C$9-C50)/365.25))</f>
        <v>4.331279945242985</v>
      </c>
      <c r="F50" s="204">
        <v>0</v>
      </c>
      <c r="G50" s="204">
        <f>INDEX('Raw - Customers'!$I:$I,MATCH(B50,'Raw - Customers'!$A:$A,0))</f>
        <v>15600</v>
      </c>
      <c r="H50" s="215">
        <f>IF(C50=0,IF(F50&gt;0,1,0),IF(AND(C50&lt;C$37,OR(D50="",D50&gt;=C$37)),1,0))</f>
        <v>1</v>
      </c>
      <c r="I50" s="215">
        <f>IF(C50=0,IF(AND(F50&gt;0,G50&lt;=0),1,0),IF(AND(D50&lt;&gt;"",D50&gt;=C$37,D50&lt;=C$38),1,0))</f>
        <v>0</v>
      </c>
      <c r="J50" s="215">
        <f>IF(C50=0,IF(AND(F50&lt;=0,G50&gt;0),1,0),IF(AND(C50&gt;=C$37,C50&lt;=C$38),1,0))</f>
        <v>0</v>
      </c>
      <c r="K50" s="204">
        <f>H50*F50</f>
        <v>0</v>
      </c>
      <c r="L50" s="204">
        <f>H50*I50*F50</f>
        <v>0</v>
      </c>
      <c r="M50" s="204">
        <f>H50*(1-I50)*MAX(0,F50-G50)</f>
        <v>0</v>
      </c>
      <c r="N50" s="204">
        <f>H50*(1-I50)*MAX(0,G50-F50)</f>
        <v>15600</v>
      </c>
      <c r="O50" s="204">
        <f>INDEX('Raw - Customers'!$I:$I,MATCH(B50,'Raw - Customers'!$A:$A,0))</f>
        <v>15600</v>
      </c>
      <c r="P50" s="204">
        <f>INDEX('Raw - Customers'!$J:$J,MATCH(B50,'Raw - Customers'!$A:$A,0))</f>
        <v>22800</v>
      </c>
      <c r="Q50" s="215">
        <f>IF(C50=0,IF(O50&gt;0,1,0),IF(AND(C50&lt;D$37,OR(D50="",D50&gt;=D$37)),1,0))</f>
        <v>1</v>
      </c>
      <c r="R50" s="215">
        <f>IF(C50=0,IF(AND(O50&gt;0,P50&lt;=0),1,0),IF(AND(D50&lt;&gt;"",D50&gt;=D$37,D50&lt;=D$38),1,0))</f>
        <v>0</v>
      </c>
      <c r="S50" s="215">
        <f>IF(C50=0,IF(AND(O50&lt;=0,P50&gt;0),1,0),IF(AND(C50&gt;=D$37,C50&lt;=D$38),1,0))</f>
        <v>0</v>
      </c>
      <c r="T50" s="204">
        <f>Q50*O50</f>
        <v>15600</v>
      </c>
      <c r="U50" s="204">
        <f>Q50*R50*O50</f>
        <v>0</v>
      </c>
      <c r="V50" s="204">
        <f>Q50*(1-R50)*MAX(0,O50-P50)</f>
        <v>0</v>
      </c>
      <c r="W50" s="204">
        <f>Q50*(1-R50)*MAX(0,P50-O50)</f>
        <v>7200</v>
      </c>
      <c r="X50" s="204">
        <f>INDEX('Raw - Customers'!$J:$J,MATCH(B50,'Raw - Customers'!$A:$A,0))</f>
        <v>22800</v>
      </c>
      <c r="Y50" s="204">
        <f>INDEX('Raw - Customers'!$K:$K,MATCH(B50,'Raw - Customers'!$A:$A,0))</f>
        <v>30200</v>
      </c>
      <c r="Z50" s="215">
        <f>IF(C50=0,IF(X50&gt;0,1,0),IF(AND(C50&lt;E$37,OR(D50="",D50&gt;=E$37)),1,0))</f>
        <v>1</v>
      </c>
      <c r="AA50" s="215">
        <f>IF(C50=0,IF(AND(X50&gt;0,Y50&lt;=0),1,0),IF(AND(D50&lt;&gt;"",D50&gt;=E$37,D50&lt;=E$38),1,0))</f>
        <v>0</v>
      </c>
      <c r="AB50" s="215">
        <f>IF(C50=0,IF(AND(X50&lt;=0,Y50&gt;0),1,0),IF(AND(C50&gt;=E$37,C50&lt;=E$38),1,0))</f>
        <v>0</v>
      </c>
      <c r="AC50" s="204">
        <f>Z50*X50</f>
        <v>22800</v>
      </c>
      <c r="AD50" s="204">
        <f>Z50*AA50*X50</f>
        <v>0</v>
      </c>
      <c r="AE50" s="204">
        <f>Z50*(1-AA50)*MAX(0,X50-Y50)</f>
        <v>0</v>
      </c>
      <c r="AF50" s="204">
        <f>Z50*(1-AA50)*MAX(0,Y50-X50)</f>
        <v>7400</v>
      </c>
    </row>
    <row r="51" spans="2:32" x14ac:dyDescent="0.25">
      <c r="B51" s="131" t="s">
        <v>644</v>
      </c>
      <c r="C51" s="132">
        <f>INDEX('Raw - Customers'!$E:$E,MATCH(B51,'Raw - Customers'!$A:$A,0))</f>
        <v>40483</v>
      </c>
      <c r="D51" s="132" t="str">
        <f>IF(INDEX('Raw - Customers'!$F:$F,MATCH(B51,'Raw - Customers'!$A:$A,0))="","",INDEX('Raw - Customers'!$F:$F,MATCH(B51,'Raw - Customers'!$A:$A,0)))</f>
        <v/>
      </c>
      <c r="E51" s="214">
        <f>IF(OR(C51=0,AND(D51&lt;&gt;"",N(D51)&lt;='Assumptions'!$C$9),C51&gt;'Assumptions'!$C$9),"",MAX(0,('Assumptions'!$C$9-C51)/365.25))</f>
        <v>15.16495550992471</v>
      </c>
      <c r="F51" s="204">
        <v>0</v>
      </c>
      <c r="G51" s="204">
        <f>INDEX('Raw - Customers'!$I:$I,MATCH(B51,'Raw - Customers'!$A:$A,0))</f>
        <v>22300</v>
      </c>
      <c r="H51" s="215">
        <f>IF(C51=0,IF(F51&gt;0,1,0),IF(AND(C51&lt;C$37,OR(D51="",D51&gt;=C$37)),1,0))</f>
        <v>1</v>
      </c>
      <c r="I51" s="215">
        <f>IF(C51=0,IF(AND(F51&gt;0,G51&lt;=0),1,0),IF(AND(D51&lt;&gt;"",D51&gt;=C$37,D51&lt;=C$38),1,0))</f>
        <v>0</v>
      </c>
      <c r="J51" s="215">
        <f>IF(C51=0,IF(AND(F51&lt;=0,G51&gt;0),1,0),IF(AND(C51&gt;=C$37,C51&lt;=C$38),1,0))</f>
        <v>0</v>
      </c>
      <c r="K51" s="204">
        <f>H51*F51</f>
        <v>0</v>
      </c>
      <c r="L51" s="204">
        <f>H51*I51*F51</f>
        <v>0</v>
      </c>
      <c r="M51" s="204">
        <f>H51*(1-I51)*MAX(0,F51-G51)</f>
        <v>0</v>
      </c>
      <c r="N51" s="204">
        <f>H51*(1-I51)*MAX(0,G51-F51)</f>
        <v>22300</v>
      </c>
      <c r="O51" s="204">
        <f>INDEX('Raw - Customers'!$I:$I,MATCH(B51,'Raw - Customers'!$A:$A,0))</f>
        <v>22300</v>
      </c>
      <c r="P51" s="204">
        <f>INDEX('Raw - Customers'!$J:$J,MATCH(B51,'Raw - Customers'!$A:$A,0))</f>
        <v>25100</v>
      </c>
      <c r="Q51" s="215">
        <f>IF(C51=0,IF(O51&gt;0,1,0),IF(AND(C51&lt;D$37,OR(D51="",D51&gt;=D$37)),1,0))</f>
        <v>1</v>
      </c>
      <c r="R51" s="215">
        <f>IF(C51=0,IF(AND(O51&gt;0,P51&lt;=0),1,0),IF(AND(D51&lt;&gt;"",D51&gt;=D$37,D51&lt;=D$38),1,0))</f>
        <v>0</v>
      </c>
      <c r="S51" s="215">
        <f>IF(C51=0,IF(AND(O51&lt;=0,P51&gt;0),1,0),IF(AND(C51&gt;=D$37,C51&lt;=D$38),1,0))</f>
        <v>0</v>
      </c>
      <c r="T51" s="204">
        <f>Q51*O51</f>
        <v>22300</v>
      </c>
      <c r="U51" s="204">
        <f>Q51*R51*O51</f>
        <v>0</v>
      </c>
      <c r="V51" s="204">
        <f>Q51*(1-R51)*MAX(0,O51-P51)</f>
        <v>0</v>
      </c>
      <c r="W51" s="204">
        <f>Q51*(1-R51)*MAX(0,P51-O51)</f>
        <v>2800</v>
      </c>
      <c r="X51" s="204">
        <f>INDEX('Raw - Customers'!$J:$J,MATCH(B51,'Raw - Customers'!$A:$A,0))</f>
        <v>25100</v>
      </c>
      <c r="Y51" s="204">
        <f>INDEX('Raw - Customers'!$K:$K,MATCH(B51,'Raw - Customers'!$A:$A,0))</f>
        <v>27100</v>
      </c>
      <c r="Z51" s="215">
        <f>IF(C51=0,IF(X51&gt;0,1,0),IF(AND(C51&lt;E$37,OR(D51="",D51&gt;=E$37)),1,0))</f>
        <v>1</v>
      </c>
      <c r="AA51" s="215">
        <f>IF(C51=0,IF(AND(X51&gt;0,Y51&lt;=0),1,0),IF(AND(D51&lt;&gt;"",D51&gt;=E$37,D51&lt;=E$38),1,0))</f>
        <v>0</v>
      </c>
      <c r="AB51" s="215">
        <f>IF(C51=0,IF(AND(X51&lt;=0,Y51&gt;0),1,0),IF(AND(C51&gt;=E$37,C51&lt;=E$38),1,0))</f>
        <v>0</v>
      </c>
      <c r="AC51" s="204">
        <f>Z51*X51</f>
        <v>25100</v>
      </c>
      <c r="AD51" s="204">
        <f>Z51*AA51*X51</f>
        <v>0</v>
      </c>
      <c r="AE51" s="204">
        <f>Z51*(1-AA51)*MAX(0,X51-Y51)</f>
        <v>0</v>
      </c>
      <c r="AF51" s="204">
        <f>Z51*(1-AA51)*MAX(0,Y51-X51)</f>
        <v>2000</v>
      </c>
    </row>
    <row r="52" spans="2:32" x14ac:dyDescent="0.25">
      <c r="B52" s="131" t="s">
        <v>645</v>
      </c>
      <c r="C52" s="132">
        <f>INDEX('Raw - Customers'!$E:$E,MATCH(B52,'Raw - Customers'!$A:$A,0))</f>
        <v>41183</v>
      </c>
      <c r="D52" s="132" t="str">
        <f>IF(INDEX('Raw - Customers'!$F:$F,MATCH(B52,'Raw - Customers'!$A:$A,0))="","",INDEX('Raw - Customers'!$F:$F,MATCH(B52,'Raw - Customers'!$A:$A,0)))</f>
        <v/>
      </c>
      <c r="E52" s="214">
        <f>IF(OR(C52=0,AND(D52&lt;&gt;"",N(D52)&lt;='Assumptions'!$C$9),C52&gt;'Assumptions'!$C$9),"",MAX(0,('Assumptions'!$C$9-C52)/365.25))</f>
        <v>13.248459958932239</v>
      </c>
      <c r="F52" s="204">
        <v>0</v>
      </c>
      <c r="G52" s="204">
        <f>INDEX('Raw - Customers'!$I:$I,MATCH(B52,'Raw - Customers'!$A:$A,0))</f>
        <v>5771</v>
      </c>
      <c r="H52" s="215">
        <f>IF(C52=0,IF(F52&gt;0,1,0),IF(AND(C52&lt;C$37,OR(D52="",D52&gt;=C$37)),1,0))</f>
        <v>1</v>
      </c>
      <c r="I52" s="215">
        <f>IF(C52=0,IF(AND(F52&gt;0,G52&lt;=0),1,0),IF(AND(D52&lt;&gt;"",D52&gt;=C$37,D52&lt;=C$38),1,0))</f>
        <v>0</v>
      </c>
      <c r="J52" s="215">
        <f>IF(C52=0,IF(AND(F52&lt;=0,G52&gt;0),1,0),IF(AND(C52&gt;=C$37,C52&lt;=C$38),1,0))</f>
        <v>0</v>
      </c>
      <c r="K52" s="204">
        <f>H52*F52</f>
        <v>0</v>
      </c>
      <c r="L52" s="204">
        <f>H52*I52*F52</f>
        <v>0</v>
      </c>
      <c r="M52" s="204">
        <f>H52*(1-I52)*MAX(0,F52-G52)</f>
        <v>0</v>
      </c>
      <c r="N52" s="204">
        <f>H52*(1-I52)*MAX(0,G52-F52)</f>
        <v>5771</v>
      </c>
      <c r="O52" s="204">
        <f>INDEX('Raw - Customers'!$I:$I,MATCH(B52,'Raw - Customers'!$A:$A,0))</f>
        <v>5771</v>
      </c>
      <c r="P52" s="204">
        <f>INDEX('Raw - Customers'!$J:$J,MATCH(B52,'Raw - Customers'!$A:$A,0))</f>
        <v>7175</v>
      </c>
      <c r="Q52" s="215">
        <f>IF(C52=0,IF(O52&gt;0,1,0),IF(AND(C52&lt;D$37,OR(D52="",D52&gt;=D$37)),1,0))</f>
        <v>1</v>
      </c>
      <c r="R52" s="215">
        <f>IF(C52=0,IF(AND(O52&gt;0,P52&lt;=0),1,0),IF(AND(D52&lt;&gt;"",D52&gt;=D$37,D52&lt;=D$38),1,0))</f>
        <v>0</v>
      </c>
      <c r="S52" s="215">
        <f>IF(C52=0,IF(AND(O52&lt;=0,P52&gt;0),1,0),IF(AND(C52&gt;=D$37,C52&lt;=D$38),1,0))</f>
        <v>0</v>
      </c>
      <c r="T52" s="204">
        <f>Q52*O52</f>
        <v>5771</v>
      </c>
      <c r="U52" s="204">
        <f>Q52*R52*O52</f>
        <v>0</v>
      </c>
      <c r="V52" s="204">
        <f>Q52*(1-R52)*MAX(0,O52-P52)</f>
        <v>0</v>
      </c>
      <c r="W52" s="204">
        <f>Q52*(1-R52)*MAX(0,P52-O52)</f>
        <v>1404</v>
      </c>
      <c r="X52" s="204">
        <f>INDEX('Raw - Customers'!$J:$J,MATCH(B52,'Raw - Customers'!$A:$A,0))</f>
        <v>7175</v>
      </c>
      <c r="Y52" s="204">
        <f>INDEX('Raw - Customers'!$K:$K,MATCH(B52,'Raw - Customers'!$A:$A,0))</f>
        <v>9607</v>
      </c>
      <c r="Z52" s="215">
        <f>IF(C52=0,IF(X52&gt;0,1,0),IF(AND(C52&lt;E$37,OR(D52="",D52&gt;=E$37)),1,0))</f>
        <v>1</v>
      </c>
      <c r="AA52" s="215">
        <f>IF(C52=0,IF(AND(X52&gt;0,Y52&lt;=0),1,0),IF(AND(D52&lt;&gt;"",D52&gt;=E$37,D52&lt;=E$38),1,0))</f>
        <v>0</v>
      </c>
      <c r="AB52" s="215">
        <f>IF(C52=0,IF(AND(X52&lt;=0,Y52&gt;0),1,0),IF(AND(C52&gt;=E$37,C52&lt;=E$38),1,0))</f>
        <v>0</v>
      </c>
      <c r="AC52" s="204">
        <f>Z52*X52</f>
        <v>7175</v>
      </c>
      <c r="AD52" s="204">
        <f>Z52*AA52*X52</f>
        <v>0</v>
      </c>
      <c r="AE52" s="204">
        <f>Z52*(1-AA52)*MAX(0,X52-Y52)</f>
        <v>0</v>
      </c>
      <c r="AF52" s="204">
        <f>Z52*(1-AA52)*MAX(0,Y52-X52)</f>
        <v>2432</v>
      </c>
    </row>
    <row r="53" spans="2:32" x14ac:dyDescent="0.25">
      <c r="B53" s="131" t="s">
        <v>646</v>
      </c>
      <c r="C53" s="132">
        <f>INDEX('Raw - Customers'!$E:$E,MATCH(B53,'Raw - Customers'!$A:$A,0))</f>
        <v>44774</v>
      </c>
      <c r="D53" s="132" t="str">
        <f>IF(INDEX('Raw - Customers'!$F:$F,MATCH(B53,'Raw - Customers'!$A:$A,0))="","",INDEX('Raw - Customers'!$F:$F,MATCH(B53,'Raw - Customers'!$A:$A,0)))</f>
        <v/>
      </c>
      <c r="E53" s="214">
        <f>IF(OR(C53=0,AND(D53&lt;&gt;"",N(D53)&lt;='Assumptions'!$C$9),C53&gt;'Assumptions'!$C$9),"",MAX(0,('Assumptions'!$C$9-C53)/365.25))</f>
        <v>3.4168377823408624</v>
      </c>
      <c r="F53" s="204">
        <v>0</v>
      </c>
      <c r="G53" s="204">
        <f>INDEX('Raw - Customers'!$I:$I,MATCH(B53,'Raw - Customers'!$A:$A,0))</f>
        <v>5917</v>
      </c>
      <c r="H53" s="215">
        <f>IF(C53=0,IF(F53&gt;0,1,0),IF(AND(C53&lt;C$37,OR(D53="",D53&gt;=C$37)),1,0))</f>
        <v>1</v>
      </c>
      <c r="I53" s="215">
        <f>IF(C53=0,IF(AND(F53&gt;0,G53&lt;=0),1,0),IF(AND(D53&lt;&gt;"",D53&gt;=C$37,D53&lt;=C$38),1,0))</f>
        <v>0</v>
      </c>
      <c r="J53" s="215">
        <f>IF(C53=0,IF(AND(F53&lt;=0,G53&gt;0),1,0),IF(AND(C53&gt;=C$37,C53&lt;=C$38),1,0))</f>
        <v>0</v>
      </c>
      <c r="K53" s="204">
        <f>H53*F53</f>
        <v>0</v>
      </c>
      <c r="L53" s="204">
        <f>H53*I53*F53</f>
        <v>0</v>
      </c>
      <c r="M53" s="204">
        <f>H53*(1-I53)*MAX(0,F53-G53)</f>
        <v>0</v>
      </c>
      <c r="N53" s="204">
        <f>H53*(1-I53)*MAX(0,G53-F53)</f>
        <v>5917</v>
      </c>
      <c r="O53" s="204">
        <f>INDEX('Raw - Customers'!$I:$I,MATCH(B53,'Raw - Customers'!$A:$A,0))</f>
        <v>5917</v>
      </c>
      <c r="P53" s="204">
        <f>INDEX('Raw - Customers'!$J:$J,MATCH(B53,'Raw - Customers'!$A:$A,0))</f>
        <v>6362</v>
      </c>
      <c r="Q53" s="215">
        <f>IF(C53=0,IF(O53&gt;0,1,0),IF(AND(C53&lt;D$37,OR(D53="",D53&gt;=D$37)),1,0))</f>
        <v>1</v>
      </c>
      <c r="R53" s="215">
        <f>IF(C53=0,IF(AND(O53&gt;0,P53&lt;=0),1,0),IF(AND(D53&lt;&gt;"",D53&gt;=D$37,D53&lt;=D$38),1,0))</f>
        <v>0</v>
      </c>
      <c r="S53" s="215">
        <f>IF(C53=0,IF(AND(O53&lt;=0,P53&gt;0),1,0),IF(AND(C53&gt;=D$37,C53&lt;=D$38),1,0))</f>
        <v>0</v>
      </c>
      <c r="T53" s="204">
        <f>Q53*O53</f>
        <v>5917</v>
      </c>
      <c r="U53" s="204">
        <f>Q53*R53*O53</f>
        <v>0</v>
      </c>
      <c r="V53" s="204">
        <f>Q53*(1-R53)*MAX(0,O53-P53)</f>
        <v>0</v>
      </c>
      <c r="W53" s="204">
        <f>Q53*(1-R53)*MAX(0,P53-O53)</f>
        <v>445</v>
      </c>
      <c r="X53" s="204">
        <f>INDEX('Raw - Customers'!$J:$J,MATCH(B53,'Raw - Customers'!$A:$A,0))</f>
        <v>6362</v>
      </c>
      <c r="Y53" s="204">
        <f>INDEX('Raw - Customers'!$K:$K,MATCH(B53,'Raw - Customers'!$A:$A,0))</f>
        <v>8942</v>
      </c>
      <c r="Z53" s="215">
        <f>IF(C53=0,IF(X53&gt;0,1,0),IF(AND(C53&lt;E$37,OR(D53="",D53&gt;=E$37)),1,0))</f>
        <v>1</v>
      </c>
      <c r="AA53" s="215">
        <f>IF(C53=0,IF(AND(X53&gt;0,Y53&lt;=0),1,0),IF(AND(D53&lt;&gt;"",D53&gt;=E$37,D53&lt;=E$38),1,0))</f>
        <v>0</v>
      </c>
      <c r="AB53" s="215">
        <f>IF(C53=0,IF(AND(X53&lt;=0,Y53&gt;0),1,0),IF(AND(C53&gt;=E$37,C53&lt;=E$38),1,0))</f>
        <v>0</v>
      </c>
      <c r="AC53" s="204">
        <f>Z53*X53</f>
        <v>6362</v>
      </c>
      <c r="AD53" s="204">
        <f>Z53*AA53*X53</f>
        <v>0</v>
      </c>
      <c r="AE53" s="204">
        <f>Z53*(1-AA53)*MAX(0,X53-Y53)</f>
        <v>0</v>
      </c>
      <c r="AF53" s="204">
        <f>Z53*(1-AA53)*MAX(0,Y53-X53)</f>
        <v>2580</v>
      </c>
    </row>
    <row r="54" spans="2:32" x14ac:dyDescent="0.25">
      <c r="B54" s="131" t="s">
        <v>647</v>
      </c>
      <c r="C54" s="132">
        <f>INDEX('Raw - Customers'!$E:$E,MATCH(B54,'Raw - Customers'!$A:$A,0))</f>
        <v>42767</v>
      </c>
      <c r="D54" s="132" t="str">
        <f>IF(INDEX('Raw - Customers'!$F:$F,MATCH(B54,'Raw - Customers'!$A:$A,0))="","",INDEX('Raw - Customers'!$F:$F,MATCH(B54,'Raw - Customers'!$A:$A,0)))</f>
        <v/>
      </c>
      <c r="E54" s="214">
        <f>IF(OR(C54=0,AND(D54&lt;&gt;"",N(D54)&lt;='Assumptions'!$C$9),C54&gt;'Assumptions'!$C$9),"",MAX(0,('Assumptions'!$C$9-C54)/365.25))</f>
        <v>8.91170431211499</v>
      </c>
      <c r="F54" s="204">
        <v>0</v>
      </c>
      <c r="G54" s="204">
        <f>INDEX('Raw - Customers'!$I:$I,MATCH(B54,'Raw - Customers'!$A:$A,0))</f>
        <v>5494</v>
      </c>
      <c r="H54" s="215">
        <f>IF(C54=0,IF(F54&gt;0,1,0),IF(AND(C54&lt;C$37,OR(D54="",D54&gt;=C$37)),1,0))</f>
        <v>1</v>
      </c>
      <c r="I54" s="215">
        <f>IF(C54=0,IF(AND(F54&gt;0,G54&lt;=0),1,0),IF(AND(D54&lt;&gt;"",D54&gt;=C$37,D54&lt;=C$38),1,0))</f>
        <v>0</v>
      </c>
      <c r="J54" s="215">
        <f>IF(C54=0,IF(AND(F54&lt;=0,G54&gt;0),1,0),IF(AND(C54&gt;=C$37,C54&lt;=C$38),1,0))</f>
        <v>0</v>
      </c>
      <c r="K54" s="204">
        <f>H54*F54</f>
        <v>0</v>
      </c>
      <c r="L54" s="204">
        <f>H54*I54*F54</f>
        <v>0</v>
      </c>
      <c r="M54" s="204">
        <f>H54*(1-I54)*MAX(0,F54-G54)</f>
        <v>0</v>
      </c>
      <c r="N54" s="204">
        <f>H54*(1-I54)*MAX(0,G54-F54)</f>
        <v>5494</v>
      </c>
      <c r="O54" s="204">
        <f>INDEX('Raw - Customers'!$I:$I,MATCH(B54,'Raw - Customers'!$A:$A,0))</f>
        <v>5494</v>
      </c>
      <c r="P54" s="204">
        <f>INDEX('Raw - Customers'!$J:$J,MATCH(B54,'Raw - Customers'!$A:$A,0))</f>
        <v>6086</v>
      </c>
      <c r="Q54" s="215">
        <f>IF(C54=0,IF(O54&gt;0,1,0),IF(AND(C54&lt;D$37,OR(D54="",D54&gt;=D$37)),1,0))</f>
        <v>1</v>
      </c>
      <c r="R54" s="215">
        <f>IF(C54=0,IF(AND(O54&gt;0,P54&lt;=0),1,0),IF(AND(D54&lt;&gt;"",D54&gt;=D$37,D54&lt;=D$38),1,0))</f>
        <v>0</v>
      </c>
      <c r="S54" s="215">
        <f>IF(C54=0,IF(AND(O54&lt;=0,P54&gt;0),1,0),IF(AND(C54&gt;=D$37,C54&lt;=D$38),1,0))</f>
        <v>0</v>
      </c>
      <c r="T54" s="204">
        <f>Q54*O54</f>
        <v>5494</v>
      </c>
      <c r="U54" s="204">
        <f>Q54*R54*O54</f>
        <v>0</v>
      </c>
      <c r="V54" s="204">
        <f>Q54*(1-R54)*MAX(0,O54-P54)</f>
        <v>0</v>
      </c>
      <c r="W54" s="204">
        <f>Q54*(1-R54)*MAX(0,P54-O54)</f>
        <v>592</v>
      </c>
      <c r="X54" s="204">
        <f>INDEX('Raw - Customers'!$J:$J,MATCH(B54,'Raw - Customers'!$A:$A,0))</f>
        <v>6086</v>
      </c>
      <c r="Y54" s="204">
        <f>INDEX('Raw - Customers'!$K:$K,MATCH(B54,'Raw - Customers'!$A:$A,0))</f>
        <v>8472</v>
      </c>
      <c r="Z54" s="215">
        <f>IF(C54=0,IF(X54&gt;0,1,0),IF(AND(C54&lt;E$37,OR(D54="",D54&gt;=E$37)),1,0))</f>
        <v>1</v>
      </c>
      <c r="AA54" s="215">
        <f>IF(C54=0,IF(AND(X54&gt;0,Y54&lt;=0),1,0),IF(AND(D54&lt;&gt;"",D54&gt;=E$37,D54&lt;=E$38),1,0))</f>
        <v>0</v>
      </c>
      <c r="AB54" s="215">
        <f>IF(C54=0,IF(AND(X54&lt;=0,Y54&gt;0),1,0),IF(AND(C54&gt;=E$37,C54&lt;=E$38),1,0))</f>
        <v>0</v>
      </c>
      <c r="AC54" s="204">
        <f>Z54*X54</f>
        <v>6086</v>
      </c>
      <c r="AD54" s="204">
        <f>Z54*AA54*X54</f>
        <v>0</v>
      </c>
      <c r="AE54" s="204">
        <f>Z54*(1-AA54)*MAX(0,X54-Y54)</f>
        <v>0</v>
      </c>
      <c r="AF54" s="204">
        <f>Z54*(1-AA54)*MAX(0,Y54-X54)</f>
        <v>2386</v>
      </c>
    </row>
    <row r="55" spans="2:32" x14ac:dyDescent="0.25">
      <c r="B55" s="131" t="s">
        <v>648</v>
      </c>
      <c r="C55" s="132">
        <f>INDEX('Raw - Customers'!$E:$E,MATCH(B55,'Raw - Customers'!$A:$A,0))</f>
        <v>45627</v>
      </c>
      <c r="D55" s="132" t="str">
        <f>IF(INDEX('Raw - Customers'!$F:$F,MATCH(B55,'Raw - Customers'!$A:$A,0))="","",INDEX('Raw - Customers'!$F:$F,MATCH(B55,'Raw - Customers'!$A:$A,0)))</f>
        <v/>
      </c>
      <c r="E55" s="214">
        <f>IF(OR(C55=0,AND(D55&lt;&gt;"",N(D55)&lt;='Assumptions'!$C$9),C55&gt;'Assumptions'!$C$9),"",MAX(0,('Assumptions'!$C$9-C55)/365.25))</f>
        <v>1.08145106091718</v>
      </c>
      <c r="F55" s="204">
        <v>0</v>
      </c>
      <c r="G55" s="204">
        <f>INDEX('Raw - Customers'!$I:$I,MATCH(B55,'Raw - Customers'!$A:$A,0))</f>
        <v>0</v>
      </c>
      <c r="H55" s="215">
        <f>IF(C55=0,IF(F55&gt;0,1,0),IF(AND(C55&lt;C$37,OR(D55="",D55&gt;=C$37)),1,0))</f>
        <v>0</v>
      </c>
      <c r="I55" s="215">
        <f>IF(C55=0,IF(AND(F55&gt;0,G55&lt;=0),1,0),IF(AND(D55&lt;&gt;"",D55&gt;=C$37,D55&lt;=C$38),1,0))</f>
        <v>0</v>
      </c>
      <c r="J55" s="215">
        <f>IF(C55=0,IF(AND(F55&lt;=0,G55&gt;0),1,0),IF(AND(C55&gt;=C$37,C55&lt;=C$38),1,0))</f>
        <v>0</v>
      </c>
      <c r="K55" s="204">
        <f>H55*F55</f>
        <v>0</v>
      </c>
      <c r="L55" s="204">
        <f>H55*I55*F55</f>
        <v>0</v>
      </c>
      <c r="M55" s="204">
        <f>H55*(1-I55)*MAX(0,F55-G55)</f>
        <v>0</v>
      </c>
      <c r="N55" s="204">
        <f>H55*(1-I55)*MAX(0,G55-F55)</f>
        <v>0</v>
      </c>
      <c r="O55" s="204">
        <f>INDEX('Raw - Customers'!$I:$I,MATCH(B55,'Raw - Customers'!$A:$A,0))</f>
        <v>0</v>
      </c>
      <c r="P55" s="204">
        <f>INDEX('Raw - Customers'!$J:$J,MATCH(B55,'Raw - Customers'!$A:$A,0))</f>
        <v>631</v>
      </c>
      <c r="Q55" s="215">
        <f>IF(C55=0,IF(O55&gt;0,1,0),IF(AND(C55&lt;D$37,OR(D55="",D55&gt;=D$37)),1,0))</f>
        <v>0</v>
      </c>
      <c r="R55" s="215">
        <f>IF(C55=0,IF(AND(O55&gt;0,P55&lt;=0),1,0),IF(AND(D55&lt;&gt;"",D55&gt;=D$37,D55&lt;=D$38),1,0))</f>
        <v>0</v>
      </c>
      <c r="S55" s="215">
        <f>IF(C55=0,IF(AND(O55&lt;=0,P55&gt;0),1,0),IF(AND(C55&gt;=D$37,C55&lt;=D$38),1,0))</f>
        <v>1</v>
      </c>
      <c r="T55" s="204">
        <f>Q55*O55</f>
        <v>0</v>
      </c>
      <c r="U55" s="204">
        <f>Q55*R55*O55</f>
        <v>0</v>
      </c>
      <c r="V55" s="204">
        <f>Q55*(1-R55)*MAX(0,O55-P55)</f>
        <v>0</v>
      </c>
      <c r="W55" s="204">
        <f>Q55*(1-R55)*MAX(0,P55-O55)</f>
        <v>0</v>
      </c>
      <c r="X55" s="204">
        <f>INDEX('Raw - Customers'!$J:$J,MATCH(B55,'Raw - Customers'!$A:$A,0))</f>
        <v>631</v>
      </c>
      <c r="Y55" s="204">
        <f>INDEX('Raw - Customers'!$K:$K,MATCH(B55,'Raw - Customers'!$A:$A,0))</f>
        <v>8247</v>
      </c>
      <c r="Z55" s="215">
        <f>IF(C55=0,IF(X55&gt;0,1,0),IF(AND(C55&lt;E$37,OR(D55="",D55&gt;=E$37)),1,0))</f>
        <v>1</v>
      </c>
      <c r="AA55" s="215">
        <f>IF(C55=0,IF(AND(X55&gt;0,Y55&lt;=0),1,0),IF(AND(D55&lt;&gt;"",D55&gt;=E$37,D55&lt;=E$38),1,0))</f>
        <v>0</v>
      </c>
      <c r="AB55" s="215">
        <f>IF(C55=0,IF(AND(X55&lt;=0,Y55&gt;0),1,0),IF(AND(C55&gt;=E$37,C55&lt;=E$38),1,0))</f>
        <v>0</v>
      </c>
      <c r="AC55" s="204">
        <f>Z55*X55</f>
        <v>631</v>
      </c>
      <c r="AD55" s="204">
        <f>Z55*AA55*X55</f>
        <v>0</v>
      </c>
      <c r="AE55" s="204">
        <f>Z55*(1-AA55)*MAX(0,X55-Y55)</f>
        <v>0</v>
      </c>
      <c r="AF55" s="204">
        <f>Z55*(1-AA55)*MAX(0,Y55-X55)</f>
        <v>7616</v>
      </c>
    </row>
    <row r="56" spans="2:32" x14ac:dyDescent="0.25">
      <c r="B56" s="131" t="s">
        <v>649</v>
      </c>
      <c r="C56" s="132">
        <f>INDEX('Raw - Customers'!$E:$E,MATCH(B56,'Raw - Customers'!$A:$A,0))</f>
        <v>43191</v>
      </c>
      <c r="D56" s="132" t="str">
        <f>IF(INDEX('Raw - Customers'!$F:$F,MATCH(B56,'Raw - Customers'!$A:$A,0))="","",INDEX('Raw - Customers'!$F:$F,MATCH(B56,'Raw - Customers'!$A:$A,0)))</f>
        <v/>
      </c>
      <c r="E56" s="214">
        <f>IF(OR(C56=0,AND(D56&lt;&gt;"",N(D56)&lt;='Assumptions'!$C$9),C56&gt;'Assumptions'!$C$9),"",MAX(0,('Assumptions'!$C$9-C56)/365.25))</f>
        <v>7.750855578370979</v>
      </c>
      <c r="F56" s="204">
        <v>0</v>
      </c>
      <c r="G56" s="204">
        <f>INDEX('Raw - Customers'!$I:$I,MATCH(B56,'Raw - Customers'!$A:$A,0))</f>
        <v>6351</v>
      </c>
      <c r="H56" s="215">
        <f>IF(C56=0,IF(F56&gt;0,1,0),IF(AND(C56&lt;C$37,OR(D56="",D56&gt;=C$37)),1,0))</f>
        <v>1</v>
      </c>
      <c r="I56" s="215">
        <f>IF(C56=0,IF(AND(F56&gt;0,G56&lt;=0),1,0),IF(AND(D56&lt;&gt;"",D56&gt;=C$37,D56&lt;=C$38),1,0))</f>
        <v>0</v>
      </c>
      <c r="J56" s="215">
        <f>IF(C56=0,IF(AND(F56&lt;=0,G56&gt;0),1,0),IF(AND(C56&gt;=C$37,C56&lt;=C$38),1,0))</f>
        <v>0</v>
      </c>
      <c r="K56" s="204">
        <f>H56*F56</f>
        <v>0</v>
      </c>
      <c r="L56" s="204">
        <f>H56*I56*F56</f>
        <v>0</v>
      </c>
      <c r="M56" s="204">
        <f>H56*(1-I56)*MAX(0,F56-G56)</f>
        <v>0</v>
      </c>
      <c r="N56" s="204">
        <f>H56*(1-I56)*MAX(0,G56-F56)</f>
        <v>6351</v>
      </c>
      <c r="O56" s="204">
        <f>INDEX('Raw - Customers'!$I:$I,MATCH(B56,'Raw - Customers'!$A:$A,0))</f>
        <v>6351</v>
      </c>
      <c r="P56" s="204">
        <f>INDEX('Raw - Customers'!$J:$J,MATCH(B56,'Raw - Customers'!$A:$A,0))</f>
        <v>7692</v>
      </c>
      <c r="Q56" s="215">
        <f>IF(C56=0,IF(O56&gt;0,1,0),IF(AND(C56&lt;D$37,OR(D56="",D56&gt;=D$37)),1,0))</f>
        <v>1</v>
      </c>
      <c r="R56" s="215">
        <f>IF(C56=0,IF(AND(O56&gt;0,P56&lt;=0),1,0),IF(AND(D56&lt;&gt;"",D56&gt;=D$37,D56&lt;=D$38),1,0))</f>
        <v>0</v>
      </c>
      <c r="S56" s="215">
        <f>IF(C56=0,IF(AND(O56&lt;=0,P56&gt;0),1,0),IF(AND(C56&gt;=D$37,C56&lt;=D$38),1,0))</f>
        <v>0</v>
      </c>
      <c r="T56" s="204">
        <f>Q56*O56</f>
        <v>6351</v>
      </c>
      <c r="U56" s="204">
        <f>Q56*R56*O56</f>
        <v>0</v>
      </c>
      <c r="V56" s="204">
        <f>Q56*(1-R56)*MAX(0,O56-P56)</f>
        <v>0</v>
      </c>
      <c r="W56" s="204">
        <f>Q56*(1-R56)*MAX(0,P56-O56)</f>
        <v>1341</v>
      </c>
      <c r="X56" s="204">
        <f>INDEX('Raw - Customers'!$J:$J,MATCH(B56,'Raw - Customers'!$A:$A,0))</f>
        <v>7692</v>
      </c>
      <c r="Y56" s="204">
        <f>INDEX('Raw - Customers'!$K:$K,MATCH(B56,'Raw - Customers'!$A:$A,0))</f>
        <v>8153</v>
      </c>
      <c r="Z56" s="215">
        <f>IF(C56=0,IF(X56&gt;0,1,0),IF(AND(C56&lt;E$37,OR(D56="",D56&gt;=E$37)),1,0))</f>
        <v>1</v>
      </c>
      <c r="AA56" s="215">
        <f>IF(C56=0,IF(AND(X56&gt;0,Y56&lt;=0),1,0),IF(AND(D56&lt;&gt;"",D56&gt;=E$37,D56&lt;=E$38),1,0))</f>
        <v>0</v>
      </c>
      <c r="AB56" s="215">
        <f>IF(C56=0,IF(AND(X56&lt;=0,Y56&gt;0),1,0),IF(AND(C56&gt;=E$37,C56&lt;=E$38),1,0))</f>
        <v>0</v>
      </c>
      <c r="AC56" s="204">
        <f>Z56*X56</f>
        <v>7692</v>
      </c>
      <c r="AD56" s="204">
        <f>Z56*AA56*X56</f>
        <v>0</v>
      </c>
      <c r="AE56" s="204">
        <f>Z56*(1-AA56)*MAX(0,X56-Y56)</f>
        <v>0</v>
      </c>
      <c r="AF56" s="204">
        <f>Z56*(1-AA56)*MAX(0,Y56-X56)</f>
        <v>461</v>
      </c>
    </row>
    <row r="57" spans="2:32" x14ac:dyDescent="0.25">
      <c r="B57" s="131" t="s">
        <v>650</v>
      </c>
      <c r="C57" s="132">
        <f>INDEX('Raw - Customers'!$E:$E,MATCH(B57,'Raw - Customers'!$A:$A,0))</f>
        <v>45383</v>
      </c>
      <c r="D57" s="132" t="str">
        <f>IF(INDEX('Raw - Customers'!$F:$F,MATCH(B57,'Raw - Customers'!$A:$A,0))="","",INDEX('Raw - Customers'!$F:$F,MATCH(B57,'Raw - Customers'!$A:$A,0)))</f>
        <v/>
      </c>
      <c r="E57" s="214">
        <f>IF(OR(C57=0,AND(D57&lt;&gt;"",N(D57)&lt;='Assumptions'!$C$9),C57&gt;'Assumptions'!$C$9),"",MAX(0,('Assumptions'!$C$9-C57)/365.25))</f>
        <v>1.7494866529774127</v>
      </c>
      <c r="F57" s="204">
        <v>0</v>
      </c>
      <c r="G57" s="204">
        <f>INDEX('Raw - Customers'!$I:$I,MATCH(B57,'Raw - Customers'!$A:$A,0))</f>
        <v>0</v>
      </c>
      <c r="H57" s="215">
        <f>IF(C57=0,IF(F57&gt;0,1,0),IF(AND(C57&lt;C$37,OR(D57="",D57&gt;=C$37)),1,0))</f>
        <v>0</v>
      </c>
      <c r="I57" s="215">
        <f>IF(C57=0,IF(AND(F57&gt;0,G57&lt;=0),1,0),IF(AND(D57&lt;&gt;"",D57&gt;=C$37,D57&lt;=C$38),1,0))</f>
        <v>0</v>
      </c>
      <c r="J57" s="215">
        <f>IF(C57=0,IF(AND(F57&lt;=0,G57&gt;0),1,0),IF(AND(C57&gt;=C$37,C57&lt;=C$38),1,0))</f>
        <v>0</v>
      </c>
      <c r="K57" s="204">
        <f>H57*F57</f>
        <v>0</v>
      </c>
      <c r="L57" s="204">
        <f>H57*I57*F57</f>
        <v>0</v>
      </c>
      <c r="M57" s="204">
        <f>H57*(1-I57)*MAX(0,F57-G57)</f>
        <v>0</v>
      </c>
      <c r="N57" s="204">
        <f>H57*(1-I57)*MAX(0,G57-F57)</f>
        <v>0</v>
      </c>
      <c r="O57" s="204">
        <f>INDEX('Raw - Customers'!$I:$I,MATCH(B57,'Raw - Customers'!$A:$A,0))</f>
        <v>0</v>
      </c>
      <c r="P57" s="204">
        <f>INDEX('Raw - Customers'!$J:$J,MATCH(B57,'Raw - Customers'!$A:$A,0))</f>
        <v>5284</v>
      </c>
      <c r="Q57" s="215">
        <f>IF(C57=0,IF(O57&gt;0,1,0),IF(AND(C57&lt;D$37,OR(D57="",D57&gt;=D$37)),1,0))</f>
        <v>0</v>
      </c>
      <c r="R57" s="215">
        <f>IF(C57=0,IF(AND(O57&gt;0,P57&lt;=0),1,0),IF(AND(D57&lt;&gt;"",D57&gt;=D$37,D57&lt;=D$38),1,0))</f>
        <v>0</v>
      </c>
      <c r="S57" s="215">
        <f>IF(C57=0,IF(AND(O57&lt;=0,P57&gt;0),1,0),IF(AND(C57&gt;=D$37,C57&lt;=D$38),1,0))</f>
        <v>1</v>
      </c>
      <c r="T57" s="204">
        <f>Q57*O57</f>
        <v>0</v>
      </c>
      <c r="U57" s="204">
        <f>Q57*R57*O57</f>
        <v>0</v>
      </c>
      <c r="V57" s="204">
        <f>Q57*(1-R57)*MAX(0,O57-P57)</f>
        <v>0</v>
      </c>
      <c r="W57" s="204">
        <f>Q57*(1-R57)*MAX(0,P57-O57)</f>
        <v>0</v>
      </c>
      <c r="X57" s="204">
        <f>INDEX('Raw - Customers'!$J:$J,MATCH(B57,'Raw - Customers'!$A:$A,0))</f>
        <v>5284</v>
      </c>
      <c r="Y57" s="204">
        <f>INDEX('Raw - Customers'!$K:$K,MATCH(B57,'Raw - Customers'!$A:$A,0))</f>
        <v>7820</v>
      </c>
      <c r="Z57" s="215">
        <f>IF(C57=0,IF(X57&gt;0,1,0),IF(AND(C57&lt;E$37,OR(D57="",D57&gt;=E$37)),1,0))</f>
        <v>1</v>
      </c>
      <c r="AA57" s="215">
        <f>IF(C57=0,IF(AND(X57&gt;0,Y57&lt;=0),1,0),IF(AND(D57&lt;&gt;"",D57&gt;=E$37,D57&lt;=E$38),1,0))</f>
        <v>0</v>
      </c>
      <c r="AB57" s="215">
        <f>IF(C57=0,IF(AND(X57&lt;=0,Y57&gt;0),1,0),IF(AND(C57&gt;=E$37,C57&lt;=E$38),1,0))</f>
        <v>0</v>
      </c>
      <c r="AC57" s="204">
        <f>Z57*X57</f>
        <v>5284</v>
      </c>
      <c r="AD57" s="204">
        <f>Z57*AA57*X57</f>
        <v>0</v>
      </c>
      <c r="AE57" s="204">
        <f>Z57*(1-AA57)*MAX(0,X57-Y57)</f>
        <v>0</v>
      </c>
      <c r="AF57" s="204">
        <f>Z57*(1-AA57)*MAX(0,Y57-X57)</f>
        <v>2536</v>
      </c>
    </row>
    <row r="58" spans="2:32" x14ac:dyDescent="0.25">
      <c r="B58" s="131" t="s">
        <v>651</v>
      </c>
      <c r="C58" s="132">
        <f>INDEX('Raw - Customers'!$E:$E,MATCH(B58,'Raw - Customers'!$A:$A,0))</f>
        <v>45689</v>
      </c>
      <c r="D58" s="132" t="str">
        <f>IF(INDEX('Raw - Customers'!$F:$F,MATCH(B58,'Raw - Customers'!$A:$A,0))="","",INDEX('Raw - Customers'!$F:$F,MATCH(B58,'Raw - Customers'!$A:$A,0)))</f>
        <v/>
      </c>
      <c r="E58" s="214">
        <f>IF(OR(C58=0,AND(D58&lt;&gt;"",N(D58)&lt;='Assumptions'!$C$9),C58&gt;'Assumptions'!$C$9),"",MAX(0,('Assumptions'!$C$9-C58)/365.25))</f>
        <v>0.9117043121149897</v>
      </c>
      <c r="F58" s="204">
        <v>0</v>
      </c>
      <c r="G58" s="204">
        <f>INDEX('Raw - Customers'!$I:$I,MATCH(B58,'Raw - Customers'!$A:$A,0))</f>
        <v>0</v>
      </c>
      <c r="H58" s="215">
        <f>IF(C58=0,IF(F58&gt;0,1,0),IF(AND(C58&lt;C$37,OR(D58="",D58&gt;=C$37)),1,0))</f>
        <v>0</v>
      </c>
      <c r="I58" s="215">
        <f>IF(C58=0,IF(AND(F58&gt;0,G58&lt;=0),1,0),IF(AND(D58&lt;&gt;"",D58&gt;=C$37,D58&lt;=C$38),1,0))</f>
        <v>0</v>
      </c>
      <c r="J58" s="215">
        <f>IF(C58=0,IF(AND(F58&lt;=0,G58&gt;0),1,0),IF(AND(C58&gt;=C$37,C58&lt;=C$38),1,0))</f>
        <v>0</v>
      </c>
      <c r="K58" s="204">
        <f>H58*F58</f>
        <v>0</v>
      </c>
      <c r="L58" s="204">
        <f>H58*I58*F58</f>
        <v>0</v>
      </c>
      <c r="M58" s="204">
        <f>H58*(1-I58)*MAX(0,F58-G58)</f>
        <v>0</v>
      </c>
      <c r="N58" s="204">
        <f>H58*(1-I58)*MAX(0,G58-F58)</f>
        <v>0</v>
      </c>
      <c r="O58" s="204">
        <f>INDEX('Raw - Customers'!$I:$I,MATCH(B58,'Raw - Customers'!$A:$A,0))</f>
        <v>0</v>
      </c>
      <c r="P58" s="204">
        <f>INDEX('Raw - Customers'!$J:$J,MATCH(B58,'Raw - Customers'!$A:$A,0))</f>
        <v>0</v>
      </c>
      <c r="Q58" s="215">
        <f>IF(C58=0,IF(O58&gt;0,1,0),IF(AND(C58&lt;D$37,OR(D58="",D58&gt;=D$37)),1,0))</f>
        <v>0</v>
      </c>
      <c r="R58" s="215">
        <f>IF(C58=0,IF(AND(O58&gt;0,P58&lt;=0),1,0),IF(AND(D58&lt;&gt;"",D58&gt;=D$37,D58&lt;=D$38),1,0))</f>
        <v>0</v>
      </c>
      <c r="S58" s="215">
        <f>IF(C58=0,IF(AND(O58&lt;=0,P58&gt;0),1,0),IF(AND(C58&gt;=D$37,C58&lt;=D$38),1,0))</f>
        <v>0</v>
      </c>
      <c r="T58" s="204">
        <f>Q58*O58</f>
        <v>0</v>
      </c>
      <c r="U58" s="204">
        <f>Q58*R58*O58</f>
        <v>0</v>
      </c>
      <c r="V58" s="204">
        <f>Q58*(1-R58)*MAX(0,O58-P58)</f>
        <v>0</v>
      </c>
      <c r="W58" s="204">
        <f>Q58*(1-R58)*MAX(0,P58-O58)</f>
        <v>0</v>
      </c>
      <c r="X58" s="204">
        <f>INDEX('Raw - Customers'!$J:$J,MATCH(B58,'Raw - Customers'!$A:$A,0))</f>
        <v>0</v>
      </c>
      <c r="Y58" s="204">
        <f>INDEX('Raw - Customers'!$K:$K,MATCH(B58,'Raw - Customers'!$A:$A,0))</f>
        <v>7479</v>
      </c>
      <c r="Z58" s="215">
        <f>IF(C58=0,IF(X58&gt;0,1,0),IF(AND(C58&lt;E$37,OR(D58="",D58&gt;=E$37)),1,0))</f>
        <v>0</v>
      </c>
      <c r="AA58" s="215">
        <f>IF(C58=0,IF(AND(X58&gt;0,Y58&lt;=0),1,0),IF(AND(D58&lt;&gt;"",D58&gt;=E$37,D58&lt;=E$38),1,0))</f>
        <v>0</v>
      </c>
      <c r="AB58" s="215">
        <f>IF(C58=0,IF(AND(X58&lt;=0,Y58&gt;0),1,0),IF(AND(C58&gt;=E$37,C58&lt;=E$38),1,0))</f>
        <v>1</v>
      </c>
      <c r="AC58" s="204">
        <f>Z58*X58</f>
        <v>0</v>
      </c>
      <c r="AD58" s="204">
        <f>Z58*AA58*X58</f>
        <v>0</v>
      </c>
      <c r="AE58" s="204">
        <f>Z58*(1-AA58)*MAX(0,X58-Y58)</f>
        <v>0</v>
      </c>
      <c r="AF58" s="204">
        <f>Z58*(1-AA58)*MAX(0,Y58-X58)</f>
        <v>0</v>
      </c>
    </row>
    <row r="59" spans="2:32" x14ac:dyDescent="0.25">
      <c r="B59" s="131" t="s">
        <v>652</v>
      </c>
      <c r="C59" s="132">
        <f>INDEX('Raw - Customers'!$E:$E,MATCH(B59,'Raw - Customers'!$A:$A,0))</f>
        <v>45047</v>
      </c>
      <c r="D59" s="132" t="str">
        <f>IF(INDEX('Raw - Customers'!$F:$F,MATCH(B59,'Raw - Customers'!$A:$A,0))="","",INDEX('Raw - Customers'!$F:$F,MATCH(B59,'Raw - Customers'!$A:$A,0)))</f>
        <v/>
      </c>
      <c r="E59" s="214">
        <f>IF(OR(C59=0,AND(D59&lt;&gt;"",N(D59)&lt;='Assumptions'!$C$9),C59&gt;'Assumptions'!$C$9),"",MAX(0,('Assumptions'!$C$9-C59)/365.25))</f>
        <v>2.6694045174537986</v>
      </c>
      <c r="F59" s="204">
        <v>0</v>
      </c>
      <c r="G59" s="204">
        <f>INDEX('Raw - Customers'!$I:$I,MATCH(B59,'Raw - Customers'!$A:$A,0))</f>
        <v>4081</v>
      </c>
      <c r="H59" s="215">
        <f>IF(C59=0,IF(F59&gt;0,1,0),IF(AND(C59&lt;C$37,OR(D59="",D59&gt;=C$37)),1,0))</f>
        <v>0</v>
      </c>
      <c r="I59" s="215">
        <f>IF(C59=0,IF(AND(F59&gt;0,G59&lt;=0),1,0),IF(AND(D59&lt;&gt;"",D59&gt;=C$37,D59&lt;=C$38),1,0))</f>
        <v>0</v>
      </c>
      <c r="J59" s="215">
        <f>IF(C59=0,IF(AND(F59&lt;=0,G59&gt;0),1,0),IF(AND(C59&gt;=C$37,C59&lt;=C$38),1,0))</f>
        <v>1</v>
      </c>
      <c r="K59" s="204">
        <f>H59*F59</f>
        <v>0</v>
      </c>
      <c r="L59" s="204">
        <f>H59*I59*F59</f>
        <v>0</v>
      </c>
      <c r="M59" s="204">
        <f>H59*(1-I59)*MAX(0,F59-G59)</f>
        <v>0</v>
      </c>
      <c r="N59" s="204">
        <f>H59*(1-I59)*MAX(0,G59-F59)</f>
        <v>0</v>
      </c>
      <c r="O59" s="204">
        <f>INDEX('Raw - Customers'!$I:$I,MATCH(B59,'Raw - Customers'!$A:$A,0))</f>
        <v>4081</v>
      </c>
      <c r="P59" s="204">
        <f>INDEX('Raw - Customers'!$J:$J,MATCH(B59,'Raw - Customers'!$A:$A,0))</f>
        <v>6991</v>
      </c>
      <c r="Q59" s="215">
        <f>IF(C59=0,IF(O59&gt;0,1,0),IF(AND(C59&lt;D$37,OR(D59="",D59&gt;=D$37)),1,0))</f>
        <v>1</v>
      </c>
      <c r="R59" s="215">
        <f>IF(C59=0,IF(AND(O59&gt;0,P59&lt;=0),1,0),IF(AND(D59&lt;&gt;"",D59&gt;=D$37,D59&lt;=D$38),1,0))</f>
        <v>0</v>
      </c>
      <c r="S59" s="215">
        <f>IF(C59=0,IF(AND(O59&lt;=0,P59&gt;0),1,0),IF(AND(C59&gt;=D$37,C59&lt;=D$38),1,0))</f>
        <v>0</v>
      </c>
      <c r="T59" s="204">
        <f>Q59*O59</f>
        <v>4081</v>
      </c>
      <c r="U59" s="204">
        <f>Q59*R59*O59</f>
        <v>0</v>
      </c>
      <c r="V59" s="204">
        <f>Q59*(1-R59)*MAX(0,O59-P59)</f>
        <v>0</v>
      </c>
      <c r="W59" s="204">
        <f>Q59*(1-R59)*MAX(0,P59-O59)</f>
        <v>2910</v>
      </c>
      <c r="X59" s="204">
        <f>INDEX('Raw - Customers'!$J:$J,MATCH(B59,'Raw - Customers'!$A:$A,0))</f>
        <v>6991</v>
      </c>
      <c r="Y59" s="204">
        <f>INDEX('Raw - Customers'!$K:$K,MATCH(B59,'Raw - Customers'!$A:$A,0))</f>
        <v>7295</v>
      </c>
      <c r="Z59" s="215">
        <f>IF(C59=0,IF(X59&gt;0,1,0),IF(AND(C59&lt;E$37,OR(D59="",D59&gt;=E$37)),1,0))</f>
        <v>1</v>
      </c>
      <c r="AA59" s="215">
        <f>IF(C59=0,IF(AND(X59&gt;0,Y59&lt;=0),1,0),IF(AND(D59&lt;&gt;"",D59&gt;=E$37,D59&lt;=E$38),1,0))</f>
        <v>0</v>
      </c>
      <c r="AB59" s="215">
        <f>IF(C59=0,IF(AND(X59&lt;=0,Y59&gt;0),1,0),IF(AND(C59&gt;=E$37,C59&lt;=E$38),1,0))</f>
        <v>0</v>
      </c>
      <c r="AC59" s="204">
        <f>Z59*X59</f>
        <v>6991</v>
      </c>
      <c r="AD59" s="204">
        <f>Z59*AA59*X59</f>
        <v>0</v>
      </c>
      <c r="AE59" s="204">
        <f>Z59*(1-AA59)*MAX(0,X59-Y59)</f>
        <v>0</v>
      </c>
      <c r="AF59" s="204">
        <f>Z59*(1-AA59)*MAX(0,Y59-X59)</f>
        <v>304</v>
      </c>
    </row>
    <row r="60" spans="2:32" x14ac:dyDescent="0.25">
      <c r="B60" s="131" t="s">
        <v>653</v>
      </c>
      <c r="C60" s="132">
        <f>INDEX('Raw - Customers'!$E:$E,MATCH(B60,'Raw - Customers'!$A:$A,0))</f>
        <v>42186</v>
      </c>
      <c r="D60" s="132" t="str">
        <f>IF(INDEX('Raw - Customers'!$F:$F,MATCH(B60,'Raw - Customers'!$A:$A,0))="","",INDEX('Raw - Customers'!$F:$F,MATCH(B60,'Raw - Customers'!$A:$A,0)))</f>
        <v/>
      </c>
      <c r="E60" s="214">
        <f>IF(OR(C60=0,AND(D60&lt;&gt;"",N(D60)&lt;='Assumptions'!$C$9),C60&gt;'Assumptions'!$C$9),"",MAX(0,('Assumptions'!$C$9-C60)/365.25))</f>
        <v>10.50239561943874</v>
      </c>
      <c r="F60" s="204">
        <v>0</v>
      </c>
      <c r="G60" s="204">
        <f>INDEX('Raw - Customers'!$I:$I,MATCH(B60,'Raw - Customers'!$A:$A,0))</f>
        <v>4172</v>
      </c>
      <c r="H60" s="215">
        <f>IF(C60=0,IF(F60&gt;0,1,0),IF(AND(C60&lt;C$37,OR(D60="",D60&gt;=C$37)),1,0))</f>
        <v>1</v>
      </c>
      <c r="I60" s="215">
        <f>IF(C60=0,IF(AND(F60&gt;0,G60&lt;=0),1,0),IF(AND(D60&lt;&gt;"",D60&gt;=C$37,D60&lt;=C$38),1,0))</f>
        <v>0</v>
      </c>
      <c r="J60" s="215">
        <f>IF(C60=0,IF(AND(F60&lt;=0,G60&gt;0),1,0),IF(AND(C60&gt;=C$37,C60&lt;=C$38),1,0))</f>
        <v>0</v>
      </c>
      <c r="K60" s="204">
        <f>H60*F60</f>
        <v>0</v>
      </c>
      <c r="L60" s="204">
        <f>H60*I60*F60</f>
        <v>0</v>
      </c>
      <c r="M60" s="204">
        <f>H60*(1-I60)*MAX(0,F60-G60)</f>
        <v>0</v>
      </c>
      <c r="N60" s="204">
        <f>H60*(1-I60)*MAX(0,G60-F60)</f>
        <v>4172</v>
      </c>
      <c r="O60" s="204">
        <f>INDEX('Raw - Customers'!$I:$I,MATCH(B60,'Raw - Customers'!$A:$A,0))</f>
        <v>4172</v>
      </c>
      <c r="P60" s="204">
        <f>INDEX('Raw - Customers'!$J:$J,MATCH(B60,'Raw - Customers'!$A:$A,0))</f>
        <v>5985</v>
      </c>
      <c r="Q60" s="215">
        <f>IF(C60=0,IF(O60&gt;0,1,0),IF(AND(C60&lt;D$37,OR(D60="",D60&gt;=D$37)),1,0))</f>
        <v>1</v>
      </c>
      <c r="R60" s="215">
        <f>IF(C60=0,IF(AND(O60&gt;0,P60&lt;=0),1,0),IF(AND(D60&lt;&gt;"",D60&gt;=D$37,D60&lt;=D$38),1,0))</f>
        <v>0</v>
      </c>
      <c r="S60" s="215">
        <f>IF(C60=0,IF(AND(O60&lt;=0,P60&gt;0),1,0),IF(AND(C60&gt;=D$37,C60&lt;=D$38),1,0))</f>
        <v>0</v>
      </c>
      <c r="T60" s="204">
        <f>Q60*O60</f>
        <v>4172</v>
      </c>
      <c r="U60" s="204">
        <f>Q60*R60*O60</f>
        <v>0</v>
      </c>
      <c r="V60" s="204">
        <f>Q60*(1-R60)*MAX(0,O60-P60)</f>
        <v>0</v>
      </c>
      <c r="W60" s="204">
        <f>Q60*(1-R60)*MAX(0,P60-O60)</f>
        <v>1813</v>
      </c>
      <c r="X60" s="204">
        <f>INDEX('Raw - Customers'!$J:$J,MATCH(B60,'Raw - Customers'!$A:$A,0))</f>
        <v>5985</v>
      </c>
      <c r="Y60" s="204">
        <f>INDEX('Raw - Customers'!$K:$K,MATCH(B60,'Raw - Customers'!$A:$A,0))</f>
        <v>7040</v>
      </c>
      <c r="Z60" s="215">
        <f>IF(C60=0,IF(X60&gt;0,1,0),IF(AND(C60&lt;E$37,OR(D60="",D60&gt;=E$37)),1,0))</f>
        <v>1</v>
      </c>
      <c r="AA60" s="215">
        <f>IF(C60=0,IF(AND(X60&gt;0,Y60&lt;=0),1,0),IF(AND(D60&lt;&gt;"",D60&gt;=E$37,D60&lt;=E$38),1,0))</f>
        <v>0</v>
      </c>
      <c r="AB60" s="215">
        <f>IF(C60=0,IF(AND(X60&lt;=0,Y60&gt;0),1,0),IF(AND(C60&gt;=E$37,C60&lt;=E$38),1,0))</f>
        <v>0</v>
      </c>
      <c r="AC60" s="204">
        <f>Z60*X60</f>
        <v>5985</v>
      </c>
      <c r="AD60" s="204">
        <f>Z60*AA60*X60</f>
        <v>0</v>
      </c>
      <c r="AE60" s="204">
        <f>Z60*(1-AA60)*MAX(0,X60-Y60)</f>
        <v>0</v>
      </c>
      <c r="AF60" s="204">
        <f>Z60*(1-AA60)*MAX(0,Y60-X60)</f>
        <v>1055</v>
      </c>
    </row>
    <row r="61" spans="2:32" x14ac:dyDescent="0.25">
      <c r="B61" s="131" t="s">
        <v>654</v>
      </c>
      <c r="C61" s="132">
        <f>INDEX('Raw - Customers'!$E:$E,MATCH(B61,'Raw - Customers'!$A:$A,0))</f>
        <v>40817</v>
      </c>
      <c r="D61" s="132">
        <f>IF(INDEX('Raw - Customers'!$F:$F,MATCH(B61,'Raw - Customers'!$A:$A,0))="","",INDEX('Raw - Customers'!$F:$F,MATCH(B61,'Raw - Customers'!$A:$A,0)))</f>
        <v>45991</v>
      </c>
      <c r="E61" s="214" t="str">
        <f>IF(OR(C61=0,AND(D61&lt;&gt;"",N(D61)&lt;='Assumptions'!$C$9),C61&gt;'Assumptions'!$C$9),"",MAX(0,('Assumptions'!$C$9-C61)/365.25))</f>
        <v/>
      </c>
      <c r="F61" s="204">
        <v>0</v>
      </c>
      <c r="G61" s="204">
        <f>INDEX('Raw - Customers'!$I:$I,MATCH(B61,'Raw - Customers'!$A:$A,0))</f>
        <v>5719</v>
      </c>
      <c r="H61" s="215">
        <f>IF(C61=0,IF(F61&gt;0,1,0),IF(AND(C61&lt;C$37,OR(D61="",D61&gt;=C$37)),1,0))</f>
        <v>1</v>
      </c>
      <c r="I61" s="215">
        <f>IF(C61=0,IF(AND(F61&gt;0,G61&lt;=0),1,0),IF(AND(D61&lt;&gt;"",D61&gt;=C$37,D61&lt;=C$38),1,0))</f>
        <v>0</v>
      </c>
      <c r="J61" s="215">
        <f>IF(C61=0,IF(AND(F61&lt;=0,G61&gt;0),1,0),IF(AND(C61&gt;=C$37,C61&lt;=C$38),1,0))</f>
        <v>0</v>
      </c>
      <c r="K61" s="204">
        <f>H61*F61</f>
        <v>0</v>
      </c>
      <c r="L61" s="204">
        <f>H61*I61*F61</f>
        <v>0</v>
      </c>
      <c r="M61" s="204">
        <f>H61*(1-I61)*MAX(0,F61-G61)</f>
        <v>0</v>
      </c>
      <c r="N61" s="204">
        <f>H61*(1-I61)*MAX(0,G61-F61)</f>
        <v>5719</v>
      </c>
      <c r="O61" s="204">
        <f>INDEX('Raw - Customers'!$I:$I,MATCH(B61,'Raw - Customers'!$A:$A,0))</f>
        <v>5719</v>
      </c>
      <c r="P61" s="204">
        <f>INDEX('Raw - Customers'!$J:$J,MATCH(B61,'Raw - Customers'!$A:$A,0))</f>
        <v>5951</v>
      </c>
      <c r="Q61" s="215">
        <f>IF(C61=0,IF(O61&gt;0,1,0),IF(AND(C61&lt;D$37,OR(D61="",D61&gt;=D$37)),1,0))</f>
        <v>1</v>
      </c>
      <c r="R61" s="215">
        <f>IF(C61=0,IF(AND(O61&gt;0,P61&lt;=0),1,0),IF(AND(D61&lt;&gt;"",D61&gt;=D$37,D61&lt;=D$38),1,0))</f>
        <v>0</v>
      </c>
      <c r="S61" s="215">
        <f>IF(C61=0,IF(AND(O61&lt;=0,P61&gt;0),1,0),IF(AND(C61&gt;=D$37,C61&lt;=D$38),1,0))</f>
        <v>0</v>
      </c>
      <c r="T61" s="204">
        <f>Q61*O61</f>
        <v>5719</v>
      </c>
      <c r="U61" s="204">
        <f>Q61*R61*O61</f>
        <v>0</v>
      </c>
      <c r="V61" s="204">
        <f>Q61*(1-R61)*MAX(0,O61-P61)</f>
        <v>0</v>
      </c>
      <c r="W61" s="204">
        <f>Q61*(1-R61)*MAX(0,P61-O61)</f>
        <v>232</v>
      </c>
      <c r="X61" s="204">
        <f>INDEX('Raw - Customers'!$J:$J,MATCH(B61,'Raw - Customers'!$A:$A,0))</f>
        <v>5951</v>
      </c>
      <c r="Y61" s="204">
        <f>INDEX('Raw - Customers'!$K:$K,MATCH(B61,'Raw - Customers'!$A:$A,0))</f>
        <v>6826</v>
      </c>
      <c r="Z61" s="215">
        <f>IF(C61=0,IF(X61&gt;0,1,0),IF(AND(C61&lt;E$37,OR(D61="",D61&gt;=E$37)),1,0))</f>
        <v>1</v>
      </c>
      <c r="AA61" s="215">
        <f>IF(C61=0,IF(AND(X61&gt;0,Y61&lt;=0),1,0),IF(AND(D61&lt;&gt;"",D61&gt;=E$37,D61&lt;=E$38),1,0))</f>
        <v>1</v>
      </c>
      <c r="AB61" s="215">
        <f>IF(C61=0,IF(AND(X61&lt;=0,Y61&gt;0),1,0),IF(AND(C61&gt;=E$37,C61&lt;=E$38),1,0))</f>
        <v>0</v>
      </c>
      <c r="AC61" s="204">
        <f>Z61*X61</f>
        <v>5951</v>
      </c>
      <c r="AD61" s="204">
        <f>Z61*AA61*X61</f>
        <v>5951</v>
      </c>
      <c r="AE61" s="204">
        <f>Z61*(1-AA61)*MAX(0,X61-Y61)</f>
        <v>0</v>
      </c>
      <c r="AF61" s="204">
        <f>Z61*(1-AA61)*MAX(0,Y61-X61)</f>
        <v>0</v>
      </c>
    </row>
    <row r="62" spans="2:32" x14ac:dyDescent="0.25">
      <c r="B62" s="131" t="s">
        <v>655</v>
      </c>
      <c r="C62" s="132">
        <f>INDEX('Raw - Customers'!$E:$E,MATCH(B62,'Raw - Customers'!$A:$A,0))</f>
        <v>41609</v>
      </c>
      <c r="D62" s="132" t="str">
        <f>IF(INDEX('Raw - Customers'!$F:$F,MATCH(B62,'Raw - Customers'!$A:$A,0))="","",INDEX('Raw - Customers'!$F:$F,MATCH(B62,'Raw - Customers'!$A:$A,0)))</f>
        <v/>
      </c>
      <c r="E62" s="214">
        <f>IF(OR(C62=0,AND(D62&lt;&gt;"",N(D62)&lt;='Assumptions'!$C$9),C62&gt;'Assumptions'!$C$9),"",MAX(0,('Assumptions'!$C$9-C62)/365.25))</f>
        <v>12.082135523613964</v>
      </c>
      <c r="F62" s="204">
        <v>0</v>
      </c>
      <c r="G62" s="204">
        <f>INDEX('Raw - Customers'!$I:$I,MATCH(B62,'Raw - Customers'!$A:$A,0))</f>
        <v>5619</v>
      </c>
      <c r="H62" s="215">
        <f>IF(C62=0,IF(F62&gt;0,1,0),IF(AND(C62&lt;C$37,OR(D62="",D62&gt;=C$37)),1,0))</f>
        <v>1</v>
      </c>
      <c r="I62" s="215">
        <f>IF(C62=0,IF(AND(F62&gt;0,G62&lt;=0),1,0),IF(AND(D62&lt;&gt;"",D62&gt;=C$37,D62&lt;=C$38),1,0))</f>
        <v>0</v>
      </c>
      <c r="J62" s="215">
        <f>IF(C62=0,IF(AND(F62&lt;=0,G62&gt;0),1,0),IF(AND(C62&gt;=C$37,C62&lt;=C$38),1,0))</f>
        <v>0</v>
      </c>
      <c r="K62" s="204">
        <f>H62*F62</f>
        <v>0</v>
      </c>
      <c r="L62" s="204">
        <f>H62*I62*F62</f>
        <v>0</v>
      </c>
      <c r="M62" s="204">
        <f>H62*(1-I62)*MAX(0,F62-G62)</f>
        <v>0</v>
      </c>
      <c r="N62" s="204">
        <f>H62*(1-I62)*MAX(0,G62-F62)</f>
        <v>5619</v>
      </c>
      <c r="O62" s="204">
        <f>INDEX('Raw - Customers'!$I:$I,MATCH(B62,'Raw - Customers'!$A:$A,0))</f>
        <v>5619</v>
      </c>
      <c r="P62" s="204">
        <f>INDEX('Raw - Customers'!$J:$J,MATCH(B62,'Raw - Customers'!$A:$A,0))</f>
        <v>6004</v>
      </c>
      <c r="Q62" s="215">
        <f>IF(C62=0,IF(O62&gt;0,1,0),IF(AND(C62&lt;D$37,OR(D62="",D62&gt;=D$37)),1,0))</f>
        <v>1</v>
      </c>
      <c r="R62" s="215">
        <f>IF(C62=0,IF(AND(O62&gt;0,P62&lt;=0),1,0),IF(AND(D62&lt;&gt;"",D62&gt;=D$37,D62&lt;=D$38),1,0))</f>
        <v>0</v>
      </c>
      <c r="S62" s="215">
        <f>IF(C62=0,IF(AND(O62&lt;=0,P62&gt;0),1,0),IF(AND(C62&gt;=D$37,C62&lt;=D$38),1,0))</f>
        <v>0</v>
      </c>
      <c r="T62" s="204">
        <f>Q62*O62</f>
        <v>5619</v>
      </c>
      <c r="U62" s="204">
        <f>Q62*R62*O62</f>
        <v>0</v>
      </c>
      <c r="V62" s="204">
        <f>Q62*(1-R62)*MAX(0,O62-P62)</f>
        <v>0</v>
      </c>
      <c r="W62" s="204">
        <f>Q62*(1-R62)*MAX(0,P62-O62)</f>
        <v>385</v>
      </c>
      <c r="X62" s="204">
        <f>INDEX('Raw - Customers'!$J:$J,MATCH(B62,'Raw - Customers'!$A:$A,0))</f>
        <v>6004</v>
      </c>
      <c r="Y62" s="204">
        <f>INDEX('Raw - Customers'!$K:$K,MATCH(B62,'Raw - Customers'!$A:$A,0))</f>
        <v>6446</v>
      </c>
      <c r="Z62" s="215">
        <f>IF(C62=0,IF(X62&gt;0,1,0),IF(AND(C62&lt;E$37,OR(D62="",D62&gt;=E$37)),1,0))</f>
        <v>1</v>
      </c>
      <c r="AA62" s="215">
        <f>IF(C62=0,IF(AND(X62&gt;0,Y62&lt;=0),1,0),IF(AND(D62&lt;&gt;"",D62&gt;=E$37,D62&lt;=E$38),1,0))</f>
        <v>0</v>
      </c>
      <c r="AB62" s="215">
        <f>IF(C62=0,IF(AND(X62&lt;=0,Y62&gt;0),1,0),IF(AND(C62&gt;=E$37,C62&lt;=E$38),1,0))</f>
        <v>0</v>
      </c>
      <c r="AC62" s="204">
        <f>Z62*X62</f>
        <v>6004</v>
      </c>
      <c r="AD62" s="204">
        <f>Z62*AA62*X62</f>
        <v>0</v>
      </c>
      <c r="AE62" s="204">
        <f>Z62*(1-AA62)*MAX(0,X62-Y62)</f>
        <v>0</v>
      </c>
      <c r="AF62" s="204">
        <f>Z62*(1-AA62)*MAX(0,Y62-X62)</f>
        <v>442</v>
      </c>
    </row>
    <row r="63" spans="2:32" x14ac:dyDescent="0.25">
      <c r="B63" s="131" t="s">
        <v>656</v>
      </c>
      <c r="C63" s="132">
        <f>INDEX('Raw - Customers'!$E:$E,MATCH(B63,'Raw - Customers'!$A:$A,0))</f>
        <v>45139</v>
      </c>
      <c r="D63" s="132" t="str">
        <f>IF(INDEX('Raw - Customers'!$F:$F,MATCH(B63,'Raw - Customers'!$A:$A,0))="","",INDEX('Raw - Customers'!$F:$F,MATCH(B63,'Raw - Customers'!$A:$A,0)))</f>
        <v/>
      </c>
      <c r="E63" s="214">
        <f>IF(OR(C63=0,AND(D63&lt;&gt;"",N(D63)&lt;='Assumptions'!$C$9),C63&gt;'Assumptions'!$C$9),"",MAX(0,('Assumptions'!$C$9-C63)/365.25))</f>
        <v>2.4175222450376452</v>
      </c>
      <c r="F63" s="204">
        <v>0</v>
      </c>
      <c r="G63" s="204">
        <f>INDEX('Raw - Customers'!$I:$I,MATCH(B63,'Raw - Customers'!$A:$A,0))</f>
        <v>2204</v>
      </c>
      <c r="H63" s="215">
        <f>IF(C63=0,IF(F63&gt;0,1,0),IF(AND(C63&lt;C$37,OR(D63="",D63&gt;=C$37)),1,0))</f>
        <v>0</v>
      </c>
      <c r="I63" s="215">
        <f>IF(C63=0,IF(AND(F63&gt;0,G63&lt;=0),1,0),IF(AND(D63&lt;&gt;"",D63&gt;=C$37,D63&lt;=C$38),1,0))</f>
        <v>0</v>
      </c>
      <c r="J63" s="215">
        <f>IF(C63=0,IF(AND(F63&lt;=0,G63&gt;0),1,0),IF(AND(C63&gt;=C$37,C63&lt;=C$38),1,0))</f>
        <v>1</v>
      </c>
      <c r="K63" s="204">
        <f>H63*F63</f>
        <v>0</v>
      </c>
      <c r="L63" s="204">
        <f>H63*I63*F63</f>
        <v>0</v>
      </c>
      <c r="M63" s="204">
        <f>H63*(1-I63)*MAX(0,F63-G63)</f>
        <v>0</v>
      </c>
      <c r="N63" s="204">
        <f>H63*(1-I63)*MAX(0,G63-F63)</f>
        <v>0</v>
      </c>
      <c r="O63" s="204">
        <f>INDEX('Raw - Customers'!$I:$I,MATCH(B63,'Raw - Customers'!$A:$A,0))</f>
        <v>2204</v>
      </c>
      <c r="P63" s="204">
        <f>INDEX('Raw - Customers'!$J:$J,MATCH(B63,'Raw - Customers'!$A:$A,0))</f>
        <v>5909</v>
      </c>
      <c r="Q63" s="215">
        <f>IF(C63=0,IF(O63&gt;0,1,0),IF(AND(C63&lt;D$37,OR(D63="",D63&gt;=D$37)),1,0))</f>
        <v>1</v>
      </c>
      <c r="R63" s="215">
        <f>IF(C63=0,IF(AND(O63&gt;0,P63&lt;=0),1,0),IF(AND(D63&lt;&gt;"",D63&gt;=D$37,D63&lt;=D$38),1,0))</f>
        <v>0</v>
      </c>
      <c r="S63" s="215">
        <f>IF(C63=0,IF(AND(O63&lt;=0,P63&gt;0),1,0),IF(AND(C63&gt;=D$37,C63&lt;=D$38),1,0))</f>
        <v>0</v>
      </c>
      <c r="T63" s="204">
        <f>Q63*O63</f>
        <v>2204</v>
      </c>
      <c r="U63" s="204">
        <f>Q63*R63*O63</f>
        <v>0</v>
      </c>
      <c r="V63" s="204">
        <f>Q63*(1-R63)*MAX(0,O63-P63)</f>
        <v>0</v>
      </c>
      <c r="W63" s="204">
        <f>Q63*(1-R63)*MAX(0,P63-O63)</f>
        <v>3705</v>
      </c>
      <c r="X63" s="204">
        <f>INDEX('Raw - Customers'!$J:$J,MATCH(B63,'Raw - Customers'!$A:$A,0))</f>
        <v>5909</v>
      </c>
      <c r="Y63" s="204">
        <f>INDEX('Raw - Customers'!$K:$K,MATCH(B63,'Raw - Customers'!$A:$A,0))</f>
        <v>6411</v>
      </c>
      <c r="Z63" s="215">
        <f>IF(C63=0,IF(X63&gt;0,1,0),IF(AND(C63&lt;E$37,OR(D63="",D63&gt;=E$37)),1,0))</f>
        <v>1</v>
      </c>
      <c r="AA63" s="215">
        <f>IF(C63=0,IF(AND(X63&gt;0,Y63&lt;=0),1,0),IF(AND(D63&lt;&gt;"",D63&gt;=E$37,D63&lt;=E$38),1,0))</f>
        <v>0</v>
      </c>
      <c r="AB63" s="215">
        <f>IF(C63=0,IF(AND(X63&lt;=0,Y63&gt;0),1,0),IF(AND(C63&gt;=E$37,C63&lt;=E$38),1,0))</f>
        <v>0</v>
      </c>
      <c r="AC63" s="204">
        <f>Z63*X63</f>
        <v>5909</v>
      </c>
      <c r="AD63" s="204">
        <f>Z63*AA63*X63</f>
        <v>0</v>
      </c>
      <c r="AE63" s="204">
        <f>Z63*(1-AA63)*MAX(0,X63-Y63)</f>
        <v>0</v>
      </c>
      <c r="AF63" s="204">
        <f>Z63*(1-AA63)*MAX(0,Y63-X63)</f>
        <v>502</v>
      </c>
    </row>
    <row r="64" spans="2:32" x14ac:dyDescent="0.25">
      <c r="B64" s="131" t="s">
        <v>657</v>
      </c>
      <c r="C64" s="132">
        <f>INDEX('Raw - Customers'!$E:$E,MATCH(B64,'Raw - Customers'!$A:$A,0))</f>
        <v>44986</v>
      </c>
      <c r="D64" s="132" t="str">
        <f>IF(INDEX('Raw - Customers'!$F:$F,MATCH(B64,'Raw - Customers'!$A:$A,0))="","",INDEX('Raw - Customers'!$F:$F,MATCH(B64,'Raw - Customers'!$A:$A,0)))</f>
        <v/>
      </c>
      <c r="E64" s="214">
        <f>IF(OR(C64=0,AND(D64&lt;&gt;"",N(D64)&lt;='Assumptions'!$C$9),C64&gt;'Assumptions'!$C$9),"",MAX(0,('Assumptions'!$C$9-C64)/365.25))</f>
        <v>2.836413415468857</v>
      </c>
      <c r="F64" s="204">
        <v>0</v>
      </c>
      <c r="G64" s="204">
        <f>INDEX('Raw - Customers'!$I:$I,MATCH(B64,'Raw - Customers'!$A:$A,0))</f>
        <v>3882</v>
      </c>
      <c r="H64" s="215">
        <f>IF(C64=0,IF(F64&gt;0,1,0),IF(AND(C64&lt;C$37,OR(D64="",D64&gt;=C$37)),1,0))</f>
        <v>0</v>
      </c>
      <c r="I64" s="215">
        <f>IF(C64=0,IF(AND(F64&gt;0,G64&lt;=0),1,0),IF(AND(D64&lt;&gt;"",D64&gt;=C$37,D64&lt;=C$38),1,0))</f>
        <v>0</v>
      </c>
      <c r="J64" s="215">
        <f>IF(C64=0,IF(AND(F64&lt;=0,G64&gt;0),1,0),IF(AND(C64&gt;=C$37,C64&lt;=C$38),1,0))</f>
        <v>1</v>
      </c>
      <c r="K64" s="204">
        <f>H64*F64</f>
        <v>0</v>
      </c>
      <c r="L64" s="204">
        <f>H64*I64*F64</f>
        <v>0</v>
      </c>
      <c r="M64" s="204">
        <f>H64*(1-I64)*MAX(0,F64-G64)</f>
        <v>0</v>
      </c>
      <c r="N64" s="204">
        <f>H64*(1-I64)*MAX(0,G64-F64)</f>
        <v>0</v>
      </c>
      <c r="O64" s="204">
        <f>INDEX('Raw - Customers'!$I:$I,MATCH(B64,'Raw - Customers'!$A:$A,0))</f>
        <v>3882</v>
      </c>
      <c r="P64" s="204">
        <f>INDEX('Raw - Customers'!$J:$J,MATCH(B64,'Raw - Customers'!$A:$A,0))</f>
        <v>6080</v>
      </c>
      <c r="Q64" s="215">
        <f>IF(C64=0,IF(O64&gt;0,1,0),IF(AND(C64&lt;D$37,OR(D64="",D64&gt;=D$37)),1,0))</f>
        <v>1</v>
      </c>
      <c r="R64" s="215">
        <f>IF(C64=0,IF(AND(O64&gt;0,P64&lt;=0),1,0),IF(AND(D64&lt;&gt;"",D64&gt;=D$37,D64&lt;=D$38),1,0))</f>
        <v>0</v>
      </c>
      <c r="S64" s="215">
        <f>IF(C64=0,IF(AND(O64&lt;=0,P64&gt;0),1,0),IF(AND(C64&gt;=D$37,C64&lt;=D$38),1,0))</f>
        <v>0</v>
      </c>
      <c r="T64" s="204">
        <f>Q64*O64</f>
        <v>3882</v>
      </c>
      <c r="U64" s="204">
        <f>Q64*R64*O64</f>
        <v>0</v>
      </c>
      <c r="V64" s="204">
        <f>Q64*(1-R64)*MAX(0,O64-P64)</f>
        <v>0</v>
      </c>
      <c r="W64" s="204">
        <f>Q64*(1-R64)*MAX(0,P64-O64)</f>
        <v>2198</v>
      </c>
      <c r="X64" s="204">
        <f>INDEX('Raw - Customers'!$J:$J,MATCH(B64,'Raw - Customers'!$A:$A,0))</f>
        <v>6080</v>
      </c>
      <c r="Y64" s="204">
        <f>INDEX('Raw - Customers'!$K:$K,MATCH(B64,'Raw - Customers'!$A:$A,0))</f>
        <v>6222</v>
      </c>
      <c r="Z64" s="215">
        <f>IF(C64=0,IF(X64&gt;0,1,0),IF(AND(C64&lt;E$37,OR(D64="",D64&gt;=E$37)),1,0))</f>
        <v>1</v>
      </c>
      <c r="AA64" s="215">
        <f>IF(C64=0,IF(AND(X64&gt;0,Y64&lt;=0),1,0),IF(AND(D64&lt;&gt;"",D64&gt;=E$37,D64&lt;=E$38),1,0))</f>
        <v>0</v>
      </c>
      <c r="AB64" s="215">
        <f>IF(C64=0,IF(AND(X64&lt;=0,Y64&gt;0),1,0),IF(AND(C64&gt;=E$37,C64&lt;=E$38),1,0))</f>
        <v>0</v>
      </c>
      <c r="AC64" s="204">
        <f>Z64*X64</f>
        <v>6080</v>
      </c>
      <c r="AD64" s="204">
        <f>Z64*AA64*X64</f>
        <v>0</v>
      </c>
      <c r="AE64" s="204">
        <f>Z64*(1-AA64)*MAX(0,X64-Y64)</f>
        <v>0</v>
      </c>
      <c r="AF64" s="204">
        <f>Z64*(1-AA64)*MAX(0,Y64-X64)</f>
        <v>142</v>
      </c>
    </row>
    <row r="65" spans="2:32" x14ac:dyDescent="0.25">
      <c r="B65" s="131" t="s">
        <v>658</v>
      </c>
      <c r="C65" s="132">
        <f>INDEX('Raw - Customers'!$E:$E,MATCH(B65,'Raw - Customers'!$A:$A,0))</f>
        <v>40238</v>
      </c>
      <c r="D65" s="132" t="str">
        <f>IF(INDEX('Raw - Customers'!$F:$F,MATCH(B65,'Raw - Customers'!$A:$A,0))="","",INDEX('Raw - Customers'!$F:$F,MATCH(B65,'Raw - Customers'!$A:$A,0)))</f>
        <v/>
      </c>
      <c r="E65" s="214">
        <f>IF(OR(C65=0,AND(D65&lt;&gt;"",N(D65)&lt;='Assumptions'!$C$9),C65&gt;'Assumptions'!$C$9),"",MAX(0,('Assumptions'!$C$9-C65)/365.25))</f>
        <v>15.835728952772074</v>
      </c>
      <c r="F65" s="204">
        <v>0</v>
      </c>
      <c r="G65" s="204">
        <f>INDEX('Raw - Customers'!$I:$I,MATCH(B65,'Raw - Customers'!$A:$A,0))</f>
        <v>4559</v>
      </c>
      <c r="H65" s="215">
        <f>IF(C65=0,IF(F65&gt;0,1,0),IF(AND(C65&lt;C$37,OR(D65="",D65&gt;=C$37)),1,0))</f>
        <v>1</v>
      </c>
      <c r="I65" s="215">
        <f>IF(C65=0,IF(AND(F65&gt;0,G65&lt;=0),1,0),IF(AND(D65&lt;&gt;"",D65&gt;=C$37,D65&lt;=C$38),1,0))</f>
        <v>0</v>
      </c>
      <c r="J65" s="215">
        <f>IF(C65=0,IF(AND(F65&lt;=0,G65&gt;0),1,0),IF(AND(C65&gt;=C$37,C65&lt;=C$38),1,0))</f>
        <v>0</v>
      </c>
      <c r="K65" s="204">
        <f>H65*F65</f>
        <v>0</v>
      </c>
      <c r="L65" s="204">
        <f>H65*I65*F65</f>
        <v>0</v>
      </c>
      <c r="M65" s="204">
        <f>H65*(1-I65)*MAX(0,F65-G65)</f>
        <v>0</v>
      </c>
      <c r="N65" s="204">
        <f>H65*(1-I65)*MAX(0,G65-F65)</f>
        <v>4559</v>
      </c>
      <c r="O65" s="204">
        <f>INDEX('Raw - Customers'!$I:$I,MATCH(B65,'Raw - Customers'!$A:$A,0))</f>
        <v>4559</v>
      </c>
      <c r="P65" s="204">
        <f>INDEX('Raw - Customers'!$J:$J,MATCH(B65,'Raw - Customers'!$A:$A,0))</f>
        <v>5344</v>
      </c>
      <c r="Q65" s="215">
        <f>IF(C65=0,IF(O65&gt;0,1,0),IF(AND(C65&lt;D$37,OR(D65="",D65&gt;=D$37)),1,0))</f>
        <v>1</v>
      </c>
      <c r="R65" s="215">
        <f>IF(C65=0,IF(AND(O65&gt;0,P65&lt;=0),1,0),IF(AND(D65&lt;&gt;"",D65&gt;=D$37,D65&lt;=D$38),1,0))</f>
        <v>0</v>
      </c>
      <c r="S65" s="215">
        <f>IF(C65=0,IF(AND(O65&lt;=0,P65&gt;0),1,0),IF(AND(C65&gt;=D$37,C65&lt;=D$38),1,0))</f>
        <v>0</v>
      </c>
      <c r="T65" s="204">
        <f>Q65*O65</f>
        <v>4559</v>
      </c>
      <c r="U65" s="204">
        <f>Q65*R65*O65</f>
        <v>0</v>
      </c>
      <c r="V65" s="204">
        <f>Q65*(1-R65)*MAX(0,O65-P65)</f>
        <v>0</v>
      </c>
      <c r="W65" s="204">
        <f>Q65*(1-R65)*MAX(0,P65-O65)</f>
        <v>785</v>
      </c>
      <c r="X65" s="204">
        <f>INDEX('Raw - Customers'!$J:$J,MATCH(B65,'Raw - Customers'!$A:$A,0))</f>
        <v>5344</v>
      </c>
      <c r="Y65" s="204">
        <f>INDEX('Raw - Customers'!$K:$K,MATCH(B65,'Raw - Customers'!$A:$A,0))</f>
        <v>6222</v>
      </c>
      <c r="Z65" s="215">
        <f>IF(C65=0,IF(X65&gt;0,1,0),IF(AND(C65&lt;E$37,OR(D65="",D65&gt;=E$37)),1,0))</f>
        <v>1</v>
      </c>
      <c r="AA65" s="215">
        <f>IF(C65=0,IF(AND(X65&gt;0,Y65&lt;=0),1,0),IF(AND(D65&lt;&gt;"",D65&gt;=E$37,D65&lt;=E$38),1,0))</f>
        <v>0</v>
      </c>
      <c r="AB65" s="215">
        <f>IF(C65=0,IF(AND(X65&lt;=0,Y65&gt;0),1,0),IF(AND(C65&gt;=E$37,C65&lt;=E$38),1,0))</f>
        <v>0</v>
      </c>
      <c r="AC65" s="204">
        <f>Z65*X65</f>
        <v>5344</v>
      </c>
      <c r="AD65" s="204">
        <f>Z65*AA65*X65</f>
        <v>0</v>
      </c>
      <c r="AE65" s="204">
        <f>Z65*(1-AA65)*MAX(0,X65-Y65)</f>
        <v>0</v>
      </c>
      <c r="AF65" s="204">
        <f>Z65*(1-AA65)*MAX(0,Y65-X65)</f>
        <v>878</v>
      </c>
    </row>
    <row r="66" spans="2:32" x14ac:dyDescent="0.25">
      <c r="B66" s="131" t="s">
        <v>659</v>
      </c>
      <c r="C66" s="132">
        <f>INDEX('Raw - Customers'!$E:$E,MATCH(B66,'Raw - Customers'!$A:$A,0))</f>
        <v>45717</v>
      </c>
      <c r="D66" s="132" t="str">
        <f>IF(INDEX('Raw - Customers'!$F:$F,MATCH(B66,'Raw - Customers'!$A:$A,0))="","",INDEX('Raw - Customers'!$F:$F,MATCH(B66,'Raw - Customers'!$A:$A,0)))</f>
        <v/>
      </c>
      <c r="E66" s="214">
        <f>IF(OR(C66=0,AND(D66&lt;&gt;"",N(D66)&lt;='Assumptions'!$C$9),C66&gt;'Assumptions'!$C$9),"",MAX(0,('Assumptions'!$C$9-C66)/365.25))</f>
        <v>0.8350444900752909</v>
      </c>
      <c r="F66" s="204">
        <v>0</v>
      </c>
      <c r="G66" s="204">
        <f>INDEX('Raw - Customers'!$I:$I,MATCH(B66,'Raw - Customers'!$A:$A,0))</f>
        <v>0</v>
      </c>
      <c r="H66" s="215">
        <f>IF(C66=0,IF(F66&gt;0,1,0),IF(AND(C66&lt;C$37,OR(D66="",D66&gt;=C$37)),1,0))</f>
        <v>0</v>
      </c>
      <c r="I66" s="215">
        <f>IF(C66=0,IF(AND(F66&gt;0,G66&lt;=0),1,0),IF(AND(D66&lt;&gt;"",D66&gt;=C$37,D66&lt;=C$38),1,0))</f>
        <v>0</v>
      </c>
      <c r="J66" s="215">
        <f>IF(C66=0,IF(AND(F66&lt;=0,G66&gt;0),1,0),IF(AND(C66&gt;=C$37,C66&lt;=C$38),1,0))</f>
        <v>0</v>
      </c>
      <c r="K66" s="204">
        <f>H66*F66</f>
        <v>0</v>
      </c>
      <c r="L66" s="204">
        <f>H66*I66*F66</f>
        <v>0</v>
      </c>
      <c r="M66" s="204">
        <f>H66*(1-I66)*MAX(0,F66-G66)</f>
        <v>0</v>
      </c>
      <c r="N66" s="204">
        <f>H66*(1-I66)*MAX(0,G66-F66)</f>
        <v>0</v>
      </c>
      <c r="O66" s="204">
        <f>INDEX('Raw - Customers'!$I:$I,MATCH(B66,'Raw - Customers'!$A:$A,0))</f>
        <v>0</v>
      </c>
      <c r="P66" s="204">
        <f>INDEX('Raw - Customers'!$J:$J,MATCH(B66,'Raw - Customers'!$A:$A,0))</f>
        <v>0</v>
      </c>
      <c r="Q66" s="215">
        <f>IF(C66=0,IF(O66&gt;0,1,0),IF(AND(C66&lt;D$37,OR(D66="",D66&gt;=D$37)),1,0))</f>
        <v>0</v>
      </c>
      <c r="R66" s="215">
        <f>IF(C66=0,IF(AND(O66&gt;0,P66&lt;=0),1,0),IF(AND(D66&lt;&gt;"",D66&gt;=D$37,D66&lt;=D$38),1,0))</f>
        <v>0</v>
      </c>
      <c r="S66" s="215">
        <f>IF(C66=0,IF(AND(O66&lt;=0,P66&gt;0),1,0),IF(AND(C66&gt;=D$37,C66&lt;=D$38),1,0))</f>
        <v>0</v>
      </c>
      <c r="T66" s="204">
        <f>Q66*O66</f>
        <v>0</v>
      </c>
      <c r="U66" s="204">
        <f>Q66*R66*O66</f>
        <v>0</v>
      </c>
      <c r="V66" s="204">
        <f>Q66*(1-R66)*MAX(0,O66-P66)</f>
        <v>0</v>
      </c>
      <c r="W66" s="204">
        <f>Q66*(1-R66)*MAX(0,P66-O66)</f>
        <v>0</v>
      </c>
      <c r="X66" s="204">
        <f>INDEX('Raw - Customers'!$J:$J,MATCH(B66,'Raw - Customers'!$A:$A,0))</f>
        <v>0</v>
      </c>
      <c r="Y66" s="204">
        <f>INDEX('Raw - Customers'!$K:$K,MATCH(B66,'Raw - Customers'!$A:$A,0))</f>
        <v>6187</v>
      </c>
      <c r="Z66" s="215">
        <f>IF(C66=0,IF(X66&gt;0,1,0),IF(AND(C66&lt;E$37,OR(D66="",D66&gt;=E$37)),1,0))</f>
        <v>0</v>
      </c>
      <c r="AA66" s="215">
        <f>IF(C66=0,IF(AND(X66&gt;0,Y66&lt;=0),1,0),IF(AND(D66&lt;&gt;"",D66&gt;=E$37,D66&lt;=E$38),1,0))</f>
        <v>0</v>
      </c>
      <c r="AB66" s="215">
        <f>IF(C66=0,IF(AND(X66&lt;=0,Y66&gt;0),1,0),IF(AND(C66&gt;=E$37,C66&lt;=E$38),1,0))</f>
        <v>1</v>
      </c>
      <c r="AC66" s="204">
        <f>Z66*X66</f>
        <v>0</v>
      </c>
      <c r="AD66" s="204">
        <f>Z66*AA66*X66</f>
        <v>0</v>
      </c>
      <c r="AE66" s="204">
        <f>Z66*(1-AA66)*MAX(0,X66-Y66)</f>
        <v>0</v>
      </c>
      <c r="AF66" s="204">
        <f>Z66*(1-AA66)*MAX(0,Y66-X66)</f>
        <v>0</v>
      </c>
    </row>
    <row r="67" spans="2:32" x14ac:dyDescent="0.25">
      <c r="B67" s="131" t="s">
        <v>660</v>
      </c>
      <c r="C67" s="132">
        <f>INDEX('Raw - Customers'!$E:$E,MATCH(B67,'Raw - Customers'!$A:$A,0))</f>
        <v>40179</v>
      </c>
      <c r="D67" s="132" t="str">
        <f>IF(INDEX('Raw - Customers'!$F:$F,MATCH(B67,'Raw - Customers'!$A:$A,0))="","",INDEX('Raw - Customers'!$F:$F,MATCH(B67,'Raw - Customers'!$A:$A,0)))</f>
        <v/>
      </c>
      <c r="E67" s="214">
        <f>IF(OR(C67=0,AND(D67&lt;&gt;"",N(D67)&lt;='Assumptions'!$C$9),C67&gt;'Assumptions'!$C$9),"",MAX(0,('Assumptions'!$C$9-C67)/365.25))</f>
        <v>15.997262149212867</v>
      </c>
      <c r="F67" s="204">
        <v>0</v>
      </c>
      <c r="G67" s="204">
        <f>INDEX('Raw - Customers'!$I:$I,MATCH(B67,'Raw - Customers'!$A:$A,0))</f>
        <v>3621</v>
      </c>
      <c r="H67" s="215">
        <f>IF(C67=0,IF(F67&gt;0,1,0),IF(AND(C67&lt;C$37,OR(D67="",D67&gt;=C$37)),1,0))</f>
        <v>1</v>
      </c>
      <c r="I67" s="215">
        <f>IF(C67=0,IF(AND(F67&gt;0,G67&lt;=0),1,0),IF(AND(D67&lt;&gt;"",D67&gt;=C$37,D67&lt;=C$38),1,0))</f>
        <v>0</v>
      </c>
      <c r="J67" s="215">
        <f>IF(C67=0,IF(AND(F67&lt;=0,G67&gt;0),1,0),IF(AND(C67&gt;=C$37,C67&lt;=C$38),1,0))</f>
        <v>0</v>
      </c>
      <c r="K67" s="204">
        <f>H67*F67</f>
        <v>0</v>
      </c>
      <c r="L67" s="204">
        <f>H67*I67*F67</f>
        <v>0</v>
      </c>
      <c r="M67" s="204">
        <f>H67*(1-I67)*MAX(0,F67-G67)</f>
        <v>0</v>
      </c>
      <c r="N67" s="204">
        <f>H67*(1-I67)*MAX(0,G67-F67)</f>
        <v>3621</v>
      </c>
      <c r="O67" s="204">
        <f>INDEX('Raw - Customers'!$I:$I,MATCH(B67,'Raw - Customers'!$A:$A,0))</f>
        <v>3621</v>
      </c>
      <c r="P67" s="204">
        <f>INDEX('Raw - Customers'!$J:$J,MATCH(B67,'Raw - Customers'!$A:$A,0))</f>
        <v>4476</v>
      </c>
      <c r="Q67" s="215">
        <f>IF(C67=0,IF(O67&gt;0,1,0),IF(AND(C67&lt;D$37,OR(D67="",D67&gt;=D$37)),1,0))</f>
        <v>1</v>
      </c>
      <c r="R67" s="215">
        <f>IF(C67=0,IF(AND(O67&gt;0,P67&lt;=0),1,0),IF(AND(D67&lt;&gt;"",D67&gt;=D$37,D67&lt;=D$38),1,0))</f>
        <v>0</v>
      </c>
      <c r="S67" s="215">
        <f>IF(C67=0,IF(AND(O67&lt;=0,P67&gt;0),1,0),IF(AND(C67&gt;=D$37,C67&lt;=D$38),1,0))</f>
        <v>0</v>
      </c>
      <c r="T67" s="204">
        <f>Q67*O67</f>
        <v>3621</v>
      </c>
      <c r="U67" s="204">
        <f>Q67*R67*O67</f>
        <v>0</v>
      </c>
      <c r="V67" s="204">
        <f>Q67*(1-R67)*MAX(0,O67-P67)</f>
        <v>0</v>
      </c>
      <c r="W67" s="204">
        <f>Q67*(1-R67)*MAX(0,P67-O67)</f>
        <v>855</v>
      </c>
      <c r="X67" s="204">
        <f>INDEX('Raw - Customers'!$J:$J,MATCH(B67,'Raw - Customers'!$A:$A,0))</f>
        <v>4476</v>
      </c>
      <c r="Y67" s="204">
        <f>INDEX('Raw - Customers'!$K:$K,MATCH(B67,'Raw - Customers'!$A:$A,0))</f>
        <v>6178</v>
      </c>
      <c r="Z67" s="215">
        <f>IF(C67=0,IF(X67&gt;0,1,0),IF(AND(C67&lt;E$37,OR(D67="",D67&gt;=E$37)),1,0))</f>
        <v>1</v>
      </c>
      <c r="AA67" s="215">
        <f>IF(C67=0,IF(AND(X67&gt;0,Y67&lt;=0),1,0),IF(AND(D67&lt;&gt;"",D67&gt;=E$37,D67&lt;=E$38),1,0))</f>
        <v>0</v>
      </c>
      <c r="AB67" s="215">
        <f>IF(C67=0,IF(AND(X67&lt;=0,Y67&gt;0),1,0),IF(AND(C67&gt;=E$37,C67&lt;=E$38),1,0))</f>
        <v>0</v>
      </c>
      <c r="AC67" s="204">
        <f>Z67*X67</f>
        <v>4476</v>
      </c>
      <c r="AD67" s="204">
        <f>Z67*AA67*X67</f>
        <v>0</v>
      </c>
      <c r="AE67" s="204">
        <f>Z67*(1-AA67)*MAX(0,X67-Y67)</f>
        <v>0</v>
      </c>
      <c r="AF67" s="204">
        <f>Z67*(1-AA67)*MAX(0,Y67-X67)</f>
        <v>1702</v>
      </c>
    </row>
    <row r="68" spans="2:32" x14ac:dyDescent="0.25">
      <c r="B68" s="131" t="s">
        <v>661</v>
      </c>
      <c r="C68" s="132">
        <f>INDEX('Raw - Customers'!$E:$E,MATCH(B68,'Raw - Customers'!$A:$A,0))</f>
        <v>45778</v>
      </c>
      <c r="D68" s="132" t="str">
        <f>IF(INDEX('Raw - Customers'!$F:$F,MATCH(B68,'Raw - Customers'!$A:$A,0))="","",INDEX('Raw - Customers'!$F:$F,MATCH(B68,'Raw - Customers'!$A:$A,0)))</f>
        <v/>
      </c>
      <c r="E68" s="214">
        <f>IF(OR(C68=0,AND(D68&lt;&gt;"",N(D68)&lt;='Assumptions'!$C$9),C68&gt;'Assumptions'!$C$9),"",MAX(0,('Assumptions'!$C$9-C68)/365.25))</f>
        <v>0.6680355920602327</v>
      </c>
      <c r="F68" s="204">
        <v>0</v>
      </c>
      <c r="G68" s="204">
        <f>INDEX('Raw - Customers'!$I:$I,MATCH(B68,'Raw - Customers'!$A:$A,0))</f>
        <v>0</v>
      </c>
      <c r="H68" s="215">
        <f>IF(C68=0,IF(F68&gt;0,1,0),IF(AND(C68&lt;C$37,OR(D68="",D68&gt;=C$37)),1,0))</f>
        <v>0</v>
      </c>
      <c r="I68" s="215">
        <f>IF(C68=0,IF(AND(F68&gt;0,G68&lt;=0),1,0),IF(AND(D68&lt;&gt;"",D68&gt;=C$37,D68&lt;=C$38),1,0))</f>
        <v>0</v>
      </c>
      <c r="J68" s="215">
        <f>IF(C68=0,IF(AND(F68&lt;=0,G68&gt;0),1,0),IF(AND(C68&gt;=C$37,C68&lt;=C$38),1,0))</f>
        <v>0</v>
      </c>
      <c r="K68" s="204">
        <f>H68*F68</f>
        <v>0</v>
      </c>
      <c r="L68" s="204">
        <f>H68*I68*F68</f>
        <v>0</v>
      </c>
      <c r="M68" s="204">
        <f>H68*(1-I68)*MAX(0,F68-G68)</f>
        <v>0</v>
      </c>
      <c r="N68" s="204">
        <f>H68*(1-I68)*MAX(0,G68-F68)</f>
        <v>0</v>
      </c>
      <c r="O68" s="204">
        <f>INDEX('Raw - Customers'!$I:$I,MATCH(B68,'Raw - Customers'!$A:$A,0))</f>
        <v>0</v>
      </c>
      <c r="P68" s="204">
        <f>INDEX('Raw - Customers'!$J:$J,MATCH(B68,'Raw - Customers'!$A:$A,0))</f>
        <v>0</v>
      </c>
      <c r="Q68" s="215">
        <f>IF(C68=0,IF(O68&gt;0,1,0),IF(AND(C68&lt;D$37,OR(D68="",D68&gt;=D$37)),1,0))</f>
        <v>0</v>
      </c>
      <c r="R68" s="215">
        <f>IF(C68=0,IF(AND(O68&gt;0,P68&lt;=0),1,0),IF(AND(D68&lt;&gt;"",D68&gt;=D$37,D68&lt;=D$38),1,0))</f>
        <v>0</v>
      </c>
      <c r="S68" s="215">
        <f>IF(C68=0,IF(AND(O68&lt;=0,P68&gt;0),1,0),IF(AND(C68&gt;=D$37,C68&lt;=D$38),1,0))</f>
        <v>0</v>
      </c>
      <c r="T68" s="204">
        <f>Q68*O68</f>
        <v>0</v>
      </c>
      <c r="U68" s="204">
        <f>Q68*R68*O68</f>
        <v>0</v>
      </c>
      <c r="V68" s="204">
        <f>Q68*(1-R68)*MAX(0,O68-P68)</f>
        <v>0</v>
      </c>
      <c r="W68" s="204">
        <f>Q68*(1-R68)*MAX(0,P68-O68)</f>
        <v>0</v>
      </c>
      <c r="X68" s="204">
        <f>INDEX('Raw - Customers'!$J:$J,MATCH(B68,'Raw - Customers'!$A:$A,0))</f>
        <v>0</v>
      </c>
      <c r="Y68" s="204">
        <f>INDEX('Raw - Customers'!$K:$K,MATCH(B68,'Raw - Customers'!$A:$A,0))</f>
        <v>6136</v>
      </c>
      <c r="Z68" s="215">
        <f>IF(C68=0,IF(X68&gt;0,1,0),IF(AND(C68&lt;E$37,OR(D68="",D68&gt;=E$37)),1,0))</f>
        <v>0</v>
      </c>
      <c r="AA68" s="215">
        <f>IF(C68=0,IF(AND(X68&gt;0,Y68&lt;=0),1,0),IF(AND(D68&lt;&gt;"",D68&gt;=E$37,D68&lt;=E$38),1,0))</f>
        <v>0</v>
      </c>
      <c r="AB68" s="215">
        <f>IF(C68=0,IF(AND(X68&lt;=0,Y68&gt;0),1,0),IF(AND(C68&gt;=E$37,C68&lt;=E$38),1,0))</f>
        <v>1</v>
      </c>
      <c r="AC68" s="204">
        <f>Z68*X68</f>
        <v>0</v>
      </c>
      <c r="AD68" s="204">
        <f>Z68*AA68*X68</f>
        <v>0</v>
      </c>
      <c r="AE68" s="204">
        <f>Z68*(1-AA68)*MAX(0,X68-Y68)</f>
        <v>0</v>
      </c>
      <c r="AF68" s="204">
        <f>Z68*(1-AA68)*MAX(0,Y68-X68)</f>
        <v>0</v>
      </c>
    </row>
    <row r="69" spans="2:32" x14ac:dyDescent="0.25">
      <c r="B69" s="131" t="s">
        <v>662</v>
      </c>
      <c r="C69" s="132">
        <f>INDEX('Raw - Customers'!$E:$E,MATCH(B69,'Raw - Customers'!$A:$A,0))</f>
        <v>45231</v>
      </c>
      <c r="D69" s="132" t="str">
        <f>IF(INDEX('Raw - Customers'!$F:$F,MATCH(B69,'Raw - Customers'!$A:$A,0))="","",INDEX('Raw - Customers'!$F:$F,MATCH(B69,'Raw - Customers'!$A:$A,0)))</f>
        <v/>
      </c>
      <c r="E69" s="214">
        <f>IF(OR(C69=0,AND(D69&lt;&gt;"",N(D69)&lt;='Assumptions'!$C$9),C69&gt;'Assumptions'!$C$9),"",MAX(0,('Assumptions'!$C$9-C69)/365.25))</f>
        <v>2.1656399726214923</v>
      </c>
      <c r="F69" s="204">
        <v>0</v>
      </c>
      <c r="G69" s="204">
        <f>INDEX('Raw - Customers'!$I:$I,MATCH(B69,'Raw - Customers'!$A:$A,0))</f>
        <v>878</v>
      </c>
      <c r="H69" s="215">
        <f>IF(C69=0,IF(F69&gt;0,1,0),IF(AND(C69&lt;C$37,OR(D69="",D69&gt;=C$37)),1,0))</f>
        <v>0</v>
      </c>
      <c r="I69" s="215">
        <f>IF(C69=0,IF(AND(F69&gt;0,G69&lt;=0),1,0),IF(AND(D69&lt;&gt;"",D69&gt;=C$37,D69&lt;=C$38),1,0))</f>
        <v>0</v>
      </c>
      <c r="J69" s="215">
        <f>IF(C69=0,IF(AND(F69&lt;=0,G69&gt;0),1,0),IF(AND(C69&gt;=C$37,C69&lt;=C$38),1,0))</f>
        <v>1</v>
      </c>
      <c r="K69" s="204">
        <f>H69*F69</f>
        <v>0</v>
      </c>
      <c r="L69" s="204">
        <f>H69*I69*F69</f>
        <v>0</v>
      </c>
      <c r="M69" s="204">
        <f>H69*(1-I69)*MAX(0,F69-G69)</f>
        <v>0</v>
      </c>
      <c r="N69" s="204">
        <f>H69*(1-I69)*MAX(0,G69-F69)</f>
        <v>0</v>
      </c>
      <c r="O69" s="204">
        <f>INDEX('Raw - Customers'!$I:$I,MATCH(B69,'Raw - Customers'!$A:$A,0))</f>
        <v>878</v>
      </c>
      <c r="P69" s="204">
        <f>INDEX('Raw - Customers'!$J:$J,MATCH(B69,'Raw - Customers'!$A:$A,0))</f>
        <v>6083</v>
      </c>
      <c r="Q69" s="215">
        <f>IF(C69=0,IF(O69&gt;0,1,0),IF(AND(C69&lt;D$37,OR(D69="",D69&gt;=D$37)),1,0))</f>
        <v>1</v>
      </c>
      <c r="R69" s="215">
        <f>IF(C69=0,IF(AND(O69&gt;0,P69&lt;=0),1,0),IF(AND(D69&lt;&gt;"",D69&gt;=D$37,D69&lt;=D$38),1,0))</f>
        <v>0</v>
      </c>
      <c r="S69" s="215">
        <f>IF(C69=0,IF(AND(O69&lt;=0,P69&gt;0),1,0),IF(AND(C69&gt;=D$37,C69&lt;=D$38),1,0))</f>
        <v>0</v>
      </c>
      <c r="T69" s="204">
        <f>Q69*O69</f>
        <v>878</v>
      </c>
      <c r="U69" s="204">
        <f>Q69*R69*O69</f>
        <v>0</v>
      </c>
      <c r="V69" s="204">
        <f>Q69*(1-R69)*MAX(0,O69-P69)</f>
        <v>0</v>
      </c>
      <c r="W69" s="204">
        <f>Q69*(1-R69)*MAX(0,P69-O69)</f>
        <v>5205</v>
      </c>
      <c r="X69" s="204">
        <f>INDEX('Raw - Customers'!$J:$J,MATCH(B69,'Raw - Customers'!$A:$A,0))</f>
        <v>6083</v>
      </c>
      <c r="Y69" s="204">
        <f>INDEX('Raw - Customers'!$K:$K,MATCH(B69,'Raw - Customers'!$A:$A,0))</f>
        <v>5898</v>
      </c>
      <c r="Z69" s="215">
        <f>IF(C69=0,IF(X69&gt;0,1,0),IF(AND(C69&lt;E$37,OR(D69="",D69&gt;=E$37)),1,0))</f>
        <v>1</v>
      </c>
      <c r="AA69" s="215">
        <f>IF(C69=0,IF(AND(X69&gt;0,Y69&lt;=0),1,0),IF(AND(D69&lt;&gt;"",D69&gt;=E$37,D69&lt;=E$38),1,0))</f>
        <v>0</v>
      </c>
      <c r="AB69" s="215">
        <f>IF(C69=0,IF(AND(X69&lt;=0,Y69&gt;0),1,0),IF(AND(C69&gt;=E$37,C69&lt;=E$38),1,0))</f>
        <v>0</v>
      </c>
      <c r="AC69" s="204">
        <f>Z69*X69</f>
        <v>6083</v>
      </c>
      <c r="AD69" s="204">
        <f>Z69*AA69*X69</f>
        <v>0</v>
      </c>
      <c r="AE69" s="204">
        <f>Z69*(1-AA69)*MAX(0,X69-Y69)</f>
        <v>185</v>
      </c>
      <c r="AF69" s="204">
        <f>Z69*(1-AA69)*MAX(0,Y69-X69)</f>
        <v>0</v>
      </c>
    </row>
    <row r="70" spans="2:32" x14ac:dyDescent="0.25">
      <c r="B70" s="131" t="s">
        <v>663</v>
      </c>
      <c r="C70" s="132">
        <f>INDEX('Raw - Customers'!$E:$E,MATCH(B70,'Raw - Customers'!$A:$A,0))</f>
        <v>45474</v>
      </c>
      <c r="D70" s="132" t="str">
        <f>IF(INDEX('Raw - Customers'!$F:$F,MATCH(B70,'Raw - Customers'!$A:$A,0))="","",INDEX('Raw - Customers'!$F:$F,MATCH(B70,'Raw - Customers'!$A:$A,0)))</f>
        <v/>
      </c>
      <c r="E70" s="214">
        <f>IF(OR(C70=0,AND(D70&lt;&gt;"",N(D70)&lt;='Assumptions'!$C$9),C70&gt;'Assumptions'!$C$9),"",MAX(0,('Assumptions'!$C$9-C70)/365.25))</f>
        <v>1.5003422313483916</v>
      </c>
      <c r="F70" s="204">
        <v>0</v>
      </c>
      <c r="G70" s="204">
        <f>INDEX('Raw - Customers'!$I:$I,MATCH(B70,'Raw - Customers'!$A:$A,0))</f>
        <v>0</v>
      </c>
      <c r="H70" s="215">
        <f>IF(C70=0,IF(F70&gt;0,1,0),IF(AND(C70&lt;C$37,OR(D70="",D70&gt;=C$37)),1,0))</f>
        <v>0</v>
      </c>
      <c r="I70" s="215">
        <f>IF(C70=0,IF(AND(F70&gt;0,G70&lt;=0),1,0),IF(AND(D70&lt;&gt;"",D70&gt;=C$37,D70&lt;=C$38),1,0))</f>
        <v>0</v>
      </c>
      <c r="J70" s="215">
        <f>IF(C70=0,IF(AND(F70&lt;=0,G70&gt;0),1,0),IF(AND(C70&gt;=C$37,C70&lt;=C$38),1,0))</f>
        <v>0</v>
      </c>
      <c r="K70" s="204">
        <f>H70*F70</f>
        <v>0</v>
      </c>
      <c r="L70" s="204">
        <f>H70*I70*F70</f>
        <v>0</v>
      </c>
      <c r="M70" s="204">
        <f>H70*(1-I70)*MAX(0,F70-G70)</f>
        <v>0</v>
      </c>
      <c r="N70" s="204">
        <f>H70*(1-I70)*MAX(0,G70-F70)</f>
        <v>0</v>
      </c>
      <c r="O70" s="204">
        <f>INDEX('Raw - Customers'!$I:$I,MATCH(B70,'Raw - Customers'!$A:$A,0))</f>
        <v>0</v>
      </c>
      <c r="P70" s="204">
        <f>INDEX('Raw - Customers'!$J:$J,MATCH(B70,'Raw - Customers'!$A:$A,0))</f>
        <v>2203</v>
      </c>
      <c r="Q70" s="215">
        <f>IF(C70=0,IF(O70&gt;0,1,0),IF(AND(C70&lt;D$37,OR(D70="",D70&gt;=D$37)),1,0))</f>
        <v>0</v>
      </c>
      <c r="R70" s="215">
        <f>IF(C70=0,IF(AND(O70&gt;0,P70&lt;=0),1,0),IF(AND(D70&lt;&gt;"",D70&gt;=D$37,D70&lt;=D$38),1,0))</f>
        <v>0</v>
      </c>
      <c r="S70" s="215">
        <f>IF(C70=0,IF(AND(O70&lt;=0,P70&gt;0),1,0),IF(AND(C70&gt;=D$37,C70&lt;=D$38),1,0))</f>
        <v>1</v>
      </c>
      <c r="T70" s="204">
        <f>Q70*O70</f>
        <v>0</v>
      </c>
      <c r="U70" s="204">
        <f>Q70*R70*O70</f>
        <v>0</v>
      </c>
      <c r="V70" s="204">
        <f>Q70*(1-R70)*MAX(0,O70-P70)</f>
        <v>0</v>
      </c>
      <c r="W70" s="204">
        <f>Q70*(1-R70)*MAX(0,P70-O70)</f>
        <v>0</v>
      </c>
      <c r="X70" s="204">
        <f>INDEX('Raw - Customers'!$J:$J,MATCH(B70,'Raw - Customers'!$A:$A,0))</f>
        <v>2203</v>
      </c>
      <c r="Y70" s="204">
        <f>INDEX('Raw - Customers'!$K:$K,MATCH(B70,'Raw - Customers'!$A:$A,0))</f>
        <v>5880</v>
      </c>
      <c r="Z70" s="215">
        <f>IF(C70=0,IF(X70&gt;0,1,0),IF(AND(C70&lt;E$37,OR(D70="",D70&gt;=E$37)),1,0))</f>
        <v>1</v>
      </c>
      <c r="AA70" s="215">
        <f>IF(C70=0,IF(AND(X70&gt;0,Y70&lt;=0),1,0),IF(AND(D70&lt;&gt;"",D70&gt;=E$37,D70&lt;=E$38),1,0))</f>
        <v>0</v>
      </c>
      <c r="AB70" s="215">
        <f>IF(C70=0,IF(AND(X70&lt;=0,Y70&gt;0),1,0),IF(AND(C70&gt;=E$37,C70&lt;=E$38),1,0))</f>
        <v>0</v>
      </c>
      <c r="AC70" s="204">
        <f>Z70*X70</f>
        <v>2203</v>
      </c>
      <c r="AD70" s="204">
        <f>Z70*AA70*X70</f>
        <v>0</v>
      </c>
      <c r="AE70" s="204">
        <f>Z70*(1-AA70)*MAX(0,X70-Y70)</f>
        <v>0</v>
      </c>
      <c r="AF70" s="204">
        <f>Z70*(1-AA70)*MAX(0,Y70-X70)</f>
        <v>3677</v>
      </c>
    </row>
    <row r="71" spans="2:32" x14ac:dyDescent="0.25">
      <c r="B71" s="131" t="s">
        <v>664</v>
      </c>
      <c r="C71" s="132">
        <f>INDEX('Raw - Customers'!$E:$E,MATCH(B71,'Raw - Customers'!$A:$A,0))</f>
        <v>44562</v>
      </c>
      <c r="D71" s="132" t="str">
        <f>IF(INDEX('Raw - Customers'!$F:$F,MATCH(B71,'Raw - Customers'!$A:$A,0))="","",INDEX('Raw - Customers'!$F:$F,MATCH(B71,'Raw - Customers'!$A:$A,0)))</f>
        <v/>
      </c>
      <c r="E71" s="214">
        <f>IF(OR(C71=0,AND(D71&lt;&gt;"",N(D71)&lt;='Assumptions'!$C$9),C71&gt;'Assumptions'!$C$9),"",MAX(0,('Assumptions'!$C$9-C71)/365.25))</f>
        <v>3.997262149212868</v>
      </c>
      <c r="F71" s="204">
        <v>0</v>
      </c>
      <c r="G71" s="204">
        <f>INDEX('Raw - Customers'!$I:$I,MATCH(B71,'Raw - Customers'!$A:$A,0))</f>
        <v>3979</v>
      </c>
      <c r="H71" s="215">
        <f>IF(C71=0,IF(F71&gt;0,1,0),IF(AND(C71&lt;C$37,OR(D71="",D71&gt;=C$37)),1,0))</f>
        <v>1</v>
      </c>
      <c r="I71" s="215">
        <f>IF(C71=0,IF(AND(F71&gt;0,G71&lt;=0),1,0),IF(AND(D71&lt;&gt;"",D71&gt;=C$37,D71&lt;=C$38),1,0))</f>
        <v>0</v>
      </c>
      <c r="J71" s="215">
        <f>IF(C71=0,IF(AND(F71&lt;=0,G71&gt;0),1,0),IF(AND(C71&gt;=C$37,C71&lt;=C$38),1,0))</f>
        <v>0</v>
      </c>
      <c r="K71" s="204">
        <f>H71*F71</f>
        <v>0</v>
      </c>
      <c r="L71" s="204">
        <f>H71*I71*F71</f>
        <v>0</v>
      </c>
      <c r="M71" s="204">
        <f>H71*(1-I71)*MAX(0,F71-G71)</f>
        <v>0</v>
      </c>
      <c r="N71" s="204">
        <f>H71*(1-I71)*MAX(0,G71-F71)</f>
        <v>3979</v>
      </c>
      <c r="O71" s="204">
        <f>INDEX('Raw - Customers'!$I:$I,MATCH(B71,'Raw - Customers'!$A:$A,0))</f>
        <v>3979</v>
      </c>
      <c r="P71" s="204">
        <f>INDEX('Raw - Customers'!$J:$J,MATCH(B71,'Raw - Customers'!$A:$A,0))</f>
        <v>4566</v>
      </c>
      <c r="Q71" s="215">
        <f>IF(C71=0,IF(O71&gt;0,1,0),IF(AND(C71&lt;D$37,OR(D71="",D71&gt;=D$37)),1,0))</f>
        <v>1</v>
      </c>
      <c r="R71" s="215">
        <f>IF(C71=0,IF(AND(O71&gt;0,P71&lt;=0),1,0),IF(AND(D71&lt;&gt;"",D71&gt;=D$37,D71&lt;=D$38),1,0))</f>
        <v>0</v>
      </c>
      <c r="S71" s="215">
        <f>IF(C71=0,IF(AND(O71&lt;=0,P71&gt;0),1,0),IF(AND(C71&gt;=D$37,C71&lt;=D$38),1,0))</f>
        <v>0</v>
      </c>
      <c r="T71" s="204">
        <f>Q71*O71</f>
        <v>3979</v>
      </c>
      <c r="U71" s="204">
        <f>Q71*R71*O71</f>
        <v>0</v>
      </c>
      <c r="V71" s="204">
        <f>Q71*(1-R71)*MAX(0,O71-P71)</f>
        <v>0</v>
      </c>
      <c r="W71" s="204">
        <f>Q71*(1-R71)*MAX(0,P71-O71)</f>
        <v>587</v>
      </c>
      <c r="X71" s="204">
        <f>INDEX('Raw - Customers'!$J:$J,MATCH(B71,'Raw - Customers'!$A:$A,0))</f>
        <v>4566</v>
      </c>
      <c r="Y71" s="204">
        <f>INDEX('Raw - Customers'!$K:$K,MATCH(B71,'Raw - Customers'!$A:$A,0))</f>
        <v>5695</v>
      </c>
      <c r="Z71" s="215">
        <f>IF(C71=0,IF(X71&gt;0,1,0),IF(AND(C71&lt;E$37,OR(D71="",D71&gt;=E$37)),1,0))</f>
        <v>1</v>
      </c>
      <c r="AA71" s="215">
        <f>IF(C71=0,IF(AND(X71&gt;0,Y71&lt;=0),1,0),IF(AND(D71&lt;&gt;"",D71&gt;=E$37,D71&lt;=E$38),1,0))</f>
        <v>0</v>
      </c>
      <c r="AB71" s="215">
        <f>IF(C71=0,IF(AND(X71&lt;=0,Y71&gt;0),1,0),IF(AND(C71&gt;=E$37,C71&lt;=E$38),1,0))</f>
        <v>0</v>
      </c>
      <c r="AC71" s="204">
        <f>Z71*X71</f>
        <v>4566</v>
      </c>
      <c r="AD71" s="204">
        <f>Z71*AA71*X71</f>
        <v>0</v>
      </c>
      <c r="AE71" s="204">
        <f>Z71*(1-AA71)*MAX(0,X71-Y71)</f>
        <v>0</v>
      </c>
      <c r="AF71" s="204">
        <f>Z71*(1-AA71)*MAX(0,Y71-X71)</f>
        <v>1129</v>
      </c>
    </row>
    <row r="72" spans="2:32" x14ac:dyDescent="0.25">
      <c r="B72" s="131" t="s">
        <v>665</v>
      </c>
      <c r="C72" s="132">
        <f>INDEX('Raw - Customers'!$E:$E,MATCH(B72,'Raw - Customers'!$A:$A,0))</f>
        <v>40603</v>
      </c>
      <c r="D72" s="132" t="str">
        <f>IF(INDEX('Raw - Customers'!$F:$F,MATCH(B72,'Raw - Customers'!$A:$A,0))="","",INDEX('Raw - Customers'!$F:$F,MATCH(B72,'Raw - Customers'!$A:$A,0)))</f>
        <v/>
      </c>
      <c r="E72" s="214">
        <f>IF(OR(C72=0,AND(D72&lt;&gt;"",N(D72)&lt;='Assumptions'!$C$9),C72&gt;'Assumptions'!$C$9),"",MAX(0,('Assumptions'!$C$9-C72)/365.25))</f>
        <v>14.836413415468858</v>
      </c>
      <c r="F72" s="204">
        <v>0</v>
      </c>
      <c r="G72" s="204">
        <f>INDEX('Raw - Customers'!$I:$I,MATCH(B72,'Raw - Customers'!$A:$A,0))</f>
        <v>3306</v>
      </c>
      <c r="H72" s="215">
        <f>IF(C72=0,IF(F72&gt;0,1,0),IF(AND(C72&lt;C$37,OR(D72="",D72&gt;=C$37)),1,0))</f>
        <v>1</v>
      </c>
      <c r="I72" s="215">
        <f>IF(C72=0,IF(AND(F72&gt;0,G72&lt;=0),1,0),IF(AND(D72&lt;&gt;"",D72&gt;=C$37,D72&lt;=C$38),1,0))</f>
        <v>0</v>
      </c>
      <c r="J72" s="215">
        <f>IF(C72=0,IF(AND(F72&lt;=0,G72&gt;0),1,0),IF(AND(C72&gt;=C$37,C72&lt;=C$38),1,0))</f>
        <v>0</v>
      </c>
      <c r="K72" s="204">
        <f>H72*F72</f>
        <v>0</v>
      </c>
      <c r="L72" s="204">
        <f>H72*I72*F72</f>
        <v>0</v>
      </c>
      <c r="M72" s="204">
        <f>H72*(1-I72)*MAX(0,F72-G72)</f>
        <v>0</v>
      </c>
      <c r="N72" s="204">
        <f>H72*(1-I72)*MAX(0,G72-F72)</f>
        <v>3306</v>
      </c>
      <c r="O72" s="204">
        <f>INDEX('Raw - Customers'!$I:$I,MATCH(B72,'Raw - Customers'!$A:$A,0))</f>
        <v>3306</v>
      </c>
      <c r="P72" s="204">
        <f>INDEX('Raw - Customers'!$J:$J,MATCH(B72,'Raw - Customers'!$A:$A,0))</f>
        <v>3808</v>
      </c>
      <c r="Q72" s="215">
        <f>IF(C72=0,IF(O72&gt;0,1,0),IF(AND(C72&lt;D$37,OR(D72="",D72&gt;=D$37)),1,0))</f>
        <v>1</v>
      </c>
      <c r="R72" s="215">
        <f>IF(C72=0,IF(AND(O72&gt;0,P72&lt;=0),1,0),IF(AND(D72&lt;&gt;"",D72&gt;=D$37,D72&lt;=D$38),1,0))</f>
        <v>0</v>
      </c>
      <c r="S72" s="215">
        <f>IF(C72=0,IF(AND(O72&lt;=0,P72&gt;0),1,0),IF(AND(C72&gt;=D$37,C72&lt;=D$38),1,0))</f>
        <v>0</v>
      </c>
      <c r="T72" s="204">
        <f>Q72*O72</f>
        <v>3306</v>
      </c>
      <c r="U72" s="204">
        <f>Q72*R72*O72</f>
        <v>0</v>
      </c>
      <c r="V72" s="204">
        <f>Q72*(1-R72)*MAX(0,O72-P72)</f>
        <v>0</v>
      </c>
      <c r="W72" s="204">
        <f>Q72*(1-R72)*MAX(0,P72-O72)</f>
        <v>502</v>
      </c>
      <c r="X72" s="204">
        <f>INDEX('Raw - Customers'!$J:$J,MATCH(B72,'Raw - Customers'!$A:$A,0))</f>
        <v>3808</v>
      </c>
      <c r="Y72" s="204">
        <f>INDEX('Raw - Customers'!$K:$K,MATCH(B72,'Raw - Customers'!$A:$A,0))</f>
        <v>5308</v>
      </c>
      <c r="Z72" s="215">
        <f>IF(C72=0,IF(X72&gt;0,1,0),IF(AND(C72&lt;E$37,OR(D72="",D72&gt;=E$37)),1,0))</f>
        <v>1</v>
      </c>
      <c r="AA72" s="215">
        <f>IF(C72=0,IF(AND(X72&gt;0,Y72&lt;=0),1,0),IF(AND(D72&lt;&gt;"",D72&gt;=E$37,D72&lt;=E$38),1,0))</f>
        <v>0</v>
      </c>
      <c r="AB72" s="215">
        <f>IF(C72=0,IF(AND(X72&lt;=0,Y72&gt;0),1,0),IF(AND(C72&gt;=E$37,C72&lt;=E$38),1,0))</f>
        <v>0</v>
      </c>
      <c r="AC72" s="204">
        <f>Z72*X72</f>
        <v>3808</v>
      </c>
      <c r="AD72" s="204">
        <f>Z72*AA72*X72</f>
        <v>0</v>
      </c>
      <c r="AE72" s="204">
        <f>Z72*(1-AA72)*MAX(0,X72-Y72)</f>
        <v>0</v>
      </c>
      <c r="AF72" s="204">
        <f>Z72*(1-AA72)*MAX(0,Y72-X72)</f>
        <v>1500</v>
      </c>
    </row>
    <row r="73" spans="2:32" x14ac:dyDescent="0.25">
      <c r="B73" s="131" t="s">
        <v>666</v>
      </c>
      <c r="C73" s="132">
        <f>INDEX('Raw - Customers'!$E:$E,MATCH(B73,'Raw - Customers'!$A:$A,0))</f>
        <v>45809</v>
      </c>
      <c r="D73" s="132" t="str">
        <f>IF(INDEX('Raw - Customers'!$F:$F,MATCH(B73,'Raw - Customers'!$A:$A,0))="","",INDEX('Raw - Customers'!$F:$F,MATCH(B73,'Raw - Customers'!$A:$A,0)))</f>
        <v/>
      </c>
      <c r="E73" s="214">
        <f>IF(OR(C73=0,AND(D73&lt;&gt;"",N(D73)&lt;='Assumptions'!$C$9),C73&gt;'Assumptions'!$C$9),"",MAX(0,('Assumptions'!$C$9-C73)/365.25))</f>
        <v>0.5831622176591376</v>
      </c>
      <c r="F73" s="204">
        <v>0</v>
      </c>
      <c r="G73" s="204">
        <f>INDEX('Raw - Customers'!$I:$I,MATCH(B73,'Raw - Customers'!$A:$A,0))</f>
        <v>0</v>
      </c>
      <c r="H73" s="215">
        <f>IF(C73=0,IF(F73&gt;0,1,0),IF(AND(C73&lt;C$37,OR(D73="",D73&gt;=C$37)),1,0))</f>
        <v>0</v>
      </c>
      <c r="I73" s="215">
        <f>IF(C73=0,IF(AND(F73&gt;0,G73&lt;=0),1,0),IF(AND(D73&lt;&gt;"",D73&gt;=C$37,D73&lt;=C$38),1,0))</f>
        <v>0</v>
      </c>
      <c r="J73" s="215">
        <f>IF(C73=0,IF(AND(F73&lt;=0,G73&gt;0),1,0),IF(AND(C73&gt;=C$37,C73&lt;=C$38),1,0))</f>
        <v>0</v>
      </c>
      <c r="K73" s="204">
        <f>H73*F73</f>
        <v>0</v>
      </c>
      <c r="L73" s="204">
        <f>H73*I73*F73</f>
        <v>0</v>
      </c>
      <c r="M73" s="204">
        <f>H73*(1-I73)*MAX(0,F73-G73)</f>
        <v>0</v>
      </c>
      <c r="N73" s="204">
        <f>H73*(1-I73)*MAX(0,G73-F73)</f>
        <v>0</v>
      </c>
      <c r="O73" s="204">
        <f>INDEX('Raw - Customers'!$I:$I,MATCH(B73,'Raw - Customers'!$A:$A,0))</f>
        <v>0</v>
      </c>
      <c r="P73" s="204">
        <f>INDEX('Raw - Customers'!$J:$J,MATCH(B73,'Raw - Customers'!$A:$A,0))</f>
        <v>0</v>
      </c>
      <c r="Q73" s="215">
        <f>IF(C73=0,IF(O73&gt;0,1,0),IF(AND(C73&lt;D$37,OR(D73="",D73&gt;=D$37)),1,0))</f>
        <v>0</v>
      </c>
      <c r="R73" s="215">
        <f>IF(C73=0,IF(AND(O73&gt;0,P73&lt;=0),1,0),IF(AND(D73&lt;&gt;"",D73&gt;=D$37,D73&lt;=D$38),1,0))</f>
        <v>0</v>
      </c>
      <c r="S73" s="215">
        <f>IF(C73=0,IF(AND(O73&lt;=0,P73&gt;0),1,0),IF(AND(C73&gt;=D$37,C73&lt;=D$38),1,0))</f>
        <v>0</v>
      </c>
      <c r="T73" s="204">
        <f>Q73*O73</f>
        <v>0</v>
      </c>
      <c r="U73" s="204">
        <f>Q73*R73*O73</f>
        <v>0</v>
      </c>
      <c r="V73" s="204">
        <f>Q73*(1-R73)*MAX(0,O73-P73)</f>
        <v>0</v>
      </c>
      <c r="W73" s="204">
        <f>Q73*(1-R73)*MAX(0,P73-O73)</f>
        <v>0</v>
      </c>
      <c r="X73" s="204">
        <f>INDEX('Raw - Customers'!$J:$J,MATCH(B73,'Raw - Customers'!$A:$A,0))</f>
        <v>0</v>
      </c>
      <c r="Y73" s="204">
        <f>INDEX('Raw - Customers'!$K:$K,MATCH(B73,'Raw - Customers'!$A:$A,0))</f>
        <v>5057</v>
      </c>
      <c r="Z73" s="215">
        <f>IF(C73=0,IF(X73&gt;0,1,0),IF(AND(C73&lt;E$37,OR(D73="",D73&gt;=E$37)),1,0))</f>
        <v>0</v>
      </c>
      <c r="AA73" s="215">
        <f>IF(C73=0,IF(AND(X73&gt;0,Y73&lt;=0),1,0),IF(AND(D73&lt;&gt;"",D73&gt;=E$37,D73&lt;=E$38),1,0))</f>
        <v>0</v>
      </c>
      <c r="AB73" s="215">
        <f>IF(C73=0,IF(AND(X73&lt;=0,Y73&gt;0),1,0),IF(AND(C73&gt;=E$37,C73&lt;=E$38),1,0))</f>
        <v>1</v>
      </c>
      <c r="AC73" s="204">
        <f>Z73*X73</f>
        <v>0</v>
      </c>
      <c r="AD73" s="204">
        <f>Z73*AA73*X73</f>
        <v>0</v>
      </c>
      <c r="AE73" s="204">
        <f>Z73*(1-AA73)*MAX(0,X73-Y73)</f>
        <v>0</v>
      </c>
      <c r="AF73" s="204">
        <f>Z73*(1-AA73)*MAX(0,Y73-X73)</f>
        <v>0</v>
      </c>
    </row>
    <row r="74" spans="2:32" x14ac:dyDescent="0.25">
      <c r="B74" s="131" t="s">
        <v>667</v>
      </c>
      <c r="C74" s="132">
        <f>INDEX('Raw - Customers'!$E:$E,MATCH(B74,'Raw - Customers'!$A:$A,0))</f>
        <v>45444</v>
      </c>
      <c r="D74" s="132" t="str">
        <f>IF(INDEX('Raw - Customers'!$F:$F,MATCH(B74,'Raw - Customers'!$A:$A,0))="","",INDEX('Raw - Customers'!$F:$F,MATCH(B74,'Raw - Customers'!$A:$A,0)))</f>
        <v/>
      </c>
      <c r="E74" s="214">
        <f>IF(OR(C74=0,AND(D74&lt;&gt;"",N(D74)&lt;='Assumptions'!$C$9),C74&gt;'Assumptions'!$C$9),"",MAX(0,('Assumptions'!$C$9-C74)/365.25))</f>
        <v>1.5824777549623545</v>
      </c>
      <c r="F74" s="204">
        <v>0</v>
      </c>
      <c r="G74" s="204">
        <f>INDEX('Raw - Customers'!$I:$I,MATCH(B74,'Raw - Customers'!$A:$A,0))</f>
        <v>0</v>
      </c>
      <c r="H74" s="215">
        <f>IF(C74=0,IF(F74&gt;0,1,0),IF(AND(C74&lt;C$37,OR(D74="",D74&gt;=C$37)),1,0))</f>
        <v>0</v>
      </c>
      <c r="I74" s="215">
        <f>IF(C74=0,IF(AND(F74&gt;0,G74&lt;=0),1,0),IF(AND(D74&lt;&gt;"",D74&gt;=C$37,D74&lt;=C$38),1,0))</f>
        <v>0</v>
      </c>
      <c r="J74" s="215">
        <f>IF(C74=0,IF(AND(F74&lt;=0,G74&gt;0),1,0),IF(AND(C74&gt;=C$37,C74&lt;=C$38),1,0))</f>
        <v>0</v>
      </c>
      <c r="K74" s="204">
        <f>H74*F74</f>
        <v>0</v>
      </c>
      <c r="L74" s="204">
        <f>H74*I74*F74</f>
        <v>0</v>
      </c>
      <c r="M74" s="204">
        <f>H74*(1-I74)*MAX(0,F74-G74)</f>
        <v>0</v>
      </c>
      <c r="N74" s="204">
        <f>H74*(1-I74)*MAX(0,G74-F74)</f>
        <v>0</v>
      </c>
      <c r="O74" s="204">
        <f>INDEX('Raw - Customers'!$I:$I,MATCH(B74,'Raw - Customers'!$A:$A,0))</f>
        <v>0</v>
      </c>
      <c r="P74" s="204">
        <f>INDEX('Raw - Customers'!$J:$J,MATCH(B74,'Raw - Customers'!$A:$A,0))</f>
        <v>2289</v>
      </c>
      <c r="Q74" s="215">
        <f>IF(C74=0,IF(O74&gt;0,1,0),IF(AND(C74&lt;D$37,OR(D74="",D74&gt;=D$37)),1,0))</f>
        <v>0</v>
      </c>
      <c r="R74" s="215">
        <f>IF(C74=0,IF(AND(O74&gt;0,P74&lt;=0),1,0),IF(AND(D74&lt;&gt;"",D74&gt;=D$37,D74&lt;=D$38),1,0))</f>
        <v>0</v>
      </c>
      <c r="S74" s="215">
        <f>IF(C74=0,IF(AND(O74&lt;=0,P74&gt;0),1,0),IF(AND(C74&gt;=D$37,C74&lt;=D$38),1,0))</f>
        <v>1</v>
      </c>
      <c r="T74" s="204">
        <f>Q74*O74</f>
        <v>0</v>
      </c>
      <c r="U74" s="204">
        <f>Q74*R74*O74</f>
        <v>0</v>
      </c>
      <c r="V74" s="204">
        <f>Q74*(1-R74)*MAX(0,O74-P74)</f>
        <v>0</v>
      </c>
      <c r="W74" s="204">
        <f>Q74*(1-R74)*MAX(0,P74-O74)</f>
        <v>0</v>
      </c>
      <c r="X74" s="204">
        <f>INDEX('Raw - Customers'!$J:$J,MATCH(B74,'Raw - Customers'!$A:$A,0))</f>
        <v>2289</v>
      </c>
      <c r="Y74" s="204">
        <f>INDEX('Raw - Customers'!$K:$K,MATCH(B74,'Raw - Customers'!$A:$A,0))</f>
        <v>4890</v>
      </c>
      <c r="Z74" s="215">
        <f>IF(C74=0,IF(X74&gt;0,1,0),IF(AND(C74&lt;E$37,OR(D74="",D74&gt;=E$37)),1,0))</f>
        <v>1</v>
      </c>
      <c r="AA74" s="215">
        <f>IF(C74=0,IF(AND(X74&gt;0,Y74&lt;=0),1,0),IF(AND(D74&lt;&gt;"",D74&gt;=E$37,D74&lt;=E$38),1,0))</f>
        <v>0</v>
      </c>
      <c r="AB74" s="215">
        <f>IF(C74=0,IF(AND(X74&lt;=0,Y74&gt;0),1,0),IF(AND(C74&gt;=E$37,C74&lt;=E$38),1,0))</f>
        <v>0</v>
      </c>
      <c r="AC74" s="204">
        <f>Z74*X74</f>
        <v>2289</v>
      </c>
      <c r="AD74" s="204">
        <f>Z74*AA74*X74</f>
        <v>0</v>
      </c>
      <c r="AE74" s="204">
        <f>Z74*(1-AA74)*MAX(0,X74-Y74)</f>
        <v>0</v>
      </c>
      <c r="AF74" s="204">
        <f>Z74*(1-AA74)*MAX(0,Y74-X74)</f>
        <v>2601</v>
      </c>
    </row>
    <row r="75" spans="2:32" x14ac:dyDescent="0.25">
      <c r="B75" s="131" t="s">
        <v>668</v>
      </c>
      <c r="C75" s="132">
        <f>INDEX('Raw - Customers'!$E:$E,MATCH(B75,'Raw - Customers'!$A:$A,0))</f>
        <v>43344</v>
      </c>
      <c r="D75" s="132" t="str">
        <f>IF(INDEX('Raw - Customers'!$F:$F,MATCH(B75,'Raw - Customers'!$A:$A,0))="","",INDEX('Raw - Customers'!$F:$F,MATCH(B75,'Raw - Customers'!$A:$A,0)))</f>
        <v/>
      </c>
      <c r="E75" s="214">
        <f>IF(OR(C75=0,AND(D75&lt;&gt;"",N(D75)&lt;='Assumptions'!$C$9),C75&gt;'Assumptions'!$C$9),"",MAX(0,('Assumptions'!$C$9-C75)/365.25))</f>
        <v>7.3319644079397674</v>
      </c>
      <c r="F75" s="204">
        <v>0</v>
      </c>
      <c r="G75" s="204">
        <f>INDEX('Raw - Customers'!$I:$I,MATCH(B75,'Raw - Customers'!$A:$A,0))</f>
        <v>3899</v>
      </c>
      <c r="H75" s="215">
        <f>IF(C75=0,IF(F75&gt;0,1,0),IF(AND(C75&lt;C$37,OR(D75="",D75&gt;=C$37)),1,0))</f>
        <v>1</v>
      </c>
      <c r="I75" s="215">
        <f>IF(C75=0,IF(AND(F75&gt;0,G75&lt;=0),1,0),IF(AND(D75&lt;&gt;"",D75&gt;=C$37,D75&lt;=C$38),1,0))</f>
        <v>0</v>
      </c>
      <c r="J75" s="215">
        <f>IF(C75=0,IF(AND(F75&lt;=0,G75&gt;0),1,0),IF(AND(C75&gt;=C$37,C75&lt;=C$38),1,0))</f>
        <v>0</v>
      </c>
      <c r="K75" s="204">
        <f>H75*F75</f>
        <v>0</v>
      </c>
      <c r="L75" s="204">
        <f>H75*I75*F75</f>
        <v>0</v>
      </c>
      <c r="M75" s="204">
        <f>H75*(1-I75)*MAX(0,F75-G75)</f>
        <v>0</v>
      </c>
      <c r="N75" s="204">
        <f>H75*(1-I75)*MAX(0,G75-F75)</f>
        <v>3899</v>
      </c>
      <c r="O75" s="204">
        <f>INDEX('Raw - Customers'!$I:$I,MATCH(B75,'Raw - Customers'!$A:$A,0))</f>
        <v>3899</v>
      </c>
      <c r="P75" s="204">
        <f>INDEX('Raw - Customers'!$J:$J,MATCH(B75,'Raw - Customers'!$A:$A,0))</f>
        <v>4793</v>
      </c>
      <c r="Q75" s="215">
        <f>IF(C75=0,IF(O75&gt;0,1,0),IF(AND(C75&lt;D$37,OR(D75="",D75&gt;=D$37)),1,0))</f>
        <v>1</v>
      </c>
      <c r="R75" s="215">
        <f>IF(C75=0,IF(AND(O75&gt;0,P75&lt;=0),1,0),IF(AND(D75&lt;&gt;"",D75&gt;=D$37,D75&lt;=D$38),1,0))</f>
        <v>0</v>
      </c>
      <c r="S75" s="215">
        <f>IF(C75=0,IF(AND(O75&lt;=0,P75&gt;0),1,0),IF(AND(C75&gt;=D$37,C75&lt;=D$38),1,0))</f>
        <v>0</v>
      </c>
      <c r="T75" s="204">
        <f>Q75*O75</f>
        <v>3899</v>
      </c>
      <c r="U75" s="204">
        <f>Q75*R75*O75</f>
        <v>0</v>
      </c>
      <c r="V75" s="204">
        <f>Q75*(1-R75)*MAX(0,O75-P75)</f>
        <v>0</v>
      </c>
      <c r="W75" s="204">
        <f>Q75*(1-R75)*MAX(0,P75-O75)</f>
        <v>894</v>
      </c>
      <c r="X75" s="204">
        <f>INDEX('Raw - Customers'!$J:$J,MATCH(B75,'Raw - Customers'!$A:$A,0))</f>
        <v>4793</v>
      </c>
      <c r="Y75" s="204">
        <f>INDEX('Raw - Customers'!$K:$K,MATCH(B75,'Raw - Customers'!$A:$A,0))</f>
        <v>4805</v>
      </c>
      <c r="Z75" s="215">
        <f>IF(C75=0,IF(X75&gt;0,1,0),IF(AND(C75&lt;E$37,OR(D75="",D75&gt;=E$37)),1,0))</f>
        <v>1</v>
      </c>
      <c r="AA75" s="215">
        <f>IF(C75=0,IF(AND(X75&gt;0,Y75&lt;=0),1,0),IF(AND(D75&lt;&gt;"",D75&gt;=E$37,D75&lt;=E$38),1,0))</f>
        <v>0</v>
      </c>
      <c r="AB75" s="215">
        <f>IF(C75=0,IF(AND(X75&lt;=0,Y75&gt;0),1,0),IF(AND(C75&gt;=E$37,C75&lt;=E$38),1,0))</f>
        <v>0</v>
      </c>
      <c r="AC75" s="204">
        <f>Z75*X75</f>
        <v>4793</v>
      </c>
      <c r="AD75" s="204">
        <f>Z75*AA75*X75</f>
        <v>0</v>
      </c>
      <c r="AE75" s="204">
        <f>Z75*(1-AA75)*MAX(0,X75-Y75)</f>
        <v>0</v>
      </c>
      <c r="AF75" s="204">
        <f>Z75*(1-AA75)*MAX(0,Y75-X75)</f>
        <v>12</v>
      </c>
    </row>
    <row r="76" spans="2:32" x14ac:dyDescent="0.25">
      <c r="B76" s="131" t="s">
        <v>669</v>
      </c>
      <c r="C76" s="132">
        <f>INDEX('Raw - Customers'!$E:$E,MATCH(B76,'Raw - Customers'!$A:$A,0))</f>
        <v>42552</v>
      </c>
      <c r="D76" s="132" t="str">
        <f>IF(INDEX('Raw - Customers'!$F:$F,MATCH(B76,'Raw - Customers'!$A:$A,0))="","",INDEX('Raw - Customers'!$F:$F,MATCH(B76,'Raw - Customers'!$A:$A,0)))</f>
        <v/>
      </c>
      <c r="E76" s="214">
        <f>IF(OR(C76=0,AND(D76&lt;&gt;"",N(D76)&lt;='Assumptions'!$C$9),C76&gt;'Assumptions'!$C$9),"",MAX(0,('Assumptions'!$C$9-C76)/365.25))</f>
        <v>9.500342231348391</v>
      </c>
      <c r="F76" s="204">
        <v>0</v>
      </c>
      <c r="G76" s="204">
        <f>INDEX('Raw - Customers'!$I:$I,MATCH(B76,'Raw - Customers'!$A:$A,0))</f>
        <v>3399</v>
      </c>
      <c r="H76" s="215">
        <f>IF(C76=0,IF(F76&gt;0,1,0),IF(AND(C76&lt;C$37,OR(D76="",D76&gt;=C$37)),1,0))</f>
        <v>1</v>
      </c>
      <c r="I76" s="215">
        <f>IF(C76=0,IF(AND(F76&gt;0,G76&lt;=0),1,0),IF(AND(D76&lt;&gt;"",D76&gt;=C$37,D76&lt;=C$38),1,0))</f>
        <v>0</v>
      </c>
      <c r="J76" s="215">
        <f>IF(C76=0,IF(AND(F76&lt;=0,G76&gt;0),1,0),IF(AND(C76&gt;=C$37,C76&lt;=C$38),1,0))</f>
        <v>0</v>
      </c>
      <c r="K76" s="204">
        <f>H76*F76</f>
        <v>0</v>
      </c>
      <c r="L76" s="204">
        <f>H76*I76*F76</f>
        <v>0</v>
      </c>
      <c r="M76" s="204">
        <f>H76*(1-I76)*MAX(0,F76-G76)</f>
        <v>0</v>
      </c>
      <c r="N76" s="204">
        <f>H76*(1-I76)*MAX(0,G76-F76)</f>
        <v>3399</v>
      </c>
      <c r="O76" s="204">
        <f>INDEX('Raw - Customers'!$I:$I,MATCH(B76,'Raw - Customers'!$A:$A,0))</f>
        <v>3399</v>
      </c>
      <c r="P76" s="204">
        <f>INDEX('Raw - Customers'!$J:$J,MATCH(B76,'Raw - Customers'!$A:$A,0))</f>
        <v>3865</v>
      </c>
      <c r="Q76" s="215">
        <f>IF(C76=0,IF(O76&gt;0,1,0),IF(AND(C76&lt;D$37,OR(D76="",D76&gt;=D$37)),1,0))</f>
        <v>1</v>
      </c>
      <c r="R76" s="215">
        <f>IF(C76=0,IF(AND(O76&gt;0,P76&lt;=0),1,0),IF(AND(D76&lt;&gt;"",D76&gt;=D$37,D76&lt;=D$38),1,0))</f>
        <v>0</v>
      </c>
      <c r="S76" s="215">
        <f>IF(C76=0,IF(AND(O76&lt;=0,P76&gt;0),1,0),IF(AND(C76&gt;=D$37,C76&lt;=D$38),1,0))</f>
        <v>0</v>
      </c>
      <c r="T76" s="204">
        <f>Q76*O76</f>
        <v>3399</v>
      </c>
      <c r="U76" s="204">
        <f>Q76*R76*O76</f>
        <v>0</v>
      </c>
      <c r="V76" s="204">
        <f>Q76*(1-R76)*MAX(0,O76-P76)</f>
        <v>0</v>
      </c>
      <c r="W76" s="204">
        <f>Q76*(1-R76)*MAX(0,P76-O76)</f>
        <v>466</v>
      </c>
      <c r="X76" s="204">
        <f>INDEX('Raw - Customers'!$J:$J,MATCH(B76,'Raw - Customers'!$A:$A,0))</f>
        <v>3865</v>
      </c>
      <c r="Y76" s="204">
        <f>INDEX('Raw - Customers'!$K:$K,MATCH(B76,'Raw - Customers'!$A:$A,0))</f>
        <v>4796</v>
      </c>
      <c r="Z76" s="215">
        <f>IF(C76=0,IF(X76&gt;0,1,0),IF(AND(C76&lt;E$37,OR(D76="",D76&gt;=E$37)),1,0))</f>
        <v>1</v>
      </c>
      <c r="AA76" s="215">
        <f>IF(C76=0,IF(AND(X76&gt;0,Y76&lt;=0),1,0),IF(AND(D76&lt;&gt;"",D76&gt;=E$37,D76&lt;=E$38),1,0))</f>
        <v>0</v>
      </c>
      <c r="AB76" s="215">
        <f>IF(C76=0,IF(AND(X76&lt;=0,Y76&gt;0),1,0),IF(AND(C76&gt;=E$37,C76&lt;=E$38),1,0))</f>
        <v>0</v>
      </c>
      <c r="AC76" s="204">
        <f>Z76*X76</f>
        <v>3865</v>
      </c>
      <c r="AD76" s="204">
        <f>Z76*AA76*X76</f>
        <v>0</v>
      </c>
      <c r="AE76" s="204">
        <f>Z76*(1-AA76)*MAX(0,X76-Y76)</f>
        <v>0</v>
      </c>
      <c r="AF76" s="204">
        <f>Z76*(1-AA76)*MAX(0,Y76-X76)</f>
        <v>931</v>
      </c>
    </row>
    <row r="77" spans="2:32" x14ac:dyDescent="0.25">
      <c r="B77" s="131" t="s">
        <v>670</v>
      </c>
      <c r="C77" s="132">
        <f>INDEX('Raw - Customers'!$E:$E,MATCH(B77,'Raw - Customers'!$A:$A,0))</f>
        <v>45170</v>
      </c>
      <c r="D77" s="132" t="str">
        <f>IF(INDEX('Raw - Customers'!$F:$F,MATCH(B77,'Raw - Customers'!$A:$A,0))="","",INDEX('Raw - Customers'!$F:$F,MATCH(B77,'Raw - Customers'!$A:$A,0)))</f>
        <v/>
      </c>
      <c r="E77" s="214">
        <f>IF(OR(C77=0,AND(D77&lt;&gt;"",N(D77)&lt;='Assumptions'!$C$9),C77&gt;'Assumptions'!$C$9),"",MAX(0,('Assumptions'!$C$9-C77)/365.25))</f>
        <v>2.3326488706365502</v>
      </c>
      <c r="F77" s="204">
        <v>0</v>
      </c>
      <c r="G77" s="204">
        <f>INDEX('Raw - Customers'!$I:$I,MATCH(B77,'Raw - Customers'!$A:$A,0))</f>
        <v>1346</v>
      </c>
      <c r="H77" s="215">
        <f>IF(C77=0,IF(F77&gt;0,1,0),IF(AND(C77&lt;C$37,OR(D77="",D77&gt;=C$37)),1,0))</f>
        <v>0</v>
      </c>
      <c r="I77" s="215">
        <f>IF(C77=0,IF(AND(F77&gt;0,G77&lt;=0),1,0),IF(AND(D77&lt;&gt;"",D77&gt;=C$37,D77&lt;=C$38),1,0))</f>
        <v>0</v>
      </c>
      <c r="J77" s="215">
        <f>IF(C77=0,IF(AND(F77&lt;=0,G77&gt;0),1,0),IF(AND(C77&gt;=C$37,C77&lt;=C$38),1,0))</f>
        <v>1</v>
      </c>
      <c r="K77" s="204">
        <f>H77*F77</f>
        <v>0</v>
      </c>
      <c r="L77" s="204">
        <f>H77*I77*F77</f>
        <v>0</v>
      </c>
      <c r="M77" s="204">
        <f>H77*(1-I77)*MAX(0,F77-G77)</f>
        <v>0</v>
      </c>
      <c r="N77" s="204">
        <f>H77*(1-I77)*MAX(0,G77-F77)</f>
        <v>0</v>
      </c>
      <c r="O77" s="204">
        <f>INDEX('Raw - Customers'!$I:$I,MATCH(B77,'Raw - Customers'!$A:$A,0))</f>
        <v>1346</v>
      </c>
      <c r="P77" s="204">
        <f>INDEX('Raw - Customers'!$J:$J,MATCH(B77,'Raw - Customers'!$A:$A,0))</f>
        <v>4424</v>
      </c>
      <c r="Q77" s="215">
        <f>IF(C77=0,IF(O77&gt;0,1,0),IF(AND(C77&lt;D$37,OR(D77="",D77&gt;=D$37)),1,0))</f>
        <v>1</v>
      </c>
      <c r="R77" s="215">
        <f>IF(C77=0,IF(AND(O77&gt;0,P77&lt;=0),1,0),IF(AND(D77&lt;&gt;"",D77&gt;=D$37,D77&lt;=D$38),1,0))</f>
        <v>0</v>
      </c>
      <c r="S77" s="215">
        <f>IF(C77=0,IF(AND(O77&lt;=0,P77&gt;0),1,0),IF(AND(C77&gt;=D$37,C77&lt;=D$38),1,0))</f>
        <v>0</v>
      </c>
      <c r="T77" s="204">
        <f>Q77*O77</f>
        <v>1346</v>
      </c>
      <c r="U77" s="204">
        <f>Q77*R77*O77</f>
        <v>0</v>
      </c>
      <c r="V77" s="204">
        <f>Q77*(1-R77)*MAX(0,O77-P77)</f>
        <v>0</v>
      </c>
      <c r="W77" s="204">
        <f>Q77*(1-R77)*MAX(0,P77-O77)</f>
        <v>3078</v>
      </c>
      <c r="X77" s="204">
        <f>INDEX('Raw - Customers'!$J:$J,MATCH(B77,'Raw - Customers'!$A:$A,0))</f>
        <v>4424</v>
      </c>
      <c r="Y77" s="204">
        <f>INDEX('Raw - Customers'!$K:$K,MATCH(B77,'Raw - Customers'!$A:$A,0))</f>
        <v>4284</v>
      </c>
      <c r="Z77" s="215">
        <f>IF(C77=0,IF(X77&gt;0,1,0),IF(AND(C77&lt;E$37,OR(D77="",D77&gt;=E$37)),1,0))</f>
        <v>1</v>
      </c>
      <c r="AA77" s="215">
        <f>IF(C77=0,IF(AND(X77&gt;0,Y77&lt;=0),1,0),IF(AND(D77&lt;&gt;"",D77&gt;=E$37,D77&lt;=E$38),1,0))</f>
        <v>0</v>
      </c>
      <c r="AB77" s="215">
        <f>IF(C77=0,IF(AND(X77&lt;=0,Y77&gt;0),1,0),IF(AND(C77&gt;=E$37,C77&lt;=E$38),1,0))</f>
        <v>0</v>
      </c>
      <c r="AC77" s="204">
        <f>Z77*X77</f>
        <v>4424</v>
      </c>
      <c r="AD77" s="204">
        <f>Z77*AA77*X77</f>
        <v>0</v>
      </c>
      <c r="AE77" s="204">
        <f>Z77*(1-AA77)*MAX(0,X77-Y77)</f>
        <v>140</v>
      </c>
      <c r="AF77" s="204">
        <f>Z77*(1-AA77)*MAX(0,Y77-X77)</f>
        <v>0</v>
      </c>
    </row>
    <row r="78" spans="2:32" x14ac:dyDescent="0.25">
      <c r="B78" s="131" t="s">
        <v>671</v>
      </c>
      <c r="C78" s="132">
        <f>INDEX('Raw - Customers'!$E:$E,MATCH(B78,'Raw - Customers'!$A:$A,0))</f>
        <v>41030</v>
      </c>
      <c r="D78" s="132" t="str">
        <f>IF(INDEX('Raw - Customers'!$F:$F,MATCH(B78,'Raw - Customers'!$A:$A,0))="","",INDEX('Raw - Customers'!$F:$F,MATCH(B78,'Raw - Customers'!$A:$A,0)))</f>
        <v/>
      </c>
      <c r="E78" s="214">
        <f>IF(OR(C78=0,AND(D78&lt;&gt;"",N(D78)&lt;='Assumptions'!$C$9),C78&gt;'Assumptions'!$C$9),"",MAX(0,('Assumptions'!$C$9-C78)/365.25))</f>
        <v>13.66735112936345</v>
      </c>
      <c r="F78" s="204">
        <v>0</v>
      </c>
      <c r="G78" s="204">
        <f>INDEX('Raw - Customers'!$I:$I,MATCH(B78,'Raw - Customers'!$A:$A,0))</f>
        <v>2819</v>
      </c>
      <c r="H78" s="215">
        <f>IF(C78=0,IF(F78&gt;0,1,0),IF(AND(C78&lt;C$37,OR(D78="",D78&gt;=C$37)),1,0))</f>
        <v>1</v>
      </c>
      <c r="I78" s="215">
        <f>IF(C78=0,IF(AND(F78&gt;0,G78&lt;=0),1,0),IF(AND(D78&lt;&gt;"",D78&gt;=C$37,D78&lt;=C$38),1,0))</f>
        <v>0</v>
      </c>
      <c r="J78" s="215">
        <f>IF(C78=0,IF(AND(F78&lt;=0,G78&gt;0),1,0),IF(AND(C78&gt;=C$37,C78&lt;=C$38),1,0))</f>
        <v>0</v>
      </c>
      <c r="K78" s="204">
        <f>H78*F78</f>
        <v>0</v>
      </c>
      <c r="L78" s="204">
        <f>H78*I78*F78</f>
        <v>0</v>
      </c>
      <c r="M78" s="204">
        <f>H78*(1-I78)*MAX(0,F78-G78)</f>
        <v>0</v>
      </c>
      <c r="N78" s="204">
        <f>H78*(1-I78)*MAX(0,G78-F78)</f>
        <v>2819</v>
      </c>
      <c r="O78" s="204">
        <f>INDEX('Raw - Customers'!$I:$I,MATCH(B78,'Raw - Customers'!$A:$A,0))</f>
        <v>2819</v>
      </c>
      <c r="P78" s="204">
        <f>INDEX('Raw - Customers'!$J:$J,MATCH(B78,'Raw - Customers'!$A:$A,0))</f>
        <v>4082</v>
      </c>
      <c r="Q78" s="215">
        <f>IF(C78=0,IF(O78&gt;0,1,0),IF(AND(C78&lt;D$37,OR(D78="",D78&gt;=D$37)),1,0))</f>
        <v>1</v>
      </c>
      <c r="R78" s="215">
        <f>IF(C78=0,IF(AND(O78&gt;0,P78&lt;=0),1,0),IF(AND(D78&lt;&gt;"",D78&gt;=D$37,D78&lt;=D$38),1,0))</f>
        <v>0</v>
      </c>
      <c r="S78" s="215">
        <f>IF(C78=0,IF(AND(O78&lt;=0,P78&gt;0),1,0),IF(AND(C78&gt;=D$37,C78&lt;=D$38),1,0))</f>
        <v>0</v>
      </c>
      <c r="T78" s="204">
        <f>Q78*O78</f>
        <v>2819</v>
      </c>
      <c r="U78" s="204">
        <f>Q78*R78*O78</f>
        <v>0</v>
      </c>
      <c r="V78" s="204">
        <f>Q78*(1-R78)*MAX(0,O78-P78)</f>
        <v>0</v>
      </c>
      <c r="W78" s="204">
        <f>Q78*(1-R78)*MAX(0,P78-O78)</f>
        <v>1263</v>
      </c>
      <c r="X78" s="204">
        <f>INDEX('Raw - Customers'!$J:$J,MATCH(B78,'Raw - Customers'!$A:$A,0))</f>
        <v>4082</v>
      </c>
      <c r="Y78" s="204">
        <f>INDEX('Raw - Customers'!$K:$K,MATCH(B78,'Raw - Customers'!$A:$A,0))</f>
        <v>4072</v>
      </c>
      <c r="Z78" s="215">
        <f>IF(C78=0,IF(X78&gt;0,1,0),IF(AND(C78&lt;E$37,OR(D78="",D78&gt;=E$37)),1,0))</f>
        <v>1</v>
      </c>
      <c r="AA78" s="215">
        <f>IF(C78=0,IF(AND(X78&gt;0,Y78&lt;=0),1,0),IF(AND(D78&lt;&gt;"",D78&gt;=E$37,D78&lt;=E$38),1,0))</f>
        <v>0</v>
      </c>
      <c r="AB78" s="215">
        <f>IF(C78=0,IF(AND(X78&lt;=0,Y78&gt;0),1,0),IF(AND(C78&gt;=E$37,C78&lt;=E$38),1,0))</f>
        <v>0</v>
      </c>
      <c r="AC78" s="204">
        <f>Z78*X78</f>
        <v>4082</v>
      </c>
      <c r="AD78" s="204">
        <f>Z78*AA78*X78</f>
        <v>0</v>
      </c>
      <c r="AE78" s="204">
        <f>Z78*(1-AA78)*MAX(0,X78-Y78)</f>
        <v>10</v>
      </c>
      <c r="AF78" s="204">
        <f>Z78*(1-AA78)*MAX(0,Y78-X78)</f>
        <v>0</v>
      </c>
    </row>
    <row r="79" spans="2:32" x14ac:dyDescent="0.25">
      <c r="B79" s="131" t="s">
        <v>672</v>
      </c>
      <c r="C79" s="132">
        <f>INDEX('Raw - Customers'!$E:$E,MATCH(B79,'Raw - Customers'!$A:$A,0))</f>
        <v>45352</v>
      </c>
      <c r="D79" s="132" t="str">
        <f>IF(INDEX('Raw - Customers'!$F:$F,MATCH(B79,'Raw - Customers'!$A:$A,0))="","",INDEX('Raw - Customers'!$F:$F,MATCH(B79,'Raw - Customers'!$A:$A,0)))</f>
        <v/>
      </c>
      <c r="E79" s="214">
        <f>IF(OR(C79=0,AND(D79&lt;&gt;"",N(D79)&lt;='Assumptions'!$C$9),C79&gt;'Assumptions'!$C$9),"",MAX(0,('Assumptions'!$C$9-C79)/365.25))</f>
        <v>1.834360027378508</v>
      </c>
      <c r="F79" s="204">
        <v>0</v>
      </c>
      <c r="G79" s="204">
        <f>INDEX('Raw - Customers'!$I:$I,MATCH(B79,'Raw - Customers'!$A:$A,0))</f>
        <v>0</v>
      </c>
      <c r="H79" s="215">
        <f>IF(C79=0,IF(F79&gt;0,1,0),IF(AND(C79&lt;C$37,OR(D79="",D79&gt;=C$37)),1,0))</f>
        <v>0</v>
      </c>
      <c r="I79" s="215">
        <f>IF(C79=0,IF(AND(F79&gt;0,G79&lt;=0),1,0),IF(AND(D79&lt;&gt;"",D79&gt;=C$37,D79&lt;=C$38),1,0))</f>
        <v>0</v>
      </c>
      <c r="J79" s="215">
        <f>IF(C79=0,IF(AND(F79&lt;=0,G79&gt;0),1,0),IF(AND(C79&gt;=C$37,C79&lt;=C$38),1,0))</f>
        <v>0</v>
      </c>
      <c r="K79" s="204">
        <f>H79*F79</f>
        <v>0</v>
      </c>
      <c r="L79" s="204">
        <f>H79*I79*F79</f>
        <v>0</v>
      </c>
      <c r="M79" s="204">
        <f>H79*(1-I79)*MAX(0,F79-G79)</f>
        <v>0</v>
      </c>
      <c r="N79" s="204">
        <f>H79*(1-I79)*MAX(0,G79-F79)</f>
        <v>0</v>
      </c>
      <c r="O79" s="204">
        <f>INDEX('Raw - Customers'!$I:$I,MATCH(B79,'Raw - Customers'!$A:$A,0))</f>
        <v>0</v>
      </c>
      <c r="P79" s="204">
        <f>INDEX('Raw - Customers'!$J:$J,MATCH(B79,'Raw - Customers'!$A:$A,0))</f>
        <v>2350</v>
      </c>
      <c r="Q79" s="215">
        <f>IF(C79=0,IF(O79&gt;0,1,0),IF(AND(C79&lt;D$37,OR(D79="",D79&gt;=D$37)),1,0))</f>
        <v>0</v>
      </c>
      <c r="R79" s="215">
        <f>IF(C79=0,IF(AND(O79&gt;0,P79&lt;=0),1,0),IF(AND(D79&lt;&gt;"",D79&gt;=D$37,D79&lt;=D$38),1,0))</f>
        <v>0</v>
      </c>
      <c r="S79" s="215">
        <f>IF(C79=0,IF(AND(O79&lt;=0,P79&gt;0),1,0),IF(AND(C79&gt;=D$37,C79&lt;=D$38),1,0))</f>
        <v>1</v>
      </c>
      <c r="T79" s="204">
        <f>Q79*O79</f>
        <v>0</v>
      </c>
      <c r="U79" s="204">
        <f>Q79*R79*O79</f>
        <v>0</v>
      </c>
      <c r="V79" s="204">
        <f>Q79*(1-R79)*MAX(0,O79-P79)</f>
        <v>0</v>
      </c>
      <c r="W79" s="204">
        <f>Q79*(1-R79)*MAX(0,P79-O79)</f>
        <v>0</v>
      </c>
      <c r="X79" s="204">
        <f>INDEX('Raw - Customers'!$J:$J,MATCH(B79,'Raw - Customers'!$A:$A,0))</f>
        <v>2350</v>
      </c>
      <c r="Y79" s="204">
        <f>INDEX('Raw - Customers'!$K:$K,MATCH(B79,'Raw - Customers'!$A:$A,0))</f>
        <v>4029</v>
      </c>
      <c r="Z79" s="215">
        <f>IF(C79=0,IF(X79&gt;0,1,0),IF(AND(C79&lt;E$37,OR(D79="",D79&gt;=E$37)),1,0))</f>
        <v>1</v>
      </c>
      <c r="AA79" s="215">
        <f>IF(C79=0,IF(AND(X79&gt;0,Y79&lt;=0),1,0),IF(AND(D79&lt;&gt;"",D79&gt;=E$37,D79&lt;=E$38),1,0))</f>
        <v>0</v>
      </c>
      <c r="AB79" s="215">
        <f>IF(C79=0,IF(AND(X79&lt;=0,Y79&gt;0),1,0),IF(AND(C79&gt;=E$37,C79&lt;=E$38),1,0))</f>
        <v>0</v>
      </c>
      <c r="AC79" s="204">
        <f>Z79*X79</f>
        <v>2350</v>
      </c>
      <c r="AD79" s="204">
        <f>Z79*AA79*X79</f>
        <v>0</v>
      </c>
      <c r="AE79" s="204">
        <f>Z79*(1-AA79)*MAX(0,X79-Y79)</f>
        <v>0</v>
      </c>
      <c r="AF79" s="204">
        <f>Z79*(1-AA79)*MAX(0,Y79-X79)</f>
        <v>1679</v>
      </c>
    </row>
    <row r="80" spans="2:32" x14ac:dyDescent="0.25">
      <c r="B80" s="131" t="s">
        <v>673</v>
      </c>
      <c r="C80" s="132">
        <f>INDEX('Raw - Customers'!$E:$E,MATCH(B80,'Raw - Customers'!$A:$A,0))</f>
        <v>41760</v>
      </c>
      <c r="D80" s="132" t="str">
        <f>IF(INDEX('Raw - Customers'!$F:$F,MATCH(B80,'Raw - Customers'!$A:$A,0))="","",INDEX('Raw - Customers'!$F:$F,MATCH(B80,'Raw - Customers'!$A:$A,0)))</f>
        <v/>
      </c>
      <c r="E80" s="214">
        <f>IF(OR(C80=0,AND(D80&lt;&gt;"",N(D80)&lt;='Assumptions'!$C$9),C80&gt;'Assumptions'!$C$9),"",MAX(0,('Assumptions'!$C$9-C80)/365.25))</f>
        <v>11.668720054757015</v>
      </c>
      <c r="F80" s="204">
        <v>0</v>
      </c>
      <c r="G80" s="204">
        <f>INDEX('Raw - Customers'!$I:$I,MATCH(B80,'Raw - Customers'!$A:$A,0))</f>
        <v>3253</v>
      </c>
      <c r="H80" s="215">
        <f>IF(C80=0,IF(F80&gt;0,1,0),IF(AND(C80&lt;C$37,OR(D80="",D80&gt;=C$37)),1,0))</f>
        <v>1</v>
      </c>
      <c r="I80" s="215">
        <f>IF(C80=0,IF(AND(F80&gt;0,G80&lt;=0),1,0),IF(AND(D80&lt;&gt;"",D80&gt;=C$37,D80&lt;=C$38),1,0))</f>
        <v>0</v>
      </c>
      <c r="J80" s="215">
        <f>IF(C80=0,IF(AND(F80&lt;=0,G80&gt;0),1,0),IF(AND(C80&gt;=C$37,C80&lt;=C$38),1,0))</f>
        <v>0</v>
      </c>
      <c r="K80" s="204">
        <f>H80*F80</f>
        <v>0</v>
      </c>
      <c r="L80" s="204">
        <f>H80*I80*F80</f>
        <v>0</v>
      </c>
      <c r="M80" s="204">
        <f>H80*(1-I80)*MAX(0,F80-G80)</f>
        <v>0</v>
      </c>
      <c r="N80" s="204">
        <f>H80*(1-I80)*MAX(0,G80-F80)</f>
        <v>3253</v>
      </c>
      <c r="O80" s="204">
        <f>INDEX('Raw - Customers'!$I:$I,MATCH(B80,'Raw - Customers'!$A:$A,0))</f>
        <v>3253</v>
      </c>
      <c r="P80" s="204">
        <f>INDEX('Raw - Customers'!$J:$J,MATCH(B80,'Raw - Customers'!$A:$A,0))</f>
        <v>3469</v>
      </c>
      <c r="Q80" s="215">
        <f>IF(C80=0,IF(O80&gt;0,1,0),IF(AND(C80&lt;D$37,OR(D80="",D80&gt;=D$37)),1,0))</f>
        <v>1</v>
      </c>
      <c r="R80" s="215">
        <f>IF(C80=0,IF(AND(O80&gt;0,P80&lt;=0),1,0),IF(AND(D80&lt;&gt;"",D80&gt;=D$37,D80&lt;=D$38),1,0))</f>
        <v>0</v>
      </c>
      <c r="S80" s="215">
        <f>IF(C80=0,IF(AND(O80&lt;=0,P80&gt;0),1,0),IF(AND(C80&gt;=D$37,C80&lt;=D$38),1,0))</f>
        <v>0</v>
      </c>
      <c r="T80" s="204">
        <f>Q80*O80</f>
        <v>3253</v>
      </c>
      <c r="U80" s="204">
        <f>Q80*R80*O80</f>
        <v>0</v>
      </c>
      <c r="V80" s="204">
        <f>Q80*(1-R80)*MAX(0,O80-P80)</f>
        <v>0</v>
      </c>
      <c r="W80" s="204">
        <f>Q80*(1-R80)*MAX(0,P80-O80)</f>
        <v>216</v>
      </c>
      <c r="X80" s="204">
        <f>INDEX('Raw - Customers'!$J:$J,MATCH(B80,'Raw - Customers'!$A:$A,0))</f>
        <v>3469</v>
      </c>
      <c r="Y80" s="204">
        <f>INDEX('Raw - Customers'!$K:$K,MATCH(B80,'Raw - Customers'!$A:$A,0))</f>
        <v>4017</v>
      </c>
      <c r="Z80" s="215">
        <f>IF(C80=0,IF(X80&gt;0,1,0),IF(AND(C80&lt;E$37,OR(D80="",D80&gt;=E$37)),1,0))</f>
        <v>1</v>
      </c>
      <c r="AA80" s="215">
        <f>IF(C80=0,IF(AND(X80&gt;0,Y80&lt;=0),1,0),IF(AND(D80&lt;&gt;"",D80&gt;=E$37,D80&lt;=E$38),1,0))</f>
        <v>0</v>
      </c>
      <c r="AB80" s="215">
        <f>IF(C80=0,IF(AND(X80&lt;=0,Y80&gt;0),1,0),IF(AND(C80&gt;=E$37,C80&lt;=E$38),1,0))</f>
        <v>0</v>
      </c>
      <c r="AC80" s="204">
        <f>Z80*X80</f>
        <v>3469</v>
      </c>
      <c r="AD80" s="204">
        <f>Z80*AA80*X80</f>
        <v>0</v>
      </c>
      <c r="AE80" s="204">
        <f>Z80*(1-AA80)*MAX(0,X80-Y80)</f>
        <v>0</v>
      </c>
      <c r="AF80" s="204">
        <f>Z80*(1-AA80)*MAX(0,Y80-X80)</f>
        <v>548</v>
      </c>
    </row>
    <row r="81" spans="2:32" x14ac:dyDescent="0.25">
      <c r="B81" s="131" t="s">
        <v>674</v>
      </c>
      <c r="C81" s="132">
        <f>INDEX('Raw - Customers'!$E:$E,MATCH(B81,'Raw - Customers'!$A:$A,0))</f>
        <v>41395</v>
      </c>
      <c r="D81" s="132" t="str">
        <f>IF(INDEX('Raw - Customers'!$F:$F,MATCH(B81,'Raw - Customers'!$A:$A,0))="","",INDEX('Raw - Customers'!$F:$F,MATCH(B81,'Raw - Customers'!$A:$A,0)))</f>
        <v/>
      </c>
      <c r="E81" s="214">
        <f>IF(OR(C81=0,AND(D81&lt;&gt;"",N(D81)&lt;='Assumptions'!$C$9),C81&gt;'Assumptions'!$C$9),"",MAX(0,('Assumptions'!$C$9-C81)/365.25))</f>
        <v>12.668035592060233</v>
      </c>
      <c r="F81" s="204">
        <v>0</v>
      </c>
      <c r="G81" s="204">
        <f>INDEX('Raw - Customers'!$I:$I,MATCH(B81,'Raw - Customers'!$A:$A,0))</f>
        <v>2558</v>
      </c>
      <c r="H81" s="215">
        <f>IF(C81=0,IF(F81&gt;0,1,0),IF(AND(C81&lt;C$37,OR(D81="",D81&gt;=C$37)),1,0))</f>
        <v>1</v>
      </c>
      <c r="I81" s="215">
        <f>IF(C81=0,IF(AND(F81&gt;0,G81&lt;=0),1,0),IF(AND(D81&lt;&gt;"",D81&gt;=C$37,D81&lt;=C$38),1,0))</f>
        <v>0</v>
      </c>
      <c r="J81" s="215">
        <f>IF(C81=0,IF(AND(F81&lt;=0,G81&gt;0),1,0),IF(AND(C81&gt;=C$37,C81&lt;=C$38),1,0))</f>
        <v>0</v>
      </c>
      <c r="K81" s="204">
        <f>H81*F81</f>
        <v>0</v>
      </c>
      <c r="L81" s="204">
        <f>H81*I81*F81</f>
        <v>0</v>
      </c>
      <c r="M81" s="204">
        <f>H81*(1-I81)*MAX(0,F81-G81)</f>
        <v>0</v>
      </c>
      <c r="N81" s="204">
        <f>H81*(1-I81)*MAX(0,G81-F81)</f>
        <v>2558</v>
      </c>
      <c r="O81" s="204">
        <f>INDEX('Raw - Customers'!$I:$I,MATCH(B81,'Raw - Customers'!$A:$A,0))</f>
        <v>2558</v>
      </c>
      <c r="P81" s="204">
        <f>INDEX('Raw - Customers'!$J:$J,MATCH(B81,'Raw - Customers'!$A:$A,0))</f>
        <v>3371</v>
      </c>
      <c r="Q81" s="215">
        <f>IF(C81=0,IF(O81&gt;0,1,0),IF(AND(C81&lt;D$37,OR(D81="",D81&gt;=D$37)),1,0))</f>
        <v>1</v>
      </c>
      <c r="R81" s="215">
        <f>IF(C81=0,IF(AND(O81&gt;0,P81&lt;=0),1,0),IF(AND(D81&lt;&gt;"",D81&gt;=D$37,D81&lt;=D$38),1,0))</f>
        <v>0</v>
      </c>
      <c r="S81" s="215">
        <f>IF(C81=0,IF(AND(O81&lt;=0,P81&gt;0),1,0),IF(AND(C81&gt;=D$37,C81&lt;=D$38),1,0))</f>
        <v>0</v>
      </c>
      <c r="T81" s="204">
        <f>Q81*O81</f>
        <v>2558</v>
      </c>
      <c r="U81" s="204">
        <f>Q81*R81*O81</f>
        <v>0</v>
      </c>
      <c r="V81" s="204">
        <f>Q81*(1-R81)*MAX(0,O81-P81)</f>
        <v>0</v>
      </c>
      <c r="W81" s="204">
        <f>Q81*(1-R81)*MAX(0,P81-O81)</f>
        <v>813</v>
      </c>
      <c r="X81" s="204">
        <f>INDEX('Raw - Customers'!$J:$J,MATCH(B81,'Raw - Customers'!$A:$A,0))</f>
        <v>3371</v>
      </c>
      <c r="Y81" s="204">
        <f>INDEX('Raw - Customers'!$K:$K,MATCH(B81,'Raw - Customers'!$A:$A,0))</f>
        <v>3925</v>
      </c>
      <c r="Z81" s="215">
        <f>IF(C81=0,IF(X81&gt;0,1,0),IF(AND(C81&lt;E$37,OR(D81="",D81&gt;=E$37)),1,0))</f>
        <v>1</v>
      </c>
      <c r="AA81" s="215">
        <f>IF(C81=0,IF(AND(X81&gt;0,Y81&lt;=0),1,0),IF(AND(D81&lt;&gt;"",D81&gt;=E$37,D81&lt;=E$38),1,0))</f>
        <v>0</v>
      </c>
      <c r="AB81" s="215">
        <f>IF(C81=0,IF(AND(X81&lt;=0,Y81&gt;0),1,0),IF(AND(C81&gt;=E$37,C81&lt;=E$38),1,0))</f>
        <v>0</v>
      </c>
      <c r="AC81" s="204">
        <f>Z81*X81</f>
        <v>3371</v>
      </c>
      <c r="AD81" s="204">
        <f>Z81*AA81*X81</f>
        <v>0</v>
      </c>
      <c r="AE81" s="204">
        <f>Z81*(1-AA81)*MAX(0,X81-Y81)</f>
        <v>0</v>
      </c>
      <c r="AF81" s="204">
        <f>Z81*(1-AA81)*MAX(0,Y81-X81)</f>
        <v>554</v>
      </c>
    </row>
    <row r="82" spans="2:32" x14ac:dyDescent="0.25">
      <c r="B82" s="131" t="s">
        <v>675</v>
      </c>
      <c r="C82" s="132">
        <f>INDEX('Raw - Customers'!$E:$E,MATCH(B82,'Raw - Customers'!$A:$A,0))</f>
        <v>43770</v>
      </c>
      <c r="D82" s="132" t="str">
        <f>IF(INDEX('Raw - Customers'!$F:$F,MATCH(B82,'Raw - Customers'!$A:$A,0))="","",INDEX('Raw - Customers'!$F:$F,MATCH(B82,'Raw - Customers'!$A:$A,0)))</f>
        <v/>
      </c>
      <c r="E82" s="214">
        <f>IF(OR(C82=0,AND(D82&lt;&gt;"",N(D82)&lt;='Assumptions'!$C$9),C82&gt;'Assumptions'!$C$9),"",MAX(0,('Assumptions'!$C$9-C82)/365.25))</f>
        <v>6.165639972621492</v>
      </c>
      <c r="F82" s="204">
        <v>0</v>
      </c>
      <c r="G82" s="204">
        <f>INDEX('Raw - Customers'!$I:$I,MATCH(B82,'Raw - Customers'!$A:$A,0))</f>
        <v>2291</v>
      </c>
      <c r="H82" s="215">
        <f>IF(C82=0,IF(F82&gt;0,1,0),IF(AND(C82&lt;C$37,OR(D82="",D82&gt;=C$37)),1,0))</f>
        <v>1</v>
      </c>
      <c r="I82" s="215">
        <f>IF(C82=0,IF(AND(F82&gt;0,G82&lt;=0),1,0),IF(AND(D82&lt;&gt;"",D82&gt;=C$37,D82&lt;=C$38),1,0))</f>
        <v>0</v>
      </c>
      <c r="J82" s="215">
        <f>IF(C82=0,IF(AND(F82&lt;=0,G82&gt;0),1,0),IF(AND(C82&gt;=C$37,C82&lt;=C$38),1,0))</f>
        <v>0</v>
      </c>
      <c r="K82" s="204">
        <f>H82*F82</f>
        <v>0</v>
      </c>
      <c r="L82" s="204">
        <f>H82*I82*F82</f>
        <v>0</v>
      </c>
      <c r="M82" s="204">
        <f>H82*(1-I82)*MAX(0,F82-G82)</f>
        <v>0</v>
      </c>
      <c r="N82" s="204">
        <f>H82*(1-I82)*MAX(0,G82-F82)</f>
        <v>2291</v>
      </c>
      <c r="O82" s="204">
        <f>INDEX('Raw - Customers'!$I:$I,MATCH(B82,'Raw - Customers'!$A:$A,0))</f>
        <v>2291</v>
      </c>
      <c r="P82" s="204">
        <f>INDEX('Raw - Customers'!$J:$J,MATCH(B82,'Raw - Customers'!$A:$A,0))</f>
        <v>3407</v>
      </c>
      <c r="Q82" s="215">
        <f>IF(C82=0,IF(O82&gt;0,1,0),IF(AND(C82&lt;D$37,OR(D82="",D82&gt;=D$37)),1,0))</f>
        <v>1</v>
      </c>
      <c r="R82" s="215">
        <f>IF(C82=0,IF(AND(O82&gt;0,P82&lt;=0),1,0),IF(AND(D82&lt;&gt;"",D82&gt;=D$37,D82&lt;=D$38),1,0))</f>
        <v>0</v>
      </c>
      <c r="S82" s="215">
        <f>IF(C82=0,IF(AND(O82&lt;=0,P82&gt;0),1,0),IF(AND(C82&gt;=D$37,C82&lt;=D$38),1,0))</f>
        <v>0</v>
      </c>
      <c r="T82" s="204">
        <f>Q82*O82</f>
        <v>2291</v>
      </c>
      <c r="U82" s="204">
        <f>Q82*R82*O82</f>
        <v>0</v>
      </c>
      <c r="V82" s="204">
        <f>Q82*(1-R82)*MAX(0,O82-P82)</f>
        <v>0</v>
      </c>
      <c r="W82" s="204">
        <f>Q82*(1-R82)*MAX(0,P82-O82)</f>
        <v>1116</v>
      </c>
      <c r="X82" s="204">
        <f>INDEX('Raw - Customers'!$J:$J,MATCH(B82,'Raw - Customers'!$A:$A,0))</f>
        <v>3407</v>
      </c>
      <c r="Y82" s="204">
        <f>INDEX('Raw - Customers'!$K:$K,MATCH(B82,'Raw - Customers'!$A:$A,0))</f>
        <v>3831</v>
      </c>
      <c r="Z82" s="215">
        <f>IF(C82=0,IF(X82&gt;0,1,0),IF(AND(C82&lt;E$37,OR(D82="",D82&gt;=E$37)),1,0))</f>
        <v>1</v>
      </c>
      <c r="AA82" s="215">
        <f>IF(C82=0,IF(AND(X82&gt;0,Y82&lt;=0),1,0),IF(AND(D82&lt;&gt;"",D82&gt;=E$37,D82&lt;=E$38),1,0))</f>
        <v>0</v>
      </c>
      <c r="AB82" s="215">
        <f>IF(C82=0,IF(AND(X82&lt;=0,Y82&gt;0),1,0),IF(AND(C82&gt;=E$37,C82&lt;=E$38),1,0))</f>
        <v>0</v>
      </c>
      <c r="AC82" s="204">
        <f>Z82*X82</f>
        <v>3407</v>
      </c>
      <c r="AD82" s="204">
        <f>Z82*AA82*X82</f>
        <v>0</v>
      </c>
      <c r="AE82" s="204">
        <f>Z82*(1-AA82)*MAX(0,X82-Y82)</f>
        <v>0</v>
      </c>
      <c r="AF82" s="204">
        <f>Z82*(1-AA82)*MAX(0,Y82-X82)</f>
        <v>424</v>
      </c>
    </row>
    <row r="83" spans="2:32" x14ac:dyDescent="0.25">
      <c r="B83" s="131" t="s">
        <v>676</v>
      </c>
      <c r="C83" s="132">
        <f>INDEX('Raw - Customers'!$E:$E,MATCH(B83,'Raw - Customers'!$A:$A,0))</f>
        <v>44348</v>
      </c>
      <c r="D83" s="132" t="str">
        <f>IF(INDEX('Raw - Customers'!$F:$F,MATCH(B83,'Raw - Customers'!$A:$A,0))="","",INDEX('Raw - Customers'!$F:$F,MATCH(B83,'Raw - Customers'!$A:$A,0)))</f>
        <v/>
      </c>
      <c r="E83" s="214">
        <f>IF(OR(C83=0,AND(D83&lt;&gt;"",N(D83)&lt;='Assumptions'!$C$9),C83&gt;'Assumptions'!$C$9),"",MAX(0,('Assumptions'!$C$9-C83)/365.25))</f>
        <v>4.583162217659138</v>
      </c>
      <c r="F83" s="204">
        <v>0</v>
      </c>
      <c r="G83" s="204">
        <f>INDEX('Raw - Customers'!$I:$I,MATCH(B83,'Raw - Customers'!$A:$A,0))</f>
        <v>2083</v>
      </c>
      <c r="H83" s="215">
        <f>IF(C83=0,IF(F83&gt;0,1,0),IF(AND(C83&lt;C$37,OR(D83="",D83&gt;=C$37)),1,0))</f>
        <v>1</v>
      </c>
      <c r="I83" s="215">
        <f>IF(C83=0,IF(AND(F83&gt;0,G83&lt;=0),1,0),IF(AND(D83&lt;&gt;"",D83&gt;=C$37,D83&lt;=C$38),1,0))</f>
        <v>0</v>
      </c>
      <c r="J83" s="215">
        <f>IF(C83=0,IF(AND(F83&lt;=0,G83&gt;0),1,0),IF(AND(C83&gt;=C$37,C83&lt;=C$38),1,0))</f>
        <v>0</v>
      </c>
      <c r="K83" s="204">
        <f>H83*F83</f>
        <v>0</v>
      </c>
      <c r="L83" s="204">
        <f>H83*I83*F83</f>
        <v>0</v>
      </c>
      <c r="M83" s="204">
        <f>H83*(1-I83)*MAX(0,F83-G83)</f>
        <v>0</v>
      </c>
      <c r="N83" s="204">
        <f>H83*(1-I83)*MAX(0,G83-F83)</f>
        <v>2083</v>
      </c>
      <c r="O83" s="204">
        <f>INDEX('Raw - Customers'!$I:$I,MATCH(B83,'Raw - Customers'!$A:$A,0))</f>
        <v>2083</v>
      </c>
      <c r="P83" s="204">
        <f>INDEX('Raw - Customers'!$J:$J,MATCH(B83,'Raw - Customers'!$A:$A,0))</f>
        <v>3018</v>
      </c>
      <c r="Q83" s="215">
        <f>IF(C83=0,IF(O83&gt;0,1,0),IF(AND(C83&lt;D$37,OR(D83="",D83&gt;=D$37)),1,0))</f>
        <v>1</v>
      </c>
      <c r="R83" s="215">
        <f>IF(C83=0,IF(AND(O83&gt;0,P83&lt;=0),1,0),IF(AND(D83&lt;&gt;"",D83&gt;=D$37,D83&lt;=D$38),1,0))</f>
        <v>0</v>
      </c>
      <c r="S83" s="215">
        <f>IF(C83=0,IF(AND(O83&lt;=0,P83&gt;0),1,0),IF(AND(C83&gt;=D$37,C83&lt;=D$38),1,0))</f>
        <v>0</v>
      </c>
      <c r="T83" s="204">
        <f>Q83*O83</f>
        <v>2083</v>
      </c>
      <c r="U83" s="204">
        <f>Q83*R83*O83</f>
        <v>0</v>
      </c>
      <c r="V83" s="204">
        <f>Q83*(1-R83)*MAX(0,O83-P83)</f>
        <v>0</v>
      </c>
      <c r="W83" s="204">
        <f>Q83*(1-R83)*MAX(0,P83-O83)</f>
        <v>935</v>
      </c>
      <c r="X83" s="204">
        <f>INDEX('Raw - Customers'!$J:$J,MATCH(B83,'Raw - Customers'!$A:$A,0))</f>
        <v>3018</v>
      </c>
      <c r="Y83" s="204">
        <f>INDEX('Raw - Customers'!$K:$K,MATCH(B83,'Raw - Customers'!$A:$A,0))</f>
        <v>3542</v>
      </c>
      <c r="Z83" s="215">
        <f>IF(C83=0,IF(X83&gt;0,1,0),IF(AND(C83&lt;E$37,OR(D83="",D83&gt;=E$37)),1,0))</f>
        <v>1</v>
      </c>
      <c r="AA83" s="215">
        <f>IF(C83=0,IF(AND(X83&gt;0,Y83&lt;=0),1,0),IF(AND(D83&lt;&gt;"",D83&gt;=E$37,D83&lt;=E$38),1,0))</f>
        <v>0</v>
      </c>
      <c r="AB83" s="215">
        <f>IF(C83=0,IF(AND(X83&lt;=0,Y83&gt;0),1,0),IF(AND(C83&gt;=E$37,C83&lt;=E$38),1,0))</f>
        <v>0</v>
      </c>
      <c r="AC83" s="204">
        <f>Z83*X83</f>
        <v>3018</v>
      </c>
      <c r="AD83" s="204">
        <f>Z83*AA83*X83</f>
        <v>0</v>
      </c>
      <c r="AE83" s="204">
        <f>Z83*(1-AA83)*MAX(0,X83-Y83)</f>
        <v>0</v>
      </c>
      <c r="AF83" s="204">
        <f>Z83*(1-AA83)*MAX(0,Y83-X83)</f>
        <v>524</v>
      </c>
    </row>
    <row r="84" spans="2:32" x14ac:dyDescent="0.25">
      <c r="B84" s="131" t="s">
        <v>677</v>
      </c>
      <c r="C84" s="132">
        <f>INDEX('Raw - Customers'!$E:$E,MATCH(B84,'Raw - Customers'!$A:$A,0))</f>
        <v>42979</v>
      </c>
      <c r="D84" s="132" t="str">
        <f>IF(INDEX('Raw - Customers'!$F:$F,MATCH(B84,'Raw - Customers'!$A:$A,0))="","",INDEX('Raw - Customers'!$F:$F,MATCH(B84,'Raw - Customers'!$A:$A,0)))</f>
        <v/>
      </c>
      <c r="E84" s="214">
        <f>IF(OR(C84=0,AND(D84&lt;&gt;"",N(D84)&lt;='Assumptions'!$C$9),C84&gt;'Assumptions'!$C$9),"",MAX(0,('Assumptions'!$C$9-C84)/365.25))</f>
        <v>8.331279945242985</v>
      </c>
      <c r="F84" s="204">
        <v>0</v>
      </c>
      <c r="G84" s="204">
        <f>INDEX('Raw - Customers'!$I:$I,MATCH(B84,'Raw - Customers'!$A:$A,0))</f>
        <v>2520</v>
      </c>
      <c r="H84" s="215">
        <f>IF(C84=0,IF(F84&gt;0,1,0),IF(AND(C84&lt;C$37,OR(D84="",D84&gt;=C$37)),1,0))</f>
        <v>1</v>
      </c>
      <c r="I84" s="215">
        <f>IF(C84=0,IF(AND(F84&gt;0,G84&lt;=0),1,0),IF(AND(D84&lt;&gt;"",D84&gt;=C$37,D84&lt;=C$38),1,0))</f>
        <v>0</v>
      </c>
      <c r="J84" s="215">
        <f>IF(C84=0,IF(AND(F84&lt;=0,G84&gt;0),1,0),IF(AND(C84&gt;=C$37,C84&lt;=C$38),1,0))</f>
        <v>0</v>
      </c>
      <c r="K84" s="204">
        <f>H84*F84</f>
        <v>0</v>
      </c>
      <c r="L84" s="204">
        <f>H84*I84*F84</f>
        <v>0</v>
      </c>
      <c r="M84" s="204">
        <f>H84*(1-I84)*MAX(0,F84-G84)</f>
        <v>0</v>
      </c>
      <c r="N84" s="204">
        <f>H84*(1-I84)*MAX(0,G84-F84)</f>
        <v>2520</v>
      </c>
      <c r="O84" s="204">
        <f>INDEX('Raw - Customers'!$I:$I,MATCH(B84,'Raw - Customers'!$A:$A,0))</f>
        <v>2520</v>
      </c>
      <c r="P84" s="204">
        <f>INDEX('Raw - Customers'!$J:$J,MATCH(B84,'Raw - Customers'!$A:$A,0))</f>
        <v>3318</v>
      </c>
      <c r="Q84" s="215">
        <f>IF(C84=0,IF(O84&gt;0,1,0),IF(AND(C84&lt;D$37,OR(D84="",D84&gt;=D$37)),1,0))</f>
        <v>1</v>
      </c>
      <c r="R84" s="215">
        <f>IF(C84=0,IF(AND(O84&gt;0,P84&lt;=0),1,0),IF(AND(D84&lt;&gt;"",D84&gt;=D$37,D84&lt;=D$38),1,0))</f>
        <v>0</v>
      </c>
      <c r="S84" s="215">
        <f>IF(C84=0,IF(AND(O84&lt;=0,P84&gt;0),1,0),IF(AND(C84&gt;=D$37,C84&lt;=D$38),1,0))</f>
        <v>0</v>
      </c>
      <c r="T84" s="204">
        <f>Q84*O84</f>
        <v>2520</v>
      </c>
      <c r="U84" s="204">
        <f>Q84*R84*O84</f>
        <v>0</v>
      </c>
      <c r="V84" s="204">
        <f>Q84*(1-R84)*MAX(0,O84-P84)</f>
        <v>0</v>
      </c>
      <c r="W84" s="204">
        <f>Q84*(1-R84)*MAX(0,P84-O84)</f>
        <v>798</v>
      </c>
      <c r="X84" s="204">
        <f>INDEX('Raw - Customers'!$J:$J,MATCH(B84,'Raw - Customers'!$A:$A,0))</f>
        <v>3318</v>
      </c>
      <c r="Y84" s="204">
        <f>INDEX('Raw - Customers'!$K:$K,MATCH(B84,'Raw - Customers'!$A:$A,0))</f>
        <v>3492</v>
      </c>
      <c r="Z84" s="215">
        <f>IF(C84=0,IF(X84&gt;0,1,0),IF(AND(C84&lt;E$37,OR(D84="",D84&gt;=E$37)),1,0))</f>
        <v>1</v>
      </c>
      <c r="AA84" s="215">
        <f>IF(C84=0,IF(AND(X84&gt;0,Y84&lt;=0),1,0),IF(AND(D84&lt;&gt;"",D84&gt;=E$37,D84&lt;=E$38),1,0))</f>
        <v>0</v>
      </c>
      <c r="AB84" s="215">
        <f>IF(C84=0,IF(AND(X84&lt;=0,Y84&gt;0),1,0),IF(AND(C84&gt;=E$37,C84&lt;=E$38),1,0))</f>
        <v>0</v>
      </c>
      <c r="AC84" s="204">
        <f>Z84*X84</f>
        <v>3318</v>
      </c>
      <c r="AD84" s="204">
        <f>Z84*AA84*X84</f>
        <v>0</v>
      </c>
      <c r="AE84" s="204">
        <f>Z84*(1-AA84)*MAX(0,X84-Y84)</f>
        <v>0</v>
      </c>
      <c r="AF84" s="204">
        <f>Z84*(1-AA84)*MAX(0,Y84-X84)</f>
        <v>174</v>
      </c>
    </row>
    <row r="85" spans="2:32" x14ac:dyDescent="0.25">
      <c r="B85" s="131" t="s">
        <v>678</v>
      </c>
      <c r="C85" s="132">
        <f>INDEX('Raw - Customers'!$E:$E,MATCH(B85,'Raw - Customers'!$A:$A,0))</f>
        <v>42401</v>
      </c>
      <c r="D85" s="132">
        <f>IF(INDEX('Raw - Customers'!$F:$F,MATCH(B85,'Raw - Customers'!$A:$A,0))="","",INDEX('Raw - Customers'!$F:$F,MATCH(B85,'Raw - Customers'!$A:$A,0)))</f>
        <v>45900</v>
      </c>
      <c r="E85" s="214" t="str">
        <f>IF(OR(C85=0,AND(D85&lt;&gt;"",N(D85)&lt;='Assumptions'!$C$9),C85&gt;'Assumptions'!$C$9),"",MAX(0,('Assumptions'!$C$9-C85)/365.25))</f>
        <v/>
      </c>
      <c r="F85" s="204">
        <v>0</v>
      </c>
      <c r="G85" s="204">
        <f>INDEX('Raw - Customers'!$I:$I,MATCH(B85,'Raw - Customers'!$A:$A,0))</f>
        <v>4157</v>
      </c>
      <c r="H85" s="215">
        <f>IF(C85=0,IF(F85&gt;0,1,0),IF(AND(C85&lt;C$37,OR(D85="",D85&gt;=C$37)),1,0))</f>
        <v>1</v>
      </c>
      <c r="I85" s="215">
        <f>IF(C85=0,IF(AND(F85&gt;0,G85&lt;=0),1,0),IF(AND(D85&lt;&gt;"",D85&gt;=C$37,D85&lt;=C$38),1,0))</f>
        <v>0</v>
      </c>
      <c r="J85" s="215">
        <f>IF(C85=0,IF(AND(F85&lt;=0,G85&gt;0),1,0),IF(AND(C85&gt;=C$37,C85&lt;=C$38),1,0))</f>
        <v>0</v>
      </c>
      <c r="K85" s="204">
        <f>H85*F85</f>
        <v>0</v>
      </c>
      <c r="L85" s="204">
        <f>H85*I85*F85</f>
        <v>0</v>
      </c>
      <c r="M85" s="204">
        <f>H85*(1-I85)*MAX(0,F85-G85)</f>
        <v>0</v>
      </c>
      <c r="N85" s="204">
        <f>H85*(1-I85)*MAX(0,G85-F85)</f>
        <v>4157</v>
      </c>
      <c r="O85" s="204">
        <f>INDEX('Raw - Customers'!$I:$I,MATCH(B85,'Raw - Customers'!$A:$A,0))</f>
        <v>4157</v>
      </c>
      <c r="P85" s="204">
        <f>INDEX('Raw - Customers'!$J:$J,MATCH(B85,'Raw - Customers'!$A:$A,0))</f>
        <v>4739</v>
      </c>
      <c r="Q85" s="215">
        <f>IF(C85=0,IF(O85&gt;0,1,0),IF(AND(C85&lt;D$37,OR(D85="",D85&gt;=D$37)),1,0))</f>
        <v>1</v>
      </c>
      <c r="R85" s="215">
        <f>IF(C85=0,IF(AND(O85&gt;0,P85&lt;=0),1,0),IF(AND(D85&lt;&gt;"",D85&gt;=D$37,D85&lt;=D$38),1,0))</f>
        <v>0</v>
      </c>
      <c r="S85" s="215">
        <f>IF(C85=0,IF(AND(O85&lt;=0,P85&gt;0),1,0),IF(AND(C85&gt;=D$37,C85&lt;=D$38),1,0))</f>
        <v>0</v>
      </c>
      <c r="T85" s="204">
        <f>Q85*O85</f>
        <v>4157</v>
      </c>
      <c r="U85" s="204">
        <f>Q85*R85*O85</f>
        <v>0</v>
      </c>
      <c r="V85" s="204">
        <f>Q85*(1-R85)*MAX(0,O85-P85)</f>
        <v>0</v>
      </c>
      <c r="W85" s="204">
        <f>Q85*(1-R85)*MAX(0,P85-O85)</f>
        <v>582</v>
      </c>
      <c r="X85" s="204">
        <f>INDEX('Raw - Customers'!$J:$J,MATCH(B85,'Raw - Customers'!$A:$A,0))</f>
        <v>4739</v>
      </c>
      <c r="Y85" s="204">
        <f>INDEX('Raw - Customers'!$K:$K,MATCH(B85,'Raw - Customers'!$A:$A,0))</f>
        <v>3367</v>
      </c>
      <c r="Z85" s="215">
        <f>IF(C85=0,IF(X85&gt;0,1,0),IF(AND(C85&lt;E$37,OR(D85="",D85&gt;=E$37)),1,0))</f>
        <v>1</v>
      </c>
      <c r="AA85" s="215">
        <f>IF(C85=0,IF(AND(X85&gt;0,Y85&lt;=0),1,0),IF(AND(D85&lt;&gt;"",D85&gt;=E$37,D85&lt;=E$38),1,0))</f>
        <v>1</v>
      </c>
      <c r="AB85" s="215">
        <f>IF(C85=0,IF(AND(X85&lt;=0,Y85&gt;0),1,0),IF(AND(C85&gt;=E$37,C85&lt;=E$38),1,0))</f>
        <v>0</v>
      </c>
      <c r="AC85" s="204">
        <f>Z85*X85</f>
        <v>4739</v>
      </c>
      <c r="AD85" s="204">
        <f>Z85*AA85*X85</f>
        <v>4739</v>
      </c>
      <c r="AE85" s="204">
        <f>Z85*(1-AA85)*MAX(0,X85-Y85)</f>
        <v>0</v>
      </c>
      <c r="AF85" s="204">
        <f>Z85*(1-AA85)*MAX(0,Y85-X85)</f>
        <v>0</v>
      </c>
    </row>
    <row r="86" spans="2:32" x14ac:dyDescent="0.25">
      <c r="B86" s="131" t="s">
        <v>679</v>
      </c>
      <c r="C86" s="132">
        <f>INDEX('Raw - Customers'!$E:$E,MATCH(B86,'Raw - Customers'!$A:$A,0))</f>
        <v>45566</v>
      </c>
      <c r="D86" s="132" t="str">
        <f>IF(INDEX('Raw - Customers'!$F:$F,MATCH(B86,'Raw - Customers'!$A:$A,0))="","",INDEX('Raw - Customers'!$F:$F,MATCH(B86,'Raw - Customers'!$A:$A,0)))</f>
        <v/>
      </c>
      <c r="E86" s="214">
        <f>IF(OR(C86=0,AND(D86&lt;&gt;"",N(D86)&lt;='Assumptions'!$C$9),C86&gt;'Assumptions'!$C$9),"",MAX(0,('Assumptions'!$C$9-C86)/365.25))</f>
        <v>1.2484599589322383</v>
      </c>
      <c r="F86" s="204">
        <v>0</v>
      </c>
      <c r="G86" s="204">
        <f>INDEX('Raw - Customers'!$I:$I,MATCH(B86,'Raw - Customers'!$A:$A,0))</f>
        <v>0</v>
      </c>
      <c r="H86" s="215">
        <f>IF(C86=0,IF(F86&gt;0,1,0),IF(AND(C86&lt;C$37,OR(D86="",D86&gt;=C$37)),1,0))</f>
        <v>0</v>
      </c>
      <c r="I86" s="215">
        <f>IF(C86=0,IF(AND(F86&gt;0,G86&lt;=0),1,0),IF(AND(D86&lt;&gt;"",D86&gt;=C$37,D86&lt;=C$38),1,0))</f>
        <v>0</v>
      </c>
      <c r="J86" s="215">
        <f>IF(C86=0,IF(AND(F86&lt;=0,G86&gt;0),1,0),IF(AND(C86&gt;=C$37,C86&lt;=C$38),1,0))</f>
        <v>0</v>
      </c>
      <c r="K86" s="204">
        <f>H86*F86</f>
        <v>0</v>
      </c>
      <c r="L86" s="204">
        <f>H86*I86*F86</f>
        <v>0</v>
      </c>
      <c r="M86" s="204">
        <f>H86*(1-I86)*MAX(0,F86-G86)</f>
        <v>0</v>
      </c>
      <c r="N86" s="204">
        <f>H86*(1-I86)*MAX(0,G86-F86)</f>
        <v>0</v>
      </c>
      <c r="O86" s="204">
        <f>INDEX('Raw - Customers'!$I:$I,MATCH(B86,'Raw - Customers'!$A:$A,0))</f>
        <v>0</v>
      </c>
      <c r="P86" s="204">
        <f>INDEX('Raw - Customers'!$J:$J,MATCH(B86,'Raw - Customers'!$A:$A,0))</f>
        <v>723</v>
      </c>
      <c r="Q86" s="215">
        <f>IF(C86=0,IF(O86&gt;0,1,0),IF(AND(C86&lt;D$37,OR(D86="",D86&gt;=D$37)),1,0))</f>
        <v>0</v>
      </c>
      <c r="R86" s="215">
        <f>IF(C86=0,IF(AND(O86&gt;0,P86&lt;=0),1,0),IF(AND(D86&lt;&gt;"",D86&gt;=D$37,D86&lt;=D$38),1,0))</f>
        <v>0</v>
      </c>
      <c r="S86" s="215">
        <f>IF(C86=0,IF(AND(O86&lt;=0,P86&gt;0),1,0),IF(AND(C86&gt;=D$37,C86&lt;=D$38),1,0))</f>
        <v>1</v>
      </c>
      <c r="T86" s="204">
        <f>Q86*O86</f>
        <v>0</v>
      </c>
      <c r="U86" s="204">
        <f>Q86*R86*O86</f>
        <v>0</v>
      </c>
      <c r="V86" s="204">
        <f>Q86*(1-R86)*MAX(0,O86-P86)</f>
        <v>0</v>
      </c>
      <c r="W86" s="204">
        <f>Q86*(1-R86)*MAX(0,P86-O86)</f>
        <v>0</v>
      </c>
      <c r="X86" s="204">
        <f>INDEX('Raw - Customers'!$J:$J,MATCH(B86,'Raw - Customers'!$A:$A,0))</f>
        <v>723</v>
      </c>
      <c r="Y86" s="204">
        <f>INDEX('Raw - Customers'!$K:$K,MATCH(B86,'Raw - Customers'!$A:$A,0))</f>
        <v>3313</v>
      </c>
      <c r="Z86" s="215">
        <f>IF(C86=0,IF(X86&gt;0,1,0),IF(AND(C86&lt;E$37,OR(D86="",D86&gt;=E$37)),1,0))</f>
        <v>1</v>
      </c>
      <c r="AA86" s="215">
        <f>IF(C86=0,IF(AND(X86&gt;0,Y86&lt;=0),1,0),IF(AND(D86&lt;&gt;"",D86&gt;=E$37,D86&lt;=E$38),1,0))</f>
        <v>0</v>
      </c>
      <c r="AB86" s="215">
        <f>IF(C86=0,IF(AND(X86&lt;=0,Y86&gt;0),1,0),IF(AND(C86&gt;=E$37,C86&lt;=E$38),1,0))</f>
        <v>0</v>
      </c>
      <c r="AC86" s="204">
        <f>Z86*X86</f>
        <v>723</v>
      </c>
      <c r="AD86" s="204">
        <f>Z86*AA86*X86</f>
        <v>0</v>
      </c>
      <c r="AE86" s="204">
        <f>Z86*(1-AA86)*MAX(0,X86-Y86)</f>
        <v>0</v>
      </c>
      <c r="AF86" s="204">
        <f>Z86*(1-AA86)*MAX(0,Y86-X86)</f>
        <v>2590</v>
      </c>
    </row>
    <row r="87" spans="2:32" x14ac:dyDescent="0.25">
      <c r="B87" s="131" t="s">
        <v>680</v>
      </c>
      <c r="C87" s="132">
        <f>INDEX('Raw - Customers'!$E:$E,MATCH(B87,'Raw - Customers'!$A:$A,0))</f>
        <v>44958</v>
      </c>
      <c r="D87" s="132" t="str">
        <f>IF(INDEX('Raw - Customers'!$F:$F,MATCH(B87,'Raw - Customers'!$A:$A,0))="","",INDEX('Raw - Customers'!$F:$F,MATCH(B87,'Raw - Customers'!$A:$A,0)))</f>
        <v/>
      </c>
      <c r="E87" s="214">
        <f>IF(OR(C87=0,AND(D87&lt;&gt;"",N(D87)&lt;='Assumptions'!$C$9),C87&gt;'Assumptions'!$C$9),"",MAX(0,('Assumptions'!$C$9-C87)/365.25))</f>
        <v>2.9130732375085557</v>
      </c>
      <c r="F87" s="204">
        <v>0</v>
      </c>
      <c r="G87" s="204">
        <f>INDEX('Raw - Customers'!$I:$I,MATCH(B87,'Raw - Customers'!$A:$A,0))</f>
        <v>2023</v>
      </c>
      <c r="H87" s="215">
        <f>IF(C87=0,IF(F87&gt;0,1,0),IF(AND(C87&lt;C$37,OR(D87="",D87&gt;=C$37)),1,0))</f>
        <v>0</v>
      </c>
      <c r="I87" s="215">
        <f>IF(C87=0,IF(AND(F87&gt;0,G87&lt;=0),1,0),IF(AND(D87&lt;&gt;"",D87&gt;=C$37,D87&lt;=C$38),1,0))</f>
        <v>0</v>
      </c>
      <c r="J87" s="215">
        <f>IF(C87=0,IF(AND(F87&lt;=0,G87&gt;0),1,0),IF(AND(C87&gt;=C$37,C87&lt;=C$38),1,0))</f>
        <v>1</v>
      </c>
      <c r="K87" s="204">
        <f>H87*F87</f>
        <v>0</v>
      </c>
      <c r="L87" s="204">
        <f>H87*I87*F87</f>
        <v>0</v>
      </c>
      <c r="M87" s="204">
        <f>H87*(1-I87)*MAX(0,F87-G87)</f>
        <v>0</v>
      </c>
      <c r="N87" s="204">
        <f>H87*(1-I87)*MAX(0,G87-F87)</f>
        <v>0</v>
      </c>
      <c r="O87" s="204">
        <f>INDEX('Raw - Customers'!$I:$I,MATCH(B87,'Raw - Customers'!$A:$A,0))</f>
        <v>2023</v>
      </c>
      <c r="P87" s="204">
        <f>INDEX('Raw - Customers'!$J:$J,MATCH(B87,'Raw - Customers'!$A:$A,0))</f>
        <v>2767</v>
      </c>
      <c r="Q87" s="215">
        <f>IF(C87=0,IF(O87&gt;0,1,0),IF(AND(C87&lt;D$37,OR(D87="",D87&gt;=D$37)),1,0))</f>
        <v>1</v>
      </c>
      <c r="R87" s="215">
        <f>IF(C87=0,IF(AND(O87&gt;0,P87&lt;=0),1,0),IF(AND(D87&lt;&gt;"",D87&gt;=D$37,D87&lt;=D$38),1,0))</f>
        <v>0</v>
      </c>
      <c r="S87" s="215">
        <f>IF(C87=0,IF(AND(O87&lt;=0,P87&gt;0),1,0),IF(AND(C87&gt;=D$37,C87&lt;=D$38),1,0))</f>
        <v>0</v>
      </c>
      <c r="T87" s="204">
        <f>Q87*O87</f>
        <v>2023</v>
      </c>
      <c r="U87" s="204">
        <f>Q87*R87*O87</f>
        <v>0</v>
      </c>
      <c r="V87" s="204">
        <f>Q87*(1-R87)*MAX(0,O87-P87)</f>
        <v>0</v>
      </c>
      <c r="W87" s="204">
        <f>Q87*(1-R87)*MAX(0,P87-O87)</f>
        <v>744</v>
      </c>
      <c r="X87" s="204">
        <f>INDEX('Raw - Customers'!$J:$J,MATCH(B87,'Raw - Customers'!$A:$A,0))</f>
        <v>2767</v>
      </c>
      <c r="Y87" s="204">
        <f>INDEX('Raw - Customers'!$K:$K,MATCH(B87,'Raw - Customers'!$A:$A,0))</f>
        <v>2971</v>
      </c>
      <c r="Z87" s="215">
        <f>IF(C87=0,IF(X87&gt;0,1,0),IF(AND(C87&lt;E$37,OR(D87="",D87&gt;=E$37)),1,0))</f>
        <v>1</v>
      </c>
      <c r="AA87" s="215">
        <f>IF(C87=0,IF(AND(X87&gt;0,Y87&lt;=0),1,0),IF(AND(D87&lt;&gt;"",D87&gt;=E$37,D87&lt;=E$38),1,0))</f>
        <v>0</v>
      </c>
      <c r="AB87" s="215">
        <f>IF(C87=0,IF(AND(X87&lt;=0,Y87&gt;0),1,0),IF(AND(C87&gt;=E$37,C87&lt;=E$38),1,0))</f>
        <v>0</v>
      </c>
      <c r="AC87" s="204">
        <f>Z87*X87</f>
        <v>2767</v>
      </c>
      <c r="AD87" s="204">
        <f>Z87*AA87*X87</f>
        <v>0</v>
      </c>
      <c r="AE87" s="204">
        <f>Z87*(1-AA87)*MAX(0,X87-Y87)</f>
        <v>0</v>
      </c>
      <c r="AF87" s="204">
        <f>Z87*(1-AA87)*MAX(0,Y87-X87)</f>
        <v>204</v>
      </c>
    </row>
    <row r="88" spans="2:32" x14ac:dyDescent="0.25">
      <c r="B88" s="131" t="s">
        <v>681</v>
      </c>
      <c r="C88" s="132">
        <f>INDEX('Raw - Customers'!$E:$E,MATCH(B88,'Raw - Customers'!$A:$A,0))</f>
        <v>45292</v>
      </c>
      <c r="D88" s="132" t="str">
        <f>IF(INDEX('Raw - Customers'!$F:$F,MATCH(B88,'Raw - Customers'!$A:$A,0))="","",INDEX('Raw - Customers'!$F:$F,MATCH(B88,'Raw - Customers'!$A:$A,0)))</f>
        <v/>
      </c>
      <c r="E88" s="214">
        <f>IF(OR(C88=0,AND(D88&lt;&gt;"",N(D88)&lt;='Assumptions'!$C$9),C88&gt;'Assumptions'!$C$9),"",MAX(0,('Assumptions'!$C$9-C88)/365.25))</f>
        <v>1.998631074606434</v>
      </c>
      <c r="F88" s="204">
        <v>0</v>
      </c>
      <c r="G88" s="204">
        <f>INDEX('Raw - Customers'!$I:$I,MATCH(B88,'Raw - Customers'!$A:$A,0))</f>
        <v>0</v>
      </c>
      <c r="H88" s="215">
        <f>IF(C88=0,IF(F88&gt;0,1,0),IF(AND(C88&lt;C$37,OR(D88="",D88&gt;=C$37)),1,0))</f>
        <v>0</v>
      </c>
      <c r="I88" s="215">
        <f>IF(C88=0,IF(AND(F88&gt;0,G88&lt;=0),1,0),IF(AND(D88&lt;&gt;"",D88&gt;=C$37,D88&lt;=C$38),1,0))</f>
        <v>0</v>
      </c>
      <c r="J88" s="215">
        <f>IF(C88=0,IF(AND(F88&lt;=0,G88&gt;0),1,0),IF(AND(C88&gt;=C$37,C88&lt;=C$38),1,0))</f>
        <v>0</v>
      </c>
      <c r="K88" s="204">
        <f>H88*F88</f>
        <v>0</v>
      </c>
      <c r="L88" s="204">
        <f>H88*I88*F88</f>
        <v>0</v>
      </c>
      <c r="M88" s="204">
        <f>H88*(1-I88)*MAX(0,F88-G88)</f>
        <v>0</v>
      </c>
      <c r="N88" s="204">
        <f>H88*(1-I88)*MAX(0,G88-F88)</f>
        <v>0</v>
      </c>
      <c r="O88" s="204">
        <f>INDEX('Raw - Customers'!$I:$I,MATCH(B88,'Raw - Customers'!$A:$A,0))</f>
        <v>0</v>
      </c>
      <c r="P88" s="204">
        <f>INDEX('Raw - Customers'!$J:$J,MATCH(B88,'Raw - Customers'!$A:$A,0))</f>
        <v>2185</v>
      </c>
      <c r="Q88" s="215">
        <f>IF(C88=0,IF(O88&gt;0,1,0),IF(AND(C88&lt;D$37,OR(D88="",D88&gt;=D$37)),1,0))</f>
        <v>0</v>
      </c>
      <c r="R88" s="215">
        <f>IF(C88=0,IF(AND(O88&gt;0,P88&lt;=0),1,0),IF(AND(D88&lt;&gt;"",D88&gt;=D$37,D88&lt;=D$38),1,0))</f>
        <v>0</v>
      </c>
      <c r="S88" s="215">
        <f>IF(C88=0,IF(AND(O88&lt;=0,P88&gt;0),1,0),IF(AND(C88&gt;=D$37,C88&lt;=D$38),1,0))</f>
        <v>1</v>
      </c>
      <c r="T88" s="204">
        <f>Q88*O88</f>
        <v>0</v>
      </c>
      <c r="U88" s="204">
        <f>Q88*R88*O88</f>
        <v>0</v>
      </c>
      <c r="V88" s="204">
        <f>Q88*(1-R88)*MAX(0,O88-P88)</f>
        <v>0</v>
      </c>
      <c r="W88" s="204">
        <f>Q88*(1-R88)*MAX(0,P88-O88)</f>
        <v>0</v>
      </c>
      <c r="X88" s="204">
        <f>INDEX('Raw - Customers'!$J:$J,MATCH(B88,'Raw - Customers'!$A:$A,0))</f>
        <v>2185</v>
      </c>
      <c r="Y88" s="204">
        <f>INDEX('Raw - Customers'!$K:$K,MATCH(B88,'Raw - Customers'!$A:$A,0))</f>
        <v>2820</v>
      </c>
      <c r="Z88" s="215">
        <f>IF(C88=0,IF(X88&gt;0,1,0),IF(AND(C88&lt;E$37,OR(D88="",D88&gt;=E$37)),1,0))</f>
        <v>1</v>
      </c>
      <c r="AA88" s="215">
        <f>IF(C88=0,IF(AND(X88&gt;0,Y88&lt;=0),1,0),IF(AND(D88&lt;&gt;"",D88&gt;=E$37,D88&lt;=E$38),1,0))</f>
        <v>0</v>
      </c>
      <c r="AB88" s="215">
        <f>IF(C88=0,IF(AND(X88&lt;=0,Y88&gt;0),1,0),IF(AND(C88&gt;=E$37,C88&lt;=E$38),1,0))</f>
        <v>0</v>
      </c>
      <c r="AC88" s="204">
        <f>Z88*X88</f>
        <v>2185</v>
      </c>
      <c r="AD88" s="204">
        <f>Z88*AA88*X88</f>
        <v>0</v>
      </c>
      <c r="AE88" s="204">
        <f>Z88*(1-AA88)*MAX(0,X88-Y88)</f>
        <v>0</v>
      </c>
      <c r="AF88" s="204">
        <f>Z88*(1-AA88)*MAX(0,Y88-X88)</f>
        <v>635</v>
      </c>
    </row>
    <row r="89" spans="2:32" x14ac:dyDescent="0.25">
      <c r="B89" s="131" t="s">
        <v>682</v>
      </c>
      <c r="C89" s="132">
        <f>INDEX('Raw - Customers'!$E:$E,MATCH(B89,'Raw - Customers'!$A:$A,0))</f>
        <v>45870</v>
      </c>
      <c r="D89" s="132" t="str">
        <f>IF(INDEX('Raw - Customers'!$F:$F,MATCH(B89,'Raw - Customers'!$A:$A,0))="","",INDEX('Raw - Customers'!$F:$F,MATCH(B89,'Raw - Customers'!$A:$A,0)))</f>
        <v/>
      </c>
      <c r="E89" s="214">
        <f>IF(OR(C89=0,AND(D89&lt;&gt;"",N(D89)&lt;='Assumptions'!$C$9),C89&gt;'Assumptions'!$C$9),"",MAX(0,('Assumptions'!$C$9-C89)/365.25))</f>
        <v>0.4161533196440794</v>
      </c>
      <c r="F89" s="204">
        <v>0</v>
      </c>
      <c r="G89" s="204">
        <f>INDEX('Raw - Customers'!$I:$I,MATCH(B89,'Raw - Customers'!$A:$A,0))</f>
        <v>0</v>
      </c>
      <c r="H89" s="215">
        <f>IF(C89=0,IF(F89&gt;0,1,0),IF(AND(C89&lt;C$37,OR(D89="",D89&gt;=C$37)),1,0))</f>
        <v>0</v>
      </c>
      <c r="I89" s="215">
        <f>IF(C89=0,IF(AND(F89&gt;0,G89&lt;=0),1,0),IF(AND(D89&lt;&gt;"",D89&gt;=C$37,D89&lt;=C$38),1,0))</f>
        <v>0</v>
      </c>
      <c r="J89" s="215">
        <f>IF(C89=0,IF(AND(F89&lt;=0,G89&gt;0),1,0),IF(AND(C89&gt;=C$37,C89&lt;=C$38),1,0))</f>
        <v>0</v>
      </c>
      <c r="K89" s="204">
        <f>H89*F89</f>
        <v>0</v>
      </c>
      <c r="L89" s="204">
        <f>H89*I89*F89</f>
        <v>0</v>
      </c>
      <c r="M89" s="204">
        <f>H89*(1-I89)*MAX(0,F89-G89)</f>
        <v>0</v>
      </c>
      <c r="N89" s="204">
        <f>H89*(1-I89)*MAX(0,G89-F89)</f>
        <v>0</v>
      </c>
      <c r="O89" s="204">
        <f>INDEX('Raw - Customers'!$I:$I,MATCH(B89,'Raw - Customers'!$A:$A,0))</f>
        <v>0</v>
      </c>
      <c r="P89" s="204">
        <f>INDEX('Raw - Customers'!$J:$J,MATCH(B89,'Raw - Customers'!$A:$A,0))</f>
        <v>0</v>
      </c>
      <c r="Q89" s="215">
        <f>IF(C89=0,IF(O89&gt;0,1,0),IF(AND(C89&lt;D$37,OR(D89="",D89&gt;=D$37)),1,0))</f>
        <v>0</v>
      </c>
      <c r="R89" s="215">
        <f>IF(C89=0,IF(AND(O89&gt;0,P89&lt;=0),1,0),IF(AND(D89&lt;&gt;"",D89&gt;=D$37,D89&lt;=D$38),1,0))</f>
        <v>0</v>
      </c>
      <c r="S89" s="215">
        <f>IF(C89=0,IF(AND(O89&lt;=0,P89&gt;0),1,0),IF(AND(C89&gt;=D$37,C89&lt;=D$38),1,0))</f>
        <v>0</v>
      </c>
      <c r="T89" s="204">
        <f>Q89*O89</f>
        <v>0</v>
      </c>
      <c r="U89" s="204">
        <f>Q89*R89*O89</f>
        <v>0</v>
      </c>
      <c r="V89" s="204">
        <f>Q89*(1-R89)*MAX(0,O89-P89)</f>
        <v>0</v>
      </c>
      <c r="W89" s="204">
        <f>Q89*(1-R89)*MAX(0,P89-O89)</f>
        <v>0</v>
      </c>
      <c r="X89" s="204">
        <f>INDEX('Raw - Customers'!$J:$J,MATCH(B89,'Raw - Customers'!$A:$A,0))</f>
        <v>0</v>
      </c>
      <c r="Y89" s="204">
        <f>INDEX('Raw - Customers'!$K:$K,MATCH(B89,'Raw - Customers'!$A:$A,0))</f>
        <v>2811</v>
      </c>
      <c r="Z89" s="215">
        <f>IF(C89=0,IF(X89&gt;0,1,0),IF(AND(C89&lt;E$37,OR(D89="",D89&gt;=E$37)),1,0))</f>
        <v>0</v>
      </c>
      <c r="AA89" s="215">
        <f>IF(C89=0,IF(AND(X89&gt;0,Y89&lt;=0),1,0),IF(AND(D89&lt;&gt;"",D89&gt;=E$37,D89&lt;=E$38),1,0))</f>
        <v>0</v>
      </c>
      <c r="AB89" s="215">
        <f>IF(C89=0,IF(AND(X89&lt;=0,Y89&gt;0),1,0),IF(AND(C89&gt;=E$37,C89&lt;=E$38),1,0))</f>
        <v>1</v>
      </c>
      <c r="AC89" s="204">
        <f>Z89*X89</f>
        <v>0</v>
      </c>
      <c r="AD89" s="204">
        <f>Z89*AA89*X89</f>
        <v>0</v>
      </c>
      <c r="AE89" s="204">
        <f>Z89*(1-AA89)*MAX(0,X89-Y89)</f>
        <v>0</v>
      </c>
      <c r="AF89" s="204">
        <f>Z89*(1-AA89)*MAX(0,Y89-X89)</f>
        <v>0</v>
      </c>
    </row>
    <row r="90" spans="2:32" x14ac:dyDescent="0.25">
      <c r="B90" s="131" t="s">
        <v>683</v>
      </c>
      <c r="C90" s="132">
        <f>INDEX('Raw - Customers'!$E:$E,MATCH(B90,'Raw - Customers'!$A:$A,0))</f>
        <v>44197</v>
      </c>
      <c r="D90" s="132" t="str">
        <f>IF(INDEX('Raw - Customers'!$F:$F,MATCH(B90,'Raw - Customers'!$A:$A,0))="","",INDEX('Raw - Customers'!$F:$F,MATCH(B90,'Raw - Customers'!$A:$A,0)))</f>
        <v/>
      </c>
      <c r="E90" s="214">
        <f>IF(OR(C90=0,AND(D90&lt;&gt;"",N(D90)&lt;='Assumptions'!$C$9),C90&gt;'Assumptions'!$C$9),"",MAX(0,('Assumptions'!$C$9-C90)/365.25))</f>
        <v>4.996577686516085</v>
      </c>
      <c r="F90" s="204">
        <v>0</v>
      </c>
      <c r="G90" s="204">
        <f>INDEX('Raw - Customers'!$I:$I,MATCH(B90,'Raw - Customers'!$A:$A,0))</f>
        <v>1720</v>
      </c>
      <c r="H90" s="215">
        <f>IF(C90=0,IF(F90&gt;0,1,0),IF(AND(C90&lt;C$37,OR(D90="",D90&gt;=C$37)),1,0))</f>
        <v>1</v>
      </c>
      <c r="I90" s="215">
        <f>IF(C90=0,IF(AND(F90&gt;0,G90&lt;=0),1,0),IF(AND(D90&lt;&gt;"",D90&gt;=C$37,D90&lt;=C$38),1,0))</f>
        <v>0</v>
      </c>
      <c r="J90" s="215">
        <f>IF(C90=0,IF(AND(F90&lt;=0,G90&gt;0),1,0),IF(AND(C90&gt;=C$37,C90&lt;=C$38),1,0))</f>
        <v>0</v>
      </c>
      <c r="K90" s="204">
        <f>H90*F90</f>
        <v>0</v>
      </c>
      <c r="L90" s="204">
        <f>H90*I90*F90</f>
        <v>0</v>
      </c>
      <c r="M90" s="204">
        <f>H90*(1-I90)*MAX(0,F90-G90)</f>
        <v>0</v>
      </c>
      <c r="N90" s="204">
        <f>H90*(1-I90)*MAX(0,G90-F90)</f>
        <v>1720</v>
      </c>
      <c r="O90" s="204">
        <f>INDEX('Raw - Customers'!$I:$I,MATCH(B90,'Raw - Customers'!$A:$A,0))</f>
        <v>1720</v>
      </c>
      <c r="P90" s="204">
        <f>INDEX('Raw - Customers'!$J:$J,MATCH(B90,'Raw - Customers'!$A:$A,0))</f>
        <v>2488</v>
      </c>
      <c r="Q90" s="215">
        <f>IF(C90=0,IF(O90&gt;0,1,0),IF(AND(C90&lt;D$37,OR(D90="",D90&gt;=D$37)),1,0))</f>
        <v>1</v>
      </c>
      <c r="R90" s="215">
        <f>IF(C90=0,IF(AND(O90&gt;0,P90&lt;=0),1,0),IF(AND(D90&lt;&gt;"",D90&gt;=D$37,D90&lt;=D$38),1,0))</f>
        <v>0</v>
      </c>
      <c r="S90" s="215">
        <f>IF(C90=0,IF(AND(O90&lt;=0,P90&gt;0),1,0),IF(AND(C90&gt;=D$37,C90&lt;=D$38),1,0))</f>
        <v>0</v>
      </c>
      <c r="T90" s="204">
        <f>Q90*O90</f>
        <v>1720</v>
      </c>
      <c r="U90" s="204">
        <f>Q90*R90*O90</f>
        <v>0</v>
      </c>
      <c r="V90" s="204">
        <f>Q90*(1-R90)*MAX(0,O90-P90)</f>
        <v>0</v>
      </c>
      <c r="W90" s="204">
        <f>Q90*(1-R90)*MAX(0,P90-O90)</f>
        <v>768</v>
      </c>
      <c r="X90" s="204">
        <f>INDEX('Raw - Customers'!$J:$J,MATCH(B90,'Raw - Customers'!$A:$A,0))</f>
        <v>2488</v>
      </c>
      <c r="Y90" s="204">
        <f>INDEX('Raw - Customers'!$K:$K,MATCH(B90,'Raw - Customers'!$A:$A,0))</f>
        <v>2426</v>
      </c>
      <c r="Z90" s="215">
        <f>IF(C90=0,IF(X90&gt;0,1,0),IF(AND(C90&lt;E$37,OR(D90="",D90&gt;=E$37)),1,0))</f>
        <v>1</v>
      </c>
      <c r="AA90" s="215">
        <f>IF(C90=0,IF(AND(X90&gt;0,Y90&lt;=0),1,0),IF(AND(D90&lt;&gt;"",D90&gt;=E$37,D90&lt;=E$38),1,0))</f>
        <v>0</v>
      </c>
      <c r="AB90" s="215">
        <f>IF(C90=0,IF(AND(X90&lt;=0,Y90&gt;0),1,0),IF(AND(C90&gt;=E$37,C90&lt;=E$38),1,0))</f>
        <v>0</v>
      </c>
      <c r="AC90" s="204">
        <f>Z90*X90</f>
        <v>2488</v>
      </c>
      <c r="AD90" s="204">
        <f>Z90*AA90*X90</f>
        <v>0</v>
      </c>
      <c r="AE90" s="204">
        <f>Z90*(1-AA90)*MAX(0,X90-Y90)</f>
        <v>62</v>
      </c>
      <c r="AF90" s="204">
        <f>Z90*(1-AA90)*MAX(0,Y90-X90)</f>
        <v>0</v>
      </c>
    </row>
    <row r="91" spans="2:32" x14ac:dyDescent="0.25">
      <c r="B91" s="131" t="s">
        <v>684</v>
      </c>
      <c r="C91" s="132">
        <f>INDEX('Raw - Customers'!$E:$E,MATCH(B91,'Raw - Customers'!$A:$A,0))</f>
        <v>45078</v>
      </c>
      <c r="D91" s="132" t="str">
        <f>IF(INDEX('Raw - Customers'!$F:$F,MATCH(B91,'Raw - Customers'!$A:$A,0))="","",INDEX('Raw - Customers'!$F:$F,MATCH(B91,'Raw - Customers'!$A:$A,0)))</f>
        <v/>
      </c>
      <c r="E91" s="214">
        <f>IF(OR(C91=0,AND(D91&lt;&gt;"",N(D91)&lt;='Assumptions'!$C$9),C91&gt;'Assumptions'!$C$9),"",MAX(0,('Assumptions'!$C$9-C91)/365.25))</f>
        <v>2.5845311430527036</v>
      </c>
      <c r="F91" s="204">
        <v>0</v>
      </c>
      <c r="G91" s="204">
        <f>INDEX('Raw - Customers'!$I:$I,MATCH(B91,'Raw - Customers'!$A:$A,0))</f>
        <v>1276</v>
      </c>
      <c r="H91" s="215">
        <f>IF(C91=0,IF(F91&gt;0,1,0),IF(AND(C91&lt;C$37,OR(D91="",D91&gt;=C$37)),1,0))</f>
        <v>0</v>
      </c>
      <c r="I91" s="215">
        <f>IF(C91=0,IF(AND(F91&gt;0,G91&lt;=0),1,0),IF(AND(D91&lt;&gt;"",D91&gt;=C$37,D91&lt;=C$38),1,0))</f>
        <v>0</v>
      </c>
      <c r="J91" s="215">
        <f>IF(C91=0,IF(AND(F91&lt;=0,G91&gt;0),1,0),IF(AND(C91&gt;=C$37,C91&lt;=C$38),1,0))</f>
        <v>1</v>
      </c>
      <c r="K91" s="204">
        <f>H91*F91</f>
        <v>0</v>
      </c>
      <c r="L91" s="204">
        <f>H91*I91*F91</f>
        <v>0</v>
      </c>
      <c r="M91" s="204">
        <f>H91*(1-I91)*MAX(0,F91-G91)</f>
        <v>0</v>
      </c>
      <c r="N91" s="204">
        <f>H91*(1-I91)*MAX(0,G91-F91)</f>
        <v>0</v>
      </c>
      <c r="O91" s="204">
        <f>INDEX('Raw - Customers'!$I:$I,MATCH(B91,'Raw - Customers'!$A:$A,0))</f>
        <v>1276</v>
      </c>
      <c r="P91" s="204">
        <f>INDEX('Raw - Customers'!$J:$J,MATCH(B91,'Raw - Customers'!$A:$A,0))</f>
        <v>2491</v>
      </c>
      <c r="Q91" s="215">
        <f>IF(C91=0,IF(O91&gt;0,1,0),IF(AND(C91&lt;D$37,OR(D91="",D91&gt;=D$37)),1,0))</f>
        <v>1</v>
      </c>
      <c r="R91" s="215">
        <f>IF(C91=0,IF(AND(O91&gt;0,P91&lt;=0),1,0),IF(AND(D91&lt;&gt;"",D91&gt;=D$37,D91&lt;=D$38),1,0))</f>
        <v>0</v>
      </c>
      <c r="S91" s="215">
        <f>IF(C91=0,IF(AND(O91&lt;=0,P91&gt;0),1,0),IF(AND(C91&gt;=D$37,C91&lt;=D$38),1,0))</f>
        <v>0</v>
      </c>
      <c r="T91" s="204">
        <f>Q91*O91</f>
        <v>1276</v>
      </c>
      <c r="U91" s="204">
        <f>Q91*R91*O91</f>
        <v>0</v>
      </c>
      <c r="V91" s="204">
        <f>Q91*(1-R91)*MAX(0,O91-P91)</f>
        <v>0</v>
      </c>
      <c r="W91" s="204">
        <f>Q91*(1-R91)*MAX(0,P91-O91)</f>
        <v>1215</v>
      </c>
      <c r="X91" s="204">
        <f>INDEX('Raw - Customers'!$J:$J,MATCH(B91,'Raw - Customers'!$A:$A,0))</f>
        <v>2491</v>
      </c>
      <c r="Y91" s="204">
        <f>INDEX('Raw - Customers'!$K:$K,MATCH(B91,'Raw - Customers'!$A:$A,0))</f>
        <v>2276</v>
      </c>
      <c r="Z91" s="215">
        <f>IF(C91=0,IF(X91&gt;0,1,0),IF(AND(C91&lt;E$37,OR(D91="",D91&gt;=E$37)),1,0))</f>
        <v>1</v>
      </c>
      <c r="AA91" s="215">
        <f>IF(C91=0,IF(AND(X91&gt;0,Y91&lt;=0),1,0),IF(AND(D91&lt;&gt;"",D91&gt;=E$37,D91&lt;=E$38),1,0))</f>
        <v>0</v>
      </c>
      <c r="AB91" s="215">
        <f>IF(C91=0,IF(AND(X91&lt;=0,Y91&gt;0),1,0),IF(AND(C91&gt;=E$37,C91&lt;=E$38),1,0))</f>
        <v>0</v>
      </c>
      <c r="AC91" s="204">
        <f>Z91*X91</f>
        <v>2491</v>
      </c>
      <c r="AD91" s="204">
        <f>Z91*AA91*X91</f>
        <v>0</v>
      </c>
      <c r="AE91" s="204">
        <f>Z91*(1-AA91)*MAX(0,X91-Y91)</f>
        <v>215</v>
      </c>
      <c r="AF91" s="204">
        <f>Z91*(1-AA91)*MAX(0,Y91-X91)</f>
        <v>0</v>
      </c>
    </row>
    <row r="92" spans="2:32" x14ac:dyDescent="0.25">
      <c r="B92" s="131" t="s">
        <v>685</v>
      </c>
      <c r="C92" s="132">
        <f>INDEX('Raw - Customers'!$E:$E,MATCH(B92,'Raw - Customers'!$A:$A,0))</f>
        <v>45931</v>
      </c>
      <c r="D92" s="132" t="str">
        <f>IF(INDEX('Raw - Customers'!$F:$F,MATCH(B92,'Raw - Customers'!$A:$A,0))="","",INDEX('Raw - Customers'!$F:$F,MATCH(B92,'Raw - Customers'!$A:$A,0)))</f>
        <v/>
      </c>
      <c r="E92" s="214">
        <f>IF(OR(C92=0,AND(D92&lt;&gt;"",N(D92)&lt;='Assumptions'!$C$9),C92&gt;'Assumptions'!$C$9),"",MAX(0,('Assumptions'!$C$9-C92)/365.25))</f>
        <v>0.24914442162902123</v>
      </c>
      <c r="F92" s="204">
        <v>0</v>
      </c>
      <c r="G92" s="204">
        <f>INDEX('Raw - Customers'!$I:$I,MATCH(B92,'Raw - Customers'!$A:$A,0))</f>
        <v>0</v>
      </c>
      <c r="H92" s="215">
        <f>IF(C92=0,IF(F92&gt;0,1,0),IF(AND(C92&lt;C$37,OR(D92="",D92&gt;=C$37)),1,0))</f>
        <v>0</v>
      </c>
      <c r="I92" s="215">
        <f>IF(C92=0,IF(AND(F92&gt;0,G92&lt;=0),1,0),IF(AND(D92&lt;&gt;"",D92&gt;=C$37,D92&lt;=C$38),1,0))</f>
        <v>0</v>
      </c>
      <c r="J92" s="215">
        <f>IF(C92=0,IF(AND(F92&lt;=0,G92&gt;0),1,0),IF(AND(C92&gt;=C$37,C92&lt;=C$38),1,0))</f>
        <v>0</v>
      </c>
      <c r="K92" s="204">
        <f>H92*F92</f>
        <v>0</v>
      </c>
      <c r="L92" s="204">
        <f>H92*I92*F92</f>
        <v>0</v>
      </c>
      <c r="M92" s="204">
        <f>H92*(1-I92)*MAX(0,F92-G92)</f>
        <v>0</v>
      </c>
      <c r="N92" s="204">
        <f>H92*(1-I92)*MAX(0,G92-F92)</f>
        <v>0</v>
      </c>
      <c r="O92" s="204">
        <f>INDEX('Raw - Customers'!$I:$I,MATCH(B92,'Raw - Customers'!$A:$A,0))</f>
        <v>0</v>
      </c>
      <c r="P92" s="204">
        <f>INDEX('Raw - Customers'!$J:$J,MATCH(B92,'Raw - Customers'!$A:$A,0))</f>
        <v>0</v>
      </c>
      <c r="Q92" s="215">
        <f>IF(C92=0,IF(O92&gt;0,1,0),IF(AND(C92&lt;D$37,OR(D92="",D92&gt;=D$37)),1,0))</f>
        <v>0</v>
      </c>
      <c r="R92" s="215">
        <f>IF(C92=0,IF(AND(O92&gt;0,P92&lt;=0),1,0),IF(AND(D92&lt;&gt;"",D92&gt;=D$37,D92&lt;=D$38),1,0))</f>
        <v>0</v>
      </c>
      <c r="S92" s="215">
        <f>IF(C92=0,IF(AND(O92&lt;=0,P92&gt;0),1,0),IF(AND(C92&gt;=D$37,C92&lt;=D$38),1,0))</f>
        <v>0</v>
      </c>
      <c r="T92" s="204">
        <f>Q92*O92</f>
        <v>0</v>
      </c>
      <c r="U92" s="204">
        <f>Q92*R92*O92</f>
        <v>0</v>
      </c>
      <c r="V92" s="204">
        <f>Q92*(1-R92)*MAX(0,O92-P92)</f>
        <v>0</v>
      </c>
      <c r="W92" s="204">
        <f>Q92*(1-R92)*MAX(0,P92-O92)</f>
        <v>0</v>
      </c>
      <c r="X92" s="204">
        <f>INDEX('Raw - Customers'!$J:$J,MATCH(B92,'Raw - Customers'!$A:$A,0))</f>
        <v>0</v>
      </c>
      <c r="Y92" s="204">
        <f>INDEX('Raw - Customers'!$K:$K,MATCH(B92,'Raw - Customers'!$A:$A,0))</f>
        <v>2070</v>
      </c>
      <c r="Z92" s="215">
        <f>IF(C92=0,IF(X92&gt;0,1,0),IF(AND(C92&lt;E$37,OR(D92="",D92&gt;=E$37)),1,0))</f>
        <v>0</v>
      </c>
      <c r="AA92" s="215">
        <f>IF(C92=0,IF(AND(X92&gt;0,Y92&lt;=0),1,0),IF(AND(D92&lt;&gt;"",D92&gt;=E$37,D92&lt;=E$38),1,0))</f>
        <v>0</v>
      </c>
      <c r="AB92" s="215">
        <f>IF(C92=0,IF(AND(X92&lt;=0,Y92&gt;0),1,0),IF(AND(C92&gt;=E$37,C92&lt;=E$38),1,0))</f>
        <v>1</v>
      </c>
      <c r="AC92" s="204">
        <f>Z92*X92</f>
        <v>0</v>
      </c>
      <c r="AD92" s="204">
        <f>Z92*AA92*X92</f>
        <v>0</v>
      </c>
      <c r="AE92" s="204">
        <f>Z92*(1-AA92)*MAX(0,X92-Y92)</f>
        <v>0</v>
      </c>
      <c r="AF92" s="204">
        <f>Z92*(1-AA92)*MAX(0,Y92-X92)</f>
        <v>0</v>
      </c>
    </row>
    <row r="93" spans="2:32" x14ac:dyDescent="0.25">
      <c r="B93" s="131" t="s">
        <v>686</v>
      </c>
      <c r="C93" s="132">
        <f>INDEX('Raw - Customers'!$E:$E,MATCH(B93,'Raw - Customers'!$A:$A,0))</f>
        <v>44136</v>
      </c>
      <c r="D93" s="132">
        <f>IF(INDEX('Raw - Customers'!$F:$F,MATCH(B93,'Raw - Customers'!$A:$A,0))="","",INDEX('Raw - Customers'!$F:$F,MATCH(B93,'Raw - Customers'!$A:$A,0)))</f>
        <v>45808</v>
      </c>
      <c r="E93" s="214" t="str">
        <f>IF(OR(C93=0,AND(D93&lt;&gt;"",N(D93)&lt;='Assumptions'!$C$9),C93&gt;'Assumptions'!$C$9),"",MAX(0,('Assumptions'!$C$9-C93)/365.25))</f>
        <v/>
      </c>
      <c r="F93" s="204">
        <v>0</v>
      </c>
      <c r="G93" s="204">
        <f>INDEX('Raw - Customers'!$I:$I,MATCH(B93,'Raw - Customers'!$A:$A,0))</f>
        <v>3372</v>
      </c>
      <c r="H93" s="215">
        <f>IF(C93=0,IF(F93&gt;0,1,0),IF(AND(C93&lt;C$37,OR(D93="",D93&gt;=C$37)),1,0))</f>
        <v>1</v>
      </c>
      <c r="I93" s="215">
        <f>IF(C93=0,IF(AND(F93&gt;0,G93&lt;=0),1,0),IF(AND(D93&lt;&gt;"",D93&gt;=C$37,D93&lt;=C$38),1,0))</f>
        <v>0</v>
      </c>
      <c r="J93" s="215">
        <f>IF(C93=0,IF(AND(F93&lt;=0,G93&gt;0),1,0),IF(AND(C93&gt;=C$37,C93&lt;=C$38),1,0))</f>
        <v>0</v>
      </c>
      <c r="K93" s="204">
        <f>H93*F93</f>
        <v>0</v>
      </c>
      <c r="L93" s="204">
        <f>H93*I93*F93</f>
        <v>0</v>
      </c>
      <c r="M93" s="204">
        <f>H93*(1-I93)*MAX(0,F93-G93)</f>
        <v>0</v>
      </c>
      <c r="N93" s="204">
        <f>H93*(1-I93)*MAX(0,G93-F93)</f>
        <v>3372</v>
      </c>
      <c r="O93" s="204">
        <f>INDEX('Raw - Customers'!$I:$I,MATCH(B93,'Raw - Customers'!$A:$A,0))</f>
        <v>3372</v>
      </c>
      <c r="P93" s="204">
        <f>INDEX('Raw - Customers'!$J:$J,MATCH(B93,'Raw - Customers'!$A:$A,0))</f>
        <v>4364</v>
      </c>
      <c r="Q93" s="215">
        <f>IF(C93=0,IF(O93&gt;0,1,0),IF(AND(C93&lt;D$37,OR(D93="",D93&gt;=D$37)),1,0))</f>
        <v>1</v>
      </c>
      <c r="R93" s="215">
        <f>IF(C93=0,IF(AND(O93&gt;0,P93&lt;=0),1,0),IF(AND(D93&lt;&gt;"",D93&gt;=D$37,D93&lt;=D$38),1,0))</f>
        <v>0</v>
      </c>
      <c r="S93" s="215">
        <f>IF(C93=0,IF(AND(O93&lt;=0,P93&gt;0),1,0),IF(AND(C93&gt;=D$37,C93&lt;=D$38),1,0))</f>
        <v>0</v>
      </c>
      <c r="T93" s="204">
        <f>Q93*O93</f>
        <v>3372</v>
      </c>
      <c r="U93" s="204">
        <f>Q93*R93*O93</f>
        <v>0</v>
      </c>
      <c r="V93" s="204">
        <f>Q93*(1-R93)*MAX(0,O93-P93)</f>
        <v>0</v>
      </c>
      <c r="W93" s="204">
        <f>Q93*(1-R93)*MAX(0,P93-O93)</f>
        <v>992</v>
      </c>
      <c r="X93" s="204">
        <f>INDEX('Raw - Customers'!$J:$J,MATCH(B93,'Raw - Customers'!$A:$A,0))</f>
        <v>4364</v>
      </c>
      <c r="Y93" s="204">
        <f>INDEX('Raw - Customers'!$K:$K,MATCH(B93,'Raw - Customers'!$A:$A,0))</f>
        <v>1928</v>
      </c>
      <c r="Z93" s="215">
        <f>IF(C93=0,IF(X93&gt;0,1,0),IF(AND(C93&lt;E$37,OR(D93="",D93&gt;=E$37)),1,0))</f>
        <v>1</v>
      </c>
      <c r="AA93" s="215">
        <f>IF(C93=0,IF(AND(X93&gt;0,Y93&lt;=0),1,0),IF(AND(D93&lt;&gt;"",D93&gt;=E$37,D93&lt;=E$38),1,0))</f>
        <v>1</v>
      </c>
      <c r="AB93" s="215">
        <f>IF(C93=0,IF(AND(X93&lt;=0,Y93&gt;0),1,0),IF(AND(C93&gt;=E$37,C93&lt;=E$38),1,0))</f>
        <v>0</v>
      </c>
      <c r="AC93" s="204">
        <f>Z93*X93</f>
        <v>4364</v>
      </c>
      <c r="AD93" s="204">
        <f>Z93*AA93*X93</f>
        <v>4364</v>
      </c>
      <c r="AE93" s="204">
        <f>Z93*(1-AA93)*MAX(0,X93-Y93)</f>
        <v>0</v>
      </c>
      <c r="AF93" s="204">
        <f>Z93*(1-AA93)*MAX(0,Y93-X93)</f>
        <v>0</v>
      </c>
    </row>
    <row r="94" spans="2:32" x14ac:dyDescent="0.25">
      <c r="B94" s="131" t="s">
        <v>687</v>
      </c>
      <c r="C94" s="132">
        <f>INDEX('Raw - Customers'!$E:$E,MATCH(B94,'Raw - Customers'!$A:$A,0))</f>
        <v>45536</v>
      </c>
      <c r="D94" s="132" t="str">
        <f>IF(INDEX('Raw - Customers'!$F:$F,MATCH(B94,'Raw - Customers'!$A:$A,0))="","",INDEX('Raw - Customers'!$F:$F,MATCH(B94,'Raw - Customers'!$A:$A,0)))</f>
        <v/>
      </c>
      <c r="E94" s="214">
        <f>IF(OR(C94=0,AND(D94&lt;&gt;"",N(D94)&lt;='Assumptions'!$C$9),C94&gt;'Assumptions'!$C$9),"",MAX(0,('Assumptions'!$C$9-C94)/365.25))</f>
        <v>1.3305954825462012</v>
      </c>
      <c r="F94" s="204">
        <v>0</v>
      </c>
      <c r="G94" s="204">
        <f>INDEX('Raw - Customers'!$I:$I,MATCH(B94,'Raw - Customers'!$A:$A,0))</f>
        <v>0</v>
      </c>
      <c r="H94" s="215">
        <f>IF(C94=0,IF(F94&gt;0,1,0),IF(AND(C94&lt;C$37,OR(D94="",D94&gt;=C$37)),1,0))</f>
        <v>0</v>
      </c>
      <c r="I94" s="215">
        <f>IF(C94=0,IF(AND(F94&gt;0,G94&lt;=0),1,0),IF(AND(D94&lt;&gt;"",D94&gt;=C$37,D94&lt;=C$38),1,0))</f>
        <v>0</v>
      </c>
      <c r="J94" s="215">
        <f>IF(C94=0,IF(AND(F94&lt;=0,G94&gt;0),1,0),IF(AND(C94&gt;=C$37,C94&lt;=C$38),1,0))</f>
        <v>0</v>
      </c>
      <c r="K94" s="204">
        <f>H94*F94</f>
        <v>0</v>
      </c>
      <c r="L94" s="204">
        <f>H94*I94*F94</f>
        <v>0</v>
      </c>
      <c r="M94" s="204">
        <f>H94*(1-I94)*MAX(0,F94-G94)</f>
        <v>0</v>
      </c>
      <c r="N94" s="204">
        <f>H94*(1-I94)*MAX(0,G94-F94)</f>
        <v>0</v>
      </c>
      <c r="O94" s="204">
        <f>INDEX('Raw - Customers'!$I:$I,MATCH(B94,'Raw - Customers'!$A:$A,0))</f>
        <v>0</v>
      </c>
      <c r="P94" s="204">
        <f>INDEX('Raw - Customers'!$J:$J,MATCH(B94,'Raw - Customers'!$A:$A,0))</f>
        <v>542</v>
      </c>
      <c r="Q94" s="215">
        <f>IF(C94=0,IF(O94&gt;0,1,0),IF(AND(C94&lt;D$37,OR(D94="",D94&gt;=D$37)),1,0))</f>
        <v>0</v>
      </c>
      <c r="R94" s="215">
        <f>IF(C94=0,IF(AND(O94&gt;0,P94&lt;=0),1,0),IF(AND(D94&lt;&gt;"",D94&gt;=D$37,D94&lt;=D$38),1,0))</f>
        <v>0</v>
      </c>
      <c r="S94" s="215">
        <f>IF(C94=0,IF(AND(O94&lt;=0,P94&gt;0),1,0),IF(AND(C94&gt;=D$37,C94&lt;=D$38),1,0))</f>
        <v>1</v>
      </c>
      <c r="T94" s="204">
        <f>Q94*O94</f>
        <v>0</v>
      </c>
      <c r="U94" s="204">
        <f>Q94*R94*O94</f>
        <v>0</v>
      </c>
      <c r="V94" s="204">
        <f>Q94*(1-R94)*MAX(0,O94-P94)</f>
        <v>0</v>
      </c>
      <c r="W94" s="204">
        <f>Q94*(1-R94)*MAX(0,P94-O94)</f>
        <v>0</v>
      </c>
      <c r="X94" s="204">
        <f>INDEX('Raw - Customers'!$J:$J,MATCH(B94,'Raw - Customers'!$A:$A,0))</f>
        <v>542</v>
      </c>
      <c r="Y94" s="204">
        <f>INDEX('Raw - Customers'!$K:$K,MATCH(B94,'Raw - Customers'!$A:$A,0))</f>
        <v>1689</v>
      </c>
      <c r="Z94" s="215">
        <f>IF(C94=0,IF(X94&gt;0,1,0),IF(AND(C94&lt;E$37,OR(D94="",D94&gt;=E$37)),1,0))</f>
        <v>1</v>
      </c>
      <c r="AA94" s="215">
        <f>IF(C94=0,IF(AND(X94&gt;0,Y94&lt;=0),1,0),IF(AND(D94&lt;&gt;"",D94&gt;=E$37,D94&lt;=E$38),1,0))</f>
        <v>0</v>
      </c>
      <c r="AB94" s="215">
        <f>IF(C94=0,IF(AND(X94&lt;=0,Y94&gt;0),1,0),IF(AND(C94&gt;=E$37,C94&lt;=E$38),1,0))</f>
        <v>0</v>
      </c>
      <c r="AC94" s="204">
        <f>Z94*X94</f>
        <v>542</v>
      </c>
      <c r="AD94" s="204">
        <f>Z94*AA94*X94</f>
        <v>0</v>
      </c>
      <c r="AE94" s="204">
        <f>Z94*(1-AA94)*MAX(0,X94-Y94)</f>
        <v>0</v>
      </c>
      <c r="AF94" s="204">
        <f>Z94*(1-AA94)*MAX(0,Y94-X94)</f>
        <v>1147</v>
      </c>
    </row>
    <row r="95" spans="2:32" x14ac:dyDescent="0.25">
      <c r="B95" s="131" t="s">
        <v>688</v>
      </c>
      <c r="C95" s="132">
        <f>INDEX('Raw - Customers'!$E:$E,MATCH(B95,'Raw - Customers'!$A:$A,0))</f>
        <v>41548</v>
      </c>
      <c r="D95" s="132" t="str">
        <f>IF(INDEX('Raw - Customers'!$F:$F,MATCH(B95,'Raw - Customers'!$A:$A,0))="","",INDEX('Raw - Customers'!$F:$F,MATCH(B95,'Raw - Customers'!$A:$A,0)))</f>
        <v/>
      </c>
      <c r="E95" s="214">
        <f>IF(OR(C95=0,AND(D95&lt;&gt;"",N(D95)&lt;='Assumptions'!$C$9),C95&gt;'Assumptions'!$C$9),"",MAX(0,('Assumptions'!$C$9-C95)/365.25))</f>
        <v>12.24914442162902</v>
      </c>
      <c r="F95" s="204">
        <v>0</v>
      </c>
      <c r="G95" s="204">
        <f>INDEX('Raw - Customers'!$I:$I,MATCH(B95,'Raw - Customers'!$A:$A,0))</f>
        <v>803</v>
      </c>
      <c r="H95" s="215">
        <f>IF(C95=0,IF(F95&gt;0,1,0),IF(AND(C95&lt;C$37,OR(D95="",D95&gt;=C$37)),1,0))</f>
        <v>1</v>
      </c>
      <c r="I95" s="215">
        <f>IF(C95=0,IF(AND(F95&gt;0,G95&lt;=0),1,0),IF(AND(D95&lt;&gt;"",D95&gt;=C$37,D95&lt;=C$38),1,0))</f>
        <v>0</v>
      </c>
      <c r="J95" s="215">
        <f>IF(C95=0,IF(AND(F95&lt;=0,G95&gt;0),1,0),IF(AND(C95&gt;=C$37,C95&lt;=C$38),1,0))</f>
        <v>0</v>
      </c>
      <c r="K95" s="204">
        <f>H95*F95</f>
        <v>0</v>
      </c>
      <c r="L95" s="204">
        <f>H95*I95*F95</f>
        <v>0</v>
      </c>
      <c r="M95" s="204">
        <f>H95*(1-I95)*MAX(0,F95-G95)</f>
        <v>0</v>
      </c>
      <c r="N95" s="204">
        <f>H95*(1-I95)*MAX(0,G95-F95)</f>
        <v>803</v>
      </c>
      <c r="O95" s="204">
        <f>INDEX('Raw - Customers'!$I:$I,MATCH(B95,'Raw - Customers'!$A:$A,0))</f>
        <v>803</v>
      </c>
      <c r="P95" s="204">
        <f>INDEX('Raw - Customers'!$J:$J,MATCH(B95,'Raw - Customers'!$A:$A,0))</f>
        <v>849</v>
      </c>
      <c r="Q95" s="215">
        <f>IF(C95=0,IF(O95&gt;0,1,0),IF(AND(C95&lt;D$37,OR(D95="",D95&gt;=D$37)),1,0))</f>
        <v>1</v>
      </c>
      <c r="R95" s="215">
        <f>IF(C95=0,IF(AND(O95&gt;0,P95&lt;=0),1,0),IF(AND(D95&lt;&gt;"",D95&gt;=D$37,D95&lt;=D$38),1,0))</f>
        <v>0</v>
      </c>
      <c r="S95" s="215">
        <f>IF(C95=0,IF(AND(O95&lt;=0,P95&gt;0),1,0),IF(AND(C95&gt;=D$37,C95&lt;=D$38),1,0))</f>
        <v>0</v>
      </c>
      <c r="T95" s="204">
        <f>Q95*O95</f>
        <v>803</v>
      </c>
      <c r="U95" s="204">
        <f>Q95*R95*O95</f>
        <v>0</v>
      </c>
      <c r="V95" s="204">
        <f>Q95*(1-R95)*MAX(0,O95-P95)</f>
        <v>0</v>
      </c>
      <c r="W95" s="204">
        <f>Q95*(1-R95)*MAX(0,P95-O95)</f>
        <v>46</v>
      </c>
      <c r="X95" s="204">
        <f>INDEX('Raw - Customers'!$J:$J,MATCH(B95,'Raw - Customers'!$A:$A,0))</f>
        <v>849</v>
      </c>
      <c r="Y95" s="204">
        <f>INDEX('Raw - Customers'!$K:$K,MATCH(B95,'Raw - Customers'!$A:$A,0))</f>
        <v>1160</v>
      </c>
      <c r="Z95" s="215">
        <f>IF(C95=0,IF(X95&gt;0,1,0),IF(AND(C95&lt;E$37,OR(D95="",D95&gt;=E$37)),1,0))</f>
        <v>1</v>
      </c>
      <c r="AA95" s="215">
        <f>IF(C95=0,IF(AND(X95&gt;0,Y95&lt;=0),1,0),IF(AND(D95&lt;&gt;"",D95&gt;=E$37,D95&lt;=E$38),1,0))</f>
        <v>0</v>
      </c>
      <c r="AB95" s="215">
        <f>IF(C95=0,IF(AND(X95&lt;=0,Y95&gt;0),1,0),IF(AND(C95&gt;=E$37,C95&lt;=E$38),1,0))</f>
        <v>0</v>
      </c>
      <c r="AC95" s="204">
        <f>Z95*X95</f>
        <v>849</v>
      </c>
      <c r="AD95" s="204">
        <f>Z95*AA95*X95</f>
        <v>0</v>
      </c>
      <c r="AE95" s="204">
        <f>Z95*(1-AA95)*MAX(0,X95-Y95)</f>
        <v>0</v>
      </c>
      <c r="AF95" s="204">
        <f>Z95*(1-AA95)*MAX(0,Y95-X95)</f>
        <v>311</v>
      </c>
    </row>
    <row r="96" spans="2:32" x14ac:dyDescent="0.25">
      <c r="B96" s="131" t="s">
        <v>689</v>
      </c>
      <c r="C96" s="132">
        <f>INDEX('Raw - Customers'!$E:$E,MATCH(B96,'Raw - Customers'!$A:$A,0))</f>
        <v>45962</v>
      </c>
      <c r="D96" s="132" t="str">
        <f>IF(INDEX('Raw - Customers'!$F:$F,MATCH(B96,'Raw - Customers'!$A:$A,0))="","",INDEX('Raw - Customers'!$F:$F,MATCH(B96,'Raw - Customers'!$A:$A,0)))</f>
        <v/>
      </c>
      <c r="E96" s="214">
        <f>IF(OR(C96=0,AND(D96&lt;&gt;"",N(D96)&lt;='Assumptions'!$C$9),C96&gt;'Assumptions'!$C$9),"",MAX(0,('Assumptions'!$C$9-C96)/365.25))</f>
        <v>0.16427104722792607</v>
      </c>
      <c r="F96" s="204">
        <v>0</v>
      </c>
      <c r="G96" s="204">
        <f>INDEX('Raw - Customers'!$I:$I,MATCH(B96,'Raw - Customers'!$A:$A,0))</f>
        <v>0</v>
      </c>
      <c r="H96" s="215">
        <f>IF(C96=0,IF(F96&gt;0,1,0),IF(AND(C96&lt;C$37,OR(D96="",D96&gt;=C$37)),1,0))</f>
        <v>0</v>
      </c>
      <c r="I96" s="215">
        <f>IF(C96=0,IF(AND(F96&gt;0,G96&lt;=0),1,0),IF(AND(D96&lt;&gt;"",D96&gt;=C$37,D96&lt;=C$38),1,0))</f>
        <v>0</v>
      </c>
      <c r="J96" s="215">
        <f>IF(C96=0,IF(AND(F96&lt;=0,G96&gt;0),1,0),IF(AND(C96&gt;=C$37,C96&lt;=C$38),1,0))</f>
        <v>0</v>
      </c>
      <c r="K96" s="204">
        <f>H96*F96</f>
        <v>0</v>
      </c>
      <c r="L96" s="204">
        <f>H96*I96*F96</f>
        <v>0</v>
      </c>
      <c r="M96" s="204">
        <f>H96*(1-I96)*MAX(0,F96-G96)</f>
        <v>0</v>
      </c>
      <c r="N96" s="204">
        <f>H96*(1-I96)*MAX(0,G96-F96)</f>
        <v>0</v>
      </c>
      <c r="O96" s="204">
        <f>INDEX('Raw - Customers'!$I:$I,MATCH(B96,'Raw - Customers'!$A:$A,0))</f>
        <v>0</v>
      </c>
      <c r="P96" s="204">
        <f>INDEX('Raw - Customers'!$J:$J,MATCH(B96,'Raw - Customers'!$A:$A,0))</f>
        <v>0</v>
      </c>
      <c r="Q96" s="215">
        <f>IF(C96=0,IF(O96&gt;0,1,0),IF(AND(C96&lt;D$37,OR(D96="",D96&gt;=D$37)),1,0))</f>
        <v>0</v>
      </c>
      <c r="R96" s="215">
        <f>IF(C96=0,IF(AND(O96&gt;0,P96&lt;=0),1,0),IF(AND(D96&lt;&gt;"",D96&gt;=D$37,D96&lt;=D$38),1,0))</f>
        <v>0</v>
      </c>
      <c r="S96" s="215">
        <f>IF(C96=0,IF(AND(O96&lt;=0,P96&gt;0),1,0),IF(AND(C96&gt;=D$37,C96&lt;=D$38),1,0))</f>
        <v>0</v>
      </c>
      <c r="T96" s="204">
        <f>Q96*O96</f>
        <v>0</v>
      </c>
      <c r="U96" s="204">
        <f>Q96*R96*O96</f>
        <v>0</v>
      </c>
      <c r="V96" s="204">
        <f>Q96*(1-R96)*MAX(0,O96-P96)</f>
        <v>0</v>
      </c>
      <c r="W96" s="204">
        <f>Q96*(1-R96)*MAX(0,P96-O96)</f>
        <v>0</v>
      </c>
      <c r="X96" s="204">
        <f>INDEX('Raw - Customers'!$J:$J,MATCH(B96,'Raw - Customers'!$A:$A,0))</f>
        <v>0</v>
      </c>
      <c r="Y96" s="204">
        <f>INDEX('Raw - Customers'!$K:$K,MATCH(B96,'Raw - Customers'!$A:$A,0))</f>
        <v>731</v>
      </c>
      <c r="Z96" s="215">
        <f>IF(C96=0,IF(X96&gt;0,1,0),IF(AND(C96&lt;E$37,OR(D96="",D96&gt;=E$37)),1,0))</f>
        <v>0</v>
      </c>
      <c r="AA96" s="215">
        <f>IF(C96=0,IF(AND(X96&gt;0,Y96&lt;=0),1,0),IF(AND(D96&lt;&gt;"",D96&gt;=E$37,D96&lt;=E$38),1,0))</f>
        <v>0</v>
      </c>
      <c r="AB96" s="215">
        <f>IF(C96=0,IF(AND(X96&lt;=0,Y96&gt;0),1,0),IF(AND(C96&gt;=E$37,C96&lt;=E$38),1,0))</f>
        <v>1</v>
      </c>
      <c r="AC96" s="204">
        <f>Z96*X96</f>
        <v>0</v>
      </c>
      <c r="AD96" s="204">
        <f>Z96*AA96*X96</f>
        <v>0</v>
      </c>
      <c r="AE96" s="204">
        <f>Z96*(1-AA96)*MAX(0,X96-Y96)</f>
        <v>0</v>
      </c>
      <c r="AF96" s="204">
        <f>Z96*(1-AA96)*MAX(0,Y96-X96)</f>
        <v>0</v>
      </c>
    </row>
    <row r="97" spans="2:32" x14ac:dyDescent="0.25">
      <c r="B97" s="131" t="s">
        <v>690</v>
      </c>
      <c r="C97" s="132">
        <f>INDEX('Raw - Customers'!$E:$E,MATCH(B97,'Raw - Customers'!$A:$A,0))</f>
        <v>40756</v>
      </c>
      <c r="D97" s="132">
        <f>IF(INDEX('Raw - Customers'!$F:$F,MATCH(B97,'Raw - Customers'!$A:$A,0))="","",INDEX('Raw - Customers'!$F:$F,MATCH(B97,'Raw - Customers'!$A:$A,0)))</f>
        <v>45688</v>
      </c>
      <c r="E97" s="214" t="str">
        <f>IF(OR(C97=0,AND(D97&lt;&gt;"",N(D97)&lt;='Assumptions'!$C$9),C97&gt;'Assumptions'!$C$9),"",MAX(0,('Assumptions'!$C$9-C97)/365.25))</f>
        <v/>
      </c>
      <c r="F97" s="204">
        <v>0</v>
      </c>
      <c r="G97" s="204">
        <f>INDEX('Raw - Customers'!$I:$I,MATCH(B97,'Raw - Customers'!$A:$A,0))</f>
        <v>921</v>
      </c>
      <c r="H97" s="215">
        <f>IF(C97=0,IF(F97&gt;0,1,0),IF(AND(C97&lt;C$37,OR(D97="",D97&gt;=C$37)),1,0))</f>
        <v>1</v>
      </c>
      <c r="I97" s="215">
        <f>IF(C97=0,IF(AND(F97&gt;0,G97&lt;=0),1,0),IF(AND(D97&lt;&gt;"",D97&gt;=C$37,D97&lt;=C$38),1,0))</f>
        <v>0</v>
      </c>
      <c r="J97" s="215">
        <f>IF(C97=0,IF(AND(F97&lt;=0,G97&gt;0),1,0),IF(AND(C97&gt;=C$37,C97&lt;=C$38),1,0))</f>
        <v>0</v>
      </c>
      <c r="K97" s="204">
        <f>H97*F97</f>
        <v>0</v>
      </c>
      <c r="L97" s="204">
        <f>H97*I97*F97</f>
        <v>0</v>
      </c>
      <c r="M97" s="204">
        <f>H97*(1-I97)*MAX(0,F97-G97)</f>
        <v>0</v>
      </c>
      <c r="N97" s="204">
        <f>H97*(1-I97)*MAX(0,G97-F97)</f>
        <v>921</v>
      </c>
      <c r="O97" s="204">
        <f>INDEX('Raw - Customers'!$I:$I,MATCH(B97,'Raw - Customers'!$A:$A,0))</f>
        <v>921</v>
      </c>
      <c r="P97" s="204">
        <f>INDEX('Raw - Customers'!$J:$J,MATCH(B97,'Raw - Customers'!$A:$A,0))</f>
        <v>1117</v>
      </c>
      <c r="Q97" s="215">
        <f>IF(C97=0,IF(O97&gt;0,1,0),IF(AND(C97&lt;D$37,OR(D97="",D97&gt;=D$37)),1,0))</f>
        <v>1</v>
      </c>
      <c r="R97" s="215">
        <f>IF(C97=0,IF(AND(O97&gt;0,P97&lt;=0),1,0),IF(AND(D97&lt;&gt;"",D97&gt;=D$37,D97&lt;=D$38),1,0))</f>
        <v>0</v>
      </c>
      <c r="S97" s="215">
        <f>IF(C97=0,IF(AND(O97&lt;=0,P97&gt;0),1,0),IF(AND(C97&gt;=D$37,C97&lt;=D$38),1,0))</f>
        <v>0</v>
      </c>
      <c r="T97" s="204">
        <f>Q97*O97</f>
        <v>921</v>
      </c>
      <c r="U97" s="204">
        <f>Q97*R97*O97</f>
        <v>0</v>
      </c>
      <c r="V97" s="204">
        <f>Q97*(1-R97)*MAX(0,O97-P97)</f>
        <v>0</v>
      </c>
      <c r="W97" s="204">
        <f>Q97*(1-R97)*MAX(0,P97-O97)</f>
        <v>196</v>
      </c>
      <c r="X97" s="204">
        <f>INDEX('Raw - Customers'!$J:$J,MATCH(B97,'Raw - Customers'!$A:$A,0))</f>
        <v>1117</v>
      </c>
      <c r="Y97" s="204">
        <f>INDEX('Raw - Customers'!$K:$K,MATCH(B97,'Raw - Customers'!$A:$A,0))</f>
        <v>134</v>
      </c>
      <c r="Z97" s="215">
        <f>IF(C97=0,IF(X97&gt;0,1,0),IF(AND(C97&lt;E$37,OR(D97="",D97&gt;=E$37)),1,0))</f>
        <v>1</v>
      </c>
      <c r="AA97" s="215">
        <f>IF(C97=0,IF(AND(X97&gt;0,Y97&lt;=0),1,0),IF(AND(D97&lt;&gt;"",D97&gt;=E$37,D97&lt;=E$38),1,0))</f>
        <v>1</v>
      </c>
      <c r="AB97" s="215">
        <f>IF(C97=0,IF(AND(X97&lt;=0,Y97&gt;0),1,0),IF(AND(C97&gt;=E$37,C97&lt;=E$38),1,0))</f>
        <v>0</v>
      </c>
      <c r="AC97" s="204">
        <f>Z97*X97</f>
        <v>1117</v>
      </c>
      <c r="AD97" s="204">
        <f>Z97*AA97*X97</f>
        <v>1117</v>
      </c>
      <c r="AE97" s="204">
        <f>Z97*(1-AA97)*MAX(0,X97-Y97)</f>
        <v>0</v>
      </c>
      <c r="AF97" s="204">
        <f>Z97*(1-AA97)*MAX(0,Y97-X97)</f>
        <v>0</v>
      </c>
    </row>
    <row r="98" spans="2:32" x14ac:dyDescent="0.25">
      <c r="B98" s="131" t="s">
        <v>691</v>
      </c>
      <c r="C98" s="132">
        <f>INDEX('Raw - Customers'!$E:$E,MATCH(B98,'Raw - Customers'!$A:$A,0))</f>
        <v>43983</v>
      </c>
      <c r="D98" s="132">
        <f>IF(INDEX('Raw - Customers'!$F:$F,MATCH(B98,'Raw - Customers'!$A:$A,0))="","",INDEX('Raw - Customers'!$F:$F,MATCH(B98,'Raw - Customers'!$A:$A,0)))</f>
        <v>45596</v>
      </c>
      <c r="E98" s="214" t="str">
        <f>IF(OR(C98=0,AND(D98&lt;&gt;"",N(D98)&lt;='Assumptions'!$C$9),C98&gt;'Assumptions'!$C$9),"",MAX(0,('Assumptions'!$C$9-C98)/365.25))</f>
        <v/>
      </c>
      <c r="F98" s="204">
        <v>0</v>
      </c>
      <c r="G98" s="204">
        <f>INDEX('Raw - Customers'!$I:$I,MATCH(B98,'Raw - Customers'!$A:$A,0))</f>
        <v>5638</v>
      </c>
      <c r="H98" s="215">
        <f>IF(C98=0,IF(F98&gt;0,1,0),IF(AND(C98&lt;C$37,OR(D98="",D98&gt;=C$37)),1,0))</f>
        <v>1</v>
      </c>
      <c r="I98" s="215">
        <f>IF(C98=0,IF(AND(F98&gt;0,G98&lt;=0),1,0),IF(AND(D98&lt;&gt;"",D98&gt;=C$37,D98&lt;=C$38),1,0))</f>
        <v>0</v>
      </c>
      <c r="J98" s="215">
        <f>IF(C98=0,IF(AND(F98&lt;=0,G98&gt;0),1,0),IF(AND(C98&gt;=C$37,C98&lt;=C$38),1,0))</f>
        <v>0</v>
      </c>
      <c r="K98" s="204">
        <f>H98*F98</f>
        <v>0</v>
      </c>
      <c r="L98" s="204">
        <f>H98*I98*F98</f>
        <v>0</v>
      </c>
      <c r="M98" s="204">
        <f>H98*(1-I98)*MAX(0,F98-G98)</f>
        <v>0</v>
      </c>
      <c r="N98" s="204">
        <f>H98*(1-I98)*MAX(0,G98-F98)</f>
        <v>5638</v>
      </c>
      <c r="O98" s="204">
        <f>INDEX('Raw - Customers'!$I:$I,MATCH(B98,'Raw - Customers'!$A:$A,0))</f>
        <v>5638</v>
      </c>
      <c r="P98" s="204">
        <f>INDEX('Raw - Customers'!$J:$J,MATCH(B98,'Raw - Customers'!$A:$A,0))</f>
        <v>6316</v>
      </c>
      <c r="Q98" s="215">
        <f>IF(C98=0,IF(O98&gt;0,1,0),IF(AND(C98&lt;D$37,OR(D98="",D98&gt;=D$37)),1,0))</f>
        <v>1</v>
      </c>
      <c r="R98" s="215">
        <f>IF(C98=0,IF(AND(O98&gt;0,P98&lt;=0),1,0),IF(AND(D98&lt;&gt;"",D98&gt;=D$37,D98&lt;=D$38),1,0))</f>
        <v>1</v>
      </c>
      <c r="S98" s="215">
        <f>IF(C98=0,IF(AND(O98&lt;=0,P98&gt;0),1,0),IF(AND(C98&gt;=D$37,C98&lt;=D$38),1,0))</f>
        <v>0</v>
      </c>
      <c r="T98" s="204">
        <f>Q98*O98</f>
        <v>5638</v>
      </c>
      <c r="U98" s="204">
        <f>Q98*R98*O98</f>
        <v>5638</v>
      </c>
      <c r="V98" s="204">
        <f>Q98*(1-R98)*MAX(0,O98-P98)</f>
        <v>0</v>
      </c>
      <c r="W98" s="204">
        <f>Q98*(1-R98)*MAX(0,P98-O98)</f>
        <v>0</v>
      </c>
      <c r="X98" s="204">
        <f>INDEX('Raw - Customers'!$J:$J,MATCH(B98,'Raw - Customers'!$A:$A,0))</f>
        <v>6316</v>
      </c>
      <c r="Y98" s="204">
        <f>INDEX('Raw - Customers'!$K:$K,MATCH(B98,'Raw - Customers'!$A:$A,0))</f>
        <v>0</v>
      </c>
      <c r="Z98" s="215">
        <f>IF(C98=0,IF(X98&gt;0,1,0),IF(AND(C98&lt;E$37,OR(D98="",D98&gt;=E$37)),1,0))</f>
        <v>0</v>
      </c>
      <c r="AA98" s="215">
        <f>IF(C98=0,IF(AND(X98&gt;0,Y98&lt;=0),1,0),IF(AND(D98&lt;&gt;"",D98&gt;=E$37,D98&lt;=E$38),1,0))</f>
        <v>0</v>
      </c>
      <c r="AB98" s="215">
        <f>IF(C98=0,IF(AND(X98&lt;=0,Y98&gt;0),1,0),IF(AND(C98&gt;=E$37,C98&lt;=E$38),1,0))</f>
        <v>0</v>
      </c>
      <c r="AC98" s="204">
        <f>Z98*X98</f>
        <v>0</v>
      </c>
      <c r="AD98" s="204">
        <f>Z98*AA98*X98</f>
        <v>0</v>
      </c>
      <c r="AE98" s="204">
        <f>Z98*(1-AA98)*MAX(0,X98-Y98)</f>
        <v>0</v>
      </c>
      <c r="AF98" s="204">
        <f>Z98*(1-AA98)*MAX(0,Y98-X98)</f>
        <v>0</v>
      </c>
    </row>
    <row r="99" spans="2:32" x14ac:dyDescent="0.25">
      <c r="B99" s="131" t="s">
        <v>692</v>
      </c>
      <c r="C99" s="132">
        <f>INDEX('Raw - Customers'!$E:$E,MATCH(B99,'Raw - Customers'!$A:$A,0))</f>
        <v>40391</v>
      </c>
      <c r="D99" s="132">
        <f>IF(INDEX('Raw - Customers'!$F:$F,MATCH(B99,'Raw - Customers'!$A:$A,0))="","",INDEX('Raw - Customers'!$F:$F,MATCH(B99,'Raw - Customers'!$A:$A,0)))</f>
        <v>45473</v>
      </c>
      <c r="E99" s="214" t="str">
        <f>IF(OR(C99=0,AND(D99&lt;&gt;"",N(D99)&lt;='Assumptions'!$C$9),C99&gt;'Assumptions'!$C$9),"",MAX(0,('Assumptions'!$C$9-C99)/365.25))</f>
        <v/>
      </c>
      <c r="F99" s="204">
        <v>0</v>
      </c>
      <c r="G99" s="204">
        <f>INDEX('Raw - Customers'!$I:$I,MATCH(B99,'Raw - Customers'!$A:$A,0))</f>
        <v>5332</v>
      </c>
      <c r="H99" s="215">
        <f>IF(C99=0,IF(F99&gt;0,1,0),IF(AND(C99&lt;C$37,OR(D99="",D99&gt;=C$37)),1,0))</f>
        <v>1</v>
      </c>
      <c r="I99" s="215">
        <f>IF(C99=0,IF(AND(F99&gt;0,G99&lt;=0),1,0),IF(AND(D99&lt;&gt;"",D99&gt;=C$37,D99&lt;=C$38),1,0))</f>
        <v>0</v>
      </c>
      <c r="J99" s="215">
        <f>IF(C99=0,IF(AND(F99&lt;=0,G99&gt;0),1,0),IF(AND(C99&gt;=C$37,C99&lt;=C$38),1,0))</f>
        <v>0</v>
      </c>
      <c r="K99" s="204">
        <f>H99*F99</f>
        <v>0</v>
      </c>
      <c r="L99" s="204">
        <f>H99*I99*F99</f>
        <v>0</v>
      </c>
      <c r="M99" s="204">
        <f>H99*(1-I99)*MAX(0,F99-G99)</f>
        <v>0</v>
      </c>
      <c r="N99" s="204">
        <f>H99*(1-I99)*MAX(0,G99-F99)</f>
        <v>5332</v>
      </c>
      <c r="O99" s="204">
        <f>INDEX('Raw - Customers'!$I:$I,MATCH(B99,'Raw - Customers'!$A:$A,0))</f>
        <v>5332</v>
      </c>
      <c r="P99" s="204">
        <f>INDEX('Raw - Customers'!$J:$J,MATCH(B99,'Raw - Customers'!$A:$A,0))</f>
        <v>3533</v>
      </c>
      <c r="Q99" s="215">
        <f>IF(C99=0,IF(O99&gt;0,1,0),IF(AND(C99&lt;D$37,OR(D99="",D99&gt;=D$37)),1,0))</f>
        <v>1</v>
      </c>
      <c r="R99" s="215">
        <f>IF(C99=0,IF(AND(O99&gt;0,P99&lt;=0),1,0),IF(AND(D99&lt;&gt;"",D99&gt;=D$37,D99&lt;=D$38),1,0))</f>
        <v>1</v>
      </c>
      <c r="S99" s="215">
        <f>IF(C99=0,IF(AND(O99&lt;=0,P99&gt;0),1,0),IF(AND(C99&gt;=D$37,C99&lt;=D$38),1,0))</f>
        <v>0</v>
      </c>
      <c r="T99" s="204">
        <f>Q99*O99</f>
        <v>5332</v>
      </c>
      <c r="U99" s="204">
        <f>Q99*R99*O99</f>
        <v>5332</v>
      </c>
      <c r="V99" s="204">
        <f>Q99*(1-R99)*MAX(0,O99-P99)</f>
        <v>0</v>
      </c>
      <c r="W99" s="204">
        <f>Q99*(1-R99)*MAX(0,P99-O99)</f>
        <v>0</v>
      </c>
      <c r="X99" s="204">
        <f>INDEX('Raw - Customers'!$J:$J,MATCH(B99,'Raw - Customers'!$A:$A,0))</f>
        <v>3533</v>
      </c>
      <c r="Y99" s="204">
        <f>INDEX('Raw - Customers'!$K:$K,MATCH(B99,'Raw - Customers'!$A:$A,0))</f>
        <v>0</v>
      </c>
      <c r="Z99" s="215">
        <f>IF(C99=0,IF(X99&gt;0,1,0),IF(AND(C99&lt;E$37,OR(D99="",D99&gt;=E$37)),1,0))</f>
        <v>0</v>
      </c>
      <c r="AA99" s="215">
        <f>IF(C99=0,IF(AND(X99&gt;0,Y99&lt;=0),1,0),IF(AND(D99&lt;&gt;"",D99&gt;=E$37,D99&lt;=E$38),1,0))</f>
        <v>0</v>
      </c>
      <c r="AB99" s="215">
        <f>IF(C99=0,IF(AND(X99&lt;=0,Y99&gt;0),1,0),IF(AND(C99&gt;=E$37,C99&lt;=E$38),1,0))</f>
        <v>0</v>
      </c>
      <c r="AC99" s="204">
        <f>Z99*X99</f>
        <v>0</v>
      </c>
      <c r="AD99" s="204">
        <f>Z99*AA99*X99</f>
        <v>0</v>
      </c>
      <c r="AE99" s="204">
        <f>Z99*(1-AA99)*MAX(0,X99-Y99)</f>
        <v>0</v>
      </c>
      <c r="AF99" s="204">
        <f>Z99*(1-AA99)*MAX(0,Y99-X99)</f>
        <v>0</v>
      </c>
    </row>
    <row r="100" spans="2:32" x14ac:dyDescent="0.25">
      <c r="B100" s="131" t="s">
        <v>693</v>
      </c>
      <c r="C100" s="132">
        <f>INDEX('Raw - Customers'!$E:$E,MATCH(B100,'Raw - Customers'!$A:$A,0))</f>
        <v>42339</v>
      </c>
      <c r="D100" s="132">
        <f>IF(INDEX('Raw - Customers'!$F:$F,MATCH(B100,'Raw - Customers'!$A:$A,0))="","",INDEX('Raw - Customers'!$F:$F,MATCH(B100,'Raw - Customers'!$A:$A,0)))</f>
        <v>45351</v>
      </c>
      <c r="E100" s="214" t="str">
        <f>IF(OR(C100=0,AND(D100&lt;&gt;"",N(D100)&lt;='Assumptions'!$C$9),C100&gt;'Assumptions'!$C$9),"",MAX(0,('Assumptions'!$C$9-C100)/365.25))</f>
        <v/>
      </c>
      <c r="F100" s="204">
        <v>0</v>
      </c>
      <c r="G100" s="204">
        <f>INDEX('Raw - Customers'!$I:$I,MATCH(B100,'Raw - Customers'!$A:$A,0))</f>
        <v>5545</v>
      </c>
      <c r="H100" s="215">
        <f>IF(C100=0,IF(F100&gt;0,1,0),IF(AND(C100&lt;C$37,OR(D100="",D100&gt;=C$37)),1,0))</f>
        <v>1</v>
      </c>
      <c r="I100" s="215">
        <f>IF(C100=0,IF(AND(F100&gt;0,G100&lt;=0),1,0),IF(AND(D100&lt;&gt;"",D100&gt;=C$37,D100&lt;=C$38),1,0))</f>
        <v>0</v>
      </c>
      <c r="J100" s="215">
        <f>IF(C100=0,IF(AND(F100&lt;=0,G100&gt;0),1,0),IF(AND(C100&gt;=C$37,C100&lt;=C$38),1,0))</f>
        <v>0</v>
      </c>
      <c r="K100" s="204">
        <f>H100*F100</f>
        <v>0</v>
      </c>
      <c r="L100" s="204">
        <f>H100*I100*F100</f>
        <v>0</v>
      </c>
      <c r="M100" s="204">
        <f>H100*(1-I100)*MAX(0,F100-G100)</f>
        <v>0</v>
      </c>
      <c r="N100" s="204">
        <f>H100*(1-I100)*MAX(0,G100-F100)</f>
        <v>5545</v>
      </c>
      <c r="O100" s="204">
        <f>INDEX('Raw - Customers'!$I:$I,MATCH(B100,'Raw - Customers'!$A:$A,0))</f>
        <v>5545</v>
      </c>
      <c r="P100" s="204">
        <f>INDEX('Raw - Customers'!$J:$J,MATCH(B100,'Raw - Customers'!$A:$A,0))</f>
        <v>1170</v>
      </c>
      <c r="Q100" s="215">
        <f>IF(C100=0,IF(O100&gt;0,1,0),IF(AND(C100&lt;D$37,OR(D100="",D100&gt;=D$37)),1,0))</f>
        <v>1</v>
      </c>
      <c r="R100" s="215">
        <f>IF(C100=0,IF(AND(O100&gt;0,P100&lt;=0),1,0),IF(AND(D100&lt;&gt;"",D100&gt;=D$37,D100&lt;=D$38),1,0))</f>
        <v>1</v>
      </c>
      <c r="S100" s="215">
        <f>IF(C100=0,IF(AND(O100&lt;=0,P100&gt;0),1,0),IF(AND(C100&gt;=D$37,C100&lt;=D$38),1,0))</f>
        <v>0</v>
      </c>
      <c r="T100" s="204">
        <f>Q100*O100</f>
        <v>5545</v>
      </c>
      <c r="U100" s="204">
        <f>Q100*R100*O100</f>
        <v>5545</v>
      </c>
      <c r="V100" s="204">
        <f>Q100*(1-R100)*MAX(0,O100-P100)</f>
        <v>0</v>
      </c>
      <c r="W100" s="204">
        <f>Q100*(1-R100)*MAX(0,P100-O100)</f>
        <v>0</v>
      </c>
      <c r="X100" s="204">
        <f>INDEX('Raw - Customers'!$J:$J,MATCH(B100,'Raw - Customers'!$A:$A,0))</f>
        <v>1170</v>
      </c>
      <c r="Y100" s="204">
        <f>INDEX('Raw - Customers'!$K:$K,MATCH(B100,'Raw - Customers'!$A:$A,0))</f>
        <v>0</v>
      </c>
      <c r="Z100" s="215">
        <f>IF(C100=0,IF(X100&gt;0,1,0),IF(AND(C100&lt;E$37,OR(D100="",D100&gt;=E$37)),1,0))</f>
        <v>0</v>
      </c>
      <c r="AA100" s="215">
        <f>IF(C100=0,IF(AND(X100&gt;0,Y100&lt;=0),1,0),IF(AND(D100&lt;&gt;"",D100&gt;=E$37,D100&lt;=E$38),1,0))</f>
        <v>0</v>
      </c>
      <c r="AB100" s="215">
        <f>IF(C100=0,IF(AND(X100&lt;=0,Y100&gt;0),1,0),IF(AND(C100&gt;=E$37,C100&lt;=E$38),1,0))</f>
        <v>0</v>
      </c>
      <c r="AC100" s="204">
        <f>Z100*X100</f>
        <v>0</v>
      </c>
      <c r="AD100" s="204">
        <f>Z100*AA100*X100</f>
        <v>0</v>
      </c>
      <c r="AE100" s="204">
        <f>Z100*(1-AA100)*MAX(0,X100-Y100)</f>
        <v>0</v>
      </c>
      <c r="AF100" s="204">
        <f>Z100*(1-AA100)*MAX(0,Y100-X100)</f>
        <v>0</v>
      </c>
    </row>
    <row r="101" spans="2:32" x14ac:dyDescent="0.25">
      <c r="B101" s="131" t="s">
        <v>694</v>
      </c>
      <c r="C101" s="132">
        <f>INDEX('Raw - Customers'!$E:$E,MATCH(B101,'Raw - Customers'!$A:$A,0))</f>
        <v>41974</v>
      </c>
      <c r="D101" s="132">
        <f>IF(INDEX('Raw - Customers'!$F:$F,MATCH(B101,'Raw - Customers'!$A:$A,0))="","",INDEX('Raw - Customers'!$F:$F,MATCH(B101,'Raw - Customers'!$A:$A,0)))</f>
        <v>45260</v>
      </c>
      <c r="E101" s="214" t="str">
        <f>IF(OR(C101=0,AND(D101&lt;&gt;"",N(D101)&lt;='Assumptions'!$C$9),C101&gt;'Assumptions'!$C$9),"",MAX(0,('Assumptions'!$C$9-C101)/365.25))</f>
        <v/>
      </c>
      <c r="F101" s="204">
        <v>0</v>
      </c>
      <c r="G101" s="204">
        <f>INDEX('Raw - Customers'!$I:$I,MATCH(B101,'Raw - Customers'!$A:$A,0))</f>
        <v>5005</v>
      </c>
      <c r="H101" s="215">
        <f>IF(C101=0,IF(F101&gt;0,1,0),IF(AND(C101&lt;C$37,OR(D101="",D101&gt;=C$37)),1,0))</f>
        <v>1</v>
      </c>
      <c r="I101" s="215">
        <f>IF(C101=0,IF(AND(F101&gt;0,G101&lt;=0),1,0),IF(AND(D101&lt;&gt;"",D101&gt;=C$37,D101&lt;=C$38),1,0))</f>
        <v>1</v>
      </c>
      <c r="J101" s="215">
        <f>IF(C101=0,IF(AND(F101&lt;=0,G101&gt;0),1,0),IF(AND(C101&gt;=C$37,C101&lt;=C$38),1,0))</f>
        <v>0</v>
      </c>
      <c r="K101" s="204">
        <f>H101*F101</f>
        <v>0</v>
      </c>
      <c r="L101" s="204">
        <f>H101*I101*F101</f>
        <v>0</v>
      </c>
      <c r="M101" s="204">
        <f>H101*(1-I101)*MAX(0,F101-G101)</f>
        <v>0</v>
      </c>
      <c r="N101" s="204">
        <f>H101*(1-I101)*MAX(0,G101-F101)</f>
        <v>0</v>
      </c>
      <c r="O101" s="204">
        <f>INDEX('Raw - Customers'!$I:$I,MATCH(B101,'Raw - Customers'!$A:$A,0))</f>
        <v>5005</v>
      </c>
      <c r="P101" s="204">
        <f>INDEX('Raw - Customers'!$J:$J,MATCH(B101,'Raw - Customers'!$A:$A,0))</f>
        <v>0</v>
      </c>
      <c r="Q101" s="215">
        <f>IF(C101=0,IF(O101&gt;0,1,0),IF(AND(C101&lt;D$37,OR(D101="",D101&gt;=D$37)),1,0))</f>
        <v>0</v>
      </c>
      <c r="R101" s="215">
        <f>IF(C101=0,IF(AND(O101&gt;0,P101&lt;=0),1,0),IF(AND(D101&lt;&gt;"",D101&gt;=D$37,D101&lt;=D$38),1,0))</f>
        <v>0</v>
      </c>
      <c r="S101" s="215">
        <f>IF(C101=0,IF(AND(O101&lt;=0,P101&gt;0),1,0),IF(AND(C101&gt;=D$37,C101&lt;=D$38),1,0))</f>
        <v>0</v>
      </c>
      <c r="T101" s="204">
        <f>Q101*O101</f>
        <v>0</v>
      </c>
      <c r="U101" s="204">
        <f>Q101*R101*O101</f>
        <v>0</v>
      </c>
      <c r="V101" s="204">
        <f>Q101*(1-R101)*MAX(0,O101-P101)</f>
        <v>0</v>
      </c>
      <c r="W101" s="204">
        <f>Q101*(1-R101)*MAX(0,P101-O101)</f>
        <v>0</v>
      </c>
      <c r="X101" s="204">
        <f>INDEX('Raw - Customers'!$J:$J,MATCH(B101,'Raw - Customers'!$A:$A,0))</f>
        <v>0</v>
      </c>
      <c r="Y101" s="204">
        <f>INDEX('Raw - Customers'!$K:$K,MATCH(B101,'Raw - Customers'!$A:$A,0))</f>
        <v>0</v>
      </c>
      <c r="Z101" s="215">
        <f>IF(C101=0,IF(X101&gt;0,1,0),IF(AND(C101&lt;E$37,OR(D101="",D101&gt;=E$37)),1,0))</f>
        <v>0</v>
      </c>
      <c r="AA101" s="215">
        <f>IF(C101=0,IF(AND(X101&gt;0,Y101&lt;=0),1,0),IF(AND(D101&lt;&gt;"",D101&gt;=E$37,D101&lt;=E$38),1,0))</f>
        <v>0</v>
      </c>
      <c r="AB101" s="215">
        <f>IF(C101=0,IF(AND(X101&lt;=0,Y101&gt;0),1,0),IF(AND(C101&gt;=E$37,C101&lt;=E$38),1,0))</f>
        <v>0</v>
      </c>
      <c r="AC101" s="204">
        <f>Z101*X101</f>
        <v>0</v>
      </c>
      <c r="AD101" s="204">
        <f>Z101*AA101*X101</f>
        <v>0</v>
      </c>
      <c r="AE101" s="204">
        <f>Z101*(1-AA101)*MAX(0,X101-Y101)</f>
        <v>0</v>
      </c>
      <c r="AF101" s="204">
        <f>Z101*(1-AA101)*MAX(0,Y101-X101)</f>
        <v>0</v>
      </c>
    </row>
    <row r="102" spans="2:32" x14ac:dyDescent="0.25">
      <c r="B102" s="131" t="s">
        <v>695</v>
      </c>
      <c r="C102" s="132">
        <f>INDEX('Raw - Customers'!$E:$E,MATCH(B102,'Raw - Customers'!$A:$A,0))</f>
        <v>43556</v>
      </c>
      <c r="D102" s="132">
        <f>IF(INDEX('Raw - Customers'!$F:$F,MATCH(B102,'Raw - Customers'!$A:$A,0))="","",INDEX('Raw - Customers'!$F:$F,MATCH(B102,'Raw - Customers'!$A:$A,0)))</f>
        <v>45169</v>
      </c>
      <c r="E102" s="214" t="str">
        <f>IF(OR(C102=0,AND(D102&lt;&gt;"",N(D102)&lt;='Assumptions'!$C$9),C102&gt;'Assumptions'!$C$9),"",MAX(0,('Assumptions'!$C$9-C102)/365.25))</f>
        <v/>
      </c>
      <c r="F102" s="204">
        <v>0</v>
      </c>
      <c r="G102" s="204">
        <f>INDEX('Raw - Customers'!$I:$I,MATCH(B102,'Raw - Customers'!$A:$A,0))</f>
        <v>4247</v>
      </c>
      <c r="H102" s="215">
        <f>IF(C102=0,IF(F102&gt;0,1,0),IF(AND(C102&lt;C$37,OR(D102="",D102&gt;=C$37)),1,0))</f>
        <v>1</v>
      </c>
      <c r="I102" s="215">
        <f>IF(C102=0,IF(AND(F102&gt;0,G102&lt;=0),1,0),IF(AND(D102&lt;&gt;"",D102&gt;=C$37,D102&lt;=C$38),1,0))</f>
        <v>1</v>
      </c>
      <c r="J102" s="215">
        <f>IF(C102=0,IF(AND(F102&lt;=0,G102&gt;0),1,0),IF(AND(C102&gt;=C$37,C102&lt;=C$38),1,0))</f>
        <v>0</v>
      </c>
      <c r="K102" s="204">
        <f>H102*F102</f>
        <v>0</v>
      </c>
      <c r="L102" s="204">
        <f>H102*I102*F102</f>
        <v>0</v>
      </c>
      <c r="M102" s="204">
        <f>H102*(1-I102)*MAX(0,F102-G102)</f>
        <v>0</v>
      </c>
      <c r="N102" s="204">
        <f>H102*(1-I102)*MAX(0,G102-F102)</f>
        <v>0</v>
      </c>
      <c r="O102" s="204">
        <f>INDEX('Raw - Customers'!$I:$I,MATCH(B102,'Raw - Customers'!$A:$A,0))</f>
        <v>4247</v>
      </c>
      <c r="P102" s="204">
        <f>INDEX('Raw - Customers'!$J:$J,MATCH(B102,'Raw - Customers'!$A:$A,0))</f>
        <v>0</v>
      </c>
      <c r="Q102" s="215">
        <f>IF(C102=0,IF(O102&gt;0,1,0),IF(AND(C102&lt;D$37,OR(D102="",D102&gt;=D$37)),1,0))</f>
        <v>0</v>
      </c>
      <c r="R102" s="215">
        <f>IF(C102=0,IF(AND(O102&gt;0,P102&lt;=0),1,0),IF(AND(D102&lt;&gt;"",D102&gt;=D$37,D102&lt;=D$38),1,0))</f>
        <v>0</v>
      </c>
      <c r="S102" s="215">
        <f>IF(C102=0,IF(AND(O102&lt;=0,P102&gt;0),1,0),IF(AND(C102&gt;=D$37,C102&lt;=D$38),1,0))</f>
        <v>0</v>
      </c>
      <c r="T102" s="204">
        <f>Q102*O102</f>
        <v>0</v>
      </c>
      <c r="U102" s="204">
        <f>Q102*R102*O102</f>
        <v>0</v>
      </c>
      <c r="V102" s="204">
        <f>Q102*(1-R102)*MAX(0,O102-P102)</f>
        <v>0</v>
      </c>
      <c r="W102" s="204">
        <f>Q102*(1-R102)*MAX(0,P102-O102)</f>
        <v>0</v>
      </c>
      <c r="X102" s="204">
        <f>INDEX('Raw - Customers'!$J:$J,MATCH(B102,'Raw - Customers'!$A:$A,0))</f>
        <v>0</v>
      </c>
      <c r="Y102" s="204">
        <f>INDEX('Raw - Customers'!$K:$K,MATCH(B102,'Raw - Customers'!$A:$A,0))</f>
        <v>0</v>
      </c>
      <c r="Z102" s="215">
        <f>IF(C102=0,IF(X102&gt;0,1,0),IF(AND(C102&lt;E$37,OR(D102="",D102&gt;=E$37)),1,0))</f>
        <v>0</v>
      </c>
      <c r="AA102" s="215">
        <f>IF(C102=0,IF(AND(X102&gt;0,Y102&lt;=0),1,0),IF(AND(D102&lt;&gt;"",D102&gt;=E$37,D102&lt;=E$38),1,0))</f>
        <v>0</v>
      </c>
      <c r="AB102" s="215">
        <f>IF(C102=0,IF(AND(X102&lt;=0,Y102&gt;0),1,0),IF(AND(C102&gt;=E$37,C102&lt;=E$38),1,0))</f>
        <v>0</v>
      </c>
      <c r="AC102" s="204">
        <f>Z102*X102</f>
        <v>0</v>
      </c>
      <c r="AD102" s="204">
        <f>Z102*AA102*X102</f>
        <v>0</v>
      </c>
      <c r="AE102" s="204">
        <f>Z102*(1-AA102)*MAX(0,X102-Y102)</f>
        <v>0</v>
      </c>
      <c r="AF102" s="204">
        <f>Z102*(1-AA102)*MAX(0,Y102-X102)</f>
        <v>0</v>
      </c>
    </row>
    <row r="103" spans="2:32" x14ac:dyDescent="0.25">
      <c r="B103" s="131" t="s">
        <v>696</v>
      </c>
      <c r="C103" s="132">
        <f>INDEX('Raw - Customers'!$E:$E,MATCH(B103,'Raw - Customers'!$A:$A,0))</f>
        <v>40969</v>
      </c>
      <c r="D103" s="132">
        <f>IF(INDEX('Raw - Customers'!$F:$F,MATCH(B103,'Raw - Customers'!$A:$A,0))="","",INDEX('Raw - Customers'!$F:$F,MATCH(B103,'Raw - Customers'!$A:$A,0)))</f>
        <v>45046</v>
      </c>
      <c r="E103" s="214" t="str">
        <f>IF(OR(C103=0,AND(D103&lt;&gt;"",N(D103)&lt;='Assumptions'!$C$9),C103&gt;'Assumptions'!$C$9),"",MAX(0,('Assumptions'!$C$9-C103)/365.25))</f>
        <v/>
      </c>
      <c r="F103" s="204">
        <v>0</v>
      </c>
      <c r="G103" s="204">
        <f>INDEX('Raw - Customers'!$I:$I,MATCH(B103,'Raw - Customers'!$A:$A,0))</f>
        <v>2040</v>
      </c>
      <c r="H103" s="215">
        <f>IF(C103=0,IF(F103&gt;0,1,0),IF(AND(C103&lt;C$37,OR(D103="",D103&gt;=C$37)),1,0))</f>
        <v>1</v>
      </c>
      <c r="I103" s="215">
        <f>IF(C103=0,IF(AND(F103&gt;0,G103&lt;=0),1,0),IF(AND(D103&lt;&gt;"",D103&gt;=C$37,D103&lt;=C$38),1,0))</f>
        <v>1</v>
      </c>
      <c r="J103" s="215">
        <f>IF(C103=0,IF(AND(F103&lt;=0,G103&gt;0),1,0),IF(AND(C103&gt;=C$37,C103&lt;=C$38),1,0))</f>
        <v>0</v>
      </c>
      <c r="K103" s="204">
        <f>H103*F103</f>
        <v>0</v>
      </c>
      <c r="L103" s="204">
        <f>H103*I103*F103</f>
        <v>0</v>
      </c>
      <c r="M103" s="204">
        <f>H103*(1-I103)*MAX(0,F103-G103)</f>
        <v>0</v>
      </c>
      <c r="N103" s="204">
        <f>H103*(1-I103)*MAX(0,G103-F103)</f>
        <v>0</v>
      </c>
      <c r="O103" s="204">
        <f>INDEX('Raw - Customers'!$I:$I,MATCH(B103,'Raw - Customers'!$A:$A,0))</f>
        <v>2040</v>
      </c>
      <c r="P103" s="204">
        <f>INDEX('Raw - Customers'!$J:$J,MATCH(B103,'Raw - Customers'!$A:$A,0))</f>
        <v>0</v>
      </c>
      <c r="Q103" s="215">
        <f>IF(C103=0,IF(O103&gt;0,1,0),IF(AND(C103&lt;D$37,OR(D103="",D103&gt;=D$37)),1,0))</f>
        <v>0</v>
      </c>
      <c r="R103" s="215">
        <f>IF(C103=0,IF(AND(O103&gt;0,P103&lt;=0),1,0),IF(AND(D103&lt;&gt;"",D103&gt;=D$37,D103&lt;=D$38),1,0))</f>
        <v>0</v>
      </c>
      <c r="S103" s="215">
        <f>IF(C103=0,IF(AND(O103&lt;=0,P103&gt;0),1,0),IF(AND(C103&gt;=D$37,C103&lt;=D$38),1,0))</f>
        <v>0</v>
      </c>
      <c r="T103" s="204">
        <f>Q103*O103</f>
        <v>0</v>
      </c>
      <c r="U103" s="204">
        <f>Q103*R103*O103</f>
        <v>0</v>
      </c>
      <c r="V103" s="204">
        <f>Q103*(1-R103)*MAX(0,O103-P103)</f>
        <v>0</v>
      </c>
      <c r="W103" s="204">
        <f>Q103*(1-R103)*MAX(0,P103-O103)</f>
        <v>0</v>
      </c>
      <c r="X103" s="204">
        <f>INDEX('Raw - Customers'!$J:$J,MATCH(B103,'Raw - Customers'!$A:$A,0))</f>
        <v>0</v>
      </c>
      <c r="Y103" s="204">
        <f>INDEX('Raw - Customers'!$K:$K,MATCH(B103,'Raw - Customers'!$A:$A,0))</f>
        <v>0</v>
      </c>
      <c r="Z103" s="215">
        <f>IF(C103=0,IF(X103&gt;0,1,0),IF(AND(C103&lt;E$37,OR(D103="",D103&gt;=E$37)),1,0))</f>
        <v>0</v>
      </c>
      <c r="AA103" s="215">
        <f>IF(C103=0,IF(AND(X103&gt;0,Y103&lt;=0),1,0),IF(AND(D103&lt;&gt;"",D103&gt;=E$37,D103&lt;=E$38),1,0))</f>
        <v>0</v>
      </c>
      <c r="AB103" s="215">
        <f>IF(C103=0,IF(AND(X103&lt;=0,Y103&gt;0),1,0),IF(AND(C103&gt;=E$37,C103&lt;=E$38),1,0))</f>
        <v>0</v>
      </c>
      <c r="AC103" s="204">
        <f>Z103*X103</f>
        <v>0</v>
      </c>
      <c r="AD103" s="204">
        <f>Z103*AA103*X103</f>
        <v>0</v>
      </c>
      <c r="AE103" s="204">
        <f>Z103*(1-AA103)*MAX(0,X103-Y103)</f>
        <v>0</v>
      </c>
      <c r="AF103" s="204">
        <f>Z103*(1-AA103)*MAX(0,Y103-X103)</f>
        <v>0</v>
      </c>
    </row>
  </sheetData>
  <mergeCells count="1">
    <mergeCell ref="B35:K35"/>
  </mergeCells>
  <conditionalFormatting sqref="C31:E31">
    <cfRule type="expression" dxfId="21" priority="1">
      <formula>ROUND(C31,3)&lt;&gt;0</formula>
    </cfRule>
  </conditionalFormatting>
  <conditionalFormatting sqref="B2 K3 C9:E13 G9:H13 J9:K13 N9:Y13 B31 D31:E31">
    <cfRule type="expression" dxfId="22" priority="2">
      <formula>$K$3=1</formula>
    </cfRule>
  </conditionalFormatting>
  <printOptions horizontalCentered="1"/>
  <pageMargins left="0.5" right="0.5" top="0.6" bottom="0.7" header="0.3" footer="0.3"/>
  <pageSetup paperSize="1" orientation="landscape" fitToWidth="1" fitToHeight="0"/>
  <headerFooter>
    <oddHeader>&amp;RProject Ridgeline | As of 12/31/25</oddHeader>
    <oddFooter>&amp;LAMB Advisory Services | Strictly confidential&amp;C&amp;A&amp;RPage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AP80"/>
  <sheetViews>
    <sheetView workbookViewId="0" showGridLines="0" zoomScale="100"/>
  </sheetViews>
  <sheetFormatPr defaultRowHeight="12.75" outlineLevelRow="0" outlineLevelCol="0" x14ac:dyDescent="55" customHeight="1"/>
  <cols>
    <col min="1" max="1" width="1.7" customWidth="1"/>
    <col min="2" max="2" width="34" customWidth="1"/>
    <col min="3" max="38" width="9.1" customWidth="1"/>
    <col min="39" max="39" width="0.9" customWidth="1"/>
    <col min="40" max="42" width="11" customWidth="1"/>
  </cols>
  <sheetData>
    <row r="2" ht="16.5" customHeight="1" spans="2:2" x14ac:dyDescent="0.25">
      <c r="B2" s="9">
        <f>Cover!B24</f>
      </c>
    </row>
    <row r="3" ht="12" customHeight="1" spans="2:13" x14ac:dyDescent="0.25">
      <c r="B3" s="10" t="s">
        <v>697</v>
      </c>
      <c r="C3" s="11"/>
      <c r="D3" s="11"/>
      <c r="E3" s="11"/>
      <c r="F3" s="11"/>
      <c r="G3" s="11"/>
      <c r="H3" s="11"/>
      <c r="I3" s="11"/>
      <c r="J3" s="11"/>
      <c r="K3" s="11"/>
      <c r="L3" s="11"/>
      <c r="M3" s="11"/>
    </row>
    <row r="4" ht="12" customHeight="1" x14ac:dyDescent="0.25"/>
    <row r="5" ht="12" customHeight="1" spans="2:2" x14ac:dyDescent="0.25">
      <c r="B5" s="188" t="str">
        <f>"Monthly Customer Wins and Losses, "&amp;TEXT(ChartStart,"mmm-yy")&amp;" – "&amp;TEXT(ChartEnd,"mmm-yy")&amp;" (#)"</f>
        <v>Monthly Customer Wins and Losses, Jan-23 – Dec-25 (#)</v>
      </c>
    </row>
    <row r="6" ht="12" customHeight="1" x14ac:dyDescent="0.25"/>
    <row r="7" ht="12" customHeight="1" x14ac:dyDescent="0.25"/>
    <row r="8" ht="12" customHeight="1" x14ac:dyDescent="0.25"/>
    <row r="9" ht="12" customHeight="1" x14ac:dyDescent="0.25"/>
    <row r="10" ht="12" customHeight="1" x14ac:dyDescent="0.25"/>
    <row r="11" ht="12" customHeight="1" x14ac:dyDescent="0.25"/>
    <row r="12" ht="12" customHeight="1" x14ac:dyDescent="0.25"/>
    <row r="13" ht="12" customHeight="1" x14ac:dyDescent="0.25"/>
    <row r="14" ht="12" customHeight="1" x14ac:dyDescent="0.25"/>
    <row r="15" ht="12" customHeight="1" x14ac:dyDescent="0.25"/>
    <row r="16"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spans="2:2" x14ac:dyDescent="0.25">
      <c r="B22" s="189" t="s">
        <v>698</v>
      </c>
    </row>
    <row r="23" ht="12" customHeight="1" x14ac:dyDescent="0.25"/>
    <row r="24" ht="12" customHeight="1" spans="2:2" x14ac:dyDescent="0.25">
      <c r="B24" s="188" t="str">
        <f>"Monthly Customer Losses by Churn Type, "&amp;TEXT(ChartStart,"mmm-yy")&amp;" – "&amp;TEXT(ChartEnd,"mmm-yy")&amp;" (#)"</f>
        <v>Monthly Customer Losses by Churn Type, Jan-23 – Dec-25 (#)</v>
      </c>
    </row>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spans="2:2" x14ac:dyDescent="0.25">
      <c r="B41" s="189" t="s">
        <v>699</v>
      </c>
    </row>
    <row r="42" ht="12" customHeight="1" x14ac:dyDescent="0.25"/>
    <row r="43" ht="12" customHeight="1" x14ac:dyDescent="0.25"/>
    <row r="44" ht="12" customHeight="1" spans="2:2" x14ac:dyDescent="0.25">
      <c r="B44" s="188" t="str">
        <f>"Monthly Office Building Wins and Losses, "&amp;TEXT(ChartStart,"mmm-yy")&amp;" – "&amp;TEXT(ChartEnd,"mmm-yy")&amp;" (#)"</f>
        <v>Monthly Office Building Wins and Losses, Jan-23 – Dec-25 (#)</v>
      </c>
    </row>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spans="2:2" x14ac:dyDescent="0.25">
      <c r="B61" s="189" t="s">
        <v>700</v>
      </c>
    </row>
    <row r="62" ht="12" customHeight="1" x14ac:dyDescent="0.25"/>
    <row r="63" ht="12" customHeight="1" x14ac:dyDescent="0.25"/>
    <row r="64" ht="12" customHeight="1" spans="2:42" x14ac:dyDescent="0.25" outlineLevel="1" collapsed="1">
      <c r="B64" s="13" t="s">
        <v>523</v>
      </c>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N64" s="190" t="s">
        <v>524</v>
      </c>
      <c r="AO64" s="190" t="s">
        <v>525</v>
      </c>
      <c r="AP64" s="190" t="s">
        <v>526</v>
      </c>
    </row>
    <row r="65" ht="12" customHeight="1" spans="2:38" x14ac:dyDescent="0.25" outlineLevel="1" collapsed="1">
      <c r="B65" s="16" t="s">
        <v>527</v>
      </c>
      <c r="C65" s="191">
        <f>EOMONTH('Assumptions'!$C$9,-36)+1</f>
        <v>44927</v>
      </c>
      <c r="D65" s="79">
        <f>EDATE(C65,1)</f>
        <v>44958</v>
      </c>
      <c r="E65" s="79">
        <f>EDATE(D65,1)</f>
        <v>44986</v>
      </c>
      <c r="F65" s="79">
        <f>EDATE(E65,1)</f>
        <v>45017</v>
      </c>
      <c r="G65" s="79">
        <f>EDATE(F65,1)</f>
        <v>45047</v>
      </c>
      <c r="H65" s="79">
        <f>EDATE(G65,1)</f>
        <v>45078</v>
      </c>
      <c r="I65" s="79">
        <f>EDATE(H65,1)</f>
        <v>45108</v>
      </c>
      <c r="J65" s="79">
        <f>EDATE(I65,1)</f>
        <v>45139</v>
      </c>
      <c r="K65" s="79">
        <f>EDATE(J65,1)</f>
        <v>45170</v>
      </c>
      <c r="L65" s="79">
        <f>EDATE(K65,1)</f>
        <v>45200</v>
      </c>
      <c r="M65" s="79">
        <f>EDATE(L65,1)</f>
        <v>45231</v>
      </c>
      <c r="N65" s="79">
        <f>EDATE(M65,1)</f>
        <v>45261</v>
      </c>
      <c r="O65" s="79">
        <f>EDATE(N65,1)</f>
        <v>45292</v>
      </c>
      <c r="P65" s="79">
        <f>EDATE(O65,1)</f>
        <v>45323</v>
      </c>
      <c r="Q65" s="79">
        <f>EDATE(P65,1)</f>
        <v>45352</v>
      </c>
      <c r="R65" s="79">
        <f>EDATE(Q65,1)</f>
        <v>45383</v>
      </c>
      <c r="S65" s="79">
        <f>EDATE(R65,1)</f>
        <v>45413</v>
      </c>
      <c r="T65" s="79">
        <f>EDATE(S65,1)</f>
        <v>45444</v>
      </c>
      <c r="U65" s="79">
        <f>EDATE(T65,1)</f>
        <v>45474</v>
      </c>
      <c r="V65" s="79">
        <f>EDATE(U65,1)</f>
        <v>45505</v>
      </c>
      <c r="W65" s="79">
        <f>EDATE(V65,1)</f>
        <v>45536</v>
      </c>
      <c r="X65" s="79">
        <f>EDATE(W65,1)</f>
        <v>45566</v>
      </c>
      <c r="Y65" s="79">
        <f>EDATE(X65,1)</f>
        <v>45597</v>
      </c>
      <c r="Z65" s="79">
        <f>EDATE(Y65,1)</f>
        <v>45627</v>
      </c>
      <c r="AA65" s="79">
        <f>EDATE(Z65,1)</f>
        <v>45658</v>
      </c>
      <c r="AB65" s="79">
        <f>EDATE(AA65,1)</f>
        <v>45689</v>
      </c>
      <c r="AC65" s="79">
        <f>EDATE(AB65,1)</f>
        <v>45717</v>
      </c>
      <c r="AD65" s="79">
        <f>EDATE(AC65,1)</f>
        <v>45748</v>
      </c>
      <c r="AE65" s="79">
        <f>EDATE(AD65,1)</f>
        <v>45778</v>
      </c>
      <c r="AF65" s="79">
        <f>EDATE(AE65,1)</f>
        <v>45809</v>
      </c>
      <c r="AG65" s="79">
        <f>EDATE(AF65,1)</f>
        <v>45839</v>
      </c>
      <c r="AH65" s="79">
        <f>EDATE(AG65,1)</f>
        <v>45870</v>
      </c>
      <c r="AI65" s="79">
        <f>EDATE(AH65,1)</f>
        <v>45901</v>
      </c>
      <c r="AJ65" s="79">
        <f>EDATE(AI65,1)</f>
        <v>45931</v>
      </c>
      <c r="AK65" s="79">
        <f>EDATE(AJ65,1)</f>
        <v>45962</v>
      </c>
      <c r="AL65" s="79">
        <f>EDATE(AK65,1)</f>
        <v>45992</v>
      </c>
    </row>
    <row r="66" ht="12" customHeight="1" spans="2:38" x14ac:dyDescent="0.25" outlineLevel="1" collapsed="1">
      <c r="B66" s="131" t="s">
        <v>528</v>
      </c>
      <c r="C66" s="131" t="str">
        <f>IF(COUNT($C$65:$AL$65)&lt;=24,TEXT(C$65,"mmm-yy"),IF(MOD(MONTH(C$65)-1,3)=0,TEXT(C$65,"mmm-yy"),""))</f>
        <v>Jan-23</v>
      </c>
      <c r="D66" s="131" t="str">
        <f>IF(COUNT($C$65:$AL$65)&lt;=24,TEXT(D$65,"mmm-yy"),IF(MOD(MONTH(D$65)-1,3)=0,TEXT(D$65,"mmm-yy"),""))</f>
        <v/>
      </c>
      <c r="E66" s="131" t="str">
        <f>IF(COUNT($C$65:$AL$65)&lt;=24,TEXT(E$65,"mmm-yy"),IF(MOD(MONTH(E$65)-1,3)=0,TEXT(E$65,"mmm-yy"),""))</f>
        <v/>
      </c>
      <c r="F66" s="131" t="str">
        <f>IF(COUNT($C$65:$AL$65)&lt;=24,TEXT(F$65,"mmm-yy"),IF(MOD(MONTH(F$65)-1,3)=0,TEXT(F$65,"mmm-yy"),""))</f>
        <v>Apr-23</v>
      </c>
      <c r="G66" s="131" t="str">
        <f>IF(COUNT($C$65:$AL$65)&lt;=24,TEXT(G$65,"mmm-yy"),IF(MOD(MONTH(G$65)-1,3)=0,TEXT(G$65,"mmm-yy"),""))</f>
        <v/>
      </c>
      <c r="H66" s="131" t="str">
        <f>IF(COUNT($C$65:$AL$65)&lt;=24,TEXT(H$65,"mmm-yy"),IF(MOD(MONTH(H$65)-1,3)=0,TEXT(H$65,"mmm-yy"),""))</f>
        <v/>
      </c>
      <c r="I66" s="131" t="str">
        <f>IF(COUNT($C$65:$AL$65)&lt;=24,TEXT(I$65,"mmm-yy"),IF(MOD(MONTH(I$65)-1,3)=0,TEXT(I$65,"mmm-yy"),""))</f>
        <v>Jul-23</v>
      </c>
      <c r="J66" s="131" t="str">
        <f>IF(COUNT($C$65:$AL$65)&lt;=24,TEXT(J$65,"mmm-yy"),IF(MOD(MONTH(J$65)-1,3)=0,TEXT(J$65,"mmm-yy"),""))</f>
        <v/>
      </c>
      <c r="K66" s="131" t="str">
        <f>IF(COUNT($C$65:$AL$65)&lt;=24,TEXT(K$65,"mmm-yy"),IF(MOD(MONTH(K$65)-1,3)=0,TEXT(K$65,"mmm-yy"),""))</f>
        <v/>
      </c>
      <c r="L66" s="131" t="str">
        <f>IF(COUNT($C$65:$AL$65)&lt;=24,TEXT(L$65,"mmm-yy"),IF(MOD(MONTH(L$65)-1,3)=0,TEXT(L$65,"mmm-yy"),""))</f>
        <v>Oct-23</v>
      </c>
      <c r="M66" s="131" t="str">
        <f>IF(COUNT($C$65:$AL$65)&lt;=24,TEXT(M$65,"mmm-yy"),IF(MOD(MONTH(M$65)-1,3)=0,TEXT(M$65,"mmm-yy"),""))</f>
        <v/>
      </c>
      <c r="N66" s="131" t="str">
        <f>IF(COUNT($C$65:$AL$65)&lt;=24,TEXT(N$65,"mmm-yy"),IF(MOD(MONTH(N$65)-1,3)=0,TEXT(N$65,"mmm-yy"),""))</f>
        <v/>
      </c>
      <c r="O66" s="131" t="str">
        <f>IF(COUNT($C$65:$AL$65)&lt;=24,TEXT(O$65,"mmm-yy"),IF(MOD(MONTH(O$65)-1,3)=0,TEXT(O$65,"mmm-yy"),""))</f>
        <v>Jan-24</v>
      </c>
      <c r="P66" s="131" t="str">
        <f>IF(COUNT($C$65:$AL$65)&lt;=24,TEXT(P$65,"mmm-yy"),IF(MOD(MONTH(P$65)-1,3)=0,TEXT(P$65,"mmm-yy"),""))</f>
        <v/>
      </c>
      <c r="Q66" s="131" t="str">
        <f>IF(COUNT($C$65:$AL$65)&lt;=24,TEXT(Q$65,"mmm-yy"),IF(MOD(MONTH(Q$65)-1,3)=0,TEXT(Q$65,"mmm-yy"),""))</f>
        <v/>
      </c>
      <c r="R66" s="131" t="str">
        <f>IF(COUNT($C$65:$AL$65)&lt;=24,TEXT(R$65,"mmm-yy"),IF(MOD(MONTH(R$65)-1,3)=0,TEXT(R$65,"mmm-yy"),""))</f>
        <v>Apr-24</v>
      </c>
      <c r="S66" s="131" t="str">
        <f>IF(COUNT($C$65:$AL$65)&lt;=24,TEXT(S$65,"mmm-yy"),IF(MOD(MONTH(S$65)-1,3)=0,TEXT(S$65,"mmm-yy"),""))</f>
        <v/>
      </c>
      <c r="T66" s="131" t="str">
        <f>IF(COUNT($C$65:$AL$65)&lt;=24,TEXT(T$65,"mmm-yy"),IF(MOD(MONTH(T$65)-1,3)=0,TEXT(T$65,"mmm-yy"),""))</f>
        <v/>
      </c>
      <c r="U66" s="131" t="str">
        <f>IF(COUNT($C$65:$AL$65)&lt;=24,TEXT(U$65,"mmm-yy"),IF(MOD(MONTH(U$65)-1,3)=0,TEXT(U$65,"mmm-yy"),""))</f>
        <v>Jul-24</v>
      </c>
      <c r="V66" s="131" t="str">
        <f>IF(COUNT($C$65:$AL$65)&lt;=24,TEXT(V$65,"mmm-yy"),IF(MOD(MONTH(V$65)-1,3)=0,TEXT(V$65,"mmm-yy"),""))</f>
        <v/>
      </c>
      <c r="W66" s="131" t="str">
        <f>IF(COUNT($C$65:$AL$65)&lt;=24,TEXT(W$65,"mmm-yy"),IF(MOD(MONTH(W$65)-1,3)=0,TEXT(W$65,"mmm-yy"),""))</f>
        <v/>
      </c>
      <c r="X66" s="131" t="str">
        <f>IF(COUNT($C$65:$AL$65)&lt;=24,TEXT(X$65,"mmm-yy"),IF(MOD(MONTH(X$65)-1,3)=0,TEXT(X$65,"mmm-yy"),""))</f>
        <v>Oct-24</v>
      </c>
      <c r="Y66" s="131" t="str">
        <f>IF(COUNT($C$65:$AL$65)&lt;=24,TEXT(Y$65,"mmm-yy"),IF(MOD(MONTH(Y$65)-1,3)=0,TEXT(Y$65,"mmm-yy"),""))</f>
        <v/>
      </c>
      <c r="Z66" s="131" t="str">
        <f>IF(COUNT($C$65:$AL$65)&lt;=24,TEXT(Z$65,"mmm-yy"),IF(MOD(MONTH(Z$65)-1,3)=0,TEXT(Z$65,"mmm-yy"),""))</f>
        <v/>
      </c>
      <c r="AA66" s="131" t="str">
        <f>IF(COUNT($C$65:$AL$65)&lt;=24,TEXT(AA$65,"mmm-yy"),IF(MOD(MONTH(AA$65)-1,3)=0,TEXT(AA$65,"mmm-yy"),""))</f>
        <v>Jan-25</v>
      </c>
      <c r="AB66" s="131" t="str">
        <f>IF(COUNT($C$65:$AL$65)&lt;=24,TEXT(AB$65,"mmm-yy"),IF(MOD(MONTH(AB$65)-1,3)=0,TEXT(AB$65,"mmm-yy"),""))</f>
        <v/>
      </c>
      <c r="AC66" s="131" t="str">
        <f>IF(COUNT($C$65:$AL$65)&lt;=24,TEXT(AC$65,"mmm-yy"),IF(MOD(MONTH(AC$65)-1,3)=0,TEXT(AC$65,"mmm-yy"),""))</f>
        <v/>
      </c>
      <c r="AD66" s="131" t="str">
        <f>IF(COUNT($C$65:$AL$65)&lt;=24,TEXT(AD$65,"mmm-yy"),IF(MOD(MONTH(AD$65)-1,3)=0,TEXT(AD$65,"mmm-yy"),""))</f>
        <v>Apr-25</v>
      </c>
      <c r="AE66" s="131" t="str">
        <f>IF(COUNT($C$65:$AL$65)&lt;=24,TEXT(AE$65,"mmm-yy"),IF(MOD(MONTH(AE$65)-1,3)=0,TEXT(AE$65,"mmm-yy"),""))</f>
        <v/>
      </c>
      <c r="AF66" s="131" t="str">
        <f>IF(COUNT($C$65:$AL$65)&lt;=24,TEXT(AF$65,"mmm-yy"),IF(MOD(MONTH(AF$65)-1,3)=0,TEXT(AF$65,"mmm-yy"),""))</f>
        <v/>
      </c>
      <c r="AG66" s="131" t="str">
        <f>IF(COUNT($C$65:$AL$65)&lt;=24,TEXT(AG$65,"mmm-yy"),IF(MOD(MONTH(AG$65)-1,3)=0,TEXT(AG$65,"mmm-yy"),""))</f>
        <v>Jul-25</v>
      </c>
      <c r="AH66" s="131" t="str">
        <f>IF(COUNT($C$65:$AL$65)&lt;=24,TEXT(AH$65,"mmm-yy"),IF(MOD(MONTH(AH$65)-1,3)=0,TEXT(AH$65,"mmm-yy"),""))</f>
        <v/>
      </c>
      <c r="AI66" s="131" t="str">
        <f>IF(COUNT($C$65:$AL$65)&lt;=24,TEXT(AI$65,"mmm-yy"),IF(MOD(MONTH(AI$65)-1,3)=0,TEXT(AI$65,"mmm-yy"),""))</f>
        <v/>
      </c>
      <c r="AJ66" s="131" t="str">
        <f>IF(COUNT($C$65:$AL$65)&lt;=24,TEXT(AJ$65,"mmm-yy"),IF(MOD(MONTH(AJ$65)-1,3)=0,TEXT(AJ$65,"mmm-yy"),""))</f>
        <v>Oct-25</v>
      </c>
      <c r="AK66" s="131" t="str">
        <f>IF(COUNT($C$65:$AL$65)&lt;=24,TEXT(AK$65,"mmm-yy"),IF(MOD(MONTH(AK$65)-1,3)=0,TEXT(AK$65,"mmm-yy"),""))</f>
        <v/>
      </c>
      <c r="AL66" s="131" t="str">
        <f>IF(COUNT($C$65:$AL$65)&lt;=24,TEXT(AL$65,"mmm-yy"),IF(MOD(MONTH(AL$65)-1,3)=0,TEXT(AL$65,"mmm-yy"),""))</f>
        <v/>
      </c>
    </row>
    <row r="67" ht="12" customHeight="1" x14ac:dyDescent="0.25" outlineLevel="1" collapsed="1"/>
    <row r="68" ht="12" customHeight="1" spans="2:2" x14ac:dyDescent="0.25" outlineLevel="1" collapsed="1">
      <c r="B68" s="216" t="s">
        <v>701</v>
      </c>
    </row>
    <row r="69" ht="12" customHeight="1" spans="2:42" x14ac:dyDescent="0.25" outlineLevel="1" collapsed="1">
      <c r="B69" s="16" t="s">
        <v>702</v>
      </c>
      <c r="C69" s="151">
        <f>COUNTIFS('Raw - Customers'!$E:$E,"&gt;="&amp;C$65,'Raw - Customers'!$E:$E,"&lt;="&amp;EOMONTH(C$65,0))</f>
        <v>0</v>
      </c>
      <c r="D69" s="151">
        <f>COUNTIFS('Raw - Customers'!$E:$E,"&gt;="&amp;D$65,'Raw - Customers'!$E:$E,"&lt;="&amp;EOMONTH(D$65,0))</f>
        <v>1</v>
      </c>
      <c r="E69" s="151">
        <f>COUNTIFS('Raw - Customers'!$E:$E,"&gt;="&amp;E$65,'Raw - Customers'!$E:$E,"&lt;="&amp;EOMONTH(E$65,0))</f>
        <v>1</v>
      </c>
      <c r="F69" s="151">
        <f>COUNTIFS('Raw - Customers'!$E:$E,"&gt;="&amp;F$65,'Raw - Customers'!$E:$E,"&lt;="&amp;EOMONTH(F$65,0))</f>
        <v>0</v>
      </c>
      <c r="G69" s="151">
        <f>COUNTIFS('Raw - Customers'!$E:$E,"&gt;="&amp;G$65,'Raw - Customers'!$E:$E,"&lt;="&amp;EOMONTH(G$65,0))</f>
        <v>1</v>
      </c>
      <c r="H69" s="151">
        <f>COUNTIFS('Raw - Customers'!$E:$E,"&gt;="&amp;H$65,'Raw - Customers'!$E:$E,"&lt;="&amp;EOMONTH(H$65,0))</f>
        <v>1</v>
      </c>
      <c r="I69" s="151">
        <f>COUNTIFS('Raw - Customers'!$E:$E,"&gt;="&amp;I$65,'Raw - Customers'!$E:$E,"&lt;="&amp;EOMONTH(I$65,0))</f>
        <v>0</v>
      </c>
      <c r="J69" s="151">
        <f>COUNTIFS('Raw - Customers'!$E:$E,"&gt;="&amp;J$65,'Raw - Customers'!$E:$E,"&lt;="&amp;EOMONTH(J$65,0))</f>
        <v>1</v>
      </c>
      <c r="K69" s="151">
        <f>COUNTIFS('Raw - Customers'!$E:$E,"&gt;="&amp;K$65,'Raw - Customers'!$E:$E,"&lt;="&amp;EOMONTH(K$65,0))</f>
        <v>1</v>
      </c>
      <c r="L69" s="151">
        <f>COUNTIFS('Raw - Customers'!$E:$E,"&gt;="&amp;L$65,'Raw - Customers'!$E:$E,"&lt;="&amp;EOMONTH(L$65,0))</f>
        <v>0</v>
      </c>
      <c r="M69" s="151">
        <f>COUNTIFS('Raw - Customers'!$E:$E,"&gt;="&amp;M$65,'Raw - Customers'!$E:$E,"&lt;="&amp;EOMONTH(M$65,0))</f>
        <v>1</v>
      </c>
      <c r="N69" s="151">
        <f>COUNTIFS('Raw - Customers'!$E:$E,"&gt;="&amp;N$65,'Raw - Customers'!$E:$E,"&lt;="&amp;EOMONTH(N$65,0))</f>
        <v>0</v>
      </c>
      <c r="O69" s="151">
        <f>COUNTIFS('Raw - Customers'!$E:$E,"&gt;="&amp;O$65,'Raw - Customers'!$E:$E,"&lt;="&amp;EOMONTH(O$65,0))</f>
        <v>1</v>
      </c>
      <c r="P69" s="151">
        <f>COUNTIFS('Raw - Customers'!$E:$E,"&gt;="&amp;P$65,'Raw - Customers'!$E:$E,"&lt;="&amp;EOMONTH(P$65,0))</f>
        <v>0</v>
      </c>
      <c r="Q69" s="151">
        <f>COUNTIFS('Raw - Customers'!$E:$E,"&gt;="&amp;Q$65,'Raw - Customers'!$E:$E,"&lt;="&amp;EOMONTH(Q$65,0))</f>
        <v>1</v>
      </c>
      <c r="R69" s="151">
        <f>COUNTIFS('Raw - Customers'!$E:$E,"&gt;="&amp;R$65,'Raw - Customers'!$E:$E,"&lt;="&amp;EOMONTH(R$65,0))</f>
        <v>1</v>
      </c>
      <c r="S69" s="151">
        <f>COUNTIFS('Raw - Customers'!$E:$E,"&gt;="&amp;S$65,'Raw - Customers'!$E:$E,"&lt;="&amp;EOMONTH(S$65,0))</f>
        <v>0</v>
      </c>
      <c r="T69" s="151">
        <f>COUNTIFS('Raw - Customers'!$E:$E,"&gt;="&amp;T$65,'Raw - Customers'!$E:$E,"&lt;="&amp;EOMONTH(T$65,0))</f>
        <v>1</v>
      </c>
      <c r="U69" s="151">
        <f>COUNTIFS('Raw - Customers'!$E:$E,"&gt;="&amp;U$65,'Raw - Customers'!$E:$E,"&lt;="&amp;EOMONTH(U$65,0))</f>
        <v>1</v>
      </c>
      <c r="V69" s="151">
        <f>COUNTIFS('Raw - Customers'!$E:$E,"&gt;="&amp;V$65,'Raw - Customers'!$E:$E,"&lt;="&amp;EOMONTH(V$65,0))</f>
        <v>0</v>
      </c>
      <c r="W69" s="151">
        <f>COUNTIFS('Raw - Customers'!$E:$E,"&gt;="&amp;W$65,'Raw - Customers'!$E:$E,"&lt;="&amp;EOMONTH(W$65,0))</f>
        <v>1</v>
      </c>
      <c r="X69" s="151">
        <f>COUNTIFS('Raw - Customers'!$E:$E,"&gt;="&amp;X$65,'Raw - Customers'!$E:$E,"&lt;="&amp;EOMONTH(X$65,0))</f>
        <v>1</v>
      </c>
      <c r="Y69" s="151">
        <f>COUNTIFS('Raw - Customers'!$E:$E,"&gt;="&amp;Y$65,'Raw - Customers'!$E:$E,"&lt;="&amp;EOMONTH(Y$65,0))</f>
        <v>0</v>
      </c>
      <c r="Z69" s="151">
        <f>COUNTIFS('Raw - Customers'!$E:$E,"&gt;="&amp;Z$65,'Raw - Customers'!$E:$E,"&lt;="&amp;EOMONTH(Z$65,0))</f>
        <v>1</v>
      </c>
      <c r="AA69" s="151">
        <f>COUNTIFS('Raw - Customers'!$E:$E,"&gt;="&amp;AA$65,'Raw - Customers'!$E:$E,"&lt;="&amp;EOMONTH(AA$65,0))</f>
        <v>0</v>
      </c>
      <c r="AB69" s="151">
        <f>COUNTIFS('Raw - Customers'!$E:$E,"&gt;="&amp;AB$65,'Raw - Customers'!$E:$E,"&lt;="&amp;EOMONTH(AB$65,0))</f>
        <v>1</v>
      </c>
      <c r="AC69" s="151">
        <f>COUNTIFS('Raw - Customers'!$E:$E,"&gt;="&amp;AC$65,'Raw - Customers'!$E:$E,"&lt;="&amp;EOMONTH(AC$65,0))</f>
        <v>1</v>
      </c>
      <c r="AD69" s="151">
        <f>COUNTIFS('Raw - Customers'!$E:$E,"&gt;="&amp;AD$65,'Raw - Customers'!$E:$E,"&lt;="&amp;EOMONTH(AD$65,0))</f>
        <v>0</v>
      </c>
      <c r="AE69" s="151">
        <f>COUNTIFS('Raw - Customers'!$E:$E,"&gt;="&amp;AE$65,'Raw - Customers'!$E:$E,"&lt;="&amp;EOMONTH(AE$65,0))</f>
        <v>1</v>
      </c>
      <c r="AF69" s="151">
        <f>COUNTIFS('Raw - Customers'!$E:$E,"&gt;="&amp;AF$65,'Raw - Customers'!$E:$E,"&lt;="&amp;EOMONTH(AF$65,0))</f>
        <v>1</v>
      </c>
      <c r="AG69" s="151">
        <f>COUNTIFS('Raw - Customers'!$E:$E,"&gt;="&amp;AG$65,'Raw - Customers'!$E:$E,"&lt;="&amp;EOMONTH(AG$65,0))</f>
        <v>0</v>
      </c>
      <c r="AH69" s="151">
        <f>COUNTIFS('Raw - Customers'!$E:$E,"&gt;="&amp;AH$65,'Raw - Customers'!$E:$E,"&lt;="&amp;EOMONTH(AH$65,0))</f>
        <v>1</v>
      </c>
      <c r="AI69" s="151">
        <f>COUNTIFS('Raw - Customers'!$E:$E,"&gt;="&amp;AI$65,'Raw - Customers'!$E:$E,"&lt;="&amp;EOMONTH(AI$65,0))</f>
        <v>0</v>
      </c>
      <c r="AJ69" s="151">
        <f>COUNTIFS('Raw - Customers'!$E:$E,"&gt;="&amp;AJ$65,'Raw - Customers'!$E:$E,"&lt;="&amp;EOMONTH(AJ$65,0))</f>
        <v>1</v>
      </c>
      <c r="AK69" s="151">
        <f>COUNTIFS('Raw - Customers'!$E:$E,"&gt;="&amp;AK$65,'Raw - Customers'!$E:$E,"&lt;="&amp;EOMONTH(AK$65,0))</f>
        <v>1</v>
      </c>
      <c r="AL69" s="151">
        <f>COUNTIFS('Raw - Customers'!$E:$E,"&gt;="&amp;AL$65,'Raw - Customers'!$E:$E,"&lt;="&amp;EOMONTH(AL$65,0))</f>
        <v>0</v>
      </c>
      <c r="AN69" s="150">
        <f>SUM(C69:AL69)</f>
        <v>22</v>
      </c>
      <c r="AO69" s="151">
        <f>COUNTIFS('Raw - Customers'!$E:$E,"&gt;="&amp;$C$65,'Raw - Customers'!$E:$E,"&lt;="&amp;EOMONTH($AL$65,0))</f>
        <v>22</v>
      </c>
      <c r="AP69" s="130">
        <f>ROUND(AN69-AO69,6)</f>
        <v>0</v>
      </c>
    </row>
    <row r="70" ht="12" customHeight="1" spans="2:42" x14ac:dyDescent="0.25" outlineLevel="1" collapsed="1">
      <c r="B70" s="16" t="s">
        <v>703</v>
      </c>
      <c r="C70" s="151">
        <f>-COUNTIFS('Raw - Customers'!$F:$F,"&gt;="&amp;C$65,'Raw - Customers'!$F:$F,"&lt;="&amp;EOMONTH(C$65,0))</f>
        <v>0</v>
      </c>
      <c r="D70" s="151">
        <f>-COUNTIFS('Raw - Customers'!$F:$F,"&gt;="&amp;D$65,'Raw - Customers'!$F:$F,"&lt;="&amp;EOMONTH(D$65,0))</f>
        <v>0</v>
      </c>
      <c r="E70" s="151">
        <f>-COUNTIFS('Raw - Customers'!$F:$F,"&gt;="&amp;E$65,'Raw - Customers'!$F:$F,"&lt;="&amp;EOMONTH(E$65,0))</f>
        <v>0</v>
      </c>
      <c r="F70" s="151">
        <f>-COUNTIFS('Raw - Customers'!$F:$F,"&gt;="&amp;F$65,'Raw - Customers'!$F:$F,"&lt;="&amp;EOMONTH(F$65,0))</f>
        <v>-1</v>
      </c>
      <c r="G70" s="151">
        <f>-COUNTIFS('Raw - Customers'!$F:$F,"&gt;="&amp;G$65,'Raw - Customers'!$F:$F,"&lt;="&amp;EOMONTH(G$65,0))</f>
        <v>0</v>
      </c>
      <c r="H70" s="151">
        <f>-COUNTIFS('Raw - Customers'!$F:$F,"&gt;="&amp;H$65,'Raw - Customers'!$F:$F,"&lt;="&amp;EOMONTH(H$65,0))</f>
        <v>0</v>
      </c>
      <c r="I70" s="151">
        <f>-COUNTIFS('Raw - Customers'!$F:$F,"&gt;="&amp;I$65,'Raw - Customers'!$F:$F,"&lt;="&amp;EOMONTH(I$65,0))</f>
        <v>0</v>
      </c>
      <c r="J70" s="151">
        <f>-COUNTIFS('Raw - Customers'!$F:$F,"&gt;="&amp;J$65,'Raw - Customers'!$F:$F,"&lt;="&amp;EOMONTH(J$65,0))</f>
        <v>-1</v>
      </c>
      <c r="K70" s="151">
        <f>-COUNTIFS('Raw - Customers'!$F:$F,"&gt;="&amp;K$65,'Raw - Customers'!$F:$F,"&lt;="&amp;EOMONTH(K$65,0))</f>
        <v>0</v>
      </c>
      <c r="L70" s="151">
        <f>-COUNTIFS('Raw - Customers'!$F:$F,"&gt;="&amp;L$65,'Raw - Customers'!$F:$F,"&lt;="&amp;EOMONTH(L$65,0))</f>
        <v>0</v>
      </c>
      <c r="M70" s="151">
        <f>-COUNTIFS('Raw - Customers'!$F:$F,"&gt;="&amp;M$65,'Raw - Customers'!$F:$F,"&lt;="&amp;EOMONTH(M$65,0))</f>
        <v>-1</v>
      </c>
      <c r="N70" s="151">
        <f>-COUNTIFS('Raw - Customers'!$F:$F,"&gt;="&amp;N$65,'Raw - Customers'!$F:$F,"&lt;="&amp;EOMONTH(N$65,0))</f>
        <v>0</v>
      </c>
      <c r="O70" s="151">
        <f>-COUNTIFS('Raw - Customers'!$F:$F,"&gt;="&amp;O$65,'Raw - Customers'!$F:$F,"&lt;="&amp;EOMONTH(O$65,0))</f>
        <v>0</v>
      </c>
      <c r="P70" s="151">
        <f>-COUNTIFS('Raw - Customers'!$F:$F,"&gt;="&amp;P$65,'Raw - Customers'!$F:$F,"&lt;="&amp;EOMONTH(P$65,0))</f>
        <v>-1</v>
      </c>
      <c r="Q70" s="151">
        <f>-COUNTIFS('Raw - Customers'!$F:$F,"&gt;="&amp;Q$65,'Raw - Customers'!$F:$F,"&lt;="&amp;EOMONTH(Q$65,0))</f>
        <v>0</v>
      </c>
      <c r="R70" s="151">
        <f>-COUNTIFS('Raw - Customers'!$F:$F,"&gt;="&amp;R$65,'Raw - Customers'!$F:$F,"&lt;="&amp;EOMONTH(R$65,0))</f>
        <v>0</v>
      </c>
      <c r="S70" s="151">
        <f>-COUNTIFS('Raw - Customers'!$F:$F,"&gt;="&amp;S$65,'Raw - Customers'!$F:$F,"&lt;="&amp;EOMONTH(S$65,0))</f>
        <v>0</v>
      </c>
      <c r="T70" s="151">
        <f>-COUNTIFS('Raw - Customers'!$F:$F,"&gt;="&amp;T$65,'Raw - Customers'!$F:$F,"&lt;="&amp;EOMONTH(T$65,0))</f>
        <v>-1</v>
      </c>
      <c r="U70" s="151">
        <f>-COUNTIFS('Raw - Customers'!$F:$F,"&gt;="&amp;U$65,'Raw - Customers'!$F:$F,"&lt;="&amp;EOMONTH(U$65,0))</f>
        <v>0</v>
      </c>
      <c r="V70" s="151">
        <f>-COUNTIFS('Raw - Customers'!$F:$F,"&gt;="&amp;V$65,'Raw - Customers'!$F:$F,"&lt;="&amp;EOMONTH(V$65,0))</f>
        <v>0</v>
      </c>
      <c r="W70" s="151">
        <f>-COUNTIFS('Raw - Customers'!$F:$F,"&gt;="&amp;W$65,'Raw - Customers'!$F:$F,"&lt;="&amp;EOMONTH(W$65,0))</f>
        <v>0</v>
      </c>
      <c r="X70" s="151">
        <f>-COUNTIFS('Raw - Customers'!$F:$F,"&gt;="&amp;X$65,'Raw - Customers'!$F:$F,"&lt;="&amp;EOMONTH(X$65,0))</f>
        <v>-1</v>
      </c>
      <c r="Y70" s="151">
        <f>-COUNTIFS('Raw - Customers'!$F:$F,"&gt;="&amp;Y$65,'Raw - Customers'!$F:$F,"&lt;="&amp;EOMONTH(Y$65,0))</f>
        <v>0</v>
      </c>
      <c r="Z70" s="151">
        <f>-COUNTIFS('Raw - Customers'!$F:$F,"&gt;="&amp;Z$65,'Raw - Customers'!$F:$F,"&lt;="&amp;EOMONTH(Z$65,0))</f>
        <v>0</v>
      </c>
      <c r="AA70" s="151">
        <f>-COUNTIFS('Raw - Customers'!$F:$F,"&gt;="&amp;AA$65,'Raw - Customers'!$F:$F,"&lt;="&amp;EOMONTH(AA$65,0))</f>
        <v>-1</v>
      </c>
      <c r="AB70" s="151">
        <f>-COUNTIFS('Raw - Customers'!$F:$F,"&gt;="&amp;AB$65,'Raw - Customers'!$F:$F,"&lt;="&amp;EOMONTH(AB$65,0))</f>
        <v>0</v>
      </c>
      <c r="AC70" s="151">
        <f>-COUNTIFS('Raw - Customers'!$F:$F,"&gt;="&amp;AC$65,'Raw - Customers'!$F:$F,"&lt;="&amp;EOMONTH(AC$65,0))</f>
        <v>0</v>
      </c>
      <c r="AD70" s="151">
        <f>-COUNTIFS('Raw - Customers'!$F:$F,"&gt;="&amp;AD$65,'Raw - Customers'!$F:$F,"&lt;="&amp;EOMONTH(AD$65,0))</f>
        <v>0</v>
      </c>
      <c r="AE70" s="151">
        <f>-COUNTIFS('Raw - Customers'!$F:$F,"&gt;="&amp;AE$65,'Raw - Customers'!$F:$F,"&lt;="&amp;EOMONTH(AE$65,0))</f>
        <v>-1</v>
      </c>
      <c r="AF70" s="151">
        <f>-COUNTIFS('Raw - Customers'!$F:$F,"&gt;="&amp;AF$65,'Raw - Customers'!$F:$F,"&lt;="&amp;EOMONTH(AF$65,0))</f>
        <v>0</v>
      </c>
      <c r="AG70" s="151">
        <f>-COUNTIFS('Raw - Customers'!$F:$F,"&gt;="&amp;AG$65,'Raw - Customers'!$F:$F,"&lt;="&amp;EOMONTH(AG$65,0))</f>
        <v>0</v>
      </c>
      <c r="AH70" s="151">
        <f>-COUNTIFS('Raw - Customers'!$F:$F,"&gt;="&amp;AH$65,'Raw - Customers'!$F:$F,"&lt;="&amp;EOMONTH(AH$65,0))</f>
        <v>-1</v>
      </c>
      <c r="AI70" s="151">
        <f>-COUNTIFS('Raw - Customers'!$F:$F,"&gt;="&amp;AI$65,'Raw - Customers'!$F:$F,"&lt;="&amp;EOMONTH(AI$65,0))</f>
        <v>0</v>
      </c>
      <c r="AJ70" s="151">
        <f>-COUNTIFS('Raw - Customers'!$F:$F,"&gt;="&amp;AJ$65,'Raw - Customers'!$F:$F,"&lt;="&amp;EOMONTH(AJ$65,0))</f>
        <v>0</v>
      </c>
      <c r="AK70" s="151">
        <f>-COUNTIFS('Raw - Customers'!$F:$F,"&gt;="&amp;AK$65,'Raw - Customers'!$F:$F,"&lt;="&amp;EOMONTH(AK$65,0))</f>
        <v>-1</v>
      </c>
      <c r="AL70" s="151">
        <f>-COUNTIFS('Raw - Customers'!$F:$F,"&gt;="&amp;AL$65,'Raw - Customers'!$F:$F,"&lt;="&amp;EOMONTH(AL$65,0))</f>
        <v>0</v>
      </c>
      <c r="AN70" s="150">
        <f>SUM(C70:AL70)</f>
        <v>-10</v>
      </c>
      <c r="AO70" s="151">
        <f>-COUNTIFS('Raw - Customers'!$F:$F,"&gt;="&amp;$C$65,'Raw - Customers'!$F:$F,"&lt;="&amp;EOMONTH($AL$65,0))</f>
        <v>-10</v>
      </c>
      <c r="AP70" s="130">
        <f>ROUND(AN70-AO70,6)</f>
        <v>0</v>
      </c>
    </row>
    <row r="71" ht="12" customHeight="1" x14ac:dyDescent="0.25" outlineLevel="1" collapsed="1"/>
    <row r="72" ht="12" customHeight="1" spans="2:2" x14ac:dyDescent="0.25" outlineLevel="1" collapsed="1">
      <c r="B72" s="216" t="s">
        <v>704</v>
      </c>
    </row>
    <row r="73" ht="12" customHeight="1" spans="2:42" x14ac:dyDescent="0.25" outlineLevel="1" collapsed="1">
      <c r="B73" s="16" t="s">
        <v>702</v>
      </c>
      <c r="C73" s="151">
        <f>COUNTIFS('Raw - Customers'!$E:$E,"&gt;="&amp;C$65,'Raw - Customers'!$E:$E,"&lt;="&amp;EOMONTH(C$65,0))</f>
        <v>0</v>
      </c>
      <c r="D73" s="151">
        <f>COUNTIFS('Raw - Customers'!$E:$E,"&gt;="&amp;D$65,'Raw - Customers'!$E:$E,"&lt;="&amp;EOMONTH(D$65,0))</f>
        <v>1</v>
      </c>
      <c r="E73" s="151">
        <f>COUNTIFS('Raw - Customers'!$E:$E,"&gt;="&amp;E$65,'Raw - Customers'!$E:$E,"&lt;="&amp;EOMONTH(E$65,0))</f>
        <v>1</v>
      </c>
      <c r="F73" s="151">
        <f>COUNTIFS('Raw - Customers'!$E:$E,"&gt;="&amp;F$65,'Raw - Customers'!$E:$E,"&lt;="&amp;EOMONTH(F$65,0))</f>
        <v>0</v>
      </c>
      <c r="G73" s="151">
        <f>COUNTIFS('Raw - Customers'!$E:$E,"&gt;="&amp;G$65,'Raw - Customers'!$E:$E,"&lt;="&amp;EOMONTH(G$65,0))</f>
        <v>1</v>
      </c>
      <c r="H73" s="151">
        <f>COUNTIFS('Raw - Customers'!$E:$E,"&gt;="&amp;H$65,'Raw - Customers'!$E:$E,"&lt;="&amp;EOMONTH(H$65,0))</f>
        <v>1</v>
      </c>
      <c r="I73" s="151">
        <f>COUNTIFS('Raw - Customers'!$E:$E,"&gt;="&amp;I$65,'Raw - Customers'!$E:$E,"&lt;="&amp;EOMONTH(I$65,0))</f>
        <v>0</v>
      </c>
      <c r="J73" s="151">
        <f>COUNTIFS('Raw - Customers'!$E:$E,"&gt;="&amp;J$65,'Raw - Customers'!$E:$E,"&lt;="&amp;EOMONTH(J$65,0))</f>
        <v>1</v>
      </c>
      <c r="K73" s="151">
        <f>COUNTIFS('Raw - Customers'!$E:$E,"&gt;="&amp;K$65,'Raw - Customers'!$E:$E,"&lt;="&amp;EOMONTH(K$65,0))</f>
        <v>1</v>
      </c>
      <c r="L73" s="151">
        <f>COUNTIFS('Raw - Customers'!$E:$E,"&gt;="&amp;L$65,'Raw - Customers'!$E:$E,"&lt;="&amp;EOMONTH(L$65,0))</f>
        <v>0</v>
      </c>
      <c r="M73" s="151">
        <f>COUNTIFS('Raw - Customers'!$E:$E,"&gt;="&amp;M$65,'Raw - Customers'!$E:$E,"&lt;="&amp;EOMONTH(M$65,0))</f>
        <v>1</v>
      </c>
      <c r="N73" s="151">
        <f>COUNTIFS('Raw - Customers'!$E:$E,"&gt;="&amp;N$65,'Raw - Customers'!$E:$E,"&lt;="&amp;EOMONTH(N$65,0))</f>
        <v>0</v>
      </c>
      <c r="O73" s="151">
        <f>COUNTIFS('Raw - Customers'!$E:$E,"&gt;="&amp;O$65,'Raw - Customers'!$E:$E,"&lt;="&amp;EOMONTH(O$65,0))</f>
        <v>1</v>
      </c>
      <c r="P73" s="151">
        <f>COUNTIFS('Raw - Customers'!$E:$E,"&gt;="&amp;P$65,'Raw - Customers'!$E:$E,"&lt;="&amp;EOMONTH(P$65,0))</f>
        <v>0</v>
      </c>
      <c r="Q73" s="151">
        <f>COUNTIFS('Raw - Customers'!$E:$E,"&gt;="&amp;Q$65,'Raw - Customers'!$E:$E,"&lt;="&amp;EOMONTH(Q$65,0))</f>
        <v>1</v>
      </c>
      <c r="R73" s="151">
        <f>COUNTIFS('Raw - Customers'!$E:$E,"&gt;="&amp;R$65,'Raw - Customers'!$E:$E,"&lt;="&amp;EOMONTH(R$65,0))</f>
        <v>1</v>
      </c>
      <c r="S73" s="151">
        <f>COUNTIFS('Raw - Customers'!$E:$E,"&gt;="&amp;S$65,'Raw - Customers'!$E:$E,"&lt;="&amp;EOMONTH(S$65,0))</f>
        <v>0</v>
      </c>
      <c r="T73" s="151">
        <f>COUNTIFS('Raw - Customers'!$E:$E,"&gt;="&amp;T$65,'Raw - Customers'!$E:$E,"&lt;="&amp;EOMONTH(T$65,0))</f>
        <v>1</v>
      </c>
      <c r="U73" s="151">
        <f>COUNTIFS('Raw - Customers'!$E:$E,"&gt;="&amp;U$65,'Raw - Customers'!$E:$E,"&lt;="&amp;EOMONTH(U$65,0))</f>
        <v>1</v>
      </c>
      <c r="V73" s="151">
        <f>COUNTIFS('Raw - Customers'!$E:$E,"&gt;="&amp;V$65,'Raw - Customers'!$E:$E,"&lt;="&amp;EOMONTH(V$65,0))</f>
        <v>0</v>
      </c>
      <c r="W73" s="151">
        <f>COUNTIFS('Raw - Customers'!$E:$E,"&gt;="&amp;W$65,'Raw - Customers'!$E:$E,"&lt;="&amp;EOMONTH(W$65,0))</f>
        <v>1</v>
      </c>
      <c r="X73" s="151">
        <f>COUNTIFS('Raw - Customers'!$E:$E,"&gt;="&amp;X$65,'Raw - Customers'!$E:$E,"&lt;="&amp;EOMONTH(X$65,0))</f>
        <v>1</v>
      </c>
      <c r="Y73" s="151">
        <f>COUNTIFS('Raw - Customers'!$E:$E,"&gt;="&amp;Y$65,'Raw - Customers'!$E:$E,"&lt;="&amp;EOMONTH(Y$65,0))</f>
        <v>0</v>
      </c>
      <c r="Z73" s="151">
        <f>COUNTIFS('Raw - Customers'!$E:$E,"&gt;="&amp;Z$65,'Raw - Customers'!$E:$E,"&lt;="&amp;EOMONTH(Z$65,0))</f>
        <v>1</v>
      </c>
      <c r="AA73" s="151">
        <f>COUNTIFS('Raw - Customers'!$E:$E,"&gt;="&amp;AA$65,'Raw - Customers'!$E:$E,"&lt;="&amp;EOMONTH(AA$65,0))</f>
        <v>0</v>
      </c>
      <c r="AB73" s="151">
        <f>COUNTIFS('Raw - Customers'!$E:$E,"&gt;="&amp;AB$65,'Raw - Customers'!$E:$E,"&lt;="&amp;EOMONTH(AB$65,0))</f>
        <v>1</v>
      </c>
      <c r="AC73" s="151">
        <f>COUNTIFS('Raw - Customers'!$E:$E,"&gt;="&amp;AC$65,'Raw - Customers'!$E:$E,"&lt;="&amp;EOMONTH(AC$65,0))</f>
        <v>1</v>
      </c>
      <c r="AD73" s="151">
        <f>COUNTIFS('Raw - Customers'!$E:$E,"&gt;="&amp;AD$65,'Raw - Customers'!$E:$E,"&lt;="&amp;EOMONTH(AD$65,0))</f>
        <v>0</v>
      </c>
      <c r="AE73" s="151">
        <f>COUNTIFS('Raw - Customers'!$E:$E,"&gt;="&amp;AE$65,'Raw - Customers'!$E:$E,"&lt;="&amp;EOMONTH(AE$65,0))</f>
        <v>1</v>
      </c>
      <c r="AF73" s="151">
        <f>COUNTIFS('Raw - Customers'!$E:$E,"&gt;="&amp;AF$65,'Raw - Customers'!$E:$E,"&lt;="&amp;EOMONTH(AF$65,0))</f>
        <v>1</v>
      </c>
      <c r="AG73" s="151">
        <f>COUNTIFS('Raw - Customers'!$E:$E,"&gt;="&amp;AG$65,'Raw - Customers'!$E:$E,"&lt;="&amp;EOMONTH(AG$65,0))</f>
        <v>0</v>
      </c>
      <c r="AH73" s="151">
        <f>COUNTIFS('Raw - Customers'!$E:$E,"&gt;="&amp;AH$65,'Raw - Customers'!$E:$E,"&lt;="&amp;EOMONTH(AH$65,0))</f>
        <v>1</v>
      </c>
      <c r="AI73" s="151">
        <f>COUNTIFS('Raw - Customers'!$E:$E,"&gt;="&amp;AI$65,'Raw - Customers'!$E:$E,"&lt;="&amp;EOMONTH(AI$65,0))</f>
        <v>0</v>
      </c>
      <c r="AJ73" s="151">
        <f>COUNTIFS('Raw - Customers'!$E:$E,"&gt;="&amp;AJ$65,'Raw - Customers'!$E:$E,"&lt;="&amp;EOMONTH(AJ$65,0))</f>
        <v>1</v>
      </c>
      <c r="AK73" s="151">
        <f>COUNTIFS('Raw - Customers'!$E:$E,"&gt;="&amp;AK$65,'Raw - Customers'!$E:$E,"&lt;="&amp;EOMONTH(AK$65,0))</f>
        <v>1</v>
      </c>
      <c r="AL73" s="151">
        <f>COUNTIFS('Raw - Customers'!$E:$E,"&gt;="&amp;AL$65,'Raw - Customers'!$E:$E,"&lt;="&amp;EOMONTH(AL$65,0))</f>
        <v>0</v>
      </c>
      <c r="AN73" s="150">
        <f>SUM(C73:AL73)</f>
        <v>22</v>
      </c>
      <c r="AO73" s="151">
        <f>COUNTIFS('Raw - Customers'!$E:$E,"&gt;="&amp;$C$65,'Raw - Customers'!$E:$E,"&lt;="&amp;EOMONTH($AL$65,0))</f>
        <v>22</v>
      </c>
      <c r="AP73" s="130">
        <f>ROUND(AN73-AO73,6)</f>
        <v>0</v>
      </c>
    </row>
    <row r="74" ht="12" customHeight="1" spans="2:42" x14ac:dyDescent="0.25" outlineLevel="1" collapsed="1">
      <c r="B74" s="16" t="s">
        <v>705</v>
      </c>
      <c r="C74" s="151">
        <f>-COUNTIFS('Raw - Customers'!$F:$F,"&gt;="&amp;C$65,'Raw - Customers'!$F:$F,"&lt;="&amp;EOMONTH(C$65,0),'Raw - Customers'!$G:$G,"regrettable")</f>
        <v>0</v>
      </c>
      <c r="D74" s="151">
        <f>-COUNTIFS('Raw - Customers'!$F:$F,"&gt;="&amp;D$65,'Raw - Customers'!$F:$F,"&lt;="&amp;EOMONTH(D$65,0),'Raw - Customers'!$G:$G,"regrettable")</f>
        <v>0</v>
      </c>
      <c r="E74" s="151">
        <f>-COUNTIFS('Raw - Customers'!$F:$F,"&gt;="&amp;E$65,'Raw - Customers'!$F:$F,"&lt;="&amp;EOMONTH(E$65,0),'Raw - Customers'!$G:$G,"regrettable")</f>
        <v>0</v>
      </c>
      <c r="F74" s="151">
        <f>-COUNTIFS('Raw - Customers'!$F:$F,"&gt;="&amp;F$65,'Raw - Customers'!$F:$F,"&lt;="&amp;EOMONTH(F$65,0),'Raw - Customers'!$G:$G,"regrettable")</f>
        <v>0</v>
      </c>
      <c r="G74" s="151">
        <f>-COUNTIFS('Raw - Customers'!$F:$F,"&gt;="&amp;G$65,'Raw - Customers'!$F:$F,"&lt;="&amp;EOMONTH(G$65,0),'Raw - Customers'!$G:$G,"regrettable")</f>
        <v>0</v>
      </c>
      <c r="H74" s="151">
        <f>-COUNTIFS('Raw - Customers'!$F:$F,"&gt;="&amp;H$65,'Raw - Customers'!$F:$F,"&lt;="&amp;EOMONTH(H$65,0),'Raw - Customers'!$G:$G,"regrettable")</f>
        <v>0</v>
      </c>
      <c r="I74" s="151">
        <f>-COUNTIFS('Raw - Customers'!$F:$F,"&gt;="&amp;I$65,'Raw - Customers'!$F:$F,"&lt;="&amp;EOMONTH(I$65,0),'Raw - Customers'!$G:$G,"regrettable")</f>
        <v>0</v>
      </c>
      <c r="J74" s="151">
        <f>-COUNTIFS('Raw - Customers'!$F:$F,"&gt;="&amp;J$65,'Raw - Customers'!$F:$F,"&lt;="&amp;EOMONTH(J$65,0),'Raw - Customers'!$G:$G,"regrettable")</f>
        <v>-1</v>
      </c>
      <c r="K74" s="151">
        <f>-COUNTIFS('Raw - Customers'!$F:$F,"&gt;="&amp;K$65,'Raw - Customers'!$F:$F,"&lt;="&amp;EOMONTH(K$65,0),'Raw - Customers'!$G:$G,"regrettable")</f>
        <v>0</v>
      </c>
      <c r="L74" s="151">
        <f>-COUNTIFS('Raw - Customers'!$F:$F,"&gt;="&amp;L$65,'Raw - Customers'!$F:$F,"&lt;="&amp;EOMONTH(L$65,0),'Raw - Customers'!$G:$G,"regrettable")</f>
        <v>0</v>
      </c>
      <c r="M74" s="151">
        <f>-COUNTIFS('Raw - Customers'!$F:$F,"&gt;="&amp;M$65,'Raw - Customers'!$F:$F,"&lt;="&amp;EOMONTH(M$65,0),'Raw - Customers'!$G:$G,"regrettable")</f>
        <v>-1</v>
      </c>
      <c r="N74" s="151">
        <f>-COUNTIFS('Raw - Customers'!$F:$F,"&gt;="&amp;N$65,'Raw - Customers'!$F:$F,"&lt;="&amp;EOMONTH(N$65,0),'Raw - Customers'!$G:$G,"regrettable")</f>
        <v>0</v>
      </c>
      <c r="O74" s="151">
        <f>-COUNTIFS('Raw - Customers'!$F:$F,"&gt;="&amp;O$65,'Raw - Customers'!$F:$F,"&lt;="&amp;EOMONTH(O$65,0),'Raw - Customers'!$G:$G,"regrettable")</f>
        <v>0</v>
      </c>
      <c r="P74" s="151">
        <f>-COUNTIFS('Raw - Customers'!$F:$F,"&gt;="&amp;P$65,'Raw - Customers'!$F:$F,"&lt;="&amp;EOMONTH(P$65,0),'Raw - Customers'!$G:$G,"regrettable")</f>
        <v>0</v>
      </c>
      <c r="Q74" s="151">
        <f>-COUNTIFS('Raw - Customers'!$F:$F,"&gt;="&amp;Q$65,'Raw - Customers'!$F:$F,"&lt;="&amp;EOMONTH(Q$65,0),'Raw - Customers'!$G:$G,"regrettable")</f>
        <v>0</v>
      </c>
      <c r="R74" s="151">
        <f>-COUNTIFS('Raw - Customers'!$F:$F,"&gt;="&amp;R$65,'Raw - Customers'!$F:$F,"&lt;="&amp;EOMONTH(R$65,0),'Raw - Customers'!$G:$G,"regrettable")</f>
        <v>0</v>
      </c>
      <c r="S74" s="151">
        <f>-COUNTIFS('Raw - Customers'!$F:$F,"&gt;="&amp;S$65,'Raw - Customers'!$F:$F,"&lt;="&amp;EOMONTH(S$65,0),'Raw - Customers'!$G:$G,"regrettable")</f>
        <v>0</v>
      </c>
      <c r="T74" s="151">
        <f>-COUNTIFS('Raw - Customers'!$F:$F,"&gt;="&amp;T$65,'Raw - Customers'!$F:$F,"&lt;="&amp;EOMONTH(T$65,0),'Raw - Customers'!$G:$G,"regrettable")</f>
        <v>0</v>
      </c>
      <c r="U74" s="151">
        <f>-COUNTIFS('Raw - Customers'!$F:$F,"&gt;="&amp;U$65,'Raw - Customers'!$F:$F,"&lt;="&amp;EOMONTH(U$65,0),'Raw - Customers'!$G:$G,"regrettable")</f>
        <v>0</v>
      </c>
      <c r="V74" s="151">
        <f>-COUNTIFS('Raw - Customers'!$F:$F,"&gt;="&amp;V$65,'Raw - Customers'!$F:$F,"&lt;="&amp;EOMONTH(V$65,0),'Raw - Customers'!$G:$G,"regrettable")</f>
        <v>0</v>
      </c>
      <c r="W74" s="151">
        <f>-COUNTIFS('Raw - Customers'!$F:$F,"&gt;="&amp;W$65,'Raw - Customers'!$F:$F,"&lt;="&amp;EOMONTH(W$65,0),'Raw - Customers'!$G:$G,"regrettable")</f>
        <v>0</v>
      </c>
      <c r="X74" s="151">
        <f>-COUNTIFS('Raw - Customers'!$F:$F,"&gt;="&amp;X$65,'Raw - Customers'!$F:$F,"&lt;="&amp;EOMONTH(X$65,0),'Raw - Customers'!$G:$G,"regrettable")</f>
        <v>0</v>
      </c>
      <c r="Y74" s="151">
        <f>-COUNTIFS('Raw - Customers'!$F:$F,"&gt;="&amp;Y$65,'Raw - Customers'!$F:$F,"&lt;="&amp;EOMONTH(Y$65,0),'Raw - Customers'!$G:$G,"regrettable")</f>
        <v>0</v>
      </c>
      <c r="Z74" s="151">
        <f>-COUNTIFS('Raw - Customers'!$F:$F,"&gt;="&amp;Z$65,'Raw - Customers'!$F:$F,"&lt;="&amp;EOMONTH(Z$65,0),'Raw - Customers'!$G:$G,"regrettable")</f>
        <v>0</v>
      </c>
      <c r="AA74" s="151">
        <f>-COUNTIFS('Raw - Customers'!$F:$F,"&gt;="&amp;AA$65,'Raw - Customers'!$F:$F,"&lt;="&amp;EOMONTH(AA$65,0),'Raw - Customers'!$G:$G,"regrettable")</f>
        <v>-1</v>
      </c>
      <c r="AB74" s="151">
        <f>-COUNTIFS('Raw - Customers'!$F:$F,"&gt;="&amp;AB$65,'Raw - Customers'!$F:$F,"&lt;="&amp;EOMONTH(AB$65,0),'Raw - Customers'!$G:$G,"regrettable")</f>
        <v>0</v>
      </c>
      <c r="AC74" s="151">
        <f>-COUNTIFS('Raw - Customers'!$F:$F,"&gt;="&amp;AC$65,'Raw - Customers'!$F:$F,"&lt;="&amp;EOMONTH(AC$65,0),'Raw - Customers'!$G:$G,"regrettable")</f>
        <v>0</v>
      </c>
      <c r="AD74" s="151">
        <f>-COUNTIFS('Raw - Customers'!$F:$F,"&gt;="&amp;AD$65,'Raw - Customers'!$F:$F,"&lt;="&amp;EOMONTH(AD$65,0),'Raw - Customers'!$G:$G,"regrettable")</f>
        <v>0</v>
      </c>
      <c r="AE74" s="151">
        <f>-COUNTIFS('Raw - Customers'!$F:$F,"&gt;="&amp;AE$65,'Raw - Customers'!$F:$F,"&lt;="&amp;EOMONTH(AE$65,0),'Raw - Customers'!$G:$G,"regrettable")</f>
        <v>0</v>
      </c>
      <c r="AF74" s="151">
        <f>-COUNTIFS('Raw - Customers'!$F:$F,"&gt;="&amp;AF$65,'Raw - Customers'!$F:$F,"&lt;="&amp;EOMONTH(AF$65,0),'Raw - Customers'!$G:$G,"regrettable")</f>
        <v>0</v>
      </c>
      <c r="AG74" s="151">
        <f>-COUNTIFS('Raw - Customers'!$F:$F,"&gt;="&amp;AG$65,'Raw - Customers'!$F:$F,"&lt;="&amp;EOMONTH(AG$65,0),'Raw - Customers'!$G:$G,"regrettable")</f>
        <v>0</v>
      </c>
      <c r="AH74" s="151">
        <f>-COUNTIFS('Raw - Customers'!$F:$F,"&gt;="&amp;AH$65,'Raw - Customers'!$F:$F,"&lt;="&amp;EOMONTH(AH$65,0),'Raw - Customers'!$G:$G,"regrettable")</f>
        <v>0</v>
      </c>
      <c r="AI74" s="151">
        <f>-COUNTIFS('Raw - Customers'!$F:$F,"&gt;="&amp;AI$65,'Raw - Customers'!$F:$F,"&lt;="&amp;EOMONTH(AI$65,0),'Raw - Customers'!$G:$G,"regrettable")</f>
        <v>0</v>
      </c>
      <c r="AJ74" s="151">
        <f>-COUNTIFS('Raw - Customers'!$F:$F,"&gt;="&amp;AJ$65,'Raw - Customers'!$F:$F,"&lt;="&amp;EOMONTH(AJ$65,0),'Raw - Customers'!$G:$G,"regrettable")</f>
        <v>0</v>
      </c>
      <c r="AK74" s="151">
        <f>-COUNTIFS('Raw - Customers'!$F:$F,"&gt;="&amp;AK$65,'Raw - Customers'!$F:$F,"&lt;="&amp;EOMONTH(AK$65,0),'Raw - Customers'!$G:$G,"regrettable")</f>
        <v>-1</v>
      </c>
      <c r="AL74" s="151">
        <f>-COUNTIFS('Raw - Customers'!$F:$F,"&gt;="&amp;AL$65,'Raw - Customers'!$F:$F,"&lt;="&amp;EOMONTH(AL$65,0),'Raw - Customers'!$G:$G,"regrettable")</f>
        <v>0</v>
      </c>
      <c r="AN74" s="150">
        <f>SUM(C74:AL74)</f>
        <v>-4</v>
      </c>
      <c r="AO74" s="151">
        <f>-COUNTIFS('Raw - Customers'!$F:$F,"&gt;="&amp;$C$65,'Raw - Customers'!$F:$F,"&lt;="&amp;EOMONTH($AL$65,0),'Raw - Customers'!$G:$G,"regrettable")</f>
        <v>-4</v>
      </c>
      <c r="AP74" s="130">
        <f>ROUND(AN74-AO74,6)</f>
        <v>0</v>
      </c>
    </row>
    <row r="75" ht="12" customHeight="1" spans="2:42" x14ac:dyDescent="0.25" outlineLevel="1" collapsed="1">
      <c r="B75" s="16" t="s">
        <v>706</v>
      </c>
      <c r="C75" s="151">
        <f>-COUNTIFS('Raw - Customers'!$F:$F,"&gt;="&amp;C$65,'Raw - Customers'!$F:$F,"&lt;="&amp;EOMONTH(C$65,0),'Raw - Customers'!$G:$G,"non_regrettable")</f>
        <v>0</v>
      </c>
      <c r="D75" s="151">
        <f>-COUNTIFS('Raw - Customers'!$F:$F,"&gt;="&amp;D$65,'Raw - Customers'!$F:$F,"&lt;="&amp;EOMONTH(D$65,0),'Raw - Customers'!$G:$G,"non_regrettable")</f>
        <v>0</v>
      </c>
      <c r="E75" s="151">
        <f>-COUNTIFS('Raw - Customers'!$F:$F,"&gt;="&amp;E$65,'Raw - Customers'!$F:$F,"&lt;="&amp;EOMONTH(E$65,0),'Raw - Customers'!$G:$G,"non_regrettable")</f>
        <v>0</v>
      </c>
      <c r="F75" s="151">
        <f>-COUNTIFS('Raw - Customers'!$F:$F,"&gt;="&amp;F$65,'Raw - Customers'!$F:$F,"&lt;="&amp;EOMONTH(F$65,0),'Raw - Customers'!$G:$G,"non_regrettable")</f>
        <v>-1</v>
      </c>
      <c r="G75" s="151">
        <f>-COUNTIFS('Raw - Customers'!$F:$F,"&gt;="&amp;G$65,'Raw - Customers'!$F:$F,"&lt;="&amp;EOMONTH(G$65,0),'Raw - Customers'!$G:$G,"non_regrettable")</f>
        <v>0</v>
      </c>
      <c r="H75" s="151">
        <f>-COUNTIFS('Raw - Customers'!$F:$F,"&gt;="&amp;H$65,'Raw - Customers'!$F:$F,"&lt;="&amp;EOMONTH(H$65,0),'Raw - Customers'!$G:$G,"non_regrettable")</f>
        <v>0</v>
      </c>
      <c r="I75" s="151">
        <f>-COUNTIFS('Raw - Customers'!$F:$F,"&gt;="&amp;I$65,'Raw - Customers'!$F:$F,"&lt;="&amp;EOMONTH(I$65,0),'Raw - Customers'!$G:$G,"non_regrettable")</f>
        <v>0</v>
      </c>
      <c r="J75" s="151">
        <f>-COUNTIFS('Raw - Customers'!$F:$F,"&gt;="&amp;J$65,'Raw - Customers'!$F:$F,"&lt;="&amp;EOMONTH(J$65,0),'Raw - Customers'!$G:$G,"non_regrettable")</f>
        <v>0</v>
      </c>
      <c r="K75" s="151">
        <f>-COUNTIFS('Raw - Customers'!$F:$F,"&gt;="&amp;K$65,'Raw - Customers'!$F:$F,"&lt;="&amp;EOMONTH(K$65,0),'Raw - Customers'!$G:$G,"non_regrettable")</f>
        <v>0</v>
      </c>
      <c r="L75" s="151">
        <f>-COUNTIFS('Raw - Customers'!$F:$F,"&gt;="&amp;L$65,'Raw - Customers'!$F:$F,"&lt;="&amp;EOMONTH(L$65,0),'Raw - Customers'!$G:$G,"non_regrettable")</f>
        <v>0</v>
      </c>
      <c r="M75" s="151">
        <f>-COUNTIFS('Raw - Customers'!$F:$F,"&gt;="&amp;M$65,'Raw - Customers'!$F:$F,"&lt;="&amp;EOMONTH(M$65,0),'Raw - Customers'!$G:$G,"non_regrettable")</f>
        <v>0</v>
      </c>
      <c r="N75" s="151">
        <f>-COUNTIFS('Raw - Customers'!$F:$F,"&gt;="&amp;N$65,'Raw - Customers'!$F:$F,"&lt;="&amp;EOMONTH(N$65,0),'Raw - Customers'!$G:$G,"non_regrettable")</f>
        <v>0</v>
      </c>
      <c r="O75" s="151">
        <f>-COUNTIFS('Raw - Customers'!$F:$F,"&gt;="&amp;O$65,'Raw - Customers'!$F:$F,"&lt;="&amp;EOMONTH(O$65,0),'Raw - Customers'!$G:$G,"non_regrettable")</f>
        <v>0</v>
      </c>
      <c r="P75" s="151">
        <f>-COUNTIFS('Raw - Customers'!$F:$F,"&gt;="&amp;P$65,'Raw - Customers'!$F:$F,"&lt;="&amp;EOMONTH(P$65,0),'Raw - Customers'!$G:$G,"non_regrettable")</f>
        <v>0</v>
      </c>
      <c r="Q75" s="151">
        <f>-COUNTIFS('Raw - Customers'!$F:$F,"&gt;="&amp;Q$65,'Raw - Customers'!$F:$F,"&lt;="&amp;EOMONTH(Q$65,0),'Raw - Customers'!$G:$G,"non_regrettable")</f>
        <v>0</v>
      </c>
      <c r="R75" s="151">
        <f>-COUNTIFS('Raw - Customers'!$F:$F,"&gt;="&amp;R$65,'Raw - Customers'!$F:$F,"&lt;="&amp;EOMONTH(R$65,0),'Raw - Customers'!$G:$G,"non_regrettable")</f>
        <v>0</v>
      </c>
      <c r="S75" s="151">
        <f>-COUNTIFS('Raw - Customers'!$F:$F,"&gt;="&amp;S$65,'Raw - Customers'!$F:$F,"&lt;="&amp;EOMONTH(S$65,0),'Raw - Customers'!$G:$G,"non_regrettable")</f>
        <v>0</v>
      </c>
      <c r="T75" s="151">
        <f>-COUNTIFS('Raw - Customers'!$F:$F,"&gt;="&amp;T$65,'Raw - Customers'!$F:$F,"&lt;="&amp;EOMONTH(T$65,0),'Raw - Customers'!$G:$G,"non_regrettable")</f>
        <v>0</v>
      </c>
      <c r="U75" s="151">
        <f>-COUNTIFS('Raw - Customers'!$F:$F,"&gt;="&amp;U$65,'Raw - Customers'!$F:$F,"&lt;="&amp;EOMONTH(U$65,0),'Raw - Customers'!$G:$G,"non_regrettable")</f>
        <v>0</v>
      </c>
      <c r="V75" s="151">
        <f>-COUNTIFS('Raw - Customers'!$F:$F,"&gt;="&amp;V$65,'Raw - Customers'!$F:$F,"&lt;="&amp;EOMONTH(V$65,0),'Raw - Customers'!$G:$G,"non_regrettable")</f>
        <v>0</v>
      </c>
      <c r="W75" s="151">
        <f>-COUNTIFS('Raw - Customers'!$F:$F,"&gt;="&amp;W$65,'Raw - Customers'!$F:$F,"&lt;="&amp;EOMONTH(W$65,0),'Raw - Customers'!$G:$G,"non_regrettable")</f>
        <v>0</v>
      </c>
      <c r="X75" s="151">
        <f>-COUNTIFS('Raw - Customers'!$F:$F,"&gt;="&amp;X$65,'Raw - Customers'!$F:$F,"&lt;="&amp;EOMONTH(X$65,0),'Raw - Customers'!$G:$G,"non_regrettable")</f>
        <v>0</v>
      </c>
      <c r="Y75" s="151">
        <f>-COUNTIFS('Raw - Customers'!$F:$F,"&gt;="&amp;Y$65,'Raw - Customers'!$F:$F,"&lt;="&amp;EOMONTH(Y$65,0),'Raw - Customers'!$G:$G,"non_regrettable")</f>
        <v>0</v>
      </c>
      <c r="Z75" s="151">
        <f>-COUNTIFS('Raw - Customers'!$F:$F,"&gt;="&amp;Z$65,'Raw - Customers'!$F:$F,"&lt;="&amp;EOMONTH(Z$65,0),'Raw - Customers'!$G:$G,"non_regrettable")</f>
        <v>0</v>
      </c>
      <c r="AA75" s="151">
        <f>-COUNTIFS('Raw - Customers'!$F:$F,"&gt;="&amp;AA$65,'Raw - Customers'!$F:$F,"&lt;="&amp;EOMONTH(AA$65,0),'Raw - Customers'!$G:$G,"non_regrettable")</f>
        <v>0</v>
      </c>
      <c r="AB75" s="151">
        <f>-COUNTIFS('Raw - Customers'!$F:$F,"&gt;="&amp;AB$65,'Raw - Customers'!$F:$F,"&lt;="&amp;EOMONTH(AB$65,0),'Raw - Customers'!$G:$G,"non_regrettable")</f>
        <v>0</v>
      </c>
      <c r="AC75" s="151">
        <f>-COUNTIFS('Raw - Customers'!$F:$F,"&gt;="&amp;AC$65,'Raw - Customers'!$F:$F,"&lt;="&amp;EOMONTH(AC$65,0),'Raw - Customers'!$G:$G,"non_regrettable")</f>
        <v>0</v>
      </c>
      <c r="AD75" s="151">
        <f>-COUNTIFS('Raw - Customers'!$F:$F,"&gt;="&amp;AD$65,'Raw - Customers'!$F:$F,"&lt;="&amp;EOMONTH(AD$65,0),'Raw - Customers'!$G:$G,"non_regrettable")</f>
        <v>0</v>
      </c>
      <c r="AE75" s="151">
        <f>-COUNTIFS('Raw - Customers'!$F:$F,"&gt;="&amp;AE$65,'Raw - Customers'!$F:$F,"&lt;="&amp;EOMONTH(AE$65,0),'Raw - Customers'!$G:$G,"non_regrettable")</f>
        <v>-1</v>
      </c>
      <c r="AF75" s="151">
        <f>-COUNTIFS('Raw - Customers'!$F:$F,"&gt;="&amp;AF$65,'Raw - Customers'!$F:$F,"&lt;="&amp;EOMONTH(AF$65,0),'Raw - Customers'!$G:$G,"non_regrettable")</f>
        <v>0</v>
      </c>
      <c r="AG75" s="151">
        <f>-COUNTIFS('Raw - Customers'!$F:$F,"&gt;="&amp;AG$65,'Raw - Customers'!$F:$F,"&lt;="&amp;EOMONTH(AG$65,0),'Raw - Customers'!$G:$G,"non_regrettable")</f>
        <v>0</v>
      </c>
      <c r="AH75" s="151">
        <f>-COUNTIFS('Raw - Customers'!$F:$F,"&gt;="&amp;AH$65,'Raw - Customers'!$F:$F,"&lt;="&amp;EOMONTH(AH$65,0),'Raw - Customers'!$G:$G,"non_regrettable")</f>
        <v>-1</v>
      </c>
      <c r="AI75" s="151">
        <f>-COUNTIFS('Raw - Customers'!$F:$F,"&gt;="&amp;AI$65,'Raw - Customers'!$F:$F,"&lt;="&amp;EOMONTH(AI$65,0),'Raw - Customers'!$G:$G,"non_regrettable")</f>
        <v>0</v>
      </c>
      <c r="AJ75" s="151">
        <f>-COUNTIFS('Raw - Customers'!$F:$F,"&gt;="&amp;AJ$65,'Raw - Customers'!$F:$F,"&lt;="&amp;EOMONTH(AJ$65,0),'Raw - Customers'!$G:$G,"non_regrettable")</f>
        <v>0</v>
      </c>
      <c r="AK75" s="151">
        <f>-COUNTIFS('Raw - Customers'!$F:$F,"&gt;="&amp;AK$65,'Raw - Customers'!$F:$F,"&lt;="&amp;EOMONTH(AK$65,0),'Raw - Customers'!$G:$G,"non_regrettable")</f>
        <v>0</v>
      </c>
      <c r="AL75" s="151">
        <f>-COUNTIFS('Raw - Customers'!$F:$F,"&gt;="&amp;AL$65,'Raw - Customers'!$F:$F,"&lt;="&amp;EOMONTH(AL$65,0),'Raw - Customers'!$G:$G,"non_regrettable")</f>
        <v>0</v>
      </c>
      <c r="AN75" s="150">
        <f>SUM(C75:AL75)</f>
        <v>-3</v>
      </c>
      <c r="AO75" s="151">
        <f>-COUNTIFS('Raw - Customers'!$F:$F,"&gt;="&amp;$C$65,'Raw - Customers'!$F:$F,"&lt;="&amp;EOMONTH($AL$65,0),'Raw - Customers'!$G:$G,"non_regrettable")</f>
        <v>-3</v>
      </c>
      <c r="AP75" s="130">
        <f>ROUND(AN75-AO75,6)</f>
        <v>0</v>
      </c>
    </row>
    <row r="76" ht="12" customHeight="1" spans="2:42" x14ac:dyDescent="0.25" outlineLevel="1" collapsed="1">
      <c r="B76" s="16" t="s">
        <v>707</v>
      </c>
      <c r="C76" s="151">
        <f>-(COUNTIFS('Raw - Customers'!$F:$F,"&gt;="&amp;C$65,'Raw - Customers'!$F:$F,"&lt;="&amp;EOMONTH(C$65,0))-COUNTIFS('Raw - Customers'!$F:$F,"&gt;="&amp;C$65,'Raw - Customers'!$F:$F,"&lt;="&amp;EOMONTH(C$65,0),'Raw - Customers'!$G:$G,"regrettable")-COUNTIFS('Raw - Customers'!$F:$F,"&gt;="&amp;C$65,'Raw - Customers'!$F:$F,"&lt;="&amp;EOMONTH(C$65,0),'Raw - Customers'!$G:$G,"non_regrettable"))</f>
        <v>0</v>
      </c>
      <c r="D76" s="151">
        <f>-(COUNTIFS('Raw - Customers'!$F:$F,"&gt;="&amp;D$65,'Raw - Customers'!$F:$F,"&lt;="&amp;EOMONTH(D$65,0))-COUNTIFS('Raw - Customers'!$F:$F,"&gt;="&amp;D$65,'Raw - Customers'!$F:$F,"&lt;="&amp;EOMONTH(D$65,0),'Raw - Customers'!$G:$G,"regrettable")-COUNTIFS('Raw - Customers'!$F:$F,"&gt;="&amp;D$65,'Raw - Customers'!$F:$F,"&lt;="&amp;EOMONTH(D$65,0),'Raw - Customers'!$G:$G,"non_regrettable"))</f>
        <v>0</v>
      </c>
      <c r="E76" s="151">
        <f>-(COUNTIFS('Raw - Customers'!$F:$F,"&gt;="&amp;E$65,'Raw - Customers'!$F:$F,"&lt;="&amp;EOMONTH(E$65,0))-COUNTIFS('Raw - Customers'!$F:$F,"&gt;="&amp;E$65,'Raw - Customers'!$F:$F,"&lt;="&amp;EOMONTH(E$65,0),'Raw - Customers'!$G:$G,"regrettable")-COUNTIFS('Raw - Customers'!$F:$F,"&gt;="&amp;E$65,'Raw - Customers'!$F:$F,"&lt;="&amp;EOMONTH(E$65,0),'Raw - Customers'!$G:$G,"non_regrettable"))</f>
        <v>0</v>
      </c>
      <c r="F76" s="151">
        <f>-(COUNTIFS('Raw - Customers'!$F:$F,"&gt;="&amp;F$65,'Raw - Customers'!$F:$F,"&lt;="&amp;EOMONTH(F$65,0))-COUNTIFS('Raw - Customers'!$F:$F,"&gt;="&amp;F$65,'Raw - Customers'!$F:$F,"&lt;="&amp;EOMONTH(F$65,0),'Raw - Customers'!$G:$G,"regrettable")-COUNTIFS('Raw - Customers'!$F:$F,"&gt;="&amp;F$65,'Raw - Customers'!$F:$F,"&lt;="&amp;EOMONTH(F$65,0),'Raw - Customers'!$G:$G,"non_regrettable"))</f>
        <v>0</v>
      </c>
      <c r="G76" s="151">
        <f>-(COUNTIFS('Raw - Customers'!$F:$F,"&gt;="&amp;G$65,'Raw - Customers'!$F:$F,"&lt;="&amp;EOMONTH(G$65,0))-COUNTIFS('Raw - Customers'!$F:$F,"&gt;="&amp;G$65,'Raw - Customers'!$F:$F,"&lt;="&amp;EOMONTH(G$65,0),'Raw - Customers'!$G:$G,"regrettable")-COUNTIFS('Raw - Customers'!$F:$F,"&gt;="&amp;G$65,'Raw - Customers'!$F:$F,"&lt;="&amp;EOMONTH(G$65,0),'Raw - Customers'!$G:$G,"non_regrettable"))</f>
        <v>0</v>
      </c>
      <c r="H76" s="151">
        <f>-(COUNTIFS('Raw - Customers'!$F:$F,"&gt;="&amp;H$65,'Raw - Customers'!$F:$F,"&lt;="&amp;EOMONTH(H$65,0))-COUNTIFS('Raw - Customers'!$F:$F,"&gt;="&amp;H$65,'Raw - Customers'!$F:$F,"&lt;="&amp;EOMONTH(H$65,0),'Raw - Customers'!$G:$G,"regrettable")-COUNTIFS('Raw - Customers'!$F:$F,"&gt;="&amp;H$65,'Raw - Customers'!$F:$F,"&lt;="&amp;EOMONTH(H$65,0),'Raw - Customers'!$G:$G,"non_regrettable"))</f>
        <v>0</v>
      </c>
      <c r="I76" s="151">
        <f>-(COUNTIFS('Raw - Customers'!$F:$F,"&gt;="&amp;I$65,'Raw - Customers'!$F:$F,"&lt;="&amp;EOMONTH(I$65,0))-COUNTIFS('Raw - Customers'!$F:$F,"&gt;="&amp;I$65,'Raw - Customers'!$F:$F,"&lt;="&amp;EOMONTH(I$65,0),'Raw - Customers'!$G:$G,"regrettable")-COUNTIFS('Raw - Customers'!$F:$F,"&gt;="&amp;I$65,'Raw - Customers'!$F:$F,"&lt;="&amp;EOMONTH(I$65,0),'Raw - Customers'!$G:$G,"non_regrettable"))</f>
        <v>0</v>
      </c>
      <c r="J76" s="151">
        <f>-(COUNTIFS('Raw - Customers'!$F:$F,"&gt;="&amp;J$65,'Raw - Customers'!$F:$F,"&lt;="&amp;EOMONTH(J$65,0))-COUNTIFS('Raw - Customers'!$F:$F,"&gt;="&amp;J$65,'Raw - Customers'!$F:$F,"&lt;="&amp;EOMONTH(J$65,0),'Raw - Customers'!$G:$G,"regrettable")-COUNTIFS('Raw - Customers'!$F:$F,"&gt;="&amp;J$65,'Raw - Customers'!$F:$F,"&lt;="&amp;EOMONTH(J$65,0),'Raw - Customers'!$G:$G,"non_regrettable"))</f>
        <v>0</v>
      </c>
      <c r="K76" s="151">
        <f>-(COUNTIFS('Raw - Customers'!$F:$F,"&gt;="&amp;K$65,'Raw - Customers'!$F:$F,"&lt;="&amp;EOMONTH(K$65,0))-COUNTIFS('Raw - Customers'!$F:$F,"&gt;="&amp;K$65,'Raw - Customers'!$F:$F,"&lt;="&amp;EOMONTH(K$65,0),'Raw - Customers'!$G:$G,"regrettable")-COUNTIFS('Raw - Customers'!$F:$F,"&gt;="&amp;K$65,'Raw - Customers'!$F:$F,"&lt;="&amp;EOMONTH(K$65,0),'Raw - Customers'!$G:$G,"non_regrettable"))</f>
        <v>0</v>
      </c>
      <c r="L76" s="151">
        <f>-(COUNTIFS('Raw - Customers'!$F:$F,"&gt;="&amp;L$65,'Raw - Customers'!$F:$F,"&lt;="&amp;EOMONTH(L$65,0))-COUNTIFS('Raw - Customers'!$F:$F,"&gt;="&amp;L$65,'Raw - Customers'!$F:$F,"&lt;="&amp;EOMONTH(L$65,0),'Raw - Customers'!$G:$G,"regrettable")-COUNTIFS('Raw - Customers'!$F:$F,"&gt;="&amp;L$65,'Raw - Customers'!$F:$F,"&lt;="&amp;EOMONTH(L$65,0),'Raw - Customers'!$G:$G,"non_regrettable"))</f>
        <v>0</v>
      </c>
      <c r="M76" s="151">
        <f>-(COUNTIFS('Raw - Customers'!$F:$F,"&gt;="&amp;M$65,'Raw - Customers'!$F:$F,"&lt;="&amp;EOMONTH(M$65,0))-COUNTIFS('Raw - Customers'!$F:$F,"&gt;="&amp;M$65,'Raw - Customers'!$F:$F,"&lt;="&amp;EOMONTH(M$65,0),'Raw - Customers'!$G:$G,"regrettable")-COUNTIFS('Raw - Customers'!$F:$F,"&gt;="&amp;M$65,'Raw - Customers'!$F:$F,"&lt;="&amp;EOMONTH(M$65,0),'Raw - Customers'!$G:$G,"non_regrettable"))</f>
        <v>0</v>
      </c>
      <c r="N76" s="151">
        <f>-(COUNTIFS('Raw - Customers'!$F:$F,"&gt;="&amp;N$65,'Raw - Customers'!$F:$F,"&lt;="&amp;EOMONTH(N$65,0))-COUNTIFS('Raw - Customers'!$F:$F,"&gt;="&amp;N$65,'Raw - Customers'!$F:$F,"&lt;="&amp;EOMONTH(N$65,0),'Raw - Customers'!$G:$G,"regrettable")-COUNTIFS('Raw - Customers'!$F:$F,"&gt;="&amp;N$65,'Raw - Customers'!$F:$F,"&lt;="&amp;EOMONTH(N$65,0),'Raw - Customers'!$G:$G,"non_regrettable"))</f>
        <v>0</v>
      </c>
      <c r="O76" s="151">
        <f>-(COUNTIFS('Raw - Customers'!$F:$F,"&gt;="&amp;O$65,'Raw - Customers'!$F:$F,"&lt;="&amp;EOMONTH(O$65,0))-COUNTIFS('Raw - Customers'!$F:$F,"&gt;="&amp;O$65,'Raw - Customers'!$F:$F,"&lt;="&amp;EOMONTH(O$65,0),'Raw - Customers'!$G:$G,"regrettable")-COUNTIFS('Raw - Customers'!$F:$F,"&gt;="&amp;O$65,'Raw - Customers'!$F:$F,"&lt;="&amp;EOMONTH(O$65,0),'Raw - Customers'!$G:$G,"non_regrettable"))</f>
        <v>0</v>
      </c>
      <c r="P76" s="151">
        <f>-(COUNTIFS('Raw - Customers'!$F:$F,"&gt;="&amp;P$65,'Raw - Customers'!$F:$F,"&lt;="&amp;EOMONTH(P$65,0))-COUNTIFS('Raw - Customers'!$F:$F,"&gt;="&amp;P$65,'Raw - Customers'!$F:$F,"&lt;="&amp;EOMONTH(P$65,0),'Raw - Customers'!$G:$G,"regrettable")-COUNTIFS('Raw - Customers'!$F:$F,"&gt;="&amp;P$65,'Raw - Customers'!$F:$F,"&lt;="&amp;EOMONTH(P$65,0),'Raw - Customers'!$G:$G,"non_regrettable"))</f>
        <v>-1</v>
      </c>
      <c r="Q76" s="151">
        <f>-(COUNTIFS('Raw - Customers'!$F:$F,"&gt;="&amp;Q$65,'Raw - Customers'!$F:$F,"&lt;="&amp;EOMONTH(Q$65,0))-COUNTIFS('Raw - Customers'!$F:$F,"&gt;="&amp;Q$65,'Raw - Customers'!$F:$F,"&lt;="&amp;EOMONTH(Q$65,0),'Raw - Customers'!$G:$G,"regrettable")-COUNTIFS('Raw - Customers'!$F:$F,"&gt;="&amp;Q$65,'Raw - Customers'!$F:$F,"&lt;="&amp;EOMONTH(Q$65,0),'Raw - Customers'!$G:$G,"non_regrettable"))</f>
        <v>0</v>
      </c>
      <c r="R76" s="151">
        <f>-(COUNTIFS('Raw - Customers'!$F:$F,"&gt;="&amp;R$65,'Raw - Customers'!$F:$F,"&lt;="&amp;EOMONTH(R$65,0))-COUNTIFS('Raw - Customers'!$F:$F,"&gt;="&amp;R$65,'Raw - Customers'!$F:$F,"&lt;="&amp;EOMONTH(R$65,0),'Raw - Customers'!$G:$G,"regrettable")-COUNTIFS('Raw - Customers'!$F:$F,"&gt;="&amp;R$65,'Raw - Customers'!$F:$F,"&lt;="&amp;EOMONTH(R$65,0),'Raw - Customers'!$G:$G,"non_regrettable"))</f>
        <v>0</v>
      </c>
      <c r="S76" s="151">
        <f>-(COUNTIFS('Raw - Customers'!$F:$F,"&gt;="&amp;S$65,'Raw - Customers'!$F:$F,"&lt;="&amp;EOMONTH(S$65,0))-COUNTIFS('Raw - Customers'!$F:$F,"&gt;="&amp;S$65,'Raw - Customers'!$F:$F,"&lt;="&amp;EOMONTH(S$65,0),'Raw - Customers'!$G:$G,"regrettable")-COUNTIFS('Raw - Customers'!$F:$F,"&gt;="&amp;S$65,'Raw - Customers'!$F:$F,"&lt;="&amp;EOMONTH(S$65,0),'Raw - Customers'!$G:$G,"non_regrettable"))</f>
        <v>0</v>
      </c>
      <c r="T76" s="151">
        <f>-(COUNTIFS('Raw - Customers'!$F:$F,"&gt;="&amp;T$65,'Raw - Customers'!$F:$F,"&lt;="&amp;EOMONTH(T$65,0))-COUNTIFS('Raw - Customers'!$F:$F,"&gt;="&amp;T$65,'Raw - Customers'!$F:$F,"&lt;="&amp;EOMONTH(T$65,0),'Raw - Customers'!$G:$G,"regrettable")-COUNTIFS('Raw - Customers'!$F:$F,"&gt;="&amp;T$65,'Raw - Customers'!$F:$F,"&lt;="&amp;EOMONTH(T$65,0),'Raw - Customers'!$G:$G,"non_regrettable"))</f>
        <v>-1</v>
      </c>
      <c r="U76" s="151">
        <f>-(COUNTIFS('Raw - Customers'!$F:$F,"&gt;="&amp;U$65,'Raw - Customers'!$F:$F,"&lt;="&amp;EOMONTH(U$65,0))-COUNTIFS('Raw - Customers'!$F:$F,"&gt;="&amp;U$65,'Raw - Customers'!$F:$F,"&lt;="&amp;EOMONTH(U$65,0),'Raw - Customers'!$G:$G,"regrettable")-COUNTIFS('Raw - Customers'!$F:$F,"&gt;="&amp;U$65,'Raw - Customers'!$F:$F,"&lt;="&amp;EOMONTH(U$65,0),'Raw - Customers'!$G:$G,"non_regrettable"))</f>
        <v>0</v>
      </c>
      <c r="V76" s="151">
        <f>-(COUNTIFS('Raw - Customers'!$F:$F,"&gt;="&amp;V$65,'Raw - Customers'!$F:$F,"&lt;="&amp;EOMONTH(V$65,0))-COUNTIFS('Raw - Customers'!$F:$F,"&gt;="&amp;V$65,'Raw - Customers'!$F:$F,"&lt;="&amp;EOMONTH(V$65,0),'Raw - Customers'!$G:$G,"regrettable")-COUNTIFS('Raw - Customers'!$F:$F,"&gt;="&amp;V$65,'Raw - Customers'!$F:$F,"&lt;="&amp;EOMONTH(V$65,0),'Raw - Customers'!$G:$G,"non_regrettable"))</f>
        <v>0</v>
      </c>
      <c r="W76" s="151">
        <f>-(COUNTIFS('Raw - Customers'!$F:$F,"&gt;="&amp;W$65,'Raw - Customers'!$F:$F,"&lt;="&amp;EOMONTH(W$65,0))-COUNTIFS('Raw - Customers'!$F:$F,"&gt;="&amp;W$65,'Raw - Customers'!$F:$F,"&lt;="&amp;EOMONTH(W$65,0),'Raw - Customers'!$G:$G,"regrettable")-COUNTIFS('Raw - Customers'!$F:$F,"&gt;="&amp;W$65,'Raw - Customers'!$F:$F,"&lt;="&amp;EOMONTH(W$65,0),'Raw - Customers'!$G:$G,"non_regrettable"))</f>
        <v>0</v>
      </c>
      <c r="X76" s="151">
        <f>-(COUNTIFS('Raw - Customers'!$F:$F,"&gt;="&amp;X$65,'Raw - Customers'!$F:$F,"&lt;="&amp;EOMONTH(X$65,0))-COUNTIFS('Raw - Customers'!$F:$F,"&gt;="&amp;X$65,'Raw - Customers'!$F:$F,"&lt;="&amp;EOMONTH(X$65,0),'Raw - Customers'!$G:$G,"regrettable")-COUNTIFS('Raw - Customers'!$F:$F,"&gt;="&amp;X$65,'Raw - Customers'!$F:$F,"&lt;="&amp;EOMONTH(X$65,0),'Raw - Customers'!$G:$G,"non_regrettable"))</f>
        <v>-1</v>
      </c>
      <c r="Y76" s="151">
        <f>-(COUNTIFS('Raw - Customers'!$F:$F,"&gt;="&amp;Y$65,'Raw - Customers'!$F:$F,"&lt;="&amp;EOMONTH(Y$65,0))-COUNTIFS('Raw - Customers'!$F:$F,"&gt;="&amp;Y$65,'Raw - Customers'!$F:$F,"&lt;="&amp;EOMONTH(Y$65,0),'Raw - Customers'!$G:$G,"regrettable")-COUNTIFS('Raw - Customers'!$F:$F,"&gt;="&amp;Y$65,'Raw - Customers'!$F:$F,"&lt;="&amp;EOMONTH(Y$65,0),'Raw - Customers'!$G:$G,"non_regrettable"))</f>
        <v>0</v>
      </c>
      <c r="Z76" s="151">
        <f>-(COUNTIFS('Raw - Customers'!$F:$F,"&gt;="&amp;Z$65,'Raw - Customers'!$F:$F,"&lt;="&amp;EOMONTH(Z$65,0))-COUNTIFS('Raw - Customers'!$F:$F,"&gt;="&amp;Z$65,'Raw - Customers'!$F:$F,"&lt;="&amp;EOMONTH(Z$65,0),'Raw - Customers'!$G:$G,"regrettable")-COUNTIFS('Raw - Customers'!$F:$F,"&gt;="&amp;Z$65,'Raw - Customers'!$F:$F,"&lt;="&amp;EOMONTH(Z$65,0),'Raw - Customers'!$G:$G,"non_regrettable"))</f>
        <v>0</v>
      </c>
      <c r="AA76" s="151">
        <f>-(COUNTIFS('Raw - Customers'!$F:$F,"&gt;="&amp;AA$65,'Raw - Customers'!$F:$F,"&lt;="&amp;EOMONTH(AA$65,0))-COUNTIFS('Raw - Customers'!$F:$F,"&gt;="&amp;AA$65,'Raw - Customers'!$F:$F,"&lt;="&amp;EOMONTH(AA$65,0),'Raw - Customers'!$G:$G,"regrettable")-COUNTIFS('Raw - Customers'!$F:$F,"&gt;="&amp;AA$65,'Raw - Customers'!$F:$F,"&lt;="&amp;EOMONTH(AA$65,0),'Raw - Customers'!$G:$G,"non_regrettable"))</f>
        <v>0</v>
      </c>
      <c r="AB76" s="151">
        <f>-(COUNTIFS('Raw - Customers'!$F:$F,"&gt;="&amp;AB$65,'Raw - Customers'!$F:$F,"&lt;="&amp;EOMONTH(AB$65,0))-COUNTIFS('Raw - Customers'!$F:$F,"&gt;="&amp;AB$65,'Raw - Customers'!$F:$F,"&lt;="&amp;EOMONTH(AB$65,0),'Raw - Customers'!$G:$G,"regrettable")-COUNTIFS('Raw - Customers'!$F:$F,"&gt;="&amp;AB$65,'Raw - Customers'!$F:$F,"&lt;="&amp;EOMONTH(AB$65,0),'Raw - Customers'!$G:$G,"non_regrettable"))</f>
        <v>0</v>
      </c>
      <c r="AC76" s="151">
        <f>-(COUNTIFS('Raw - Customers'!$F:$F,"&gt;="&amp;AC$65,'Raw - Customers'!$F:$F,"&lt;="&amp;EOMONTH(AC$65,0))-COUNTIFS('Raw - Customers'!$F:$F,"&gt;="&amp;AC$65,'Raw - Customers'!$F:$F,"&lt;="&amp;EOMONTH(AC$65,0),'Raw - Customers'!$G:$G,"regrettable")-COUNTIFS('Raw - Customers'!$F:$F,"&gt;="&amp;AC$65,'Raw - Customers'!$F:$F,"&lt;="&amp;EOMONTH(AC$65,0),'Raw - Customers'!$G:$G,"non_regrettable"))</f>
        <v>0</v>
      </c>
      <c r="AD76" s="151">
        <f>-(COUNTIFS('Raw - Customers'!$F:$F,"&gt;="&amp;AD$65,'Raw - Customers'!$F:$F,"&lt;="&amp;EOMONTH(AD$65,0))-COUNTIFS('Raw - Customers'!$F:$F,"&gt;="&amp;AD$65,'Raw - Customers'!$F:$F,"&lt;="&amp;EOMONTH(AD$65,0),'Raw - Customers'!$G:$G,"regrettable")-COUNTIFS('Raw - Customers'!$F:$F,"&gt;="&amp;AD$65,'Raw - Customers'!$F:$F,"&lt;="&amp;EOMONTH(AD$65,0),'Raw - Customers'!$G:$G,"non_regrettable"))</f>
        <v>0</v>
      </c>
      <c r="AE76" s="151">
        <f>-(COUNTIFS('Raw - Customers'!$F:$F,"&gt;="&amp;AE$65,'Raw - Customers'!$F:$F,"&lt;="&amp;EOMONTH(AE$65,0))-COUNTIFS('Raw - Customers'!$F:$F,"&gt;="&amp;AE$65,'Raw - Customers'!$F:$F,"&lt;="&amp;EOMONTH(AE$65,0),'Raw - Customers'!$G:$G,"regrettable")-COUNTIFS('Raw - Customers'!$F:$F,"&gt;="&amp;AE$65,'Raw - Customers'!$F:$F,"&lt;="&amp;EOMONTH(AE$65,0),'Raw - Customers'!$G:$G,"non_regrettable"))</f>
        <v>0</v>
      </c>
      <c r="AF76" s="151">
        <f>-(COUNTIFS('Raw - Customers'!$F:$F,"&gt;="&amp;AF$65,'Raw - Customers'!$F:$F,"&lt;="&amp;EOMONTH(AF$65,0))-COUNTIFS('Raw - Customers'!$F:$F,"&gt;="&amp;AF$65,'Raw - Customers'!$F:$F,"&lt;="&amp;EOMONTH(AF$65,0),'Raw - Customers'!$G:$G,"regrettable")-COUNTIFS('Raw - Customers'!$F:$F,"&gt;="&amp;AF$65,'Raw - Customers'!$F:$F,"&lt;="&amp;EOMONTH(AF$65,0),'Raw - Customers'!$G:$G,"non_regrettable"))</f>
        <v>0</v>
      </c>
      <c r="AG76" s="151">
        <f>-(COUNTIFS('Raw - Customers'!$F:$F,"&gt;="&amp;AG$65,'Raw - Customers'!$F:$F,"&lt;="&amp;EOMONTH(AG$65,0))-COUNTIFS('Raw - Customers'!$F:$F,"&gt;="&amp;AG$65,'Raw - Customers'!$F:$F,"&lt;="&amp;EOMONTH(AG$65,0),'Raw - Customers'!$G:$G,"regrettable")-COUNTIFS('Raw - Customers'!$F:$F,"&gt;="&amp;AG$65,'Raw - Customers'!$F:$F,"&lt;="&amp;EOMONTH(AG$65,0),'Raw - Customers'!$G:$G,"non_regrettable"))</f>
        <v>0</v>
      </c>
      <c r="AH76" s="151">
        <f>-(COUNTIFS('Raw - Customers'!$F:$F,"&gt;="&amp;AH$65,'Raw - Customers'!$F:$F,"&lt;="&amp;EOMONTH(AH$65,0))-COUNTIFS('Raw - Customers'!$F:$F,"&gt;="&amp;AH$65,'Raw - Customers'!$F:$F,"&lt;="&amp;EOMONTH(AH$65,0),'Raw - Customers'!$G:$G,"regrettable")-COUNTIFS('Raw - Customers'!$F:$F,"&gt;="&amp;AH$65,'Raw - Customers'!$F:$F,"&lt;="&amp;EOMONTH(AH$65,0),'Raw - Customers'!$G:$G,"non_regrettable"))</f>
        <v>0</v>
      </c>
      <c r="AI76" s="151">
        <f>-(COUNTIFS('Raw - Customers'!$F:$F,"&gt;="&amp;AI$65,'Raw - Customers'!$F:$F,"&lt;="&amp;EOMONTH(AI$65,0))-COUNTIFS('Raw - Customers'!$F:$F,"&gt;="&amp;AI$65,'Raw - Customers'!$F:$F,"&lt;="&amp;EOMONTH(AI$65,0),'Raw - Customers'!$G:$G,"regrettable")-COUNTIFS('Raw - Customers'!$F:$F,"&gt;="&amp;AI$65,'Raw - Customers'!$F:$F,"&lt;="&amp;EOMONTH(AI$65,0),'Raw - Customers'!$G:$G,"non_regrettable"))</f>
        <v>0</v>
      </c>
      <c r="AJ76" s="151">
        <f>-(COUNTIFS('Raw - Customers'!$F:$F,"&gt;="&amp;AJ$65,'Raw - Customers'!$F:$F,"&lt;="&amp;EOMONTH(AJ$65,0))-COUNTIFS('Raw - Customers'!$F:$F,"&gt;="&amp;AJ$65,'Raw - Customers'!$F:$F,"&lt;="&amp;EOMONTH(AJ$65,0),'Raw - Customers'!$G:$G,"regrettable")-COUNTIFS('Raw - Customers'!$F:$F,"&gt;="&amp;AJ$65,'Raw - Customers'!$F:$F,"&lt;="&amp;EOMONTH(AJ$65,0),'Raw - Customers'!$G:$G,"non_regrettable"))</f>
        <v>0</v>
      </c>
      <c r="AK76" s="151">
        <f>-(COUNTIFS('Raw - Customers'!$F:$F,"&gt;="&amp;AK$65,'Raw - Customers'!$F:$F,"&lt;="&amp;EOMONTH(AK$65,0))-COUNTIFS('Raw - Customers'!$F:$F,"&gt;="&amp;AK$65,'Raw - Customers'!$F:$F,"&lt;="&amp;EOMONTH(AK$65,0),'Raw - Customers'!$G:$G,"regrettable")-COUNTIFS('Raw - Customers'!$F:$F,"&gt;="&amp;AK$65,'Raw - Customers'!$F:$F,"&lt;="&amp;EOMONTH(AK$65,0),'Raw - Customers'!$G:$G,"non_regrettable"))</f>
        <v>0</v>
      </c>
      <c r="AL76" s="151">
        <f>-(COUNTIFS('Raw - Customers'!$F:$F,"&gt;="&amp;AL$65,'Raw - Customers'!$F:$F,"&lt;="&amp;EOMONTH(AL$65,0))-COUNTIFS('Raw - Customers'!$F:$F,"&gt;="&amp;AL$65,'Raw - Customers'!$F:$F,"&lt;="&amp;EOMONTH(AL$65,0),'Raw - Customers'!$G:$G,"regrettable")-COUNTIFS('Raw - Customers'!$F:$F,"&gt;="&amp;AL$65,'Raw - Customers'!$F:$F,"&lt;="&amp;EOMONTH(AL$65,0),'Raw - Customers'!$G:$G,"non_regrettable"))</f>
        <v>0</v>
      </c>
      <c r="AN76" s="150">
        <f>SUM(C76:AL76)</f>
        <v>-3</v>
      </c>
      <c r="AO76" s="151">
        <f>-(COUNTIFS('Raw - Customers'!$F:$F,"&gt;="&amp;$C$65,'Raw - Customers'!$F:$F,"&lt;="&amp;EOMONTH($AL$65,0))-COUNTIFS('Raw - Customers'!$F:$F,"&gt;="&amp;$C$65,'Raw - Customers'!$F:$F,"&lt;="&amp;EOMONTH($AL$65,0),'Raw - Customers'!$G:$G,"regrettable")-COUNTIFS('Raw - Customers'!$F:$F,"&gt;="&amp;$C$65,'Raw - Customers'!$F:$F,"&lt;="&amp;EOMONTH($AL$65,0),'Raw - Customers'!$G:$G,"non_regrettable"))</f>
        <v>-3</v>
      </c>
      <c r="AP76" s="130">
        <f>ROUND(AN76-AO76,6)</f>
        <v>0</v>
      </c>
    </row>
    <row r="77" ht="12" customHeight="1" x14ac:dyDescent="0.25" outlineLevel="1" collapsed="1"/>
    <row r="78" ht="12" customHeight="1" spans="2:2" x14ac:dyDescent="0.25" outlineLevel="1" collapsed="1">
      <c r="B78" s="216" t="s">
        <v>708</v>
      </c>
    </row>
    <row r="79" ht="12" customHeight="1" spans="2:42" x14ac:dyDescent="0.25" outlineLevel="1" collapsed="1">
      <c r="B79" s="16" t="s">
        <v>702</v>
      </c>
      <c r="C79" s="151">
        <f>COUNTIFS('Raw - Customers'!$E:$E,"&gt;="&amp;C$65,'Raw - Customers'!$E:$E,"&lt;="&amp;EOMONTH(C$65,0),'Raw - Customers'!$C:$C,"Office building")</f>
        <v>0</v>
      </c>
      <c r="D79" s="151">
        <f>COUNTIFS('Raw - Customers'!$E:$E,"&gt;="&amp;D$65,'Raw - Customers'!$E:$E,"&lt;="&amp;EOMONTH(D$65,0),'Raw - Customers'!$C:$C,"Office building")</f>
        <v>1</v>
      </c>
      <c r="E79" s="151">
        <f>COUNTIFS('Raw - Customers'!$E:$E,"&gt;="&amp;E$65,'Raw - Customers'!$E:$E,"&lt;="&amp;EOMONTH(E$65,0),'Raw - Customers'!$C:$C,"Office building")</f>
        <v>0</v>
      </c>
      <c r="F79" s="151">
        <f>COUNTIFS('Raw - Customers'!$E:$E,"&gt;="&amp;F$65,'Raw - Customers'!$E:$E,"&lt;="&amp;EOMONTH(F$65,0),'Raw - Customers'!$C:$C,"Office building")</f>
        <v>0</v>
      </c>
      <c r="G79" s="151">
        <f>COUNTIFS('Raw - Customers'!$E:$E,"&gt;="&amp;G$65,'Raw - Customers'!$E:$E,"&lt;="&amp;EOMONTH(G$65,0),'Raw - Customers'!$C:$C,"Office building")</f>
        <v>0</v>
      </c>
      <c r="H79" s="151">
        <f>COUNTIFS('Raw - Customers'!$E:$E,"&gt;="&amp;H$65,'Raw - Customers'!$E:$E,"&lt;="&amp;EOMONTH(H$65,0),'Raw - Customers'!$C:$C,"Office building")</f>
        <v>1</v>
      </c>
      <c r="I79" s="151">
        <f>COUNTIFS('Raw - Customers'!$E:$E,"&gt;="&amp;I$65,'Raw - Customers'!$E:$E,"&lt;="&amp;EOMONTH(I$65,0),'Raw - Customers'!$C:$C,"Office building")</f>
        <v>0</v>
      </c>
      <c r="J79" s="151">
        <f>COUNTIFS('Raw - Customers'!$E:$E,"&gt;="&amp;J$65,'Raw - Customers'!$E:$E,"&lt;="&amp;EOMONTH(J$65,0),'Raw - Customers'!$C:$C,"Office building")</f>
        <v>0</v>
      </c>
      <c r="K79" s="151">
        <f>COUNTIFS('Raw - Customers'!$E:$E,"&gt;="&amp;K$65,'Raw - Customers'!$E:$E,"&lt;="&amp;EOMONTH(K$65,0),'Raw - Customers'!$C:$C,"Office building")</f>
        <v>0</v>
      </c>
      <c r="L79" s="151">
        <f>COUNTIFS('Raw - Customers'!$E:$E,"&gt;="&amp;L$65,'Raw - Customers'!$E:$E,"&lt;="&amp;EOMONTH(L$65,0),'Raw - Customers'!$C:$C,"Office building")</f>
        <v>0</v>
      </c>
      <c r="M79" s="151">
        <f>COUNTIFS('Raw - Customers'!$E:$E,"&gt;="&amp;M$65,'Raw - Customers'!$E:$E,"&lt;="&amp;EOMONTH(M$65,0),'Raw - Customers'!$C:$C,"Office building")</f>
        <v>1</v>
      </c>
      <c r="N79" s="151">
        <f>COUNTIFS('Raw - Customers'!$E:$E,"&gt;="&amp;N$65,'Raw - Customers'!$E:$E,"&lt;="&amp;EOMONTH(N$65,0),'Raw - Customers'!$C:$C,"Office building")</f>
        <v>0</v>
      </c>
      <c r="O79" s="151">
        <f>COUNTIFS('Raw - Customers'!$E:$E,"&gt;="&amp;O$65,'Raw - Customers'!$E:$E,"&lt;="&amp;EOMONTH(O$65,0),'Raw - Customers'!$C:$C,"Office building")</f>
        <v>0</v>
      </c>
      <c r="P79" s="151">
        <f>COUNTIFS('Raw - Customers'!$E:$E,"&gt;="&amp;P$65,'Raw - Customers'!$E:$E,"&lt;="&amp;EOMONTH(P$65,0),'Raw - Customers'!$C:$C,"Office building")</f>
        <v>0</v>
      </c>
      <c r="Q79" s="151">
        <f>COUNTIFS('Raw - Customers'!$E:$E,"&gt;="&amp;Q$65,'Raw - Customers'!$E:$E,"&lt;="&amp;EOMONTH(Q$65,0),'Raw - Customers'!$C:$C,"Office building")</f>
        <v>1</v>
      </c>
      <c r="R79" s="151">
        <f>COUNTIFS('Raw - Customers'!$E:$E,"&gt;="&amp;R$65,'Raw - Customers'!$E:$E,"&lt;="&amp;EOMONTH(R$65,0),'Raw - Customers'!$C:$C,"Office building")</f>
        <v>0</v>
      </c>
      <c r="S79" s="151">
        <f>COUNTIFS('Raw - Customers'!$E:$E,"&gt;="&amp;S$65,'Raw - Customers'!$E:$E,"&lt;="&amp;EOMONTH(S$65,0),'Raw - Customers'!$C:$C,"Office building")</f>
        <v>0</v>
      </c>
      <c r="T79" s="151">
        <f>COUNTIFS('Raw - Customers'!$E:$E,"&gt;="&amp;T$65,'Raw - Customers'!$E:$E,"&lt;="&amp;EOMONTH(T$65,0),'Raw - Customers'!$C:$C,"Office building")</f>
        <v>0</v>
      </c>
      <c r="U79" s="151">
        <f>COUNTIFS('Raw - Customers'!$E:$E,"&gt;="&amp;U$65,'Raw - Customers'!$E:$E,"&lt;="&amp;EOMONTH(U$65,0),'Raw - Customers'!$C:$C,"Office building")</f>
        <v>0</v>
      </c>
      <c r="V79" s="151">
        <f>COUNTIFS('Raw - Customers'!$E:$E,"&gt;="&amp;V$65,'Raw - Customers'!$E:$E,"&lt;="&amp;EOMONTH(V$65,0),'Raw - Customers'!$C:$C,"Office building")</f>
        <v>0</v>
      </c>
      <c r="W79" s="151">
        <f>COUNTIFS('Raw - Customers'!$E:$E,"&gt;="&amp;W$65,'Raw - Customers'!$E:$E,"&lt;="&amp;EOMONTH(W$65,0),'Raw - Customers'!$C:$C,"Office building")</f>
        <v>1</v>
      </c>
      <c r="X79" s="151">
        <f>COUNTIFS('Raw - Customers'!$E:$E,"&gt;="&amp;X$65,'Raw - Customers'!$E:$E,"&lt;="&amp;EOMONTH(X$65,0),'Raw - Customers'!$C:$C,"Office building")</f>
        <v>0</v>
      </c>
      <c r="Y79" s="151">
        <f>COUNTIFS('Raw - Customers'!$E:$E,"&gt;="&amp;Y$65,'Raw - Customers'!$E:$E,"&lt;="&amp;EOMONTH(Y$65,0),'Raw - Customers'!$C:$C,"Office building")</f>
        <v>0</v>
      </c>
      <c r="Z79" s="151">
        <f>COUNTIFS('Raw - Customers'!$E:$E,"&gt;="&amp;Z$65,'Raw - Customers'!$E:$E,"&lt;="&amp;EOMONTH(Z$65,0),'Raw - Customers'!$C:$C,"Office building")</f>
        <v>1</v>
      </c>
      <c r="AA79" s="151">
        <f>COUNTIFS('Raw - Customers'!$E:$E,"&gt;="&amp;AA$65,'Raw - Customers'!$E:$E,"&lt;="&amp;EOMONTH(AA$65,0),'Raw - Customers'!$C:$C,"Office building")</f>
        <v>0</v>
      </c>
      <c r="AB79" s="151">
        <f>COUNTIFS('Raw - Customers'!$E:$E,"&gt;="&amp;AB$65,'Raw - Customers'!$E:$E,"&lt;="&amp;EOMONTH(AB$65,0),'Raw - Customers'!$C:$C,"Office building")</f>
        <v>0</v>
      </c>
      <c r="AC79" s="151">
        <f>COUNTIFS('Raw - Customers'!$E:$E,"&gt;="&amp;AC$65,'Raw - Customers'!$E:$E,"&lt;="&amp;EOMONTH(AC$65,0),'Raw - Customers'!$C:$C,"Office building")</f>
        <v>1</v>
      </c>
      <c r="AD79" s="151">
        <f>COUNTIFS('Raw - Customers'!$E:$E,"&gt;="&amp;AD$65,'Raw - Customers'!$E:$E,"&lt;="&amp;EOMONTH(AD$65,0),'Raw - Customers'!$C:$C,"Office building")</f>
        <v>0</v>
      </c>
      <c r="AE79" s="151">
        <f>COUNTIFS('Raw - Customers'!$E:$E,"&gt;="&amp;AE$65,'Raw - Customers'!$E:$E,"&lt;="&amp;EOMONTH(AE$65,0),'Raw - Customers'!$C:$C,"Office building")</f>
        <v>0</v>
      </c>
      <c r="AF79" s="151">
        <f>COUNTIFS('Raw - Customers'!$E:$E,"&gt;="&amp;AF$65,'Raw - Customers'!$E:$E,"&lt;="&amp;EOMONTH(AF$65,0),'Raw - Customers'!$C:$C,"Office building")</f>
        <v>1</v>
      </c>
      <c r="AG79" s="151">
        <f>COUNTIFS('Raw - Customers'!$E:$E,"&gt;="&amp;AG$65,'Raw - Customers'!$E:$E,"&lt;="&amp;EOMONTH(AG$65,0),'Raw - Customers'!$C:$C,"Office building")</f>
        <v>0</v>
      </c>
      <c r="AH79" s="151">
        <f>COUNTIFS('Raw - Customers'!$E:$E,"&gt;="&amp;AH$65,'Raw - Customers'!$E:$E,"&lt;="&amp;EOMONTH(AH$65,0),'Raw - Customers'!$C:$C,"Office building")</f>
        <v>0</v>
      </c>
      <c r="AI79" s="151">
        <f>COUNTIFS('Raw - Customers'!$E:$E,"&gt;="&amp;AI$65,'Raw - Customers'!$E:$E,"&lt;="&amp;EOMONTH(AI$65,0),'Raw - Customers'!$C:$C,"Office building")</f>
        <v>0</v>
      </c>
      <c r="AJ79" s="151">
        <f>COUNTIFS('Raw - Customers'!$E:$E,"&gt;="&amp;AJ$65,'Raw - Customers'!$E:$E,"&lt;="&amp;EOMONTH(AJ$65,0),'Raw - Customers'!$C:$C,"Office building")</f>
        <v>1</v>
      </c>
      <c r="AK79" s="151">
        <f>COUNTIFS('Raw - Customers'!$E:$E,"&gt;="&amp;AK$65,'Raw - Customers'!$E:$E,"&lt;="&amp;EOMONTH(AK$65,0),'Raw - Customers'!$C:$C,"Office building")</f>
        <v>1</v>
      </c>
      <c r="AL79" s="151">
        <f>COUNTIFS('Raw - Customers'!$E:$E,"&gt;="&amp;AL$65,'Raw - Customers'!$E:$E,"&lt;="&amp;EOMONTH(AL$65,0),'Raw - Customers'!$C:$C,"Office building")</f>
        <v>0</v>
      </c>
      <c r="AN79" s="150">
        <f>SUM(C79:AL79)</f>
        <v>10</v>
      </c>
      <c r="AO79" s="151">
        <f>COUNTIFS('Raw - Customers'!$E:$E,"&gt;="&amp;$C$65,'Raw - Customers'!$E:$E,"&lt;="&amp;EOMONTH($AL$65,0),'Raw - Customers'!$C:$C,"Office building")</f>
        <v>10</v>
      </c>
      <c r="AP79" s="130">
        <f>ROUND(AN79-AO79,6)</f>
        <v>0</v>
      </c>
    </row>
    <row r="80" ht="12" customHeight="1" spans="2:42" x14ac:dyDescent="0.25" outlineLevel="1" collapsed="1">
      <c r="B80" s="16" t="s">
        <v>703</v>
      </c>
      <c r="C80" s="151">
        <f>-COUNTIFS('Raw - Customers'!$F:$F,"&gt;="&amp;C$65,'Raw - Customers'!$F:$F,"&lt;="&amp;EOMONTH(C$65,0),'Raw - Customers'!$C:$C,"Office building")</f>
        <v>0</v>
      </c>
      <c r="D80" s="151">
        <f>-COUNTIFS('Raw - Customers'!$F:$F,"&gt;="&amp;D$65,'Raw - Customers'!$F:$F,"&lt;="&amp;EOMONTH(D$65,0),'Raw - Customers'!$C:$C,"Office building")</f>
        <v>0</v>
      </c>
      <c r="E80" s="151">
        <f>-COUNTIFS('Raw - Customers'!$F:$F,"&gt;="&amp;E$65,'Raw - Customers'!$F:$F,"&lt;="&amp;EOMONTH(E$65,0),'Raw - Customers'!$C:$C,"Office building")</f>
        <v>0</v>
      </c>
      <c r="F80" s="151">
        <f>-COUNTIFS('Raw - Customers'!$F:$F,"&gt;="&amp;F$65,'Raw - Customers'!$F:$F,"&lt;="&amp;EOMONTH(F$65,0),'Raw - Customers'!$C:$C,"Office building")</f>
        <v>0</v>
      </c>
      <c r="G80" s="151">
        <f>-COUNTIFS('Raw - Customers'!$F:$F,"&gt;="&amp;G$65,'Raw - Customers'!$F:$F,"&lt;="&amp;EOMONTH(G$65,0),'Raw - Customers'!$C:$C,"Office building")</f>
        <v>0</v>
      </c>
      <c r="H80" s="151">
        <f>-COUNTIFS('Raw - Customers'!$F:$F,"&gt;="&amp;H$65,'Raw - Customers'!$F:$F,"&lt;="&amp;EOMONTH(H$65,0),'Raw - Customers'!$C:$C,"Office building")</f>
        <v>0</v>
      </c>
      <c r="I80" s="151">
        <f>-COUNTIFS('Raw - Customers'!$F:$F,"&gt;="&amp;I$65,'Raw - Customers'!$F:$F,"&lt;="&amp;EOMONTH(I$65,0),'Raw - Customers'!$C:$C,"Office building")</f>
        <v>0</v>
      </c>
      <c r="J80" s="151">
        <f>-COUNTIFS('Raw - Customers'!$F:$F,"&gt;="&amp;J$65,'Raw - Customers'!$F:$F,"&lt;="&amp;EOMONTH(J$65,0),'Raw - Customers'!$C:$C,"Office building")</f>
        <v>0</v>
      </c>
      <c r="K80" s="151">
        <f>-COUNTIFS('Raw - Customers'!$F:$F,"&gt;="&amp;K$65,'Raw - Customers'!$F:$F,"&lt;="&amp;EOMONTH(K$65,0),'Raw - Customers'!$C:$C,"Office building")</f>
        <v>0</v>
      </c>
      <c r="L80" s="151">
        <f>-COUNTIFS('Raw - Customers'!$F:$F,"&gt;="&amp;L$65,'Raw - Customers'!$F:$F,"&lt;="&amp;EOMONTH(L$65,0),'Raw - Customers'!$C:$C,"Office building")</f>
        <v>0</v>
      </c>
      <c r="M80" s="151">
        <f>-COUNTIFS('Raw - Customers'!$F:$F,"&gt;="&amp;M$65,'Raw - Customers'!$F:$F,"&lt;="&amp;EOMONTH(M$65,0),'Raw - Customers'!$C:$C,"Office building")</f>
        <v>0</v>
      </c>
      <c r="N80" s="151">
        <f>-COUNTIFS('Raw - Customers'!$F:$F,"&gt;="&amp;N$65,'Raw - Customers'!$F:$F,"&lt;="&amp;EOMONTH(N$65,0),'Raw - Customers'!$C:$C,"Office building")</f>
        <v>0</v>
      </c>
      <c r="O80" s="151">
        <f>-COUNTIFS('Raw - Customers'!$F:$F,"&gt;="&amp;O$65,'Raw - Customers'!$F:$F,"&lt;="&amp;EOMONTH(O$65,0),'Raw - Customers'!$C:$C,"Office building")</f>
        <v>0</v>
      </c>
      <c r="P80" s="151">
        <f>-COUNTIFS('Raw - Customers'!$F:$F,"&gt;="&amp;P$65,'Raw - Customers'!$F:$F,"&lt;="&amp;EOMONTH(P$65,0),'Raw - Customers'!$C:$C,"Office building")</f>
        <v>0</v>
      </c>
      <c r="Q80" s="151">
        <f>-COUNTIFS('Raw - Customers'!$F:$F,"&gt;="&amp;Q$65,'Raw - Customers'!$F:$F,"&lt;="&amp;EOMONTH(Q$65,0),'Raw - Customers'!$C:$C,"Office building")</f>
        <v>0</v>
      </c>
      <c r="R80" s="151">
        <f>-COUNTIFS('Raw - Customers'!$F:$F,"&gt;="&amp;R$65,'Raw - Customers'!$F:$F,"&lt;="&amp;EOMONTH(R$65,0),'Raw - Customers'!$C:$C,"Office building")</f>
        <v>0</v>
      </c>
      <c r="S80" s="151">
        <f>-COUNTIFS('Raw - Customers'!$F:$F,"&gt;="&amp;S$65,'Raw - Customers'!$F:$F,"&lt;="&amp;EOMONTH(S$65,0),'Raw - Customers'!$C:$C,"Office building")</f>
        <v>0</v>
      </c>
      <c r="T80" s="151">
        <f>-COUNTIFS('Raw - Customers'!$F:$F,"&gt;="&amp;T$65,'Raw - Customers'!$F:$F,"&lt;="&amp;EOMONTH(T$65,0),'Raw - Customers'!$C:$C,"Office building")</f>
        <v>-1</v>
      </c>
      <c r="U80" s="151">
        <f>-COUNTIFS('Raw - Customers'!$F:$F,"&gt;="&amp;U$65,'Raw - Customers'!$F:$F,"&lt;="&amp;EOMONTH(U$65,0),'Raw - Customers'!$C:$C,"Office building")</f>
        <v>0</v>
      </c>
      <c r="V80" s="151">
        <f>-COUNTIFS('Raw - Customers'!$F:$F,"&gt;="&amp;V$65,'Raw - Customers'!$F:$F,"&lt;="&amp;EOMONTH(V$65,0),'Raw - Customers'!$C:$C,"Office building")</f>
        <v>0</v>
      </c>
      <c r="W80" s="151">
        <f>-COUNTIFS('Raw - Customers'!$F:$F,"&gt;="&amp;W$65,'Raw - Customers'!$F:$F,"&lt;="&amp;EOMONTH(W$65,0),'Raw - Customers'!$C:$C,"Office building")</f>
        <v>0</v>
      </c>
      <c r="X80" s="151">
        <f>-COUNTIFS('Raw - Customers'!$F:$F,"&gt;="&amp;X$65,'Raw - Customers'!$F:$F,"&lt;="&amp;EOMONTH(X$65,0),'Raw - Customers'!$C:$C,"Office building")</f>
        <v>0</v>
      </c>
      <c r="Y80" s="151">
        <f>-COUNTIFS('Raw - Customers'!$F:$F,"&gt;="&amp;Y$65,'Raw - Customers'!$F:$F,"&lt;="&amp;EOMONTH(Y$65,0),'Raw - Customers'!$C:$C,"Office building")</f>
        <v>0</v>
      </c>
      <c r="Z80" s="151">
        <f>-COUNTIFS('Raw - Customers'!$F:$F,"&gt;="&amp;Z$65,'Raw - Customers'!$F:$F,"&lt;="&amp;EOMONTH(Z$65,0),'Raw - Customers'!$C:$C,"Office building")</f>
        <v>0</v>
      </c>
      <c r="AA80" s="151">
        <f>-COUNTIFS('Raw - Customers'!$F:$F,"&gt;="&amp;AA$65,'Raw - Customers'!$F:$F,"&lt;="&amp;EOMONTH(AA$65,0),'Raw - Customers'!$C:$C,"Office building")</f>
        <v>-1</v>
      </c>
      <c r="AB80" s="151">
        <f>-COUNTIFS('Raw - Customers'!$F:$F,"&gt;="&amp;AB$65,'Raw - Customers'!$F:$F,"&lt;="&amp;EOMONTH(AB$65,0),'Raw - Customers'!$C:$C,"Office building")</f>
        <v>0</v>
      </c>
      <c r="AC80" s="151">
        <f>-COUNTIFS('Raw - Customers'!$F:$F,"&gt;="&amp;AC$65,'Raw - Customers'!$F:$F,"&lt;="&amp;EOMONTH(AC$65,0),'Raw - Customers'!$C:$C,"Office building")</f>
        <v>0</v>
      </c>
      <c r="AD80" s="151">
        <f>-COUNTIFS('Raw - Customers'!$F:$F,"&gt;="&amp;AD$65,'Raw - Customers'!$F:$F,"&lt;="&amp;EOMONTH(AD$65,0),'Raw - Customers'!$C:$C,"Office building")</f>
        <v>0</v>
      </c>
      <c r="AE80" s="151">
        <f>-COUNTIFS('Raw - Customers'!$F:$F,"&gt;="&amp;AE$65,'Raw - Customers'!$F:$F,"&lt;="&amp;EOMONTH(AE$65,0),'Raw - Customers'!$C:$C,"Office building")</f>
        <v>-1</v>
      </c>
      <c r="AF80" s="151">
        <f>-COUNTIFS('Raw - Customers'!$F:$F,"&gt;="&amp;AF$65,'Raw - Customers'!$F:$F,"&lt;="&amp;EOMONTH(AF$65,0),'Raw - Customers'!$C:$C,"Office building")</f>
        <v>0</v>
      </c>
      <c r="AG80" s="151">
        <f>-COUNTIFS('Raw - Customers'!$F:$F,"&gt;="&amp;AG$65,'Raw - Customers'!$F:$F,"&lt;="&amp;EOMONTH(AG$65,0),'Raw - Customers'!$C:$C,"Office building")</f>
        <v>0</v>
      </c>
      <c r="AH80" s="151">
        <f>-COUNTIFS('Raw - Customers'!$F:$F,"&gt;="&amp;AH$65,'Raw - Customers'!$F:$F,"&lt;="&amp;EOMONTH(AH$65,0),'Raw - Customers'!$C:$C,"Office building")</f>
        <v>0</v>
      </c>
      <c r="AI80" s="151">
        <f>-COUNTIFS('Raw - Customers'!$F:$F,"&gt;="&amp;AI$65,'Raw - Customers'!$F:$F,"&lt;="&amp;EOMONTH(AI$65,0),'Raw - Customers'!$C:$C,"Office building")</f>
        <v>0</v>
      </c>
      <c r="AJ80" s="151">
        <f>-COUNTIFS('Raw - Customers'!$F:$F,"&gt;="&amp;AJ$65,'Raw - Customers'!$F:$F,"&lt;="&amp;EOMONTH(AJ$65,0),'Raw - Customers'!$C:$C,"Office building")</f>
        <v>0</v>
      </c>
      <c r="AK80" s="151">
        <f>-COUNTIFS('Raw - Customers'!$F:$F,"&gt;="&amp;AK$65,'Raw - Customers'!$F:$F,"&lt;="&amp;EOMONTH(AK$65,0),'Raw - Customers'!$C:$C,"Office building")</f>
        <v>0</v>
      </c>
      <c r="AL80" s="151">
        <f>-COUNTIFS('Raw - Customers'!$F:$F,"&gt;="&amp;AL$65,'Raw - Customers'!$F:$F,"&lt;="&amp;EOMONTH(AL$65,0),'Raw - Customers'!$C:$C,"Office building")</f>
        <v>0</v>
      </c>
      <c r="AN80" s="150">
        <f>SUM(C80:AL80)</f>
        <v>-3</v>
      </c>
      <c r="AO80" s="151">
        <f>-COUNTIFS('Raw - Customers'!$F:$F,"&gt;="&amp;$C$65,'Raw - Customers'!$F:$F,"&lt;="&amp;EOMONTH($AL$65,0),'Raw - Customers'!$C:$C,"Office building")</f>
        <v>-3</v>
      </c>
      <c r="AP80" s="130">
        <f>ROUND(AN80-AO80,6)</f>
        <v>0</v>
      </c>
    </row>
  </sheetData>
  <conditionalFormatting sqref="AP68:AP80">
    <cfRule type="expression" dxfId="23" priority="1">
      <formula>ROUND(AP68,3)&lt;&gt;0</formula>
    </cfRule>
  </conditionalFormatting>
  <printOptions horizontalCentered="1"/>
  <pageMargins left="0.5" right="0.5" top="0.6" bottom="0.7" header="0.3" footer="0.3"/>
  <pageSetup paperSize="1" orientation="landscape" fitToWidth="1" fitToHeight="0"/>
  <headerFooter>
    <oddHeader>&amp;RProject Ridgeline | As of 12/31/25</oddHeader>
    <oddFooter>&amp;LAMB Advisory Services | Strictly confidential&amp;C&amp;A&amp;RPage &amp;P of &amp;N</oddFooter>
  </headerFooter>
  <rowBreaks count="1" manualBreakCount="1">
    <brk id="42" max="16383" man="1"/>
  </rowBreak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G36"/>
  <sheetViews>
    <sheetView workbookViewId="0" showGridLines="0" zoomScale="100"/>
  </sheetViews>
  <sheetFormatPr defaultRowHeight="12.75" outlineLevelRow="0" outlineLevelCol="0" x14ac:dyDescent="55" customHeight="1"/>
  <cols>
    <col min="1" max="1" width="1.7" customWidth="1"/>
    <col min="2" max="2" width="34" customWidth="1"/>
    <col min="3" max="3" width="14" customWidth="1"/>
    <col min="4" max="4" width="11" customWidth="1"/>
    <col min="5" max="6" width="12" customWidth="1"/>
    <col min="7" max="7" width="22" customWidth="1"/>
  </cols>
  <sheetData>
    <row r="2" ht="16.5" customHeight="1" spans="2:2" x14ac:dyDescent="0.25">
      <c r="B2" s="9">
        <f>Cover!B24</f>
      </c>
    </row>
    <row r="3" spans="2:7" x14ac:dyDescent="0.25">
      <c r="B3" s="10" t="s">
        <v>709</v>
      </c>
      <c r="C3" s="11"/>
      <c r="D3" s="11"/>
      <c r="E3" s="11"/>
      <c r="F3" s="34" t="s">
        <v>80</v>
      </c>
      <c r="G3" s="35">
        <f>'Contents'!$I$18</f>
      </c>
    </row>
    <row r="5" spans="2:7" x14ac:dyDescent="0.25">
      <c r="B5" s="36" t="s">
        <v>710</v>
      </c>
      <c r="C5" s="36"/>
      <c r="D5" s="36"/>
      <c r="E5" s="36"/>
      <c r="F5" s="36"/>
      <c r="G5" s="36"/>
    </row>
    <row r="6" spans="2:7" x14ac:dyDescent="0.25">
      <c r="B6" s="13" t="s">
        <v>604</v>
      </c>
      <c r="C6" s="12" t="s">
        <v>552</v>
      </c>
      <c r="D6" s="12" t="s">
        <v>711</v>
      </c>
      <c r="E6" s="12" t="s">
        <v>712</v>
      </c>
      <c r="F6" s="12" t="s">
        <v>713</v>
      </c>
      <c r="G6" s="217" t="s">
        <v>549</v>
      </c>
    </row>
    <row r="8" spans="2:7" x14ac:dyDescent="0.25">
      <c r="B8" s="218" t="s">
        <v>635</v>
      </c>
      <c r="C8" s="39">
        <f>'Customer Overview'!$C$29*INDEX('Raw - Customers'!$I:$I,MATCH(B8,'Raw - Customers'!$A:$A,0))+'Customer Overview'!$D$29*INDEX('Raw - Customers'!$J:$J,MATCH(B8,'Raw - Customers'!$A:$A,0))+'Customer Overview'!$E$29*INDEX('Raw - Customers'!$K:$K,MATCH(B8,'Raw - Customers'!$A:$A,0))</f>
        <v>121600</v>
      </c>
      <c r="D8" s="129">
        <f>IFERROR(C8/C$30,"n.a.")</f>
        <v>0.03998947645356485</v>
      </c>
      <c r="E8" s="219">
        <f>D8</f>
        <v>0.03998947645356485</v>
      </c>
      <c r="F8" s="55">
        <f>IF(N(INDEX('Raw - Customers'!$E:$E,MATCH(B8,'Raw - Customers'!$A:$A,0)))=0,"n.a.",MAX(0,('Assumptions'!$C$9-INDEX('Raw - Customers'!$E:$E,MATCH(B8,'Raw - Customers'!$A:$A,0)))/365.25))</f>
        <v>13.834360027378509</v>
      </c>
      <c r="G8" s="220" t="str">
        <f>INDEX('Raw - Customers'!$C:$C,MATCH(B8,'Raw - Customers'!$A:$A,0))</f>
        <v>Property manager</v>
      </c>
    </row>
    <row r="9" spans="2:7" x14ac:dyDescent="0.25">
      <c r="B9" s="218" t="s">
        <v>636</v>
      </c>
      <c r="C9" s="53">
        <f>'Customer Overview'!$C$29*INDEX('Raw - Customers'!$I:$I,MATCH(B9,'Raw - Customers'!$A:$A,0))+'Customer Overview'!$D$29*INDEX('Raw - Customers'!$J:$J,MATCH(B9,'Raw - Customers'!$A:$A,0))+'Customer Overview'!$E$29*INDEX('Raw - Customers'!$K:$K,MATCH(B9,'Raw - Customers'!$A:$A,0))</f>
        <v>84300</v>
      </c>
      <c r="D9" s="129">
        <f>IFERROR(C9/C$30,"n.a.")</f>
        <v>0.02772296764009471</v>
      </c>
      <c r="E9" s="129">
        <f>E8+D9</f>
        <v>0.06771244409365956</v>
      </c>
      <c r="F9" s="55">
        <f>IF(N(INDEX('Raw - Customers'!$E:$E,MATCH(B9,'Raw - Customers'!$A:$A,0)))=0,"n.a.",MAX(0,('Assumptions'!$C$9-INDEX('Raw - Customers'!$E:$E,MATCH(B9,'Raw - Customers'!$A:$A,0)))/365.25))</f>
        <v>10.417522245037645</v>
      </c>
      <c r="G9" s="220" t="str">
        <f>INDEX('Raw - Customers'!$C:$C,MATCH(B9,'Raw - Customers'!$A:$A,0))</f>
        <v>Restaurant group</v>
      </c>
    </row>
    <row r="10" spans="2:7" x14ac:dyDescent="0.25">
      <c r="B10" s="218" t="s">
        <v>637</v>
      </c>
      <c r="C10" s="53">
        <f>'Customer Overview'!$C$29*INDEX('Raw - Customers'!$I:$I,MATCH(B10,'Raw - Customers'!$A:$A,0))+'Customer Overview'!$D$29*INDEX('Raw - Customers'!$J:$J,MATCH(B10,'Raw - Customers'!$A:$A,0))+'Customer Overview'!$E$29*INDEX('Raw - Customers'!$K:$K,MATCH(B10,'Raw - Customers'!$A:$A,0))</f>
        <v>71200</v>
      </c>
      <c r="D10" s="129">
        <f>IFERROR(C10/C$30,"n.a.")</f>
        <v>0.023414890818205737</v>
      </c>
      <c r="E10" s="129">
        <f>E9+D10</f>
        <v>0.0911273349118653</v>
      </c>
      <c r="F10" s="55">
        <f>IF(N(INDEX('Raw - Customers'!$E:$E,MATCH(B10,'Raw - Customers'!$A:$A,0)))=0,"n.a.",MAX(0,('Assumptions'!$C$9-INDEX('Raw - Customers'!$E:$E,MATCH(B10,'Raw - Customers'!$A:$A,0)))/365.25))</f>
        <v>11.997262149212867</v>
      </c>
      <c r="G10" s="220" t="str">
        <f>INDEX('Raw - Customers'!$C:$C,MATCH(B10,'Raw - Customers'!$A:$A,0))</f>
        <v>Property manager</v>
      </c>
    </row>
    <row r="11" spans="2:7" x14ac:dyDescent="0.25">
      <c r="B11" s="218" t="s">
        <v>638</v>
      </c>
      <c r="C11" s="53">
        <f>'Customer Overview'!$C$29*INDEX('Raw - Customers'!$I:$I,MATCH(B11,'Raw - Customers'!$A:$A,0))+'Customer Overview'!$D$29*INDEX('Raw - Customers'!$J:$J,MATCH(B11,'Raw - Customers'!$A:$A,0))+'Customer Overview'!$E$29*INDEX('Raw - Customers'!$K:$K,MATCH(B11,'Raw - Customers'!$A:$A,0))</f>
        <v>64800</v>
      </c>
      <c r="D11" s="129">
        <f>IFERROR(C11/C$30,"n.a.")</f>
        <v>0.021310181531176007</v>
      </c>
      <c r="E11" s="129">
        <f>E10+D11</f>
        <v>0.1124375164430413</v>
      </c>
      <c r="F11" s="55">
        <f>IF(N(INDEX('Raw - Customers'!$E:$E,MATCH(B11,'Raw - Customers'!$A:$A,0)))=0,"n.a.",MAX(0,('Assumptions'!$C$9-INDEX('Raw - Customers'!$E:$E,MATCH(B11,'Raw - Customers'!$A:$A,0)))/365.25))</f>
        <v>14.584531143052704</v>
      </c>
      <c r="G11" s="220" t="str">
        <f>INDEX('Raw - Customers'!$C:$C,MATCH(B11,'Raw - Customers'!$A:$A,0))</f>
        <v>Office building</v>
      </c>
    </row>
    <row r="12" spans="2:7" x14ac:dyDescent="0.25">
      <c r="B12" s="218" t="s">
        <v>639</v>
      </c>
      <c r="C12" s="53">
        <f>'Customer Overview'!$C$29*INDEX('Raw - Customers'!$I:$I,MATCH(B12,'Raw - Customers'!$A:$A,0))+'Customer Overview'!$D$29*INDEX('Raw - Customers'!$J:$J,MATCH(B12,'Raw - Customers'!$A:$A,0))+'Customer Overview'!$E$29*INDEX('Raw - Customers'!$K:$K,MATCH(B12,'Raw - Customers'!$A:$A,0))</f>
        <v>58900</v>
      </c>
      <c r="D12" s="129">
        <f>IFERROR(C12/C$30,"n.a.")</f>
        <v>0.019369902657195476</v>
      </c>
      <c r="E12" s="129">
        <f>E11+D12</f>
        <v>0.13180741910023677</v>
      </c>
      <c r="F12" s="55">
        <f>IF(N(INDEX('Raw - Customers'!$E:$E,MATCH(B12,'Raw - Customers'!$A:$A,0)))=0,"n.a.",MAX(0,('Assumptions'!$C$9-INDEX('Raw - Customers'!$E:$E,MATCH(B12,'Raw - Customers'!$A:$A,0)))/365.25))</f>
        <v>7.750855578370979</v>
      </c>
      <c r="G12" s="220" t="str">
        <f>INDEX('Raw - Customers'!$C:$C,MATCH(B12,'Raw - Customers'!$A:$A,0))</f>
        <v>Restaurant group</v>
      </c>
    </row>
    <row r="13" spans="2:7" x14ac:dyDescent="0.25">
      <c r="B13" s="218" t="s">
        <v>640</v>
      </c>
      <c r="C13" s="53">
        <f>'Customer Overview'!$C$29*INDEX('Raw - Customers'!$I:$I,MATCH(B13,'Raw - Customers'!$A:$A,0))+'Customer Overview'!$D$29*INDEX('Raw - Customers'!$J:$J,MATCH(B13,'Raw - Customers'!$A:$A,0))+'Customer Overview'!$E$29*INDEX('Raw - Customers'!$K:$K,MATCH(B13,'Raw - Customers'!$A:$A,0))</f>
        <v>52400</v>
      </c>
      <c r="D13" s="129">
        <f>IFERROR(C13/C$30,"n.a.")</f>
        <v>0.017232307287555905</v>
      </c>
      <c r="E13" s="129">
        <f>E12+D13</f>
        <v>0.1490397263877927</v>
      </c>
      <c r="F13" s="55">
        <f>IF(N(INDEX('Raw - Customers'!$E:$E,MATCH(B13,'Raw - Customers'!$A:$A,0)))=0,"n.a.",MAX(0,('Assumptions'!$C$9-INDEX('Raw - Customers'!$E:$E,MATCH(B13,'Raw - Customers'!$A:$A,0)))/365.25))</f>
        <v>9.248459958932239</v>
      </c>
      <c r="G13" s="220" t="str">
        <f>INDEX('Raw - Customers'!$C:$C,MATCH(B13,'Raw - Customers'!$A:$A,0))</f>
        <v>Property manager</v>
      </c>
    </row>
    <row r="14" spans="2:7" x14ac:dyDescent="0.25">
      <c r="B14" s="218" t="s">
        <v>641</v>
      </c>
      <c r="C14" s="53">
        <f>'Customer Overview'!$C$29*INDEX('Raw - Customers'!$I:$I,MATCH(B14,'Raw - Customers'!$A:$A,0))+'Customer Overview'!$D$29*INDEX('Raw - Customers'!$J:$J,MATCH(B14,'Raw - Customers'!$A:$A,0))+'Customer Overview'!$E$29*INDEX('Raw - Customers'!$K:$K,MATCH(B14,'Raw - Customers'!$A:$A,0))</f>
        <v>41700</v>
      </c>
      <c r="D14" s="129">
        <f>IFERROR(C14/C$30,"n.a.")</f>
        <v>0.013713496448303077</v>
      </c>
      <c r="E14" s="129">
        <f>E13+D14</f>
        <v>0.16275322283609575</v>
      </c>
      <c r="F14" s="55">
        <f>IF(N(INDEX('Raw - Customers'!$E:$E,MATCH(B14,'Raw - Customers'!$A:$A,0)))=0,"n.a.",MAX(0,('Assumptions'!$C$9-INDEX('Raw - Customers'!$E:$E,MATCH(B14,'Raw - Customers'!$A:$A,0)))/365.25))</f>
        <v>12.668035592060233</v>
      </c>
      <c r="G14" s="220" t="str">
        <f>INDEX('Raw - Customers'!$C:$C,MATCH(B14,'Raw - Customers'!$A:$A,0))</f>
        <v>Medical office</v>
      </c>
    </row>
    <row r="15" spans="2:7" x14ac:dyDescent="0.25">
      <c r="B15" s="218" t="s">
        <v>642</v>
      </c>
      <c r="C15" s="53">
        <f>'Customer Overview'!$C$29*INDEX('Raw - Customers'!$I:$I,MATCH(B15,'Raw - Customers'!$A:$A,0))+'Customer Overview'!$D$29*INDEX('Raw - Customers'!$J:$J,MATCH(B15,'Raw - Customers'!$A:$A,0))+'Customer Overview'!$E$29*INDEX('Raw - Customers'!$K:$K,MATCH(B15,'Raw - Customers'!$A:$A,0))</f>
        <v>34600</v>
      </c>
      <c r="D15" s="129">
        <f>IFERROR(C15/C$30,"n.a.")</f>
        <v>0.011378584583004472</v>
      </c>
      <c r="E15" s="129">
        <f>E14+D15</f>
        <v>0.17413180741910023</v>
      </c>
      <c r="F15" s="55">
        <f>IF(N(INDEX('Raw - Customers'!$E:$E,MATCH(B15,'Raw - Customers'!$A:$A,0)))=0,"n.a.",MAX(0,('Assumptions'!$C$9-INDEX('Raw - Customers'!$E:$E,MATCH(B15,'Raw - Customers'!$A:$A,0)))/365.25))</f>
        <v>6.913073237508556</v>
      </c>
      <c r="G15" s="220" t="str">
        <f>INDEX('Raw - Customers'!$C:$C,MATCH(B15,'Raw - Customers'!$A:$A,0))</f>
        <v>Property manager</v>
      </c>
    </row>
    <row r="16" spans="2:7" x14ac:dyDescent="0.25">
      <c r="B16" s="218" t="s">
        <v>643</v>
      </c>
      <c r="C16" s="53">
        <f>'Customer Overview'!$C$29*INDEX('Raw - Customers'!$I:$I,MATCH(B16,'Raw - Customers'!$A:$A,0))+'Customer Overview'!$D$29*INDEX('Raw - Customers'!$J:$J,MATCH(B16,'Raw - Customers'!$A:$A,0))+'Customer Overview'!$E$29*INDEX('Raw - Customers'!$K:$K,MATCH(B16,'Raw - Customers'!$A:$A,0))</f>
        <v>30200</v>
      </c>
      <c r="D16" s="129">
        <f>IFERROR(C16/C$30,"n.a.")</f>
        <v>0.009931596948171533</v>
      </c>
      <c r="E16" s="129">
        <f>E15+D16</f>
        <v>0.18406340436727178</v>
      </c>
      <c r="F16" s="55">
        <f>IF(N(INDEX('Raw - Customers'!$E:$E,MATCH(B16,'Raw - Customers'!$A:$A,0)))=0,"n.a.",MAX(0,('Assumptions'!$C$9-INDEX('Raw - Customers'!$E:$E,MATCH(B16,'Raw - Customers'!$A:$A,0)))/365.25))</f>
        <v>4.331279945242985</v>
      </c>
      <c r="G16" s="220" t="str">
        <f>INDEX('Raw - Customers'!$C:$C,MATCH(B16,'Raw - Customers'!$A:$A,0))</f>
        <v>Restaurant group</v>
      </c>
    </row>
    <row r="17" spans="2:7" x14ac:dyDescent="0.25">
      <c r="B17" s="218" t="s">
        <v>644</v>
      </c>
      <c r="C17" s="53">
        <f>'Customer Overview'!$C$29*INDEX('Raw - Customers'!$I:$I,MATCH(B17,'Raw - Customers'!$A:$A,0))+'Customer Overview'!$D$29*INDEX('Raw - Customers'!$J:$J,MATCH(B17,'Raw - Customers'!$A:$A,0))+'Customer Overview'!$E$29*INDEX('Raw - Customers'!$K:$K,MATCH(B17,'Raw - Customers'!$A:$A,0))</f>
        <v>27100</v>
      </c>
      <c r="D17" s="129">
        <f>IFERROR(C17/C$30,"n.a.")</f>
        <v>0.008912128387266509</v>
      </c>
      <c r="E17" s="129">
        <f>E16+D17</f>
        <v>0.19297553275453827</v>
      </c>
      <c r="F17" s="55">
        <f>IF(N(INDEX('Raw - Customers'!$E:$E,MATCH(B17,'Raw - Customers'!$A:$A,0)))=0,"n.a.",MAX(0,('Assumptions'!$C$9-INDEX('Raw - Customers'!$E:$E,MATCH(B17,'Raw - Customers'!$A:$A,0)))/365.25))</f>
        <v>15.16495550992471</v>
      </c>
      <c r="G17" s="220" t="str">
        <f>INDEX('Raw - Customers'!$C:$C,MATCH(B17,'Raw - Customers'!$A:$A,0))</f>
        <v>Retail</v>
      </c>
    </row>
    <row r="18" spans="2:7" x14ac:dyDescent="0.25">
      <c r="B18" s="218" t="s">
        <v>645</v>
      </c>
      <c r="C18" s="53">
        <f>'Customer Overview'!$C$29*INDEX('Raw - Customers'!$I:$I,MATCH(B18,'Raw - Customers'!$A:$A,0))+'Customer Overview'!$D$29*INDEX('Raw - Customers'!$J:$J,MATCH(B18,'Raw - Customers'!$A:$A,0))+'Customer Overview'!$E$29*INDEX('Raw - Customers'!$K:$K,MATCH(B18,'Raw - Customers'!$A:$A,0))</f>
        <v>9607</v>
      </c>
      <c r="D18" s="129">
        <f>IFERROR(C18/C$30,"n.a.")</f>
        <v>0.0031593659563272825</v>
      </c>
      <c r="E18" s="129">
        <f>E17+D18</f>
        <v>0.19613489871086556</v>
      </c>
      <c r="F18" s="55">
        <f>IF(N(INDEX('Raw - Customers'!$E:$E,MATCH(B18,'Raw - Customers'!$A:$A,0)))=0,"n.a.",MAX(0,('Assumptions'!$C$9-INDEX('Raw - Customers'!$E:$E,MATCH(B18,'Raw - Customers'!$A:$A,0)))/365.25))</f>
        <v>13.248459958932239</v>
      </c>
      <c r="G18" s="220" t="str">
        <f>INDEX('Raw - Customers'!$C:$C,MATCH(B18,'Raw - Customers'!$A:$A,0))</f>
        <v>Retail</v>
      </c>
    </row>
    <row r="19" spans="2:7" x14ac:dyDescent="0.25">
      <c r="B19" s="218" t="s">
        <v>646</v>
      </c>
      <c r="C19" s="53">
        <f>'Customer Overview'!$C$29*INDEX('Raw - Customers'!$I:$I,MATCH(B19,'Raw - Customers'!$A:$A,0))+'Customer Overview'!$D$29*INDEX('Raw - Customers'!$J:$J,MATCH(B19,'Raw - Customers'!$A:$A,0))+'Customer Overview'!$E$29*INDEX('Raw - Customers'!$K:$K,MATCH(B19,'Raw - Customers'!$A:$A,0))</f>
        <v>8942</v>
      </c>
      <c r="D19" s="129">
        <f>IFERROR(C19/C$30,"n.a.")</f>
        <v>0.0029406735069718495</v>
      </c>
      <c r="E19" s="129">
        <f>E18+D19</f>
        <v>0.19907557221783742</v>
      </c>
      <c r="F19" s="55">
        <f>IF(N(INDEX('Raw - Customers'!$E:$E,MATCH(B19,'Raw - Customers'!$A:$A,0)))=0,"n.a.",MAX(0,('Assumptions'!$C$9-INDEX('Raw - Customers'!$E:$E,MATCH(B19,'Raw - Customers'!$A:$A,0)))/365.25))</f>
        <v>3.4168377823408624</v>
      </c>
      <c r="G19" s="220" t="str">
        <f>INDEX('Raw - Customers'!$C:$C,MATCH(B19,'Raw - Customers'!$A:$A,0))</f>
        <v>Church or nonprofit</v>
      </c>
    </row>
    <row r="20" spans="2:7" x14ac:dyDescent="0.25">
      <c r="B20" s="218" t="s">
        <v>647</v>
      </c>
      <c r="C20" s="53">
        <f>'Customer Overview'!$C$29*INDEX('Raw - Customers'!$I:$I,MATCH(B20,'Raw - Customers'!$A:$A,0))+'Customer Overview'!$D$29*INDEX('Raw - Customers'!$J:$J,MATCH(B20,'Raw - Customers'!$A:$A,0))+'Customer Overview'!$E$29*INDEX('Raw - Customers'!$K:$K,MATCH(B20,'Raw - Customers'!$A:$A,0))</f>
        <v>8472</v>
      </c>
      <c r="D20" s="129">
        <f>IFERROR(C20/C$30,"n.a.")</f>
        <v>0.0027861089187056036</v>
      </c>
      <c r="E20" s="129">
        <f>E19+D20</f>
        <v>0.20186168113654301</v>
      </c>
      <c r="F20" s="55">
        <f>IF(N(INDEX('Raw - Customers'!$E:$E,MATCH(B20,'Raw - Customers'!$A:$A,0)))=0,"n.a.",MAX(0,('Assumptions'!$C$9-INDEX('Raw - Customers'!$E:$E,MATCH(B20,'Raw - Customers'!$A:$A,0)))/365.25))</f>
        <v>8.91170431211499</v>
      </c>
      <c r="G20" s="220" t="str">
        <f>INDEX('Raw - Customers'!$C:$C,MATCH(B20,'Raw - Customers'!$A:$A,0))</f>
        <v>Property manager</v>
      </c>
    </row>
    <row r="21" spans="2:7" x14ac:dyDescent="0.25">
      <c r="B21" s="218" t="s">
        <v>648</v>
      </c>
      <c r="C21" s="53">
        <f>'Customer Overview'!$C$29*INDEX('Raw - Customers'!$I:$I,MATCH(B21,'Raw - Customers'!$A:$A,0))+'Customer Overview'!$D$29*INDEX('Raw - Customers'!$J:$J,MATCH(B21,'Raw - Customers'!$A:$A,0))+'Customer Overview'!$E$29*INDEX('Raw - Customers'!$K:$K,MATCH(B21,'Raw - Customers'!$A:$A,0))</f>
        <v>8247</v>
      </c>
      <c r="D21" s="129">
        <f>IFERROR(C21/C$30,"n.a.")</f>
        <v>0.002712115232833465</v>
      </c>
      <c r="E21" s="129">
        <f>E20+D21</f>
        <v>0.20457379636937648</v>
      </c>
      <c r="F21" s="55">
        <f>IF(N(INDEX('Raw - Customers'!$E:$E,MATCH(B21,'Raw - Customers'!$A:$A,0)))=0,"n.a.",MAX(0,('Assumptions'!$C$9-INDEX('Raw - Customers'!$E:$E,MATCH(B21,'Raw - Customers'!$A:$A,0)))/365.25))</f>
        <v>1.08145106091718</v>
      </c>
      <c r="G21" s="220" t="str">
        <f>INDEX('Raw - Customers'!$C:$C,MATCH(B21,'Raw - Customers'!$A:$A,0))</f>
        <v>Office building</v>
      </c>
    </row>
    <row r="22" spans="2:7" x14ac:dyDescent="0.25">
      <c r="B22" s="218" t="s">
        <v>649</v>
      </c>
      <c r="C22" s="53">
        <f>'Customer Overview'!$C$29*INDEX('Raw - Customers'!$I:$I,MATCH(B22,'Raw - Customers'!$A:$A,0))+'Customer Overview'!$D$29*INDEX('Raw - Customers'!$J:$J,MATCH(B22,'Raw - Customers'!$A:$A,0))+'Customer Overview'!$E$29*INDEX('Raw - Customers'!$K:$K,MATCH(B22,'Raw - Customers'!$A:$A,0))</f>
        <v>8153</v>
      </c>
      <c r="D22" s="129">
        <f>IFERROR(C22/C$30,"n.a.")</f>
        <v>0.002681202315180216</v>
      </c>
      <c r="E22" s="129">
        <f>E21+D22</f>
        <v>0.20725499868455668</v>
      </c>
      <c r="F22" s="55">
        <f>IF(N(INDEX('Raw - Customers'!$E:$E,MATCH(B22,'Raw - Customers'!$A:$A,0)))=0,"n.a.",MAX(0,('Assumptions'!$C$9-INDEX('Raw - Customers'!$E:$E,MATCH(B22,'Raw - Customers'!$A:$A,0)))/365.25))</f>
        <v>7.750855578370979</v>
      </c>
      <c r="G22" s="220" t="str">
        <f>INDEX('Raw - Customers'!$C:$C,MATCH(B22,'Raw - Customers'!$A:$A,0))</f>
        <v>Office building</v>
      </c>
    </row>
    <row r="23" spans="2:7" x14ac:dyDescent="0.25">
      <c r="B23" s="218" t="s">
        <v>650</v>
      </c>
      <c r="C23" s="53">
        <f>'Customer Overview'!$C$29*INDEX('Raw - Customers'!$I:$I,MATCH(B23,'Raw - Customers'!$A:$A,0))+'Customer Overview'!$D$29*INDEX('Raw - Customers'!$J:$J,MATCH(B23,'Raw - Customers'!$A:$A,0))+'Customer Overview'!$E$29*INDEX('Raw - Customers'!$K:$K,MATCH(B23,'Raw - Customers'!$A:$A,0))</f>
        <v>7820</v>
      </c>
      <c r="D23" s="129">
        <f>IFERROR(C23/C$30,"n.a.")</f>
        <v>0.00257169166008945</v>
      </c>
      <c r="E23" s="129">
        <f>E22+D23</f>
        <v>0.20982669034464616</v>
      </c>
      <c r="F23" s="55">
        <f>IF(N(INDEX('Raw - Customers'!$E:$E,MATCH(B23,'Raw - Customers'!$A:$A,0)))=0,"n.a.",MAX(0,('Assumptions'!$C$9-INDEX('Raw - Customers'!$E:$E,MATCH(B23,'Raw - Customers'!$A:$A,0)))/365.25))</f>
        <v>1.7494866529774127</v>
      </c>
      <c r="G23" s="220" t="str">
        <f>INDEX('Raw - Customers'!$C:$C,MATCH(B23,'Raw - Customers'!$A:$A,0))</f>
        <v>School or daycare</v>
      </c>
    </row>
    <row r="24" spans="2:7" x14ac:dyDescent="0.25">
      <c r="B24" s="218" t="s">
        <v>651</v>
      </c>
      <c r="C24" s="53">
        <f>'Customer Overview'!$C$29*INDEX('Raw - Customers'!$I:$I,MATCH(B24,'Raw - Customers'!$A:$A,0))+'Customer Overview'!$D$29*INDEX('Raw - Customers'!$J:$J,MATCH(B24,'Raw - Customers'!$A:$A,0))+'Customer Overview'!$E$29*INDEX('Raw - Customers'!$K:$K,MATCH(B24,'Raw - Customers'!$A:$A,0))</f>
        <v>7479</v>
      </c>
      <c r="D24" s="129">
        <f>IFERROR(C24/C$30,"n.a.")</f>
        <v>0.0024595501183898973</v>
      </c>
      <c r="E24" s="129">
        <f>E23+D24</f>
        <v>0.21228624046303604</v>
      </c>
      <c r="F24" s="55">
        <f>IF(N(INDEX('Raw - Customers'!$E:$E,MATCH(B24,'Raw - Customers'!$A:$A,0)))=0,"n.a.",MAX(0,('Assumptions'!$C$9-INDEX('Raw - Customers'!$E:$E,MATCH(B24,'Raw - Customers'!$A:$A,0)))/365.25))</f>
        <v>0.9117043121149897</v>
      </c>
      <c r="G24" s="220" t="str">
        <f>INDEX('Raw - Customers'!$C:$C,MATCH(B24,'Raw - Customers'!$A:$A,0))</f>
        <v>Retail</v>
      </c>
    </row>
    <row r="25" spans="2:7" x14ac:dyDescent="0.25">
      <c r="B25" s="218" t="s">
        <v>652</v>
      </c>
      <c r="C25" s="53">
        <f>'Customer Overview'!$C$29*INDEX('Raw - Customers'!$I:$I,MATCH(B25,'Raw - Customers'!$A:$A,0))+'Customer Overview'!$D$29*INDEX('Raw - Customers'!$J:$J,MATCH(B25,'Raw - Customers'!$A:$A,0))+'Customer Overview'!$E$29*INDEX('Raw - Customers'!$K:$K,MATCH(B25,'Raw - Customers'!$A:$A,0))</f>
        <v>7295</v>
      </c>
      <c r="D25" s="129">
        <f>IFERROR(C25/C$30,"n.a.")</f>
        <v>0.0023990397263877927</v>
      </c>
      <c r="E25" s="129">
        <f>E24+D25</f>
        <v>0.21468528018942384</v>
      </c>
      <c r="F25" s="55">
        <f>IF(N(INDEX('Raw - Customers'!$E:$E,MATCH(B25,'Raw - Customers'!$A:$A,0)))=0,"n.a.",MAX(0,('Assumptions'!$C$9-INDEX('Raw - Customers'!$E:$E,MATCH(B25,'Raw - Customers'!$A:$A,0)))/365.25))</f>
        <v>2.6694045174537986</v>
      </c>
      <c r="G25" s="220" t="str">
        <f>INDEX('Raw - Customers'!$C:$C,MATCH(B25,'Raw - Customers'!$A:$A,0))</f>
        <v>Restaurant group</v>
      </c>
    </row>
    <row r="26" spans="2:7" x14ac:dyDescent="0.25">
      <c r="B26" s="218" t="s">
        <v>653</v>
      </c>
      <c r="C26" s="53">
        <f>'Customer Overview'!$C$29*INDEX('Raw - Customers'!$I:$I,MATCH(B26,'Raw - Customers'!$A:$A,0))+'Customer Overview'!$D$29*INDEX('Raw - Customers'!$J:$J,MATCH(B26,'Raw - Customers'!$A:$A,0))+'Customer Overview'!$E$29*INDEX('Raw - Customers'!$K:$K,MATCH(B26,'Raw - Customers'!$A:$A,0))</f>
        <v>7040</v>
      </c>
      <c r="D26" s="129">
        <f>IFERROR(C26/C$30,"n.a.")</f>
        <v>0.002315180215732702</v>
      </c>
      <c r="E26" s="129">
        <f>E25+D26</f>
        <v>0.21700046040515653</v>
      </c>
      <c r="F26" s="55">
        <f>IF(N(INDEX('Raw - Customers'!$E:$E,MATCH(B26,'Raw - Customers'!$A:$A,0)))=0,"n.a.",MAX(0,('Assumptions'!$C$9-INDEX('Raw - Customers'!$E:$E,MATCH(B26,'Raw - Customers'!$A:$A,0)))/365.25))</f>
        <v>10.50239561943874</v>
      </c>
      <c r="G26" s="220" t="str">
        <f>INDEX('Raw - Customers'!$C:$C,MATCH(B26,'Raw - Customers'!$A:$A,0))</f>
        <v>Retail</v>
      </c>
    </row>
    <row r="27" spans="2:7" x14ac:dyDescent="0.25">
      <c r="B27" s="218" t="s">
        <v>654</v>
      </c>
      <c r="C27" s="53">
        <f>'Customer Overview'!$C$29*INDEX('Raw - Customers'!$I:$I,MATCH(B27,'Raw - Customers'!$A:$A,0))+'Customer Overview'!$D$29*INDEX('Raw - Customers'!$J:$J,MATCH(B27,'Raw - Customers'!$A:$A,0))+'Customer Overview'!$E$29*INDEX('Raw - Customers'!$K:$K,MATCH(B27,'Raw - Customers'!$A:$A,0))</f>
        <v>6826</v>
      </c>
      <c r="D27" s="129">
        <f>IFERROR(C27/C$30,"n.a.")</f>
        <v>0.002244803998947645</v>
      </c>
      <c r="E27" s="129">
        <f>E26+D27</f>
        <v>0.2192452644041042</v>
      </c>
      <c r="F27" s="55">
        <f>IF(N(INDEX('Raw - Customers'!$E:$E,MATCH(B27,'Raw - Customers'!$A:$A,0)))=0,"n.a.",MAX(0,('Assumptions'!$C$9-INDEX('Raw - Customers'!$E:$E,MATCH(B27,'Raw - Customers'!$A:$A,0)))/365.25))</f>
        <v>14.250513347022586</v>
      </c>
      <c r="G27" s="220" t="str">
        <f>INDEX('Raw - Customers'!$C:$C,MATCH(B27,'Raw - Customers'!$A:$A,0))</f>
        <v>Medical office</v>
      </c>
    </row>
    <row r="28" spans="2:7" x14ac:dyDescent="0.25">
      <c r="B28" s="116" t="s">
        <v>714</v>
      </c>
      <c r="C28" s="116">
        <f>SUM(C8:C27)</f>
        <v>666681</v>
      </c>
      <c r="D28" s="221">
        <f>IFERROR(C28/C$30,"n.a.")</f>
        <v>0.2192452644041042</v>
      </c>
      <c r="E28" s="222"/>
      <c r="F28" s="222"/>
      <c r="G28" s="222"/>
    </row>
    <row r="29" spans="2:4" x14ac:dyDescent="0.25">
      <c r="B29" s="52" t="s">
        <v>715</v>
      </c>
      <c r="C29" s="52">
        <f>C30-C28</f>
        <v>2374119</v>
      </c>
      <c r="D29" s="129">
        <f>IFERROR(C29/C$30,"n.a.")</f>
        <v>0.7807547355958958</v>
      </c>
    </row>
    <row r="30" spans="2:7" x14ac:dyDescent="0.25">
      <c r="B30" s="197" t="s">
        <v>563</v>
      </c>
      <c r="C30" s="166">
        <f>'Customer Overview'!$C$29*SUM('Raw - Customers'!$I:$I)+'Customer Overview'!$D$29*SUM('Raw - Customers'!$J:$J)+'Customer Overview'!$E$29*SUM('Raw - Customers'!$K:$K)</f>
        <v>3040800</v>
      </c>
      <c r="D30" s="223">
        <f>IFERROR(C30/C30,"n.a.")</f>
        <v>1</v>
      </c>
      <c r="E30" s="199"/>
      <c r="F30" s="199"/>
      <c r="G30" s="185"/>
    </row>
    <row r="32" spans="2:7" x14ac:dyDescent="0.25">
      <c r="B32" s="37" t="s">
        <v>716</v>
      </c>
      <c r="C32" s="37"/>
      <c r="D32" s="37"/>
      <c r="E32" s="37"/>
      <c r="F32" s="37"/>
      <c r="G32" s="37"/>
    </row>
    <row r="33" spans="2:4" x14ac:dyDescent="0.25">
      <c r="B33" s="52" t="s">
        <v>717</v>
      </c>
      <c r="D33" s="219">
        <f>D8</f>
        <v>0.03998947645356485</v>
      </c>
    </row>
    <row r="34" spans="2:4" x14ac:dyDescent="0.25">
      <c r="B34" s="52" t="s">
        <v>106</v>
      </c>
      <c r="D34" s="129">
        <f>SUM(D8:D17)</f>
        <v>0.19297553275453827</v>
      </c>
    </row>
    <row r="36" ht="25" customHeight="1" spans="2:7" x14ac:dyDescent="0.25">
      <c r="B36" s="60" t="s">
        <v>718</v>
      </c>
      <c r="C36" s="60"/>
      <c r="D36" s="60"/>
      <c r="E36" s="60"/>
      <c r="F36" s="60"/>
      <c r="G36" s="60"/>
    </row>
  </sheetData>
  <mergeCells count="1">
    <mergeCell ref="B36:G36"/>
  </mergeCells>
  <conditionalFormatting sqref="B2 G3 E8:G8 B8:C27 F9:G27 C30 D33">
    <cfRule type="expression" dxfId="24" priority="1">
      <formula>$G$3=1</formula>
    </cfRule>
  </conditionalFormatting>
  <printOptions horizontalCentered="1"/>
  <pageMargins left="0.5" right="0.5" top="0.6" bottom="0.7" header="0.3" footer="0.3"/>
  <pageSetup paperSize="1" orientation="portrait" fitToWidth="1" fitToHeight="0"/>
  <headerFooter>
    <oddHeader>&amp;RProject Ridgeline | As of 12/31/25</oddHeader>
    <oddFooter>&amp;LAMB Advisory Services | Strictly confidential&amp;C&amp;A&amp;RPage &amp;P of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F36"/>
  <sheetViews>
    <sheetView workbookViewId="0" showGridLines="0" zoomScale="100"/>
  </sheetViews>
  <sheetFormatPr defaultRowHeight="12.75" outlineLevelRow="0" outlineLevelCol="0" x14ac:dyDescent="55" customHeight="1"/>
  <cols>
    <col min="1" max="1" width="1.7" customWidth="1"/>
    <col min="2" max="2" width="34" customWidth="1"/>
    <col min="3" max="3" width="11" customWidth="1"/>
    <col min="4" max="6" width="9.1" customWidth="1"/>
  </cols>
  <sheetData>
    <row r="2" ht="16.5" customHeight="1" spans="2:2" x14ac:dyDescent="0.25">
      <c r="B2" s="9">
        <f>Cover!B24</f>
      </c>
    </row>
    <row r="3" spans="2:6" x14ac:dyDescent="0.25">
      <c r="B3" s="10" t="s">
        <v>719</v>
      </c>
      <c r="C3" s="11"/>
      <c r="D3" s="11"/>
      <c r="E3" s="34" t="s">
        <v>80</v>
      </c>
      <c r="F3" s="35">
        <f>'Contents'!$I$18</f>
      </c>
    </row>
    <row r="5" spans="2:6" x14ac:dyDescent="0.25">
      <c r="B5" s="36" t="s">
        <v>720</v>
      </c>
      <c r="C5" s="36"/>
      <c r="D5" s="36" t="s">
        <v>721</v>
      </c>
      <c r="E5" s="36"/>
      <c r="F5" s="36"/>
    </row>
    <row r="6" spans="2:6" x14ac:dyDescent="0.25">
      <c r="B6" s="13" t="s">
        <v>722</v>
      </c>
      <c r="C6" s="12" t="s">
        <v>723</v>
      </c>
      <c r="D6" s="12" t="s">
        <v>571</v>
      </c>
      <c r="E6" s="12" t="s">
        <v>572</v>
      </c>
      <c r="F6" s="12" t="s">
        <v>573</v>
      </c>
    </row>
    <row r="8" spans="2:6" x14ac:dyDescent="0.25">
      <c r="B8" s="52" t="s">
        <v>724</v>
      </c>
      <c r="C8" s="53">
        <f>COUNTIFS('Raw - Customers'!$E:$E,"&lt;="&amp;EOMONTH(EOMONTH(DATE(B9,'Assumptions'!$C$14,1),0),-12))</f>
        <v>35</v>
      </c>
      <c r="D8" s="53">
        <f>COUNTIFS('Raw - Customers'!$E:$E,"&lt;="&amp;EOMONTH(EOMONTH(DATE(B9,'Assumptions'!$C$14,1),0),-12),'Raw - Customers'!$E:$E,"&lt;="&amp;EOMONTH(DATE('Assumptions'!$C$15-2,'Assumptions'!$C$14,1),0),'Raw - Customers'!$F:$F,"")+COUNTIFS('Raw - Customers'!$E:$E,"&lt;="&amp;EOMONTH(EOMONTH(DATE(B9,'Assumptions'!$C$14,1),0),-12),'Raw - Customers'!$E:$E,"&lt;="&amp;EOMONTH(DATE('Assumptions'!$C$15-2,'Assumptions'!$C$14,1),0),'Raw - Customers'!$F:$F,"&gt;"&amp;EOMONTH(DATE('Assumptions'!$C$15-2,'Assumptions'!$C$14,1),0))</f>
        <v>32</v>
      </c>
      <c r="E8" s="53">
        <f>COUNTIFS('Raw - Customers'!$E:$E,"&lt;="&amp;EOMONTH(EOMONTH(DATE(B9,'Assumptions'!$C$14,1),0),-12),'Raw - Customers'!$E:$E,"&lt;="&amp;EOMONTH(DATE('Assumptions'!$C$15-1,'Assumptions'!$C$14,1),0),'Raw - Customers'!$F:$F,"")+COUNTIFS('Raw - Customers'!$E:$E,"&lt;="&amp;EOMONTH(EOMONTH(DATE(B9,'Assumptions'!$C$14,1),0),-12),'Raw - Customers'!$E:$E,"&lt;="&amp;EOMONTH(DATE('Assumptions'!$C$15-1,'Assumptions'!$C$14,1),0),'Raw - Customers'!$F:$F,"&gt;"&amp;EOMONTH(DATE('Assumptions'!$C$15-1,'Assumptions'!$C$14,1),0))</f>
        <v>29</v>
      </c>
      <c r="F8" s="53">
        <f>COUNTIFS('Raw - Customers'!$E:$E,"&lt;="&amp;EOMONTH(EOMONTH(DATE(B9,'Assumptions'!$C$14,1),0),-12),'Raw - Customers'!$E:$E,"&lt;="&amp;EOMONTH(DATE('Assumptions'!$C$15-0,'Assumptions'!$C$14,1),0),'Raw - Customers'!$F:$F,"")+COUNTIFS('Raw - Customers'!$E:$E,"&lt;="&amp;EOMONTH(EOMONTH(DATE(B9,'Assumptions'!$C$14,1),0),-12),'Raw - Customers'!$E:$E,"&lt;="&amp;EOMONTH(DATE('Assumptions'!$C$15-0,'Assumptions'!$C$14,1),0),'Raw - Customers'!$F:$F,"&gt;"&amp;EOMONTH(DATE('Assumptions'!$C$15-0,'Assumptions'!$C$14,1),0))</f>
        <v>25</v>
      </c>
    </row>
    <row r="9" spans="2:6" x14ac:dyDescent="0.25">
      <c r="B9" s="224">
        <v>2021</v>
      </c>
      <c r="C9" s="53">
        <f>COUNTIFS('Raw - Customers'!$E:$E,"&gt;"&amp;EOMONTH(EOMONTH(DATE(B9,'Assumptions'!$C$14,1),0),-12),'Raw - Customers'!$E:$E,"&lt;="&amp;EOMONTH(DATE(B9,'Assumptions'!$C$14,1),0))</f>
        <v>3</v>
      </c>
      <c r="D9" s="53">
        <f>COUNTIFS('Raw - Customers'!$E:$E,"&gt;"&amp;EOMONTH(EOMONTH(DATE(B9,'Assumptions'!$C$14,1),0),-12),'Raw - Customers'!$E:$E,"&lt;="&amp;EOMONTH(DATE(B9,'Assumptions'!$C$14,1),0),'Raw - Customers'!$E:$E,"&lt;="&amp;EOMONTH(DATE('Assumptions'!$C$15-2,'Assumptions'!$C$14,1),0),'Raw - Customers'!$F:$F,"")+COUNTIFS('Raw - Customers'!$E:$E,"&gt;"&amp;EOMONTH(EOMONTH(DATE(B9,'Assumptions'!$C$14,1),0),-12),'Raw - Customers'!$E:$E,"&lt;="&amp;EOMONTH(DATE(B9,'Assumptions'!$C$14,1),0),'Raw - Customers'!$E:$E,"&lt;="&amp;EOMONTH(DATE('Assumptions'!$C$15-2,'Assumptions'!$C$14,1),0),'Raw - Customers'!$F:$F,"&gt;"&amp;EOMONTH(DATE('Assumptions'!$C$15-2,'Assumptions'!$C$14,1),0))</f>
        <v>3</v>
      </c>
      <c r="E9" s="53">
        <f>COUNTIFS('Raw - Customers'!$E:$E,"&gt;"&amp;EOMONTH(EOMONTH(DATE(B9,'Assumptions'!$C$14,1),0),-12),'Raw - Customers'!$E:$E,"&lt;="&amp;EOMONTH(DATE(B9,'Assumptions'!$C$14,1),0),'Raw - Customers'!$E:$E,"&lt;="&amp;EOMONTH(DATE('Assumptions'!$C$15-1,'Assumptions'!$C$14,1),0),'Raw - Customers'!$F:$F,"")+COUNTIFS('Raw - Customers'!$E:$E,"&gt;"&amp;EOMONTH(EOMONTH(DATE(B9,'Assumptions'!$C$14,1),0),-12),'Raw - Customers'!$E:$E,"&lt;="&amp;EOMONTH(DATE(B9,'Assumptions'!$C$14,1),0),'Raw - Customers'!$E:$E,"&lt;="&amp;EOMONTH(DATE('Assumptions'!$C$15-1,'Assumptions'!$C$14,1),0),'Raw - Customers'!$F:$F,"&gt;"&amp;EOMONTH(DATE('Assumptions'!$C$15-1,'Assumptions'!$C$14,1),0))</f>
        <v>3</v>
      </c>
      <c r="F9" s="53">
        <f>COUNTIFS('Raw - Customers'!$E:$E,"&gt;"&amp;EOMONTH(EOMONTH(DATE(B9,'Assumptions'!$C$14,1),0),-12),'Raw - Customers'!$E:$E,"&lt;="&amp;EOMONTH(DATE(B9,'Assumptions'!$C$14,1),0),'Raw - Customers'!$E:$E,"&lt;="&amp;EOMONTH(DATE('Assumptions'!$C$15-0,'Assumptions'!$C$14,1),0),'Raw - Customers'!$F:$F,"")+COUNTIFS('Raw - Customers'!$E:$E,"&gt;"&amp;EOMONTH(EOMONTH(DATE(B9,'Assumptions'!$C$14,1),0),-12),'Raw - Customers'!$E:$E,"&lt;="&amp;EOMONTH(DATE(B9,'Assumptions'!$C$14,1),0),'Raw - Customers'!$E:$E,"&lt;="&amp;EOMONTH(DATE('Assumptions'!$C$15-0,'Assumptions'!$C$14,1),0),'Raw - Customers'!$F:$F,"&gt;"&amp;EOMONTH(DATE('Assumptions'!$C$15-0,'Assumptions'!$C$14,1),0))</f>
        <v>3</v>
      </c>
    </row>
    <row r="10" spans="2:6" x14ac:dyDescent="0.25">
      <c r="B10" s="224">
        <v>2022</v>
      </c>
      <c r="C10" s="53">
        <f>COUNTIFS('Raw - Customers'!$E:$E,"&gt;"&amp;EOMONTH(EOMONTH(DATE(B10,'Assumptions'!$C$14,1),0),-12),'Raw - Customers'!$E:$E,"&lt;="&amp;EOMONTH(DATE(B10,'Assumptions'!$C$14,1),0))</f>
        <v>2</v>
      </c>
      <c r="D10" s="53">
        <f>COUNTIFS('Raw - Customers'!$E:$E,"&gt;"&amp;EOMONTH(EOMONTH(DATE(B10,'Assumptions'!$C$14,1),0),-12),'Raw - Customers'!$E:$E,"&lt;="&amp;EOMONTH(DATE(B10,'Assumptions'!$C$14,1),0),'Raw - Customers'!$E:$E,"&lt;="&amp;EOMONTH(DATE('Assumptions'!$C$15-2,'Assumptions'!$C$14,1),0),'Raw - Customers'!$F:$F,"")+COUNTIFS('Raw - Customers'!$E:$E,"&gt;"&amp;EOMONTH(EOMONTH(DATE(B10,'Assumptions'!$C$14,1),0),-12),'Raw - Customers'!$E:$E,"&lt;="&amp;EOMONTH(DATE(B10,'Assumptions'!$C$14,1),0),'Raw - Customers'!$E:$E,"&lt;="&amp;EOMONTH(DATE('Assumptions'!$C$15-2,'Assumptions'!$C$14,1),0),'Raw - Customers'!$F:$F,"&gt;"&amp;EOMONTH(DATE('Assumptions'!$C$15-2,'Assumptions'!$C$14,1),0))</f>
        <v>2</v>
      </c>
      <c r="E10" s="53">
        <f>COUNTIFS('Raw - Customers'!$E:$E,"&gt;"&amp;EOMONTH(EOMONTH(DATE(B10,'Assumptions'!$C$14,1),0),-12),'Raw - Customers'!$E:$E,"&lt;="&amp;EOMONTH(DATE(B10,'Assumptions'!$C$14,1),0),'Raw - Customers'!$E:$E,"&lt;="&amp;EOMONTH(DATE('Assumptions'!$C$15-1,'Assumptions'!$C$14,1),0),'Raw - Customers'!$F:$F,"")+COUNTIFS('Raw - Customers'!$E:$E,"&gt;"&amp;EOMONTH(EOMONTH(DATE(B10,'Assumptions'!$C$14,1),0),-12),'Raw - Customers'!$E:$E,"&lt;="&amp;EOMONTH(DATE(B10,'Assumptions'!$C$14,1),0),'Raw - Customers'!$E:$E,"&lt;="&amp;EOMONTH(DATE('Assumptions'!$C$15-1,'Assumptions'!$C$14,1),0),'Raw - Customers'!$F:$F,"&gt;"&amp;EOMONTH(DATE('Assumptions'!$C$15-1,'Assumptions'!$C$14,1),0))</f>
        <v>2</v>
      </c>
      <c r="F10" s="53">
        <f>COUNTIFS('Raw - Customers'!$E:$E,"&gt;"&amp;EOMONTH(EOMONTH(DATE(B10,'Assumptions'!$C$14,1),0),-12),'Raw - Customers'!$E:$E,"&lt;="&amp;EOMONTH(DATE(B10,'Assumptions'!$C$14,1),0),'Raw - Customers'!$E:$E,"&lt;="&amp;EOMONTH(DATE('Assumptions'!$C$15-0,'Assumptions'!$C$14,1),0),'Raw - Customers'!$F:$F,"")+COUNTIFS('Raw - Customers'!$E:$E,"&gt;"&amp;EOMONTH(EOMONTH(DATE(B10,'Assumptions'!$C$14,1),0),-12),'Raw - Customers'!$E:$E,"&lt;="&amp;EOMONTH(DATE(B10,'Assumptions'!$C$14,1),0),'Raw - Customers'!$E:$E,"&lt;="&amp;EOMONTH(DATE('Assumptions'!$C$15-0,'Assumptions'!$C$14,1),0),'Raw - Customers'!$F:$F,"&gt;"&amp;EOMONTH(DATE('Assumptions'!$C$15-0,'Assumptions'!$C$14,1),0))</f>
        <v>2</v>
      </c>
    </row>
    <row r="11" spans="2:6" x14ac:dyDescent="0.25">
      <c r="B11" s="224">
        <v>2023</v>
      </c>
      <c r="C11" s="53">
        <f>COUNTIFS('Raw - Customers'!$E:$E,"&gt;"&amp;EOMONTH(EOMONTH(DATE(B11,'Assumptions'!$C$14,1),0),-12),'Raw - Customers'!$E:$E,"&lt;="&amp;EOMONTH(DATE(B11,'Assumptions'!$C$14,1),0))</f>
        <v>7</v>
      </c>
      <c r="D11" s="53">
        <f>COUNTIFS('Raw - Customers'!$E:$E,"&gt;"&amp;EOMONTH(EOMONTH(DATE(B11,'Assumptions'!$C$14,1),0),-12),'Raw - Customers'!$E:$E,"&lt;="&amp;EOMONTH(DATE(B11,'Assumptions'!$C$14,1),0),'Raw - Customers'!$E:$E,"&lt;="&amp;EOMONTH(DATE('Assumptions'!$C$15-2,'Assumptions'!$C$14,1),0),'Raw - Customers'!$F:$F,"")+COUNTIFS('Raw - Customers'!$E:$E,"&gt;"&amp;EOMONTH(EOMONTH(DATE(B11,'Assumptions'!$C$14,1),0),-12),'Raw - Customers'!$E:$E,"&lt;="&amp;EOMONTH(DATE(B11,'Assumptions'!$C$14,1),0),'Raw - Customers'!$E:$E,"&lt;="&amp;EOMONTH(DATE('Assumptions'!$C$15-2,'Assumptions'!$C$14,1),0),'Raw - Customers'!$F:$F,"&gt;"&amp;EOMONTH(DATE('Assumptions'!$C$15-2,'Assumptions'!$C$14,1),0))</f>
        <v>7</v>
      </c>
      <c r="E11" s="53">
        <f>COUNTIFS('Raw - Customers'!$E:$E,"&gt;"&amp;EOMONTH(EOMONTH(DATE(B11,'Assumptions'!$C$14,1),0),-12),'Raw - Customers'!$E:$E,"&lt;="&amp;EOMONTH(DATE(B11,'Assumptions'!$C$14,1),0),'Raw - Customers'!$E:$E,"&lt;="&amp;EOMONTH(DATE('Assumptions'!$C$15-1,'Assumptions'!$C$14,1),0),'Raw - Customers'!$F:$F,"")+COUNTIFS('Raw - Customers'!$E:$E,"&gt;"&amp;EOMONTH(EOMONTH(DATE(B11,'Assumptions'!$C$14,1),0),-12),'Raw - Customers'!$E:$E,"&lt;="&amp;EOMONTH(DATE(B11,'Assumptions'!$C$14,1),0),'Raw - Customers'!$E:$E,"&lt;="&amp;EOMONTH(DATE('Assumptions'!$C$15-1,'Assumptions'!$C$14,1),0),'Raw - Customers'!$F:$F,"&gt;"&amp;EOMONTH(DATE('Assumptions'!$C$15-1,'Assumptions'!$C$14,1),0))</f>
        <v>7</v>
      </c>
      <c r="F11" s="53">
        <f>COUNTIFS('Raw - Customers'!$E:$E,"&gt;"&amp;EOMONTH(EOMONTH(DATE(B11,'Assumptions'!$C$14,1),0),-12),'Raw - Customers'!$E:$E,"&lt;="&amp;EOMONTH(DATE(B11,'Assumptions'!$C$14,1),0),'Raw - Customers'!$E:$E,"&lt;="&amp;EOMONTH(DATE('Assumptions'!$C$15-0,'Assumptions'!$C$14,1),0),'Raw - Customers'!$F:$F,"")+COUNTIFS('Raw - Customers'!$E:$E,"&gt;"&amp;EOMONTH(EOMONTH(DATE(B11,'Assumptions'!$C$14,1),0),-12),'Raw - Customers'!$E:$E,"&lt;="&amp;EOMONTH(DATE(B11,'Assumptions'!$C$14,1),0),'Raw - Customers'!$E:$E,"&lt;="&amp;EOMONTH(DATE('Assumptions'!$C$15-0,'Assumptions'!$C$14,1),0),'Raw - Customers'!$F:$F,"&gt;"&amp;EOMONTH(DATE('Assumptions'!$C$15-0,'Assumptions'!$C$14,1),0))</f>
        <v>7</v>
      </c>
    </row>
    <row r="12" spans="2:6" x14ac:dyDescent="0.25">
      <c r="B12" s="224">
        <v>2024</v>
      </c>
      <c r="C12" s="53">
        <f>COUNTIFS('Raw - Customers'!$E:$E,"&gt;"&amp;EOMONTH(EOMONTH(DATE(B12,'Assumptions'!$C$14,1),0),-12),'Raw - Customers'!$E:$E,"&lt;="&amp;EOMONTH(DATE(B12,'Assumptions'!$C$14,1),0))</f>
        <v>8</v>
      </c>
      <c r="D12" s="210" t="s">
        <v>11</v>
      </c>
      <c r="E12" s="53">
        <f>COUNTIFS('Raw - Customers'!$E:$E,"&gt;"&amp;EOMONTH(EOMONTH(DATE(B12,'Assumptions'!$C$14,1),0),-12),'Raw - Customers'!$E:$E,"&lt;="&amp;EOMONTH(DATE(B12,'Assumptions'!$C$14,1),0),'Raw - Customers'!$E:$E,"&lt;="&amp;EOMONTH(DATE('Assumptions'!$C$15-1,'Assumptions'!$C$14,1),0),'Raw - Customers'!$F:$F,"")+COUNTIFS('Raw - Customers'!$E:$E,"&gt;"&amp;EOMONTH(EOMONTH(DATE(B12,'Assumptions'!$C$14,1),0),-12),'Raw - Customers'!$E:$E,"&lt;="&amp;EOMONTH(DATE(B12,'Assumptions'!$C$14,1),0),'Raw - Customers'!$E:$E,"&lt;="&amp;EOMONTH(DATE('Assumptions'!$C$15-1,'Assumptions'!$C$14,1),0),'Raw - Customers'!$F:$F,"&gt;"&amp;EOMONTH(DATE('Assumptions'!$C$15-1,'Assumptions'!$C$14,1),0))</f>
        <v>8</v>
      </c>
      <c r="F12" s="53">
        <f>COUNTIFS('Raw - Customers'!$E:$E,"&gt;"&amp;EOMONTH(EOMONTH(DATE(B12,'Assumptions'!$C$14,1),0),-12),'Raw - Customers'!$E:$E,"&lt;="&amp;EOMONTH(DATE(B12,'Assumptions'!$C$14,1),0),'Raw - Customers'!$E:$E,"&lt;="&amp;EOMONTH(DATE('Assumptions'!$C$15-0,'Assumptions'!$C$14,1),0),'Raw - Customers'!$F:$F,"")+COUNTIFS('Raw - Customers'!$E:$E,"&gt;"&amp;EOMONTH(EOMONTH(DATE(B12,'Assumptions'!$C$14,1),0),-12),'Raw - Customers'!$E:$E,"&lt;="&amp;EOMONTH(DATE(B12,'Assumptions'!$C$14,1),0),'Raw - Customers'!$E:$E,"&lt;="&amp;EOMONTH(DATE('Assumptions'!$C$15-0,'Assumptions'!$C$14,1),0),'Raw - Customers'!$F:$F,"&gt;"&amp;EOMONTH(DATE('Assumptions'!$C$15-0,'Assumptions'!$C$14,1),0))</f>
        <v>8</v>
      </c>
    </row>
    <row r="13" spans="2:6" x14ac:dyDescent="0.25">
      <c r="B13" s="224">
        <v>2025</v>
      </c>
      <c r="C13" s="53">
        <f>COUNTIFS('Raw - Customers'!$E:$E,"&gt;"&amp;EOMONTH(EOMONTH(DATE(B13,'Assumptions'!$C$14,1),0),-12),'Raw - Customers'!$E:$E,"&lt;="&amp;EOMONTH(DATE(B13,'Assumptions'!$C$14,1),0))</f>
        <v>7</v>
      </c>
      <c r="D13" s="210" t="s">
        <v>11</v>
      </c>
      <c r="E13" s="210" t="s">
        <v>11</v>
      </c>
      <c r="F13" s="53">
        <f>COUNTIFS('Raw - Customers'!$E:$E,"&gt;"&amp;EOMONTH(EOMONTH(DATE(B13,'Assumptions'!$C$14,1),0),-12),'Raw - Customers'!$E:$E,"&lt;="&amp;EOMONTH(DATE(B13,'Assumptions'!$C$14,1),0),'Raw - Customers'!$E:$E,"&lt;="&amp;EOMONTH(DATE('Assumptions'!$C$15-0,'Assumptions'!$C$14,1),0),'Raw - Customers'!$F:$F,"")+COUNTIFS('Raw - Customers'!$E:$E,"&gt;"&amp;EOMONTH(EOMONTH(DATE(B13,'Assumptions'!$C$14,1),0),-12),'Raw - Customers'!$E:$E,"&lt;="&amp;EOMONTH(DATE(B13,'Assumptions'!$C$14,1),0),'Raw - Customers'!$E:$E,"&lt;="&amp;EOMONTH(DATE('Assumptions'!$C$15-0,'Assumptions'!$C$14,1),0),'Raw - Customers'!$F:$F,"&gt;"&amp;EOMONTH(DATE('Assumptions'!$C$15-0,'Assumptions'!$C$14,1),0))</f>
        <v>7</v>
      </c>
    </row>
    <row r="14" spans="2:6" x14ac:dyDescent="0.25">
      <c r="B14" s="116" t="s">
        <v>725</v>
      </c>
      <c r="C14" s="222"/>
      <c r="D14" s="225">
        <f>SUM(D8:D13)</f>
        <v>44</v>
      </c>
      <c r="E14" s="225">
        <f>SUM(E8:E13)</f>
        <v>49</v>
      </c>
      <c r="F14" s="225">
        <f>SUM(F8:F13)</f>
        <v>52</v>
      </c>
    </row>
    <row r="15" spans="2:6" x14ac:dyDescent="0.25">
      <c r="B15" s="130" t="s">
        <v>726</v>
      </c>
      <c r="D15" s="130">
        <f>ROUND(COUNTIFS('Raw - Customers'!$E:$E,"&lt;="&amp;EOMONTH(DATE('Assumptions'!$C$15-2,'Assumptions'!$C$14,1),0),'Raw - Customers'!$F:$F,"")+COUNTIFS('Raw - Customers'!$E:$E,"&lt;="&amp;EOMONTH(DATE('Assumptions'!$C$15-2,'Assumptions'!$C$14,1),0),'Raw - Customers'!$F:$F,"&gt;"&amp;EOMONTH(DATE('Assumptions'!$C$15-2,'Assumptions'!$C$14,1),0))-D14,6)</f>
        <v>0</v>
      </c>
      <c r="E15" s="130">
        <f>ROUND(COUNTIFS('Raw - Customers'!$E:$E,"&lt;="&amp;EOMONTH(DATE('Assumptions'!$C$15-1,'Assumptions'!$C$14,1),0),'Raw - Customers'!$F:$F,"")+COUNTIFS('Raw - Customers'!$E:$E,"&lt;="&amp;EOMONTH(DATE('Assumptions'!$C$15-1,'Assumptions'!$C$14,1),0),'Raw - Customers'!$F:$F,"&gt;"&amp;EOMONTH(DATE('Assumptions'!$C$15-1,'Assumptions'!$C$14,1),0))-E14,6)</f>
        <v>0</v>
      </c>
      <c r="F15" s="130">
        <f>ROUND(COUNTIFS('Raw - Customers'!$E:$E,"&lt;="&amp;EOMONTH(DATE('Assumptions'!$C$15-0,'Assumptions'!$C$14,1),0),'Raw - Customers'!$F:$F,"")+COUNTIFS('Raw - Customers'!$E:$E,"&lt;="&amp;EOMONTH(DATE('Assumptions'!$C$15-0,'Assumptions'!$C$14,1),0),'Raw - Customers'!$F:$F,"&gt;"&amp;EOMONTH(DATE('Assumptions'!$C$15-0,'Assumptions'!$C$14,1),0))-F14,6)</f>
        <v>0</v>
      </c>
    </row>
    <row r="17" spans="2:6" x14ac:dyDescent="0.25">
      <c r="B17" s="37" t="s">
        <v>727</v>
      </c>
      <c r="C17" s="37"/>
      <c r="D17" s="37"/>
      <c r="E17" s="37"/>
      <c r="F17" s="37"/>
    </row>
    <row r="18" spans="2:6" x14ac:dyDescent="0.25">
      <c r="B18" s="52" t="s">
        <v>724</v>
      </c>
      <c r="D18" s="115">
        <f>IFERROR(D8/C8,"n.a.")</f>
        <v>0.9142857142857143</v>
      </c>
      <c r="E18" s="115">
        <f>IFERROR(E8/C8,"n.a.")</f>
        <v>0.8285714285714286</v>
      </c>
      <c r="F18" s="115">
        <f>IFERROR(F8/C8,"n.a.")</f>
        <v>0.7142857142857143</v>
      </c>
    </row>
    <row r="19" spans="2:6" x14ac:dyDescent="0.25">
      <c r="B19" s="226">
        <f>B9</f>
        <v>2021</v>
      </c>
      <c r="D19" s="115">
        <f>IFERROR(D9/C9,"n.a.")</f>
        <v>1</v>
      </c>
      <c r="E19" s="115">
        <f>IFERROR(E9/C9,"n.a.")</f>
        <v>1</v>
      </c>
      <c r="F19" s="115">
        <f>IFERROR(F9/C9,"n.a.")</f>
        <v>1</v>
      </c>
    </row>
    <row r="20" spans="2:6" x14ac:dyDescent="0.25">
      <c r="B20" s="226">
        <f>B10</f>
        <v>2022</v>
      </c>
      <c r="D20" s="115">
        <f>IFERROR(D10/C10,"n.a.")</f>
        <v>1</v>
      </c>
      <c r="E20" s="115">
        <f>IFERROR(E10/C10,"n.a.")</f>
        <v>1</v>
      </c>
      <c r="F20" s="115">
        <f>IFERROR(F10/C10,"n.a.")</f>
        <v>1</v>
      </c>
    </row>
    <row r="21" spans="2:6" x14ac:dyDescent="0.25">
      <c r="B21" s="226">
        <f>B11</f>
        <v>2023</v>
      </c>
      <c r="D21" s="115">
        <f>IFERROR(D11/C11,"n.a.")</f>
        <v>1</v>
      </c>
      <c r="E21" s="115">
        <f>IFERROR(E11/C11,"n.a.")</f>
        <v>1</v>
      </c>
      <c r="F21" s="115">
        <f>IFERROR(F11/C11,"n.a.")</f>
        <v>1</v>
      </c>
    </row>
    <row r="22" spans="2:6" x14ac:dyDescent="0.25">
      <c r="B22" s="226">
        <f>B12</f>
        <v>2024</v>
      </c>
      <c r="D22" s="210" t="s">
        <v>11</v>
      </c>
      <c r="E22" s="115">
        <f>IFERROR(E12/C12,"n.a.")</f>
        <v>1</v>
      </c>
      <c r="F22" s="115">
        <f>IFERROR(F12/C12,"n.a.")</f>
        <v>1</v>
      </c>
    </row>
    <row r="23" spans="2:6" x14ac:dyDescent="0.25">
      <c r="B23" s="226">
        <f>B13</f>
        <v>2025</v>
      </c>
      <c r="D23" s="210" t="s">
        <v>11</v>
      </c>
      <c r="E23" s="210" t="s">
        <v>11</v>
      </c>
      <c r="F23" s="115">
        <f>IFERROR(F13/C13,"n.a.")</f>
        <v>1</v>
      </c>
    </row>
    <row r="25" spans="2:6" x14ac:dyDescent="0.25">
      <c r="B25" s="37" t="s">
        <v>728</v>
      </c>
      <c r="C25" s="37"/>
      <c r="D25" s="37"/>
      <c r="E25" s="37"/>
      <c r="F25" s="37"/>
    </row>
    <row r="26" spans="2:6" x14ac:dyDescent="0.25">
      <c r="B26" s="13" t="s">
        <v>722</v>
      </c>
      <c r="C26" s="12" t="s">
        <v>729</v>
      </c>
      <c r="D26" s="12" t="s">
        <v>571</v>
      </c>
      <c r="E26" s="12" t="s">
        <v>572</v>
      </c>
      <c r="F26" s="12" t="s">
        <v>573</v>
      </c>
    </row>
    <row r="27" spans="2:6" x14ac:dyDescent="0.25">
      <c r="B27" s="52" t="s">
        <v>724</v>
      </c>
      <c r="C27" s="53">
        <f>SUMIFS('Raw - Customers'!$I:$I,'Raw - Customers'!$E:$E,"&lt;="&amp;EOMONTH(EOMONTH(DATE(B9,'Assumptions'!$C$14,1),0),-12))</f>
        <v>553211</v>
      </c>
      <c r="D27" s="53">
        <f>SUMIFS('Raw - Customers'!$I:$I,'Raw - Customers'!$E:$E,"&lt;="&amp;EOMONTH(EOMONTH(DATE(B9,'Assumptions'!$C$14,1),0),-12))</f>
        <v>553211</v>
      </c>
      <c r="E27" s="53">
        <f>SUMIFS('Raw - Customers'!$J:$J,'Raw - Customers'!$E:$E,"&lt;="&amp;EOMONTH(EOMONTH(DATE(B9,'Assumptions'!$C$14,1),0),-12))</f>
        <v>612314</v>
      </c>
      <c r="F27" s="53">
        <f>SUMIFS('Raw - Customers'!$K:$K,'Raw - Customers'!$E:$E,"&lt;="&amp;EOMONTH(EOMONTH(DATE(B9,'Assumptions'!$C$14,1),0),-12))</f>
        <v>656379</v>
      </c>
    </row>
    <row r="28" spans="2:6" x14ac:dyDescent="0.25">
      <c r="B28" s="226">
        <f>B9</f>
        <v>2021</v>
      </c>
      <c r="C28" s="53">
        <f>SUMIFS('Raw - Customers'!$I:$I,'Raw - Customers'!$E:$E,"&gt;"&amp;EOMONTH(EOMONTH(DATE(B9,'Assumptions'!$C$14,1),0),-12),'Raw - Customers'!$E:$E,"&lt;="&amp;EOMONTH(DATE(B9,'Assumptions'!$C$14,1),0))</f>
        <v>19403</v>
      </c>
      <c r="D28" s="53">
        <f>SUMIFS('Raw - Customers'!$I:$I,'Raw - Customers'!$E:$E,"&gt;"&amp;EOMONTH(EOMONTH(DATE(B9,'Assumptions'!$C$14,1),0),-12),'Raw - Customers'!$E:$E,"&lt;="&amp;EOMONTH(DATE(B9,'Assumptions'!$C$14,1),0))</f>
        <v>19403</v>
      </c>
      <c r="E28" s="53">
        <f>SUMIFS('Raw - Customers'!$J:$J,'Raw - Customers'!$E:$E,"&gt;"&amp;EOMONTH(EOMONTH(DATE(B9,'Assumptions'!$C$14,1),0),-12),'Raw - Customers'!$E:$E,"&lt;="&amp;EOMONTH(DATE(B9,'Assumptions'!$C$14,1),0))</f>
        <v>28306</v>
      </c>
      <c r="F28" s="53">
        <f>SUMIFS('Raw - Customers'!$K:$K,'Raw - Customers'!$E:$E,"&gt;"&amp;EOMONTH(EOMONTH(DATE(B9,'Assumptions'!$C$14,1),0),-12),'Raw - Customers'!$E:$E,"&lt;="&amp;EOMONTH(DATE(B9,'Assumptions'!$C$14,1),0))</f>
        <v>36168</v>
      </c>
    </row>
    <row r="29" spans="2:6" x14ac:dyDescent="0.25">
      <c r="B29" s="226">
        <f>B10</f>
        <v>2022</v>
      </c>
      <c r="C29" s="53">
        <f>SUMIFS('Raw - Customers'!$I:$I,'Raw - Customers'!$E:$E,"&gt;"&amp;EOMONTH(EOMONTH(DATE(B10,'Assumptions'!$C$14,1),0),-12),'Raw - Customers'!$E:$E,"&lt;="&amp;EOMONTH(DATE(B10,'Assumptions'!$C$14,1),0))</f>
        <v>9896</v>
      </c>
      <c r="D29" s="53">
        <f>SUMIFS('Raw - Customers'!$I:$I,'Raw - Customers'!$E:$E,"&gt;"&amp;EOMONTH(EOMONTH(DATE(B10,'Assumptions'!$C$14,1),0),-12),'Raw - Customers'!$E:$E,"&lt;="&amp;EOMONTH(DATE(B10,'Assumptions'!$C$14,1),0))</f>
        <v>9896</v>
      </c>
      <c r="E29" s="53">
        <f>SUMIFS('Raw - Customers'!$J:$J,'Raw - Customers'!$E:$E,"&gt;"&amp;EOMONTH(EOMONTH(DATE(B10,'Assumptions'!$C$14,1),0),-12),'Raw - Customers'!$E:$E,"&lt;="&amp;EOMONTH(DATE(B10,'Assumptions'!$C$14,1),0))</f>
        <v>10928</v>
      </c>
      <c r="F29" s="53">
        <f>SUMIFS('Raw - Customers'!$K:$K,'Raw - Customers'!$E:$E,"&gt;"&amp;EOMONTH(EOMONTH(DATE(B10,'Assumptions'!$C$14,1),0),-12),'Raw - Customers'!$E:$E,"&lt;="&amp;EOMONTH(DATE(B10,'Assumptions'!$C$14,1),0))</f>
        <v>14637</v>
      </c>
    </row>
    <row r="30" spans="2:6" x14ac:dyDescent="0.25">
      <c r="B30" s="226">
        <f>B11</f>
        <v>2023</v>
      </c>
      <c r="C30" s="53">
        <f>SUMIFS('Raw - Customers'!$I:$I,'Raw - Customers'!$E:$E,"&gt;"&amp;EOMONTH(EOMONTH(DATE(B11,'Assumptions'!$C$14,1),0),-12),'Raw - Customers'!$E:$E,"&lt;="&amp;EOMONTH(DATE(B11,'Assumptions'!$C$14,1),0))</f>
        <v>15690</v>
      </c>
      <c r="D30" s="53">
        <f>SUMIFS('Raw - Customers'!$I:$I,'Raw - Customers'!$E:$E,"&gt;"&amp;EOMONTH(EOMONTH(DATE(B11,'Assumptions'!$C$14,1),0),-12),'Raw - Customers'!$E:$E,"&lt;="&amp;EOMONTH(DATE(B11,'Assumptions'!$C$14,1),0))</f>
        <v>15690</v>
      </c>
      <c r="E30" s="53">
        <f>SUMIFS('Raw - Customers'!$J:$J,'Raw - Customers'!$E:$E,"&gt;"&amp;EOMONTH(EOMONTH(DATE(B11,'Assumptions'!$C$14,1),0),-12),'Raw - Customers'!$E:$E,"&lt;="&amp;EOMONTH(DATE(B11,'Assumptions'!$C$14,1),0))</f>
        <v>34745</v>
      </c>
      <c r="F30" s="53">
        <f>SUMIFS('Raw - Customers'!$K:$K,'Raw - Customers'!$E:$E,"&gt;"&amp;EOMONTH(EOMONTH(DATE(B11,'Assumptions'!$C$14,1),0),-12),'Raw - Customers'!$E:$E,"&lt;="&amp;EOMONTH(DATE(B11,'Assumptions'!$C$14,1),0))</f>
        <v>35357</v>
      </c>
    </row>
    <row r="31" spans="2:6" x14ac:dyDescent="0.25">
      <c r="B31" s="226">
        <f>B12</f>
        <v>2024</v>
      </c>
      <c r="C31" s="53">
        <f>SUMIFS('Raw - Customers'!$J:$J,'Raw - Customers'!$E:$E,"&gt;"&amp;EOMONTH(EOMONTH(DATE(B12,'Assumptions'!$C$14,1),0),-12),'Raw - Customers'!$E:$E,"&lt;="&amp;EOMONTH(DATE(B12,'Assumptions'!$C$14,1),0))</f>
        <v>16207</v>
      </c>
      <c r="D31" s="210" t="s">
        <v>11</v>
      </c>
      <c r="E31" s="53">
        <f>SUMIFS('Raw - Customers'!$J:$J,'Raw - Customers'!$E:$E,"&gt;"&amp;EOMONTH(EOMONTH(DATE(B12,'Assumptions'!$C$14,1),0),-12),'Raw - Customers'!$E:$E,"&lt;="&amp;EOMONTH(DATE(B12,'Assumptions'!$C$14,1),0))</f>
        <v>16207</v>
      </c>
      <c r="F31" s="53">
        <f>SUMIFS('Raw - Customers'!$K:$K,'Raw - Customers'!$E:$E,"&gt;"&amp;EOMONTH(EOMONTH(DATE(B12,'Assumptions'!$C$14,1),0),-12),'Raw - Customers'!$E:$E,"&lt;="&amp;EOMONTH(DATE(B12,'Assumptions'!$C$14,1),0))</f>
        <v>38688</v>
      </c>
    </row>
    <row r="32" spans="2:6" x14ac:dyDescent="0.25">
      <c r="B32" s="226">
        <f>B13</f>
        <v>2025</v>
      </c>
      <c r="C32" s="53">
        <f>SUMIFS('Raw - Customers'!$K:$K,'Raw - Customers'!$E:$E,"&gt;"&amp;EOMONTH(EOMONTH(DATE(B13,'Assumptions'!$C$14,1),0),-12),'Raw - Customers'!$E:$E,"&lt;="&amp;EOMONTH(DATE(B13,'Assumptions'!$C$14,1),0))</f>
        <v>30471</v>
      </c>
      <c r="D32" s="210" t="s">
        <v>11</v>
      </c>
      <c r="E32" s="210" t="s">
        <v>11</v>
      </c>
      <c r="F32" s="53">
        <f>SUMIFS('Raw - Customers'!$K:$K,'Raw - Customers'!$E:$E,"&gt;"&amp;EOMONTH(EOMONTH(DATE(B13,'Assumptions'!$C$14,1),0),-12),'Raw - Customers'!$E:$E,"&lt;="&amp;EOMONTH(DATE(B13,'Assumptions'!$C$14,1),0))</f>
        <v>30471</v>
      </c>
    </row>
    <row r="33" spans="2:6" x14ac:dyDescent="0.25">
      <c r="B33" s="116" t="s">
        <v>563</v>
      </c>
      <c r="C33" s="222"/>
      <c r="D33" s="116">
        <f>SUM(D27:D32)</f>
        <v>598200</v>
      </c>
      <c r="E33" s="116">
        <f>SUM(E27:E32)</f>
        <v>702500</v>
      </c>
      <c r="F33" s="116">
        <f>SUM(F27:F32)</f>
        <v>811700</v>
      </c>
    </row>
    <row r="34" spans="2:6" x14ac:dyDescent="0.25">
      <c r="B34" s="130" t="s">
        <v>730</v>
      </c>
      <c r="D34" s="130">
        <f>ROUND(SUMIFS('Raw - Customers'!$I:$I,'Raw - Customers'!$E:$E,"&lt;="&amp;EOMONTH(DATE('Assumptions'!$C$15-2,'Assumptions'!$C$14,1),0))-D33,6)</f>
        <v>0</v>
      </c>
      <c r="E34" s="130">
        <f>ROUND(SUMIFS('Raw - Customers'!$J:$J,'Raw - Customers'!$E:$E,"&lt;="&amp;EOMONTH(DATE('Assumptions'!$C$15-1,'Assumptions'!$C$14,1),0))-E33,6)</f>
        <v>0</v>
      </c>
      <c r="F34" s="130">
        <f>ROUND(SUMIFS('Raw - Customers'!$K:$K,'Raw - Customers'!$E:$E,"&lt;="&amp;EOMONTH(DATE('Assumptions'!$C$15-0,'Assumptions'!$C$14,1),0))-F33,6)</f>
        <v>0</v>
      </c>
    </row>
    <row r="36" ht="59.5" customHeight="1" spans="2:6" x14ac:dyDescent="0.25">
      <c r="B36" s="60" t="s">
        <v>731</v>
      </c>
      <c r="C36" s="60"/>
      <c r="D36" s="60"/>
      <c r="E36" s="60"/>
      <c r="F36" s="60"/>
    </row>
  </sheetData>
  <mergeCells count="1">
    <mergeCell ref="B36:F36"/>
  </mergeCells>
  <conditionalFormatting sqref="D15:F15">
    <cfRule type="expression" dxfId="25" priority="1">
      <formula>ROUND(D15,3)&lt;&gt;0</formula>
    </cfRule>
  </conditionalFormatting>
  <conditionalFormatting sqref="D18:F23">
    <cfRule type="expression" dxfId="26" priority="2">
      <formula>AND(ISNUMBER(D18),D18&gt;=0.9)</formula>
    </cfRule>
  </conditionalFormatting>
  <conditionalFormatting sqref="D18:F23">
    <cfRule type="expression" dxfId="27" priority="3">
      <formula>AND(ISNUMBER(D18),D18&gt;=0.75)</formula>
    </cfRule>
  </conditionalFormatting>
  <conditionalFormatting sqref="D18:F23">
    <cfRule type="expression" dxfId="28" priority="4">
      <formula>AND(ISNUMBER(D18),D18&gt;=0.5)</formula>
    </cfRule>
  </conditionalFormatting>
  <conditionalFormatting sqref="D18:F23">
    <cfRule type="expression" dxfId="29" priority="5">
      <formula>AND(ISNUMBER(D18),D18&gt;=0)</formula>
    </cfRule>
  </conditionalFormatting>
  <conditionalFormatting sqref="D34:F34">
    <cfRule type="expression" dxfId="30" priority="6">
      <formula>ROUND(D34,3)&lt;&gt;0</formula>
    </cfRule>
  </conditionalFormatting>
  <conditionalFormatting sqref="B2 F3 C8:F8 B9:F11 E12:F12 B12:C13 F13 B15 D15:F15 B19:B23 C27:F27 B28:F30 E31:F31 B31:C32 F32 B34 D34:F34">
    <cfRule type="expression" dxfId="31" priority="7">
      <formula>$F$3=1</formula>
    </cfRule>
  </conditionalFormatting>
  <printOptions horizontalCentered="1"/>
  <pageMargins left="0.5" right="0.5" top="0.6" bottom="0.7" header="0.3" footer="0.3"/>
  <pageSetup paperSize="1" orientation="portrait" fitToWidth="1" fitToHeight="0"/>
  <headerFooter>
    <oddHeader>&amp;RProject Ridgeline | As of 12/31/25</oddHeader>
    <oddFooter>&amp;LAMB Advisory Services | Strictly confidential&amp;C&amp;A&amp;RPage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K81"/>
  <sheetViews>
    <sheetView workbookViewId="0" showGridLines="0" zoomScale="100"/>
  </sheetViews>
  <sheetFormatPr defaultRowHeight="12.75" outlineLevelRow="0" outlineLevelCol="0" x14ac:dyDescent="55" customHeight="1"/>
  <cols>
    <col min="1" max="1" width="1.7" customWidth="1"/>
    <col min="2" max="2" width="34.5" customWidth="1"/>
    <col min="3" max="3" width="10" customWidth="1"/>
    <col min="4" max="4" width="14" customWidth="1"/>
    <col min="5" max="5" width="13" customWidth="1"/>
    <col min="6" max="6" width="12" customWidth="1"/>
    <col min="7" max="7" width="17" customWidth="1"/>
    <col min="8" max="8" width="8" customWidth="1"/>
  </cols>
  <sheetData>
    <row r="2" ht="16.5" customHeight="1" spans="2:2" x14ac:dyDescent="0.25">
      <c r="B2" s="9">
        <f>Cover!B24</f>
      </c>
    </row>
    <row r="3" spans="2:8" x14ac:dyDescent="0.25">
      <c r="B3" s="10" t="s">
        <v>732</v>
      </c>
      <c r="C3" s="11"/>
      <c r="D3" s="11"/>
      <c r="E3" s="11"/>
      <c r="F3" s="11"/>
      <c r="G3" s="34" t="s">
        <v>80</v>
      </c>
      <c r="H3" s="35">
        <f>'Contents'!$I$18</f>
      </c>
    </row>
    <row r="5" spans="2:8" x14ac:dyDescent="0.25">
      <c r="B5" s="36" t="s">
        <v>733</v>
      </c>
      <c r="C5" s="36"/>
      <c r="D5" s="36"/>
      <c r="E5" s="36"/>
      <c r="F5" s="36"/>
      <c r="G5" s="36"/>
      <c r="H5" s="36"/>
    </row>
    <row r="6" spans="2:8" x14ac:dyDescent="0.25">
      <c r="B6" s="13" t="s">
        <v>734</v>
      </c>
      <c r="C6" s="12" t="s">
        <v>735</v>
      </c>
      <c r="D6" s="12" t="s">
        <v>736</v>
      </c>
      <c r="E6" s="12" t="s">
        <v>737</v>
      </c>
      <c r="F6" s="12" t="s">
        <v>546</v>
      </c>
      <c r="G6" s="12" t="s">
        <v>738</v>
      </c>
      <c r="H6" s="12" t="s">
        <v>739</v>
      </c>
    </row>
    <row r="8" spans="2:8" x14ac:dyDescent="0.25">
      <c r="B8" s="52" t="s">
        <v>740</v>
      </c>
      <c r="C8" s="53">
        <f>SUMIFS('Raw - Payroll'!$Q:$Q,'Raw - Payroll'!$O:$O,"No",'Raw - Payroll'!$D:$D,"&lt;="&amp;'Assumptions'!$C$9,'Raw - Payroll'!$E:$E,"",'Raw - Payroll'!$C:$C,"Field service")+SUMIFS('Raw - Payroll'!$Q:$Q,'Raw - Payroll'!$O:$O,"No",'Raw - Payroll'!$D:$D,"&lt;="&amp;'Assumptions'!$C$9,'Raw - Payroll'!$E:$E,"&gt;"&amp;'Assumptions'!$C$9,'Raw - Payroll'!$C:$C,"Field service")</f>
        <v>14</v>
      </c>
      <c r="D8" s="39">
        <f>SUMIFS('Raw - Payroll'!$L:$L,'Raw - Payroll'!$O:$O,"No",'Raw - Payroll'!$C:$C,"Field service")*(1+IFERROR($C$43/$C$38,0))</f>
        <v>585996.4471613483</v>
      </c>
      <c r="E8" s="38">
        <f>IFERROR(D8/SUMIFS($K$53:$K$81,$C$53:$C$81,"Field service"),"n.a.")</f>
        <v>41172.03141749607</v>
      </c>
      <c r="F8" s="56">
        <f>IFERROR(D8/('P&amp;L Summary'!E14*1000),"n.a.")</f>
        <v>0.19271127570420557</v>
      </c>
      <c r="G8" s="209">
        <f>IFERROR(AVERAGEIFS($H$53:$H$81,$C$53:$C$81,"Field service"),"n.a.")</f>
        <v>6.561259411362081</v>
      </c>
      <c r="H8" s="227" t="s">
        <v>741</v>
      </c>
    </row>
    <row r="9" spans="2:8" x14ac:dyDescent="0.25">
      <c r="B9" s="52" t="s">
        <v>742</v>
      </c>
      <c r="C9" s="53">
        <f>SUMIFS('Raw - Payroll'!$Q:$Q,'Raw - Payroll'!$O:$O,"No",'Raw - Payroll'!$D:$D,"&lt;="&amp;'Assumptions'!$C$9,'Raw - Payroll'!$E:$E,"",'Raw - Payroll'!$C:$C,"Installation")+SUMIFS('Raw - Payroll'!$Q:$Q,'Raw - Payroll'!$O:$O,"No",'Raw - Payroll'!$D:$D,"&lt;="&amp;'Assumptions'!$C$9,'Raw - Payroll'!$E:$E,"&gt;"&amp;'Assumptions'!$C$9,'Raw - Payroll'!$C:$C,"Installation")</f>
        <v>4</v>
      </c>
      <c r="D9" s="53">
        <f>SUMIFS('Raw - Payroll'!$L:$L,'Raw - Payroll'!$O:$O,"No",'Raw - Payroll'!$C:$C,"Installation")*(1+IFERROR($C$43/$C$38,0))</f>
        <v>154828.97383057798</v>
      </c>
      <c r="E9" s="52">
        <f>IFERROR(D9/SUMIFS($K$53:$K$81,$C$53:$C$81,"Installation"),"n.a.")</f>
        <v>38707.243457644494</v>
      </c>
      <c r="F9" s="56">
        <f>IFERROR(D9/('P&amp;L Summary'!E14*1000),"n.a.")</f>
        <v>0.05091718423789068</v>
      </c>
      <c r="G9" s="209">
        <f>IFERROR(AVERAGEIFS($H$53:$H$81,$C$53:$C$81,"Installation"),"n.a.")</f>
        <v>5.721423682409308</v>
      </c>
      <c r="H9" s="227" t="s">
        <v>741</v>
      </c>
    </row>
    <row r="10" spans="2:8" x14ac:dyDescent="0.25">
      <c r="B10" s="52" t="s">
        <v>743</v>
      </c>
      <c r="C10" s="53">
        <f>SUMIFS('Raw - Payroll'!$Q:$Q,'Raw - Payroll'!$O:$O,"No",'Raw - Payroll'!$D:$D,"&lt;="&amp;'Assumptions'!$C$9,'Raw - Payroll'!$E:$E,"",'Raw - Payroll'!$C:$C,"Office")+SUMIFS('Raw - Payroll'!$Q:$Q,'Raw - Payroll'!$O:$O,"No",'Raw - Payroll'!$D:$D,"&lt;="&amp;'Assumptions'!$C$9,'Raw - Payroll'!$E:$E,"&gt;"&amp;'Assumptions'!$C$9,'Raw - Payroll'!$C:$C,"Office")</f>
        <v>4</v>
      </c>
      <c r="D10" s="53">
        <f>SUMIFS('Raw - Payroll'!$L:$L,'Raw - Payroll'!$O:$O,"No",'Raw - Payroll'!$C:$C,"Office")*(1+IFERROR($C$43/$C$38,0))</f>
        <v>99495.97078046906</v>
      </c>
      <c r="E10" s="52">
        <f>IFERROR(D10/SUMIFS($K$53:$K$81,$C$53:$C$81,"Office"),"n.a.")</f>
        <v>26183.150205386595</v>
      </c>
      <c r="F10" s="56">
        <f>IFERROR(D10/('P&amp;L Summary'!E14*1000),"n.a.")</f>
        <v>0.03272032714432684</v>
      </c>
      <c r="G10" s="209">
        <f>IFERROR(AVERAGEIFS($H$53:$H$81,$C$53:$C$81,"Office"),"n.a.")</f>
        <v>5.180013689253936</v>
      </c>
      <c r="H10" s="227" t="s">
        <v>744</v>
      </c>
    </row>
    <row r="11" spans="2:8" x14ac:dyDescent="0.25">
      <c r="B11" s="52" t="s">
        <v>745</v>
      </c>
      <c r="C11" s="53">
        <f>SUMIFS('Raw - Payroll'!$Q:$Q,'Raw - Payroll'!$O:$O,"No",'Raw - Payroll'!$D:$D,"&lt;="&amp;'Assumptions'!$C$9,'Raw - Payroll'!$E:$E,"",'Raw - Payroll'!$C:$C,"Management")+SUMIFS('Raw - Payroll'!$Q:$Q,'Raw - Payroll'!$O:$O,"No",'Raw - Payroll'!$D:$D,"&lt;="&amp;'Assumptions'!$C$9,'Raw - Payroll'!$E:$E,"&gt;"&amp;'Assumptions'!$C$9,'Raw - Payroll'!$C:$C,"Management")</f>
        <v>1</v>
      </c>
      <c r="D11" s="53">
        <f>SUMIFS('Raw - Payroll'!$L:$L,'Raw - Payroll'!$O:$O,"No",'Raw - Payroll'!$C:$C,"Management")*(1+IFERROR($C$43/$C$38,0))</f>
        <v>50518.60822760477</v>
      </c>
      <c r="E11" s="52">
        <f>IFERROR(D11/SUMIFS($K$53:$K$81,$C$53:$C$81,"Management"),"n.a.")</f>
        <v>50518.60822760477</v>
      </c>
      <c r="F11" s="56">
        <f>IFERROR(D11/('P&amp;L Summary'!E14*1000),"n.a.")</f>
        <v>0.016613591235071286</v>
      </c>
      <c r="G11" s="209">
        <f>IFERROR(AVERAGEIFS($H$53:$H$81,$C$53:$C$81,"Management"),"n.a.")</f>
        <v>11.312799452429843</v>
      </c>
      <c r="H11" s="227" t="s">
        <v>744</v>
      </c>
    </row>
    <row r="12" spans="2:8" x14ac:dyDescent="0.25">
      <c r="B12" s="197" t="s">
        <v>746</v>
      </c>
      <c r="C12" s="198">
        <f>SUM(C8:C11)</f>
        <v>23</v>
      </c>
      <c r="D12" s="200">
        <f>SUM(D8:D11)</f>
        <v>890840</v>
      </c>
      <c r="E12" s="200">
        <f>IFERROR(D12/SUM($K$53:$K$81),"n.a.")</f>
        <v>38676.88830736291</v>
      </c>
      <c r="F12" s="228">
        <f>IFERROR(D12/('P&amp;L Summary'!E14*1000),"n.a.")</f>
        <v>0.29296237832149435</v>
      </c>
      <c r="G12" s="229">
        <f>IFERROR(AVERAGE($H$53:$H$81),"n.a.")</f>
        <v>6.381573073832694</v>
      </c>
      <c r="H12" s="185"/>
    </row>
    <row r="14" spans="2:8" x14ac:dyDescent="0.25">
      <c r="B14" s="37" t="s">
        <v>747</v>
      </c>
      <c r="C14" s="37"/>
      <c r="D14" s="37"/>
      <c r="E14" s="37"/>
      <c r="F14" s="37"/>
      <c r="G14" s="37"/>
      <c r="H14" s="37"/>
    </row>
    <row r="15" spans="2:3" x14ac:dyDescent="0.25">
      <c r="B15" s="52" t="s">
        <v>748</v>
      </c>
      <c r="C15" s="52">
        <f>SUMIFS(C8:C11,H8:H11,"Yes")</f>
        <v>18</v>
      </c>
    </row>
    <row r="16" spans="2:3" x14ac:dyDescent="0.25">
      <c r="B16" s="52" t="s">
        <v>102</v>
      </c>
      <c r="C16" s="39">
        <f>IFERROR(('P&amp;L Summary'!K14*1000)/C12,"n.a.")</f>
        <v>132208.69565217392</v>
      </c>
    </row>
    <row r="17" spans="2:3" x14ac:dyDescent="0.25">
      <c r="B17" s="52" t="s">
        <v>749</v>
      </c>
      <c r="C17" s="39">
        <f>IFERROR(('P&amp;L Summary'!K14*1000)/C15,"n.a.")</f>
        <v>168933.33333333334</v>
      </c>
    </row>
    <row r="18" spans="2:3" x14ac:dyDescent="0.25">
      <c r="B18" s="52" t="s">
        <v>103</v>
      </c>
      <c r="C18" s="56">
        <f>'P&amp;L Summary'!K51</f>
        <v>0.29296237832149435</v>
      </c>
    </row>
    <row r="20" spans="2:5" x14ac:dyDescent="0.25">
      <c r="B20" s="37" t="s">
        <v>750</v>
      </c>
      <c r="C20" s="37"/>
      <c r="D20" s="37"/>
      <c r="E20" s="37"/>
    </row>
    <row r="21" spans="2:5" x14ac:dyDescent="0.25">
      <c r="B21" s="13" t="s">
        <v>751</v>
      </c>
      <c r="C21" s="12" t="str">
        <f>"FY"&amp;YEAR(C$49)</f>
        <v>FY2023</v>
      </c>
      <c r="D21" s="12" t="str">
        <f>"FY"&amp;YEAR(D$49)</f>
        <v>FY2024</v>
      </c>
      <c r="E21" s="12" t="str">
        <f>"FY"&amp;YEAR(E$49)</f>
        <v>FY2025</v>
      </c>
    </row>
    <row r="22" spans="2:5" x14ac:dyDescent="0.25">
      <c r="B22" s="52" t="s">
        <v>579</v>
      </c>
      <c r="C22" s="53">
        <f>COUNTIFS('Raw - Payroll'!$O:$O,"No",'Raw - Payroll'!$D:$D,"&lt;"&amp;C$48,'Raw - Payroll'!$E:$E,"")+COUNTIFS('Raw - Payroll'!$O:$O,"No",'Raw - Payroll'!$D:$D,"&lt;"&amp;C$48,'Raw - Payroll'!$E:$E,"&gt;="&amp;C$48)</f>
        <v>19</v>
      </c>
      <c r="D22" s="53">
        <f>COUNTIFS('Raw - Payroll'!$O:$O,"No",'Raw - Payroll'!$D:$D,"&lt;"&amp;D$48,'Raw - Payroll'!$E:$E,"")+COUNTIFS('Raw - Payroll'!$O:$O,"No",'Raw - Payroll'!$D:$D,"&lt;"&amp;D$48,'Raw - Payroll'!$E:$E,"&gt;="&amp;D$48)</f>
        <v>21</v>
      </c>
      <c r="E22" s="53">
        <f>COUNTIFS('Raw - Payroll'!$O:$O,"No",'Raw - Payroll'!$D:$D,"&lt;"&amp;E$48,'Raw - Payroll'!$E:$E,"")+COUNTIFS('Raw - Payroll'!$O:$O,"No",'Raw - Payroll'!$D:$D,"&lt;"&amp;E$48,'Raw - Payroll'!$E:$E,"&gt;="&amp;E$48)</f>
        <v>23</v>
      </c>
    </row>
    <row r="23" spans="2:5" x14ac:dyDescent="0.25">
      <c r="B23" s="52" t="s">
        <v>752</v>
      </c>
      <c r="C23" s="53">
        <f>COUNTIFS('Raw - Payroll'!$O:$O,"No",'Raw - Payroll'!$D:$D,"&gt;="&amp;C$48,'Raw - Payroll'!$D:$D,"&lt;="&amp;C$49)</f>
        <v>3</v>
      </c>
      <c r="D23" s="53">
        <f>COUNTIFS('Raw - Payroll'!$O:$O,"No",'Raw - Payroll'!$D:$D,"&gt;="&amp;D$48,'Raw - Payroll'!$D:$D,"&lt;="&amp;D$49)</f>
        <v>3</v>
      </c>
      <c r="E23" s="53">
        <f>COUNTIFS('Raw - Payroll'!$O:$O,"No",'Raw - Payroll'!$D:$D,"&gt;="&amp;E$48,'Raw - Payroll'!$D:$D,"&lt;="&amp;E$49)</f>
        <v>3</v>
      </c>
    </row>
    <row r="24" spans="2:5" x14ac:dyDescent="0.25">
      <c r="B24" s="52" t="s">
        <v>753</v>
      </c>
      <c r="C24" s="53">
        <f>-COUNTIFS('Raw - Payroll'!$O:$O,"No",'Raw - Payroll'!$E:$E,"&gt;="&amp;C$48,'Raw - Payroll'!$E:$E,"&lt;="&amp;C$49,'Raw - Payroll'!$P:$P,"resignation")</f>
        <v>-1</v>
      </c>
      <c r="D24" s="53">
        <f>-COUNTIFS('Raw - Payroll'!$O:$O,"No",'Raw - Payroll'!$E:$E,"&gt;="&amp;D$48,'Raw - Payroll'!$E:$E,"&lt;="&amp;D$49,'Raw - Payroll'!$P:$P,"resignation")</f>
        <v>-1</v>
      </c>
      <c r="E24" s="53">
        <f>-COUNTIFS('Raw - Payroll'!$O:$O,"No",'Raw - Payroll'!$E:$E,"&gt;="&amp;E$48,'Raw - Payroll'!$E:$E,"&lt;="&amp;E$49,'Raw - Payroll'!$P:$P,"resignation")</f>
        <v>-2</v>
      </c>
    </row>
    <row r="25" spans="2:5" x14ac:dyDescent="0.25">
      <c r="B25" s="52" t="s">
        <v>754</v>
      </c>
      <c r="C25" s="53">
        <f>-COUNTIFS('Raw - Payroll'!$O:$O,"No",'Raw - Payroll'!$E:$E,"&gt;="&amp;C$48,'Raw - Payroll'!$E:$E,"&lt;="&amp;C$49,'Raw - Payroll'!$P:$P,"termination")</f>
        <v>0</v>
      </c>
      <c r="D25" s="53">
        <f>-COUNTIFS('Raw - Payroll'!$O:$O,"No",'Raw - Payroll'!$E:$E,"&gt;="&amp;D$48,'Raw - Payroll'!$E:$E,"&lt;="&amp;D$49,'Raw - Payroll'!$P:$P,"termination")</f>
        <v>0</v>
      </c>
      <c r="E25" s="53">
        <f>-COUNTIFS('Raw - Payroll'!$O:$O,"No",'Raw - Payroll'!$E:$E,"&gt;="&amp;E$48,'Raw - Payroll'!$E:$E,"&lt;="&amp;E$49,'Raw - Payroll'!$P:$P,"termination")</f>
        <v>-1</v>
      </c>
    </row>
    <row r="26" spans="2:5" x14ac:dyDescent="0.25">
      <c r="B26" s="52" t="s">
        <v>755</v>
      </c>
      <c r="C26" s="53">
        <f>-COUNTIFS('Raw - Payroll'!$O:$O,"No",'Raw - Payroll'!$E:$E,"&gt;="&amp;C$48,'Raw - Payroll'!$E:$E,"&lt;="&amp;C$49)-C24-C25</f>
        <v>0</v>
      </c>
      <c r="D26" s="53">
        <f>-COUNTIFS('Raw - Payroll'!$O:$O,"No",'Raw - Payroll'!$E:$E,"&gt;="&amp;D$48,'Raw - Payroll'!$E:$E,"&lt;="&amp;D$49)-D24-D25</f>
        <v>0</v>
      </c>
      <c r="E26" s="53">
        <f>-COUNTIFS('Raw - Payroll'!$O:$O,"No",'Raw - Payroll'!$E:$E,"&gt;="&amp;E$48,'Raw - Payroll'!$E:$E,"&lt;="&amp;E$49)-E24-E25</f>
        <v>0</v>
      </c>
    </row>
    <row r="27" spans="2:5" x14ac:dyDescent="0.25">
      <c r="B27" s="197" t="s">
        <v>585</v>
      </c>
      <c r="C27" s="198">
        <f>C22+C23+C24+C25+C26</f>
        <v>21</v>
      </c>
      <c r="D27" s="206">
        <f>D22+D23+D24+D25+D26</f>
        <v>23</v>
      </c>
      <c r="E27" s="207">
        <f>E22+E23+E24+E25+E26</f>
        <v>23</v>
      </c>
    </row>
    <row r="29" spans="2:3" x14ac:dyDescent="0.25">
      <c r="B29" s="37" t="s">
        <v>756</v>
      </c>
      <c r="C29" s="37"/>
    </row>
    <row r="30" spans="2:3" x14ac:dyDescent="0.25">
      <c r="B30" s="52" t="s">
        <v>757</v>
      </c>
      <c r="C30" s="52">
        <f>COUNTIFS($J$53:$J$81,"&gt;="&amp;0,$J$53:$J$81,"&lt;"&amp;3)</f>
        <v>0</v>
      </c>
    </row>
    <row r="31" spans="2:3" x14ac:dyDescent="0.25">
      <c r="B31" s="52" t="s">
        <v>758</v>
      </c>
      <c r="C31" s="52">
        <f>COUNTIFS($J$53:$J$81,"&gt;="&amp;3,$J$53:$J$81,"&lt;"&amp;6)</f>
        <v>0</v>
      </c>
    </row>
    <row r="32" spans="2:3" x14ac:dyDescent="0.25">
      <c r="B32" s="52" t="s">
        <v>759</v>
      </c>
      <c r="C32" s="52">
        <f>COUNTIFS($J$53:$J$81,"&gt;="&amp;6,$J$53:$J$81,"&lt;"&amp;12)</f>
        <v>0</v>
      </c>
    </row>
    <row r="33" spans="2:3" x14ac:dyDescent="0.25">
      <c r="B33" s="52" t="s">
        <v>760</v>
      </c>
      <c r="C33" s="52">
        <f>COUNTIFS($J$53:$J$81,"&gt;="&amp;12,$J$53:$J$81,"&lt;"&amp;24)</f>
        <v>1</v>
      </c>
    </row>
    <row r="34" spans="2:3" x14ac:dyDescent="0.25">
      <c r="B34" s="52" t="s">
        <v>761</v>
      </c>
      <c r="C34" s="52">
        <f>COUNTIFS($J$53:$J$81,"&gt;="&amp;24)</f>
        <v>4</v>
      </c>
    </row>
    <row r="35" spans="2:3" x14ac:dyDescent="0.25">
      <c r="B35" s="116" t="s">
        <v>762</v>
      </c>
      <c r="C35" s="225">
        <f>SUM(C30:C34)</f>
        <v>5</v>
      </c>
    </row>
    <row r="37" spans="2:3" x14ac:dyDescent="0.25">
      <c r="B37" s="37" t="s">
        <v>763</v>
      </c>
      <c r="C37" s="37"/>
    </row>
    <row r="38" spans="2:3" x14ac:dyDescent="0.25">
      <c r="B38" s="52" t="s">
        <v>764</v>
      </c>
      <c r="C38" s="39">
        <f>SUMIFS('Raw - Payroll'!$L:$L,'Raw - Payroll'!$O:$O,"No")</f>
        <v>780300</v>
      </c>
    </row>
    <row r="39" spans="2:3" x14ac:dyDescent="0.25">
      <c r="B39" s="52" t="s">
        <v>765</v>
      </c>
      <c r="C39" s="53">
        <f>SUMIFS('Databook'!$K$8:$K$33,'Databook'!$B$8:$B$33,"Payroll Expenses : Technician Wages")+SUMIFS('Databook'!$K$8:$K$33,'Databook'!$B$8:$B$33,"Payroll Expenses : Office Wages")</f>
        <v>780300</v>
      </c>
    </row>
    <row r="40" spans="2:3" x14ac:dyDescent="0.25">
      <c r="B40" s="230" t="s">
        <v>766</v>
      </c>
      <c r="C40" s="203">
        <f>ROUND(IFERROR((C38-C39)/C39,0),6)</f>
        <v>0</v>
      </c>
    </row>
    <row r="41" spans="2:3" x14ac:dyDescent="0.25">
      <c r="B41" s="52" t="s">
        <v>767</v>
      </c>
      <c r="C41" s="53">
        <f>'P&amp;L Summary'!E22*1000-C39</f>
        <v>124400</v>
      </c>
    </row>
    <row r="42" spans="2:3" x14ac:dyDescent="0.25">
      <c r="B42" s="52" t="s">
        <v>768</v>
      </c>
      <c r="C42" s="53">
        <f>-'Adjustments'!$P44*1000</f>
        <v>-13860</v>
      </c>
    </row>
    <row r="43" spans="2:3" x14ac:dyDescent="0.25">
      <c r="B43" s="231" t="s">
        <v>769</v>
      </c>
      <c r="C43" s="116">
        <f>MAX(0,C41+C42)</f>
        <v>110540</v>
      </c>
    </row>
    <row r="45" ht="48" customHeight="1" spans="2:8" x14ac:dyDescent="0.25">
      <c r="B45" s="60" t="s">
        <v>770</v>
      </c>
      <c r="C45" s="60"/>
      <c r="D45" s="60"/>
      <c r="E45" s="60"/>
      <c r="F45" s="60"/>
      <c r="G45" s="60"/>
      <c r="H45" s="60"/>
    </row>
    <row r="48" spans="2:5" x14ac:dyDescent="0.25">
      <c r="B48" s="131" t="s">
        <v>380</v>
      </c>
      <c r="C48" s="132">
        <f>EOMONTH(EOMONTH(DATE('Assumptions'!$C$15-2,'Assumptions'!$C$14,1),0),-12)+1</f>
        <v>44927</v>
      </c>
      <c r="D48" s="132">
        <f>EOMONTH(EOMONTH(DATE('Assumptions'!$C$15-1,'Assumptions'!$C$14,1),0),-12)+1</f>
        <v>45292</v>
      </c>
      <c r="E48" s="132">
        <f>EOMONTH(EOMONTH(DATE('Assumptions'!$C$15-0,'Assumptions'!$C$14,1),0),-12)+1</f>
        <v>45658</v>
      </c>
    </row>
    <row r="49" spans="2:5" x14ac:dyDescent="0.25">
      <c r="B49" s="131" t="s">
        <v>381</v>
      </c>
      <c r="C49" s="132">
        <f>EOMONTH(DATE('Assumptions'!$C$15-2,'Assumptions'!$C$14,1),0)</f>
        <v>45291</v>
      </c>
      <c r="D49" s="132">
        <f>EOMONTH(DATE('Assumptions'!$C$15-1,'Assumptions'!$C$14,1),0)</f>
        <v>45657</v>
      </c>
      <c r="E49" s="132">
        <f>EOMONTH(DATE('Assumptions'!$C$15-0,'Assumptions'!$C$14,1),0)</f>
        <v>46022</v>
      </c>
    </row>
    <row r="51" spans="2:2" x14ac:dyDescent="0.25">
      <c r="B51" s="131" t="s">
        <v>771</v>
      </c>
    </row>
    <row r="52" spans="2:11" x14ac:dyDescent="0.25">
      <c r="B52" s="131" t="s">
        <v>772</v>
      </c>
      <c r="C52" s="131" t="s">
        <v>734</v>
      </c>
      <c r="D52" s="131" t="s">
        <v>773</v>
      </c>
      <c r="E52" s="131" t="s">
        <v>774</v>
      </c>
      <c r="F52" s="131" t="s">
        <v>775</v>
      </c>
      <c r="G52" s="131" t="s">
        <v>776</v>
      </c>
      <c r="H52" s="131" t="s">
        <v>777</v>
      </c>
      <c r="J52" s="131" t="s">
        <v>778</v>
      </c>
      <c r="K52" s="131" t="s">
        <v>779</v>
      </c>
    </row>
    <row r="53" spans="2:11" x14ac:dyDescent="0.25">
      <c r="B53" s="131" t="s">
        <v>780</v>
      </c>
      <c r="C53" s="131" t="str">
        <f>INDEX('Raw - Payroll'!$C:$C,MATCH(B53,'Raw - Payroll'!$N:$N,0))</f>
        <v>Owner</v>
      </c>
      <c r="D53" s="131" t="str">
        <f>INDEX('Raw - Payroll'!$O:$O,MATCH(B53,'Raw - Payroll'!$N:$N,0))</f>
        <v>Yes</v>
      </c>
      <c r="E53" s="132">
        <f>INDEX('Raw - Payroll'!$D:$D,MATCH(B53,'Raw - Payroll'!$N:$N,0))</f>
        <v>39874</v>
      </c>
      <c r="F53" s="132" t="str">
        <f>IF(INDEX('Raw - Payroll'!$E:$E,MATCH(B53,'Raw - Payroll'!$N:$N,0))="","",INDEX('Raw - Payroll'!$E:$E,MATCH(B53,'Raw - Payroll'!$N:$N,0)))</f>
        <v/>
      </c>
      <c r="G53" s="214">
        <f>INDEX('Raw - Payroll'!$Q:$Q,MATCH(B53,'Raw - Payroll'!$N:$N,0))</f>
        <v>1</v>
      </c>
      <c r="H53" s="214" t="str">
        <f>IF(OR(D53="Yes",AND(F53&lt;&gt;"",N(F53)&lt;='Assumptions'!$C$9),E53&gt;'Assumptions'!$C$9),"",('Assumptions'!$C$9-E53)/365.25)</f>
        <v/>
      </c>
      <c r="J53" s="214" t="str">
        <f>IF(OR(D53="Yes",F53=""),"",(F53-E53)/(365.25/12))</f>
        <v/>
      </c>
      <c r="K53" s="214">
        <f>IF(D53="Yes",0,G53*MAX(0,MIN($E$49,IF(F53="",$E$49,F53-1))-MAX($E$48,E53)+1)/($E$49-$E$48+1))</f>
        <v>0</v>
      </c>
    </row>
    <row r="54" spans="2:11" x14ac:dyDescent="0.25">
      <c r="B54" s="131" t="s">
        <v>781</v>
      </c>
      <c r="C54" s="131" t="str">
        <f>INDEX('Raw - Payroll'!$C:$C,MATCH(B54,'Raw - Payroll'!$N:$N,0))</f>
        <v>Field service</v>
      </c>
      <c r="D54" s="131" t="str">
        <f>INDEX('Raw - Payroll'!$O:$O,MATCH(B54,'Raw - Payroll'!$N:$N,0))</f>
        <v>No</v>
      </c>
      <c r="E54" s="132">
        <f>INDEX('Raw - Payroll'!$D:$D,MATCH(B54,'Raw - Payroll'!$N:$N,0))</f>
        <v>41043</v>
      </c>
      <c r="F54" s="132" t="str">
        <f>IF(INDEX('Raw - Payroll'!$E:$E,MATCH(B54,'Raw - Payroll'!$N:$N,0))="","",INDEX('Raw - Payroll'!$E:$E,MATCH(B54,'Raw - Payroll'!$N:$N,0)))</f>
        <v/>
      </c>
      <c r="G54" s="214">
        <f>INDEX('Raw - Payroll'!$Q:$Q,MATCH(B54,'Raw - Payroll'!$N:$N,0))</f>
        <v>1</v>
      </c>
      <c r="H54" s="214">
        <f>IF(OR(D54="Yes",AND(F54&lt;&gt;"",N(F54)&lt;='Assumptions'!$C$9),E54&gt;'Assumptions'!$C$9),"",('Assumptions'!$C$9-E54)/365.25)</f>
        <v>13.631759069130732</v>
      </c>
      <c r="J54" s="214" t="str">
        <f>IF(OR(D54="Yes",F54=""),"",(F54-E54)/(365.25/12))</f>
        <v/>
      </c>
      <c r="K54" s="214">
        <f>IF(D54="Yes",0,G54*MAX(0,MIN($E$49,IF(F54="",$E$49,F54-1))-MAX($E$48,E54)+1)/($E$49-$E$48+1))</f>
        <v>1</v>
      </c>
    </row>
    <row r="55" spans="2:11" x14ac:dyDescent="0.25">
      <c r="B55" s="131" t="s">
        <v>782</v>
      </c>
      <c r="C55" s="131" t="str">
        <f>INDEX('Raw - Payroll'!$C:$C,MATCH(B55,'Raw - Payroll'!$N:$N,0))</f>
        <v>Field service</v>
      </c>
      <c r="D55" s="131" t="str">
        <f>INDEX('Raw - Payroll'!$O:$O,MATCH(B55,'Raw - Payroll'!$N:$N,0))</f>
        <v>No</v>
      </c>
      <c r="E55" s="132">
        <f>INDEX('Raw - Payroll'!$D:$D,MATCH(B55,'Raw - Payroll'!$N:$N,0))</f>
        <v>41491</v>
      </c>
      <c r="F55" s="132" t="str">
        <f>IF(INDEX('Raw - Payroll'!$E:$E,MATCH(B55,'Raw - Payroll'!$N:$N,0))="","",INDEX('Raw - Payroll'!$E:$E,MATCH(B55,'Raw - Payroll'!$N:$N,0)))</f>
        <v/>
      </c>
      <c r="G55" s="214">
        <f>INDEX('Raw - Payroll'!$Q:$Q,MATCH(B55,'Raw - Payroll'!$N:$N,0))</f>
        <v>1</v>
      </c>
      <c r="H55" s="214">
        <f>IF(OR(D55="Yes",AND(F55&lt;&gt;"",N(F55)&lt;='Assumptions'!$C$9),E55&gt;'Assumptions'!$C$9),"",('Assumptions'!$C$9-E55)/365.25)</f>
        <v>12.405201916495551</v>
      </c>
      <c r="J55" s="214" t="str">
        <f>IF(OR(D55="Yes",F55=""),"",(F55-E55)/(365.25/12))</f>
        <v/>
      </c>
      <c r="K55" s="214">
        <f>IF(D55="Yes",0,G55*MAX(0,MIN($E$49,IF(F55="",$E$49,F55-1))-MAX($E$48,E55)+1)/($E$49-$E$48+1))</f>
        <v>1</v>
      </c>
    </row>
    <row r="56" spans="2:11" x14ac:dyDescent="0.25">
      <c r="B56" s="131" t="s">
        <v>783</v>
      </c>
      <c r="C56" s="131" t="str">
        <f>INDEX('Raw - Payroll'!$C:$C,MATCH(B56,'Raw - Payroll'!$N:$N,0))</f>
        <v>Field service</v>
      </c>
      <c r="D56" s="131" t="str">
        <f>INDEX('Raw - Payroll'!$O:$O,MATCH(B56,'Raw - Payroll'!$N:$N,0))</f>
        <v>No</v>
      </c>
      <c r="E56" s="132">
        <f>INDEX('Raw - Payroll'!$D:$D,MATCH(B56,'Raw - Payroll'!$N:$N,0))</f>
        <v>41708</v>
      </c>
      <c r="F56" s="132" t="str">
        <f>IF(INDEX('Raw - Payroll'!$E:$E,MATCH(B56,'Raw - Payroll'!$N:$N,0))="","",INDEX('Raw - Payroll'!$E:$E,MATCH(B56,'Raw - Payroll'!$N:$N,0)))</f>
        <v/>
      </c>
      <c r="G56" s="214">
        <f>INDEX('Raw - Payroll'!$Q:$Q,MATCH(B56,'Raw - Payroll'!$N:$N,0))</f>
        <v>1</v>
      </c>
      <c r="H56" s="214">
        <f>IF(OR(D56="Yes",AND(F56&lt;&gt;"",N(F56)&lt;='Assumptions'!$C$9),E56&gt;'Assumptions'!$C$9),"",('Assumptions'!$C$9-E56)/365.25)</f>
        <v>11.811088295687885</v>
      </c>
      <c r="J56" s="214" t="str">
        <f>IF(OR(D56="Yes",F56=""),"",(F56-E56)/(365.25/12))</f>
        <v/>
      </c>
      <c r="K56" s="214">
        <f>IF(D56="Yes",0,G56*MAX(0,MIN($E$49,IF(F56="",$E$49,F56-1))-MAX($E$48,E56)+1)/($E$49-$E$48+1))</f>
        <v>1</v>
      </c>
    </row>
    <row r="57" spans="2:11" x14ac:dyDescent="0.25">
      <c r="B57" s="131" t="s">
        <v>784</v>
      </c>
      <c r="C57" s="131" t="str">
        <f>INDEX('Raw - Payroll'!$C:$C,MATCH(B57,'Raw - Payroll'!$N:$N,0))</f>
        <v>Field service</v>
      </c>
      <c r="D57" s="131" t="str">
        <f>INDEX('Raw - Payroll'!$O:$O,MATCH(B57,'Raw - Payroll'!$N:$N,0))</f>
        <v>No</v>
      </c>
      <c r="E57" s="132">
        <f>INDEX('Raw - Payroll'!$D:$D,MATCH(B57,'Raw - Payroll'!$N:$N,0))</f>
        <v>42296</v>
      </c>
      <c r="F57" s="132" t="str">
        <f>IF(INDEX('Raw - Payroll'!$E:$E,MATCH(B57,'Raw - Payroll'!$N:$N,0))="","",INDEX('Raw - Payroll'!$E:$E,MATCH(B57,'Raw - Payroll'!$N:$N,0)))</f>
        <v/>
      </c>
      <c r="G57" s="214">
        <f>INDEX('Raw - Payroll'!$Q:$Q,MATCH(B57,'Raw - Payroll'!$N:$N,0))</f>
        <v>1</v>
      </c>
      <c r="H57" s="214">
        <f>IF(OR(D57="Yes",AND(F57&lt;&gt;"",N(F57)&lt;='Assumptions'!$C$9),E57&gt;'Assumptions'!$C$9),"",('Assumptions'!$C$9-E57)/365.25)</f>
        <v>10.20123203285421</v>
      </c>
      <c r="J57" s="214" t="str">
        <f>IF(OR(D57="Yes",F57=""),"",(F57-E57)/(365.25/12))</f>
        <v/>
      </c>
      <c r="K57" s="214">
        <f>IF(D57="Yes",0,G57*MAX(0,MIN($E$49,IF(F57="",$E$49,F57-1))-MAX($E$48,E57)+1)/($E$49-$E$48+1))</f>
        <v>1</v>
      </c>
    </row>
    <row r="58" spans="2:11" x14ac:dyDescent="0.25">
      <c r="B58" s="131" t="s">
        <v>785</v>
      </c>
      <c r="C58" s="131" t="str">
        <f>INDEX('Raw - Payroll'!$C:$C,MATCH(B58,'Raw - Payroll'!$N:$N,0))</f>
        <v>Field service</v>
      </c>
      <c r="D58" s="131" t="str">
        <f>INDEX('Raw - Payroll'!$O:$O,MATCH(B58,'Raw - Payroll'!$N:$N,0))</f>
        <v>No</v>
      </c>
      <c r="E58" s="132">
        <f>INDEX('Raw - Payroll'!$D:$D,MATCH(B58,'Raw - Payroll'!$N:$N,0))</f>
        <v>42527</v>
      </c>
      <c r="F58" s="132" t="str">
        <f>IF(INDEX('Raw - Payroll'!$E:$E,MATCH(B58,'Raw - Payroll'!$N:$N,0))="","",INDEX('Raw - Payroll'!$E:$E,MATCH(B58,'Raw - Payroll'!$N:$N,0)))</f>
        <v/>
      </c>
      <c r="G58" s="214">
        <f>INDEX('Raw - Payroll'!$Q:$Q,MATCH(B58,'Raw - Payroll'!$N:$N,0))</f>
        <v>1</v>
      </c>
      <c r="H58" s="214">
        <f>IF(OR(D58="Yes",AND(F58&lt;&gt;"",N(F58)&lt;='Assumptions'!$C$9),E58&gt;'Assumptions'!$C$9),"",('Assumptions'!$C$9-E58)/365.25)</f>
        <v>9.568788501026694</v>
      </c>
      <c r="J58" s="214" t="str">
        <f>IF(OR(D58="Yes",F58=""),"",(F58-E58)/(365.25/12))</f>
        <v/>
      </c>
      <c r="K58" s="214">
        <f>IF(D58="Yes",0,G58*MAX(0,MIN($E$49,IF(F58="",$E$49,F58-1))-MAX($E$48,E58)+1)/($E$49-$E$48+1))</f>
        <v>1</v>
      </c>
    </row>
    <row r="59" spans="2:11" x14ac:dyDescent="0.25">
      <c r="B59" s="131" t="s">
        <v>786</v>
      </c>
      <c r="C59" s="131" t="str">
        <f>INDEX('Raw - Payroll'!$C:$C,MATCH(B59,'Raw - Payroll'!$N:$N,0))</f>
        <v>Field service</v>
      </c>
      <c r="D59" s="131" t="str">
        <f>INDEX('Raw - Payroll'!$O:$O,MATCH(B59,'Raw - Payroll'!$N:$N,0))</f>
        <v>No</v>
      </c>
      <c r="E59" s="132">
        <f>INDEX('Raw - Payroll'!$D:$D,MATCH(B59,'Raw - Payroll'!$N:$N,0))</f>
        <v>42786</v>
      </c>
      <c r="F59" s="132" t="str">
        <f>IF(INDEX('Raw - Payroll'!$E:$E,MATCH(B59,'Raw - Payroll'!$N:$N,0))="","",INDEX('Raw - Payroll'!$E:$E,MATCH(B59,'Raw - Payroll'!$N:$N,0)))</f>
        <v/>
      </c>
      <c r="G59" s="214">
        <f>INDEX('Raw - Payroll'!$Q:$Q,MATCH(B59,'Raw - Payroll'!$N:$N,0))</f>
        <v>1</v>
      </c>
      <c r="H59" s="214">
        <f>IF(OR(D59="Yes",AND(F59&lt;&gt;"",N(F59)&lt;='Assumptions'!$C$9),E59&gt;'Assumptions'!$C$9),"",('Assumptions'!$C$9-E59)/365.25)</f>
        <v>8.85968514715948</v>
      </c>
      <c r="J59" s="214" t="str">
        <f>IF(OR(D59="Yes",F59=""),"",(F59-E59)/(365.25/12))</f>
        <v/>
      </c>
      <c r="K59" s="214">
        <f>IF(D59="Yes",0,G59*MAX(0,MIN($E$49,IF(F59="",$E$49,F59-1))-MAX($E$48,E59)+1)/($E$49-$E$48+1))</f>
        <v>1</v>
      </c>
    </row>
    <row r="60" spans="2:11" x14ac:dyDescent="0.25">
      <c r="B60" s="131" t="s">
        <v>787</v>
      </c>
      <c r="C60" s="131" t="str">
        <f>INDEX('Raw - Payroll'!$C:$C,MATCH(B60,'Raw - Payroll'!$N:$N,0))</f>
        <v>Field service</v>
      </c>
      <c r="D60" s="131" t="str">
        <f>INDEX('Raw - Payroll'!$O:$O,MATCH(B60,'Raw - Payroll'!$N:$N,0))</f>
        <v>No</v>
      </c>
      <c r="E60" s="132">
        <f>INDEX('Raw - Payroll'!$D:$D,MATCH(B60,'Raw - Payroll'!$N:$N,0))</f>
        <v>43346</v>
      </c>
      <c r="F60" s="132" t="str">
        <f>IF(INDEX('Raw - Payroll'!$E:$E,MATCH(B60,'Raw - Payroll'!$N:$N,0))="","",INDEX('Raw - Payroll'!$E:$E,MATCH(B60,'Raw - Payroll'!$N:$N,0)))</f>
        <v/>
      </c>
      <c r="G60" s="214">
        <f>INDEX('Raw - Payroll'!$Q:$Q,MATCH(B60,'Raw - Payroll'!$N:$N,0))</f>
        <v>1</v>
      </c>
      <c r="H60" s="214">
        <f>IF(OR(D60="Yes",AND(F60&lt;&gt;"",N(F60)&lt;='Assumptions'!$C$9),E60&gt;'Assumptions'!$C$9),"",('Assumptions'!$C$9-E60)/365.25)</f>
        <v>7.326488706365503</v>
      </c>
      <c r="J60" s="214" t="str">
        <f>IF(OR(D60="Yes",F60=""),"",(F60-E60)/(365.25/12))</f>
        <v/>
      </c>
      <c r="K60" s="214">
        <f>IF(D60="Yes",0,G60*MAX(0,MIN($E$49,IF(F60="",$E$49,F60-1))-MAX($E$48,E60)+1)/($E$49-$E$48+1))</f>
        <v>1</v>
      </c>
    </row>
    <row r="61" spans="2:11" x14ac:dyDescent="0.25">
      <c r="B61" s="131" t="s">
        <v>788</v>
      </c>
      <c r="C61" s="131" t="str">
        <f>INDEX('Raw - Payroll'!$C:$C,MATCH(B61,'Raw - Payroll'!$N:$N,0))</f>
        <v>Field service</v>
      </c>
      <c r="D61" s="131" t="str">
        <f>INDEX('Raw - Payroll'!$O:$O,MATCH(B61,'Raw - Payroll'!$N:$N,0))</f>
        <v>No</v>
      </c>
      <c r="E61" s="132">
        <f>INDEX('Raw - Payroll'!$D:$D,MATCH(B61,'Raw - Payroll'!$N:$N,0))</f>
        <v>43570</v>
      </c>
      <c r="F61" s="132">
        <f>IF(INDEX('Raw - Payroll'!$E:$E,MATCH(B61,'Raw - Payroll'!$N:$N,0))="","",INDEX('Raw - Payroll'!$E:$E,MATCH(B61,'Raw - Payroll'!$N:$N,0)))</f>
        <v>45382</v>
      </c>
      <c r="G61" s="214">
        <f>INDEX('Raw - Payroll'!$Q:$Q,MATCH(B61,'Raw - Payroll'!$N:$N,0))</f>
        <v>1</v>
      </c>
      <c r="H61" s="214" t="str">
        <f>IF(OR(D61="Yes",AND(F61&lt;&gt;"",N(F61)&lt;='Assumptions'!$C$9),E61&gt;'Assumptions'!$C$9),"",('Assumptions'!$C$9-E61)/365.25)</f>
        <v/>
      </c>
      <c r="J61" s="214">
        <f>IF(OR(D61="Yes",F61=""),"",(F61-E61)/(365.25/12))</f>
        <v>59.53182751540041</v>
      </c>
      <c r="K61" s="214">
        <f>IF(D61="Yes",0,G61*MAX(0,MIN($E$49,IF(F61="",$E$49,F61-1))-MAX($E$48,E61)+1)/($E$49-$E$48+1))</f>
        <v>0</v>
      </c>
    </row>
    <row r="62" spans="2:11" x14ac:dyDescent="0.25">
      <c r="B62" s="131" t="s">
        <v>789</v>
      </c>
      <c r="C62" s="131" t="str">
        <f>INDEX('Raw - Payroll'!$C:$C,MATCH(B62,'Raw - Payroll'!$N:$N,0))</f>
        <v>Field service</v>
      </c>
      <c r="D62" s="131" t="str">
        <f>INDEX('Raw - Payroll'!$O:$O,MATCH(B62,'Raw - Payroll'!$N:$N,0))</f>
        <v>No</v>
      </c>
      <c r="E62" s="132">
        <f>INDEX('Raw - Payroll'!$D:$D,MATCH(B62,'Raw - Payroll'!$N:$N,0))</f>
        <v>43843</v>
      </c>
      <c r="F62" s="132" t="str">
        <f>IF(INDEX('Raw - Payroll'!$E:$E,MATCH(B62,'Raw - Payroll'!$N:$N,0))="","",INDEX('Raw - Payroll'!$E:$E,MATCH(B62,'Raw - Payroll'!$N:$N,0)))</f>
        <v/>
      </c>
      <c r="G62" s="214">
        <f>INDEX('Raw - Payroll'!$Q:$Q,MATCH(B62,'Raw - Payroll'!$N:$N,0))</f>
        <v>1</v>
      </c>
      <c r="H62" s="214">
        <f>IF(OR(D62="Yes",AND(F62&lt;&gt;"",N(F62)&lt;='Assumptions'!$C$9),E62&gt;'Assumptions'!$C$9),"",('Assumptions'!$C$9-E62)/365.25)</f>
        <v>5.965776865160849</v>
      </c>
      <c r="J62" s="214" t="str">
        <f>IF(OR(D62="Yes",F62=""),"",(F62-E62)/(365.25/12))</f>
        <v/>
      </c>
      <c r="K62" s="214">
        <f>IF(D62="Yes",0,G62*MAX(0,MIN($E$49,IF(F62="",$E$49,F62-1))-MAX($E$48,E62)+1)/($E$49-$E$48+1))</f>
        <v>1</v>
      </c>
    </row>
    <row r="63" spans="2:11" x14ac:dyDescent="0.25">
      <c r="B63" s="131" t="s">
        <v>790</v>
      </c>
      <c r="C63" s="131" t="str">
        <f>INDEX('Raw - Payroll'!$C:$C,MATCH(B63,'Raw - Payroll'!$N:$N,0))</f>
        <v>Field service</v>
      </c>
      <c r="D63" s="131" t="str">
        <f>INDEX('Raw - Payroll'!$O:$O,MATCH(B63,'Raw - Payroll'!$N:$N,0))</f>
        <v>No</v>
      </c>
      <c r="E63" s="132">
        <f>INDEX('Raw - Payroll'!$D:$D,MATCH(B63,'Raw - Payroll'!$N:$N,0))</f>
        <v>44137</v>
      </c>
      <c r="F63" s="132">
        <f>IF(INDEX('Raw - Payroll'!$E:$E,MATCH(B63,'Raw - Payroll'!$N:$N,0))="","",INDEX('Raw - Payroll'!$E:$E,MATCH(B63,'Raw - Payroll'!$N:$N,0)))</f>
        <v>45184</v>
      </c>
      <c r="G63" s="214">
        <f>INDEX('Raw - Payroll'!$Q:$Q,MATCH(B63,'Raw - Payroll'!$N:$N,0))</f>
        <v>1</v>
      </c>
      <c r="H63" s="214" t="str">
        <f>IF(OR(D63="Yes",AND(F63&lt;&gt;"",N(F63)&lt;='Assumptions'!$C$9),E63&gt;'Assumptions'!$C$9),"",('Assumptions'!$C$9-E63)/365.25)</f>
        <v/>
      </c>
      <c r="J63" s="214">
        <f>IF(OR(D63="Yes",F63=""),"",(F63-E63)/(365.25/12))</f>
        <v>34.39835728952772</v>
      </c>
      <c r="K63" s="214">
        <f>IF(D63="Yes",0,G63*MAX(0,MIN($E$49,IF(F63="",$E$49,F63-1))-MAX($E$48,E63)+1)/($E$49-$E$48+1))</f>
        <v>0</v>
      </c>
    </row>
    <row r="64" spans="2:11" x14ac:dyDescent="0.25">
      <c r="B64" s="131" t="s">
        <v>791</v>
      </c>
      <c r="C64" s="131" t="str">
        <f>INDEX('Raw - Payroll'!$C:$C,MATCH(B64,'Raw - Payroll'!$N:$N,0))</f>
        <v>Field service</v>
      </c>
      <c r="D64" s="131" t="str">
        <f>INDEX('Raw - Payroll'!$O:$O,MATCH(B64,'Raw - Payroll'!$N:$N,0))</f>
        <v>No</v>
      </c>
      <c r="E64" s="132">
        <f>INDEX('Raw - Payroll'!$D:$D,MATCH(B64,'Raw - Payroll'!$N:$N,0))</f>
        <v>44389</v>
      </c>
      <c r="F64" s="132" t="str">
        <f>IF(INDEX('Raw - Payroll'!$E:$E,MATCH(B64,'Raw - Payroll'!$N:$N,0))="","",INDEX('Raw - Payroll'!$E:$E,MATCH(B64,'Raw - Payroll'!$N:$N,0)))</f>
        <v/>
      </c>
      <c r="G64" s="214">
        <f>INDEX('Raw - Payroll'!$Q:$Q,MATCH(B64,'Raw - Payroll'!$N:$N,0))</f>
        <v>1</v>
      </c>
      <c r="H64" s="214">
        <f>IF(OR(D64="Yes",AND(F64&lt;&gt;"",N(F64)&lt;='Assumptions'!$C$9),E64&gt;'Assumptions'!$C$9),"",('Assumptions'!$C$9-E64)/365.25)</f>
        <v>4.470910335386721</v>
      </c>
      <c r="J64" s="214" t="str">
        <f>IF(OR(D64="Yes",F64=""),"",(F64-E64)/(365.25/12))</f>
        <v/>
      </c>
      <c r="K64" s="214">
        <f>IF(D64="Yes",0,G64*MAX(0,MIN($E$49,IF(F64="",$E$49,F64-1))-MAX($E$48,E64)+1)/($E$49-$E$48+1))</f>
        <v>1</v>
      </c>
    </row>
    <row r="65" spans="2:11" x14ac:dyDescent="0.25">
      <c r="B65" s="131" t="s">
        <v>792</v>
      </c>
      <c r="C65" s="131" t="str">
        <f>INDEX('Raw - Payroll'!$C:$C,MATCH(B65,'Raw - Payroll'!$N:$N,0))</f>
        <v>Field service</v>
      </c>
      <c r="D65" s="131" t="str">
        <f>INDEX('Raw - Payroll'!$O:$O,MATCH(B65,'Raw - Payroll'!$N:$N,0))</f>
        <v>No</v>
      </c>
      <c r="E65" s="132">
        <f>INDEX('Raw - Payroll'!$D:$D,MATCH(B65,'Raw - Payroll'!$N:$N,0))</f>
        <v>44627</v>
      </c>
      <c r="F65" s="132">
        <f>IF(INDEX('Raw - Payroll'!$E:$E,MATCH(B65,'Raw - Payroll'!$N:$N,0))="","",INDEX('Raw - Payroll'!$E:$E,MATCH(B65,'Raw - Payroll'!$N:$N,0)))</f>
        <v>45702</v>
      </c>
      <c r="G65" s="214">
        <f>INDEX('Raw - Payroll'!$Q:$Q,MATCH(B65,'Raw - Payroll'!$N:$N,0))</f>
        <v>1</v>
      </c>
      <c r="H65" s="214" t="str">
        <f>IF(OR(D65="Yes",AND(F65&lt;&gt;"",N(F65)&lt;='Assumptions'!$C$9),E65&gt;'Assumptions'!$C$9),"",('Assumptions'!$C$9-E65)/365.25)</f>
        <v/>
      </c>
      <c r="J65" s="214">
        <f>IF(OR(D65="Yes",F65=""),"",(F65-E65)/(365.25/12))</f>
        <v>35.318275154004105</v>
      </c>
      <c r="K65" s="214">
        <f>IF(D65="Yes",0,G65*MAX(0,MIN($E$49,IF(F65="",$E$49,F65-1))-MAX($E$48,E65)+1)/($E$49-$E$48+1))</f>
        <v>0.12054794520547946</v>
      </c>
    </row>
    <row r="66" spans="2:11" x14ac:dyDescent="0.25">
      <c r="B66" s="131" t="s">
        <v>793</v>
      </c>
      <c r="C66" s="131" t="str">
        <f>INDEX('Raw - Payroll'!$C:$C,MATCH(B66,'Raw - Payroll'!$N:$N,0))</f>
        <v>Installation</v>
      </c>
      <c r="D66" s="131" t="str">
        <f>INDEX('Raw - Payroll'!$O:$O,MATCH(B66,'Raw - Payroll'!$N:$N,0))</f>
        <v>No</v>
      </c>
      <c r="E66" s="132">
        <f>INDEX('Raw - Payroll'!$D:$D,MATCH(B66,'Raw - Payroll'!$N:$N,0))</f>
        <v>42625</v>
      </c>
      <c r="F66" s="132" t="str">
        <f>IF(INDEX('Raw - Payroll'!$E:$E,MATCH(B66,'Raw - Payroll'!$N:$N,0))="","",INDEX('Raw - Payroll'!$E:$E,MATCH(B66,'Raw - Payroll'!$N:$N,0)))</f>
        <v/>
      </c>
      <c r="G66" s="214">
        <f>INDEX('Raw - Payroll'!$Q:$Q,MATCH(B66,'Raw - Payroll'!$N:$N,0))</f>
        <v>1</v>
      </c>
      <c r="H66" s="214">
        <f>IF(OR(D66="Yes",AND(F66&lt;&gt;"",N(F66)&lt;='Assumptions'!$C$9),E66&gt;'Assumptions'!$C$9),"",('Assumptions'!$C$9-E66)/365.25)</f>
        <v>9.300479123887747</v>
      </c>
      <c r="J66" s="214" t="str">
        <f>IF(OR(D66="Yes",F66=""),"",(F66-E66)/(365.25/12))</f>
        <v/>
      </c>
      <c r="K66" s="214">
        <f>IF(D66="Yes",0,G66*MAX(0,MIN($E$49,IF(F66="",$E$49,F66-1))-MAX($E$48,E66)+1)/($E$49-$E$48+1))</f>
        <v>1</v>
      </c>
    </row>
    <row r="67" spans="2:11" x14ac:dyDescent="0.25">
      <c r="B67" s="131" t="s">
        <v>794</v>
      </c>
      <c r="C67" s="131" t="str">
        <f>INDEX('Raw - Payroll'!$C:$C,MATCH(B67,'Raw - Payroll'!$N:$N,0))</f>
        <v>Installation</v>
      </c>
      <c r="D67" s="131" t="str">
        <f>INDEX('Raw - Payroll'!$O:$O,MATCH(B67,'Raw - Payroll'!$N:$N,0))</f>
        <v>No</v>
      </c>
      <c r="E67" s="132">
        <f>INDEX('Raw - Payroll'!$D:$D,MATCH(B67,'Raw - Payroll'!$N:$N,0))</f>
        <v>43696</v>
      </c>
      <c r="F67" s="132" t="str">
        <f>IF(INDEX('Raw - Payroll'!$E:$E,MATCH(B67,'Raw - Payroll'!$N:$N,0))="","",INDEX('Raw - Payroll'!$E:$E,MATCH(B67,'Raw - Payroll'!$N:$N,0)))</f>
        <v/>
      </c>
      <c r="G67" s="214">
        <f>INDEX('Raw - Payroll'!$Q:$Q,MATCH(B67,'Raw - Payroll'!$N:$N,0))</f>
        <v>1</v>
      </c>
      <c r="H67" s="214">
        <f>IF(OR(D67="Yes",AND(F67&lt;&gt;"",N(F67)&lt;='Assumptions'!$C$9),E67&gt;'Assumptions'!$C$9),"",('Assumptions'!$C$9-E67)/365.25)</f>
        <v>6.368240930869268</v>
      </c>
      <c r="J67" s="214" t="str">
        <f>IF(OR(D67="Yes",F67=""),"",(F67-E67)/(365.25/12))</f>
        <v/>
      </c>
      <c r="K67" s="214">
        <f>IF(D67="Yes",0,G67*MAX(0,MIN($E$49,IF(F67="",$E$49,F67-1))-MAX($E$48,E67)+1)/($E$49-$E$48+1))</f>
        <v>1</v>
      </c>
    </row>
    <row r="68" spans="2:11" x14ac:dyDescent="0.25">
      <c r="B68" s="131" t="s">
        <v>795</v>
      </c>
      <c r="C68" s="131" t="str">
        <f>INDEX('Raw - Payroll'!$C:$C,MATCH(B68,'Raw - Payroll'!$N:$N,0))</f>
        <v>Installation</v>
      </c>
      <c r="D68" s="131" t="str">
        <f>INDEX('Raw - Payroll'!$O:$O,MATCH(B68,'Raw - Payroll'!$N:$N,0))</f>
        <v>No</v>
      </c>
      <c r="E68" s="132">
        <f>INDEX('Raw - Payroll'!$D:$D,MATCH(B68,'Raw - Payroll'!$N:$N,0))</f>
        <v>44319</v>
      </c>
      <c r="F68" s="132" t="str">
        <f>IF(INDEX('Raw - Payroll'!$E:$E,MATCH(B68,'Raw - Payroll'!$N:$N,0))="","",INDEX('Raw - Payroll'!$E:$E,MATCH(B68,'Raw - Payroll'!$N:$N,0)))</f>
        <v/>
      </c>
      <c r="G68" s="214">
        <f>INDEX('Raw - Payroll'!$Q:$Q,MATCH(B68,'Raw - Payroll'!$N:$N,0))</f>
        <v>1</v>
      </c>
      <c r="H68" s="214">
        <f>IF(OR(D68="Yes",AND(F68&lt;&gt;"",N(F68)&lt;='Assumptions'!$C$9),E68&gt;'Assumptions'!$C$9),"",('Assumptions'!$C$9-E68)/365.25)</f>
        <v>4.662559890485968</v>
      </c>
      <c r="J68" s="214" t="str">
        <f>IF(OR(D68="Yes",F68=""),"",(F68-E68)/(365.25/12))</f>
        <v/>
      </c>
      <c r="K68" s="214">
        <f>IF(D68="Yes",0,G68*MAX(0,MIN($E$49,IF(F68="",$E$49,F68-1))-MAX($E$48,E68)+1)/($E$49-$E$48+1))</f>
        <v>1</v>
      </c>
    </row>
    <row r="69" spans="2:11" x14ac:dyDescent="0.25">
      <c r="B69" s="131" t="s">
        <v>796</v>
      </c>
      <c r="C69" s="131" t="str">
        <f>INDEX('Raw - Payroll'!$C:$C,MATCH(B69,'Raw - Payroll'!$N:$N,0))</f>
        <v>Office</v>
      </c>
      <c r="D69" s="131" t="str">
        <f>INDEX('Raw - Payroll'!$O:$O,MATCH(B69,'Raw - Payroll'!$N:$N,0))</f>
        <v>No</v>
      </c>
      <c r="E69" s="132">
        <f>INDEX('Raw - Payroll'!$D:$D,MATCH(B69,'Raw - Payroll'!$N:$N,0))</f>
        <v>43045</v>
      </c>
      <c r="F69" s="132" t="str">
        <f>IF(INDEX('Raw - Payroll'!$E:$E,MATCH(B69,'Raw - Payroll'!$N:$N,0))="","",INDEX('Raw - Payroll'!$E:$E,MATCH(B69,'Raw - Payroll'!$N:$N,0)))</f>
        <v/>
      </c>
      <c r="G69" s="214">
        <f>INDEX('Raw - Payroll'!$Q:$Q,MATCH(B69,'Raw - Payroll'!$N:$N,0))</f>
        <v>1</v>
      </c>
      <c r="H69" s="214">
        <f>IF(OR(D69="Yes",AND(F69&lt;&gt;"",N(F69)&lt;='Assumptions'!$C$9),E69&gt;'Assumptions'!$C$9),"",('Assumptions'!$C$9-E69)/365.25)</f>
        <v>8.150581793292266</v>
      </c>
      <c r="J69" s="214" t="str">
        <f>IF(OR(D69="Yes",F69=""),"",(F69-E69)/(365.25/12))</f>
        <v/>
      </c>
      <c r="K69" s="214">
        <f>IF(D69="Yes",0,G69*MAX(0,MIN($E$49,IF(F69="",$E$49,F69-1))-MAX($E$48,E69)+1)/($E$49-$E$48+1))</f>
        <v>1</v>
      </c>
    </row>
    <row r="70" spans="2:11" x14ac:dyDescent="0.25">
      <c r="B70" s="131" t="s">
        <v>797</v>
      </c>
      <c r="C70" s="131" t="str">
        <f>INDEX('Raw - Payroll'!$C:$C,MATCH(B70,'Raw - Payroll'!$N:$N,0))</f>
        <v>Office</v>
      </c>
      <c r="D70" s="131" t="str">
        <f>INDEX('Raw - Payroll'!$O:$O,MATCH(B70,'Raw - Payroll'!$N:$N,0))</f>
        <v>No</v>
      </c>
      <c r="E70" s="132">
        <f>INDEX('Raw - Payroll'!$D:$D,MATCH(B70,'Raw - Payroll'!$N:$N,0))</f>
        <v>44067</v>
      </c>
      <c r="F70" s="132">
        <f>IF(INDEX('Raw - Payroll'!$E:$E,MATCH(B70,'Raw - Payroll'!$N:$N,0))="","",INDEX('Raw - Payroll'!$E:$E,MATCH(B70,'Raw - Payroll'!$N:$N,0)))</f>
        <v>45807</v>
      </c>
      <c r="G70" s="214">
        <f>INDEX('Raw - Payroll'!$Q:$Q,MATCH(B70,'Raw - Payroll'!$N:$N,0))</f>
        <v>1</v>
      </c>
      <c r="H70" s="214" t="str">
        <f>IF(OR(D70="Yes",AND(F70&lt;&gt;"",N(F70)&lt;='Assumptions'!$C$9),E70&gt;'Assumptions'!$C$9),"",('Assumptions'!$C$9-E70)/365.25)</f>
        <v/>
      </c>
      <c r="J70" s="214">
        <f>IF(OR(D70="Yes",F70=""),"",(F70-E70)/(365.25/12))</f>
        <v>57.16632443531827</v>
      </c>
      <c r="K70" s="214">
        <f>IF(D70="Yes",0,G70*MAX(0,MIN($E$49,IF(F70="",$E$49,F70-1))-MAX($E$48,E70)+1)/($E$49-$E$48+1))</f>
        <v>0.40821917808219177</v>
      </c>
    </row>
    <row r="71" spans="2:11" x14ac:dyDescent="0.25">
      <c r="B71" s="131" t="s">
        <v>798</v>
      </c>
      <c r="C71" s="131" t="str">
        <f>INDEX('Raw - Payroll'!$C:$C,MATCH(B71,'Raw - Payroll'!$N:$N,0))</f>
        <v>Office</v>
      </c>
      <c r="D71" s="131" t="str">
        <f>INDEX('Raw - Payroll'!$O:$O,MATCH(B71,'Raw - Payroll'!$N:$N,0))</f>
        <v>No</v>
      </c>
      <c r="E71" s="132">
        <f>INDEX('Raw - Payroll'!$D:$D,MATCH(B71,'Raw - Payroll'!$N:$N,0))</f>
        <v>42044</v>
      </c>
      <c r="F71" s="132" t="str">
        <f>IF(INDEX('Raw - Payroll'!$E:$E,MATCH(B71,'Raw - Payroll'!$N:$N,0))="","",INDEX('Raw - Payroll'!$E:$E,MATCH(B71,'Raw - Payroll'!$N:$N,0)))</f>
        <v/>
      </c>
      <c r="G71" s="214">
        <f>INDEX('Raw - Payroll'!$Q:$Q,MATCH(B71,'Raw - Payroll'!$N:$N,0))</f>
        <v>1</v>
      </c>
      <c r="H71" s="214">
        <f>IF(OR(D71="Yes",AND(F71&lt;&gt;"",N(F71)&lt;='Assumptions'!$C$9),E71&gt;'Assumptions'!$C$9),"",('Assumptions'!$C$9-E71)/365.25)</f>
        <v>10.8911704312115</v>
      </c>
      <c r="J71" s="214" t="str">
        <f>IF(OR(D71="Yes",F71=""),"",(F71-E71)/(365.25/12))</f>
        <v/>
      </c>
      <c r="K71" s="214">
        <f>IF(D71="Yes",0,G71*MAX(0,MIN($E$49,IF(F71="",$E$49,F71-1))-MAX($E$48,E71)+1)/($E$49-$E$48+1))</f>
        <v>1</v>
      </c>
    </row>
    <row r="72" spans="2:11" x14ac:dyDescent="0.25">
      <c r="B72" s="131" t="s">
        <v>799</v>
      </c>
      <c r="C72" s="131" t="str">
        <f>INDEX('Raw - Payroll'!$C:$C,MATCH(B72,'Raw - Payroll'!$N:$N,0))</f>
        <v>Management</v>
      </c>
      <c r="D72" s="131" t="str">
        <f>INDEX('Raw - Payroll'!$O:$O,MATCH(B72,'Raw - Payroll'!$N:$N,0))</f>
        <v>No</v>
      </c>
      <c r="E72" s="132">
        <f>INDEX('Raw - Payroll'!$D:$D,MATCH(B72,'Raw - Payroll'!$N:$N,0))</f>
        <v>41890</v>
      </c>
      <c r="F72" s="132" t="str">
        <f>IF(INDEX('Raw - Payroll'!$E:$E,MATCH(B72,'Raw - Payroll'!$N:$N,0))="","",INDEX('Raw - Payroll'!$E:$E,MATCH(B72,'Raw - Payroll'!$N:$N,0)))</f>
        <v/>
      </c>
      <c r="G72" s="214">
        <f>INDEX('Raw - Payroll'!$Q:$Q,MATCH(B72,'Raw - Payroll'!$N:$N,0))</f>
        <v>1</v>
      </c>
      <c r="H72" s="214">
        <f>IF(OR(D72="Yes",AND(F72&lt;&gt;"",N(F72)&lt;='Assumptions'!$C$9),E72&gt;'Assumptions'!$C$9),"",('Assumptions'!$C$9-E72)/365.25)</f>
        <v>11.312799452429843</v>
      </c>
      <c r="J72" s="214" t="str">
        <f>IF(OR(D72="Yes",F72=""),"",(F72-E72)/(365.25/12))</f>
        <v/>
      </c>
      <c r="K72" s="214">
        <f>IF(D72="Yes",0,G72*MAX(0,MIN($E$49,IF(F72="",$E$49,F72-1))-MAX($E$48,E72)+1)/($E$49-$E$48+1))</f>
        <v>1</v>
      </c>
    </row>
    <row r="73" spans="2:11" x14ac:dyDescent="0.25">
      <c r="B73" s="131" t="s">
        <v>800</v>
      </c>
      <c r="C73" s="131" t="str">
        <f>INDEX('Raw - Payroll'!$C:$C,MATCH(B73,'Raw - Payroll'!$N:$N,0))</f>
        <v>Field service</v>
      </c>
      <c r="D73" s="131" t="str">
        <f>INDEX('Raw - Payroll'!$O:$O,MATCH(B73,'Raw - Payroll'!$N:$N,0))</f>
        <v>No</v>
      </c>
      <c r="E73" s="132">
        <f>INDEX('Raw - Payroll'!$D:$D,MATCH(B73,'Raw - Payroll'!$N:$N,0))</f>
        <v>45019</v>
      </c>
      <c r="F73" s="132" t="str">
        <f>IF(INDEX('Raw - Payroll'!$E:$E,MATCH(B73,'Raw - Payroll'!$N:$N,0))="","",INDEX('Raw - Payroll'!$E:$E,MATCH(B73,'Raw - Payroll'!$N:$N,0)))</f>
        <v/>
      </c>
      <c r="G73" s="214">
        <f>INDEX('Raw - Payroll'!$Q:$Q,MATCH(B73,'Raw - Payroll'!$N:$N,0))</f>
        <v>1</v>
      </c>
      <c r="H73" s="214">
        <f>IF(OR(D73="Yes",AND(F73&lt;&gt;"",N(F73)&lt;='Assumptions'!$C$9),E73&gt;'Assumptions'!$C$9),"",('Assumptions'!$C$9-E73)/365.25)</f>
        <v>2.746064339493498</v>
      </c>
      <c r="J73" s="214" t="str">
        <f>IF(OR(D73="Yes",F73=""),"",(F73-E73)/(365.25/12))</f>
        <v/>
      </c>
      <c r="K73" s="214">
        <f>IF(D73="Yes",0,G73*MAX(0,MIN($E$49,IF(F73="",$E$49,F73-1))-MAX($E$48,E73)+1)/($E$49-$E$48+1))</f>
        <v>1</v>
      </c>
    </row>
    <row r="74" spans="2:11" x14ac:dyDescent="0.25">
      <c r="B74" s="131" t="s">
        <v>801</v>
      </c>
      <c r="C74" s="131" t="str">
        <f>INDEX('Raw - Payroll'!$C:$C,MATCH(B74,'Raw - Payroll'!$N:$N,0))</f>
        <v>Field service</v>
      </c>
      <c r="D74" s="131" t="str">
        <f>INDEX('Raw - Payroll'!$O:$O,MATCH(B74,'Raw - Payroll'!$N:$N,0))</f>
        <v>No</v>
      </c>
      <c r="E74" s="132">
        <f>INDEX('Raw - Payroll'!$D:$D,MATCH(B74,'Raw - Payroll'!$N:$N,0))</f>
        <v>45139</v>
      </c>
      <c r="F74" s="132">
        <f>IF(INDEX('Raw - Payroll'!$E:$E,MATCH(B74,'Raw - Payroll'!$N:$N,0))="","",INDEX('Raw - Payroll'!$E:$E,MATCH(B74,'Raw - Payroll'!$N:$N,0)))</f>
        <v>45856</v>
      </c>
      <c r="G74" s="214">
        <f>INDEX('Raw - Payroll'!$Q:$Q,MATCH(B74,'Raw - Payroll'!$N:$N,0))</f>
        <v>1</v>
      </c>
      <c r="H74" s="214" t="str">
        <f>IF(OR(D74="Yes",AND(F74&lt;&gt;"",N(F74)&lt;='Assumptions'!$C$9),E74&gt;'Assumptions'!$C$9),"",('Assumptions'!$C$9-E74)/365.25)</f>
        <v/>
      </c>
      <c r="J74" s="214">
        <f>IF(OR(D74="Yes",F74=""),"",(F74-E74)/(365.25/12))</f>
        <v>23.5564681724846</v>
      </c>
      <c r="K74" s="214">
        <f>IF(D74="Yes",0,G74*MAX(0,MIN($E$49,IF(F74="",$E$49,F74-1))-MAX($E$48,E74)+1)/($E$49-$E$48+1))</f>
        <v>0.5424657534246575</v>
      </c>
    </row>
    <row r="75" spans="2:11" x14ac:dyDescent="0.25">
      <c r="B75" s="131" t="s">
        <v>802</v>
      </c>
      <c r="C75" s="131" t="str">
        <f>INDEX('Raw - Payroll'!$C:$C,MATCH(B75,'Raw - Payroll'!$N:$N,0))</f>
        <v>Installation</v>
      </c>
      <c r="D75" s="131" t="str">
        <f>INDEX('Raw - Payroll'!$O:$O,MATCH(B75,'Raw - Payroll'!$N:$N,0))</f>
        <v>No</v>
      </c>
      <c r="E75" s="132">
        <f>INDEX('Raw - Payroll'!$D:$D,MATCH(B75,'Raw - Payroll'!$N:$N,0))</f>
        <v>45089</v>
      </c>
      <c r="F75" s="132" t="str">
        <f>IF(INDEX('Raw - Payroll'!$E:$E,MATCH(B75,'Raw - Payroll'!$N:$N,0))="","",INDEX('Raw - Payroll'!$E:$E,MATCH(B75,'Raw - Payroll'!$N:$N,0)))</f>
        <v/>
      </c>
      <c r="G75" s="214">
        <f>INDEX('Raw - Payroll'!$Q:$Q,MATCH(B75,'Raw - Payroll'!$N:$N,0))</f>
        <v>1</v>
      </c>
      <c r="H75" s="214">
        <f>IF(OR(D75="Yes",AND(F75&lt;&gt;"",N(F75)&lt;='Assumptions'!$C$9),E75&gt;'Assumptions'!$C$9),"",('Assumptions'!$C$9-E75)/365.25)</f>
        <v>2.5544147843942504</v>
      </c>
      <c r="J75" s="214" t="str">
        <f>IF(OR(D75="Yes",F75=""),"",(F75-E75)/(365.25/12))</f>
        <v/>
      </c>
      <c r="K75" s="214">
        <f>IF(D75="Yes",0,G75*MAX(0,MIN($E$49,IF(F75="",$E$49,F75-1))-MAX($E$48,E75)+1)/($E$49-$E$48+1))</f>
        <v>1</v>
      </c>
    </row>
    <row r="76" spans="2:11" x14ac:dyDescent="0.25">
      <c r="B76" s="131" t="s">
        <v>803</v>
      </c>
      <c r="C76" s="131" t="str">
        <f>INDEX('Raw - Payroll'!$C:$C,MATCH(B76,'Raw - Payroll'!$N:$N,0))</f>
        <v>Field service</v>
      </c>
      <c r="D76" s="131" t="str">
        <f>INDEX('Raw - Payroll'!$O:$O,MATCH(B76,'Raw - Payroll'!$N:$N,0))</f>
        <v>No</v>
      </c>
      <c r="E76" s="132">
        <f>INDEX('Raw - Payroll'!$D:$D,MATCH(B76,'Raw - Payroll'!$N:$N,0))</f>
        <v>45355</v>
      </c>
      <c r="F76" s="132" t="str">
        <f>IF(INDEX('Raw - Payroll'!$E:$E,MATCH(B76,'Raw - Payroll'!$N:$N,0))="","",INDEX('Raw - Payroll'!$E:$E,MATCH(B76,'Raw - Payroll'!$N:$N,0)))</f>
        <v/>
      </c>
      <c r="G76" s="214">
        <f>INDEX('Raw - Payroll'!$Q:$Q,MATCH(B76,'Raw - Payroll'!$N:$N,0))</f>
        <v>1</v>
      </c>
      <c r="H76" s="214">
        <f>IF(OR(D76="Yes",AND(F76&lt;&gt;"",N(F76)&lt;='Assumptions'!$C$9),E76&gt;'Assumptions'!$C$9),"",('Assumptions'!$C$9-E76)/365.25)</f>
        <v>1.8261464750171115</v>
      </c>
      <c r="J76" s="214" t="str">
        <f>IF(OR(D76="Yes",F76=""),"",(F76-E76)/(365.25/12))</f>
        <v/>
      </c>
      <c r="K76" s="214">
        <f>IF(D76="Yes",0,G76*MAX(0,MIN($E$49,IF(F76="",$E$49,F76-1))-MAX($E$48,E76)+1)/($E$49-$E$48+1))</f>
        <v>1</v>
      </c>
    </row>
    <row r="77" spans="2:11" x14ac:dyDescent="0.25">
      <c r="B77" s="131" t="s">
        <v>804</v>
      </c>
      <c r="C77" s="131" t="str">
        <f>INDEX('Raw - Payroll'!$C:$C,MATCH(B77,'Raw - Payroll'!$N:$N,0))</f>
        <v>Field service</v>
      </c>
      <c r="D77" s="131" t="str">
        <f>INDEX('Raw - Payroll'!$O:$O,MATCH(B77,'Raw - Payroll'!$N:$N,0))</f>
        <v>No</v>
      </c>
      <c r="E77" s="132">
        <f>INDEX('Raw - Payroll'!$D:$D,MATCH(B77,'Raw - Payroll'!$N:$N,0))</f>
        <v>45481</v>
      </c>
      <c r="F77" s="132" t="str">
        <f>IF(INDEX('Raw - Payroll'!$E:$E,MATCH(B77,'Raw - Payroll'!$N:$N,0))="","",INDEX('Raw - Payroll'!$E:$E,MATCH(B77,'Raw - Payroll'!$N:$N,0)))</f>
        <v/>
      </c>
      <c r="G77" s="214">
        <f>INDEX('Raw - Payroll'!$Q:$Q,MATCH(B77,'Raw - Payroll'!$N:$N,0))</f>
        <v>1</v>
      </c>
      <c r="H77" s="214">
        <f>IF(OR(D77="Yes",AND(F77&lt;&gt;"",N(F77)&lt;='Assumptions'!$C$9),E77&gt;'Assumptions'!$C$9),"",('Assumptions'!$C$9-E77)/365.25)</f>
        <v>1.4811772758384667</v>
      </c>
      <c r="J77" s="214" t="str">
        <f>IF(OR(D77="Yes",F77=""),"",(F77-E77)/(365.25/12))</f>
        <v/>
      </c>
      <c r="K77" s="214">
        <f>IF(D77="Yes",0,G77*MAX(0,MIN($E$49,IF(F77="",$E$49,F77-1))-MAX($E$48,E77)+1)/($E$49-$E$48+1))</f>
        <v>1</v>
      </c>
    </row>
    <row r="78" spans="2:11" x14ac:dyDescent="0.25">
      <c r="B78" s="131" t="s">
        <v>805</v>
      </c>
      <c r="C78" s="131" t="str">
        <f>INDEX('Raw - Payroll'!$C:$C,MATCH(B78,'Raw - Payroll'!$N:$N,0))</f>
        <v>Office</v>
      </c>
      <c r="D78" s="131" t="str">
        <f>INDEX('Raw - Payroll'!$O:$O,MATCH(B78,'Raw - Payroll'!$N:$N,0))</f>
        <v>No</v>
      </c>
      <c r="E78" s="132">
        <f>INDEX('Raw - Payroll'!$D:$D,MATCH(B78,'Raw - Payroll'!$N:$N,0))</f>
        <v>45551</v>
      </c>
      <c r="F78" s="132" t="str">
        <f>IF(INDEX('Raw - Payroll'!$E:$E,MATCH(B78,'Raw - Payroll'!$N:$N,0))="","",INDEX('Raw - Payroll'!$E:$E,MATCH(B78,'Raw - Payroll'!$N:$N,0)))</f>
        <v/>
      </c>
      <c r="G78" s="214">
        <f>INDEX('Raw - Payroll'!$Q:$Q,MATCH(B78,'Raw - Payroll'!$N:$N,0))</f>
        <v>1</v>
      </c>
      <c r="H78" s="214">
        <f>IF(OR(D78="Yes",AND(F78&lt;&gt;"",N(F78)&lt;='Assumptions'!$C$9),E78&gt;'Assumptions'!$C$9),"",('Assumptions'!$C$9-E78)/365.25)</f>
        <v>1.2895277207392197</v>
      </c>
      <c r="J78" s="214" t="str">
        <f>IF(OR(D78="Yes",F78=""),"",(F78-E78)/(365.25/12))</f>
        <v/>
      </c>
      <c r="K78" s="214">
        <f>IF(D78="Yes",0,G78*MAX(0,MIN($E$49,IF(F78="",$E$49,F78-1))-MAX($E$48,E78)+1)/($E$49-$E$48+1))</f>
        <v>1</v>
      </c>
    </row>
    <row r="79" spans="2:11" x14ac:dyDescent="0.25">
      <c r="B79" s="131" t="s">
        <v>806</v>
      </c>
      <c r="C79" s="131" t="str">
        <f>INDEX('Raw - Payroll'!$C:$C,MATCH(B79,'Raw - Payroll'!$N:$N,0))</f>
        <v>Field service</v>
      </c>
      <c r="D79" s="131" t="str">
        <f>INDEX('Raw - Payroll'!$O:$O,MATCH(B79,'Raw - Payroll'!$N:$N,0))</f>
        <v>No</v>
      </c>
      <c r="E79" s="132">
        <f>INDEX('Raw - Payroll'!$D:$D,MATCH(B79,'Raw - Payroll'!$N:$N,0))</f>
        <v>45663</v>
      </c>
      <c r="F79" s="132" t="str">
        <f>IF(INDEX('Raw - Payroll'!$E:$E,MATCH(B79,'Raw - Payroll'!$N:$N,0))="","",INDEX('Raw - Payroll'!$E:$E,MATCH(B79,'Raw - Payroll'!$N:$N,0)))</f>
        <v/>
      </c>
      <c r="G79" s="214">
        <f>INDEX('Raw - Payroll'!$Q:$Q,MATCH(B79,'Raw - Payroll'!$N:$N,0))</f>
        <v>1</v>
      </c>
      <c r="H79" s="214">
        <f>IF(OR(D79="Yes",AND(F79&lt;&gt;"",N(F79)&lt;='Assumptions'!$C$9),E79&gt;'Assumptions'!$C$9),"",('Assumptions'!$C$9-E79)/365.25)</f>
        <v>0.9828884325804244</v>
      </c>
      <c r="J79" s="214" t="str">
        <f>IF(OR(D79="Yes",F79=""),"",(F79-E79)/(365.25/12))</f>
        <v/>
      </c>
      <c r="K79" s="214">
        <f>IF(D79="Yes",0,G79*MAX(0,MIN($E$49,IF(F79="",$E$49,F79-1))-MAX($E$48,E79)+1)/($E$49-$E$48+1))</f>
        <v>0.9863013698630136</v>
      </c>
    </row>
    <row r="80" spans="2:11" x14ac:dyDescent="0.25">
      <c r="B80" s="131" t="s">
        <v>807</v>
      </c>
      <c r="C80" s="131" t="str">
        <f>INDEX('Raw - Payroll'!$C:$C,MATCH(B80,'Raw - Payroll'!$N:$N,0))</f>
        <v>Field service</v>
      </c>
      <c r="D80" s="131" t="str">
        <f>INDEX('Raw - Payroll'!$O:$O,MATCH(B80,'Raw - Payroll'!$N:$N,0))</f>
        <v>No</v>
      </c>
      <c r="E80" s="132">
        <f>INDEX('Raw - Payroll'!$D:$D,MATCH(B80,'Raw - Payroll'!$N:$N,0))</f>
        <v>45810</v>
      </c>
      <c r="F80" s="132" t="str">
        <f>IF(INDEX('Raw - Payroll'!$E:$E,MATCH(B80,'Raw - Payroll'!$N:$N,0))="","",INDEX('Raw - Payroll'!$E:$E,MATCH(B80,'Raw - Payroll'!$N:$N,0)))</f>
        <v/>
      </c>
      <c r="G80" s="214">
        <f>INDEX('Raw - Payroll'!$Q:$Q,MATCH(B80,'Raw - Payroll'!$N:$N,0))</f>
        <v>1</v>
      </c>
      <c r="H80" s="214">
        <f>IF(OR(D80="Yes",AND(F80&lt;&gt;"",N(F80)&lt;='Assumptions'!$C$9),E80&gt;'Assumptions'!$C$9),"",('Assumptions'!$C$9-E80)/365.25)</f>
        <v>0.5804243668720055</v>
      </c>
      <c r="J80" s="214" t="str">
        <f>IF(OR(D80="Yes",F80=""),"",(F80-E80)/(365.25/12))</f>
        <v/>
      </c>
      <c r="K80" s="214">
        <f>IF(D80="Yes",0,G80*MAX(0,MIN($E$49,IF(F80="",$E$49,F80-1))-MAX($E$48,E80)+1)/($E$49-$E$48+1))</f>
        <v>0.5835616438356165</v>
      </c>
    </row>
    <row r="81" spans="2:11" x14ac:dyDescent="0.25">
      <c r="B81" s="131" t="s">
        <v>808</v>
      </c>
      <c r="C81" s="131" t="str">
        <f>INDEX('Raw - Payroll'!$C:$C,MATCH(B81,'Raw - Payroll'!$N:$N,0))</f>
        <v>Office</v>
      </c>
      <c r="D81" s="131" t="str">
        <f>INDEX('Raw - Payroll'!$O:$O,MATCH(B81,'Raw - Payroll'!$N:$N,0))</f>
        <v>No</v>
      </c>
      <c r="E81" s="132">
        <f>INDEX('Raw - Payroll'!$D:$D,MATCH(B81,'Raw - Payroll'!$N:$N,0))</f>
        <v>45880</v>
      </c>
      <c r="F81" s="132" t="str">
        <f>IF(INDEX('Raw - Payroll'!$E:$E,MATCH(B81,'Raw - Payroll'!$N:$N,0))="","",INDEX('Raw - Payroll'!$E:$E,MATCH(B81,'Raw - Payroll'!$N:$N,0)))</f>
        <v/>
      </c>
      <c r="G81" s="214">
        <f>INDEX('Raw - Payroll'!$Q:$Q,MATCH(B81,'Raw - Payroll'!$N:$N,0))</f>
        <v>1</v>
      </c>
      <c r="H81" s="214">
        <f>IF(OR(D81="Yes",AND(F81&lt;&gt;"",N(F81)&lt;='Assumptions'!$C$9),E81&gt;'Assumptions'!$C$9),"",('Assumptions'!$C$9-E81)/365.25)</f>
        <v>0.3887748117727584</v>
      </c>
      <c r="J81" s="214" t="str">
        <f>IF(OR(D81="Yes",F81=""),"",(F81-E81)/(365.25/12))</f>
        <v/>
      </c>
      <c r="K81" s="214">
        <f>IF(D81="Yes",0,G81*MAX(0,MIN($E$49,IF(F81="",$E$49,F81-1))-MAX($E$48,E81)+1)/($E$49-$E$48+1))</f>
        <v>0.3917808219178082</v>
      </c>
    </row>
  </sheetData>
  <mergeCells count="1">
    <mergeCell ref="B45:H45"/>
  </mergeCells>
  <conditionalFormatting sqref="C40">
    <cfRule type="expression" dxfId="32" priority="1">
      <formula>AND(ISNUMBER(C40),ABS(N(C40))&gt;0.05)</formula>
    </cfRule>
  </conditionalFormatting>
  <conditionalFormatting sqref="B2 H3 H8:H11 C8:D11 F8:F12 C16:C18 C22:E26 C38:C39 B40:C40 C41:C42">
    <cfRule type="expression" dxfId="33" priority="2">
      <formula>$H$3=1</formula>
    </cfRule>
  </conditionalFormatting>
  <printOptions horizontalCentered="1"/>
  <pageMargins left="0.5" right="0.5" top="0.6" bottom="0.7" header="0.3" footer="0.3"/>
  <pageSetup paperSize="1" orientation="portrait" fitToWidth="1" fitToHeight="0"/>
  <headerFooter>
    <oddHeader>&amp;RProject Ridgeline | As of 12/31/25</oddHeader>
    <oddFooter>&amp;LAMB Advisory Services | Strictly confidential&amp;C&amp;A&amp;RPage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AP102"/>
  <sheetViews>
    <sheetView workbookViewId="0" showGridLines="0" zoomScale="100"/>
  </sheetViews>
  <sheetFormatPr defaultRowHeight="12.75" outlineLevelRow="0" outlineLevelCol="0" x14ac:dyDescent="55" customHeight="1"/>
  <cols>
    <col min="1" max="1" width="1.7" customWidth="1"/>
    <col min="2" max="2" width="34" customWidth="1"/>
    <col min="3" max="38" width="9.1" customWidth="1"/>
    <col min="39" max="39" width="0.9" customWidth="1"/>
    <col min="40" max="42" width="11" customWidth="1"/>
  </cols>
  <sheetData>
    <row r="2" ht="16.5" customHeight="1" spans="2:2" x14ac:dyDescent="0.25">
      <c r="B2" s="9">
        <f>Cover!B24</f>
      </c>
    </row>
    <row r="3" ht="12" customHeight="1" spans="2:13" x14ac:dyDescent="0.25">
      <c r="B3" s="10" t="s">
        <v>809</v>
      </c>
      <c r="C3" s="11"/>
      <c r="D3" s="11"/>
      <c r="E3" s="11"/>
      <c r="F3" s="11"/>
      <c r="G3" s="11"/>
      <c r="H3" s="11"/>
      <c r="I3" s="11"/>
      <c r="J3" s="11"/>
      <c r="K3" s="11"/>
      <c r="L3" s="11"/>
      <c r="M3" s="11"/>
    </row>
    <row r="4" ht="12" customHeight="1" x14ac:dyDescent="0.25"/>
    <row r="5" ht="12" customHeight="1" spans="2:2" x14ac:dyDescent="0.25">
      <c r="B5" s="188" t="str">
        <f>"Monthly Hires and Departures, "&amp;TEXT(ChartStart,"mmm-yy")&amp;" – "&amp;TEXT(ChartEnd,"mmm-yy")&amp;" (#)"</f>
        <v>Monthly Hires and Departures, Jan-23 – Dec-25 (#)</v>
      </c>
    </row>
    <row r="6" ht="12" customHeight="1" x14ac:dyDescent="0.25"/>
    <row r="7" ht="12" customHeight="1" x14ac:dyDescent="0.25"/>
    <row r="8" ht="12" customHeight="1" x14ac:dyDescent="0.25"/>
    <row r="9" ht="12" customHeight="1" x14ac:dyDescent="0.25"/>
    <row r="10" ht="12" customHeight="1" x14ac:dyDescent="0.25"/>
    <row r="11" ht="12" customHeight="1" x14ac:dyDescent="0.25"/>
    <row r="12" ht="12" customHeight="1" x14ac:dyDescent="0.25"/>
    <row r="13" ht="12" customHeight="1" x14ac:dyDescent="0.25"/>
    <row r="14" ht="12" customHeight="1" x14ac:dyDescent="0.25"/>
    <row r="15" ht="12" customHeight="1" x14ac:dyDescent="0.25"/>
    <row r="16"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spans="2:2" x14ac:dyDescent="0.25">
      <c r="B22" s="189" t="s">
        <v>810</v>
      </c>
    </row>
    <row r="23" ht="12" customHeight="1" x14ac:dyDescent="0.25"/>
    <row r="24" ht="12" customHeight="1" spans="2:2" x14ac:dyDescent="0.25">
      <c r="B24" s="188" t="str">
        <f>"Monthly Departures by Type, "&amp;TEXT(ChartStart,"mmm-yy")&amp;" – "&amp;TEXT(ChartEnd,"mmm-yy")&amp;" (#)"</f>
        <v>Monthly Departures by Type, Jan-23 – Dec-25 (#)</v>
      </c>
    </row>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spans="2:2" x14ac:dyDescent="0.25">
      <c r="B41" s="189" t="s">
        <v>811</v>
      </c>
    </row>
    <row r="42" ht="12" customHeight="1" x14ac:dyDescent="0.25"/>
    <row r="43" ht="12" customHeight="1" x14ac:dyDescent="0.25"/>
    <row r="44" ht="12" customHeight="1" spans="2:2" x14ac:dyDescent="0.25">
      <c r="B44" s="188" t="str">
        <f>"Monthly Field Service Hires and Departures, "&amp;TEXT(ChartStart,"mmm-yy")&amp;" – "&amp;TEXT(ChartEnd,"mmm-yy")&amp;" (#)"</f>
        <v>Monthly Field Service Hires and Departures, Jan-23 – Dec-25 (#)</v>
      </c>
    </row>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spans="2:2" x14ac:dyDescent="0.25">
      <c r="B61" s="189" t="s">
        <v>812</v>
      </c>
    </row>
    <row r="62" ht="12" customHeight="1" x14ac:dyDescent="0.25"/>
    <row r="63" ht="12" customHeight="1" spans="2:2" x14ac:dyDescent="0.25">
      <c r="B63" s="188" t="s">
        <v>813</v>
      </c>
    </row>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spans="2:2" x14ac:dyDescent="0.25">
      <c r="B80" s="189" t="s">
        <v>814</v>
      </c>
    </row>
    <row r="81" ht="12" customHeight="1" x14ac:dyDescent="0.25"/>
    <row r="82" ht="12" customHeight="1" x14ac:dyDescent="0.25"/>
    <row r="83" ht="12" customHeight="1" spans="2:42" x14ac:dyDescent="0.25" outlineLevel="1" collapsed="1">
      <c r="B83" s="13" t="s">
        <v>523</v>
      </c>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N83" s="190" t="s">
        <v>524</v>
      </c>
      <c r="AO83" s="190" t="s">
        <v>525</v>
      </c>
      <c r="AP83" s="190" t="s">
        <v>526</v>
      </c>
    </row>
    <row r="84" ht="12" customHeight="1" spans="2:38" x14ac:dyDescent="0.25" outlineLevel="1" collapsed="1">
      <c r="B84" s="16" t="s">
        <v>527</v>
      </c>
      <c r="C84" s="191">
        <f>EOMONTH('Assumptions'!$C$9,-36)+1</f>
        <v>44927</v>
      </c>
      <c r="D84" s="79">
        <f>EDATE(C84,1)</f>
        <v>44958</v>
      </c>
      <c r="E84" s="79">
        <f>EDATE(D84,1)</f>
        <v>44986</v>
      </c>
      <c r="F84" s="79">
        <f>EDATE(E84,1)</f>
        <v>45017</v>
      </c>
      <c r="G84" s="79">
        <f>EDATE(F84,1)</f>
        <v>45047</v>
      </c>
      <c r="H84" s="79">
        <f>EDATE(G84,1)</f>
        <v>45078</v>
      </c>
      <c r="I84" s="79">
        <f>EDATE(H84,1)</f>
        <v>45108</v>
      </c>
      <c r="J84" s="79">
        <f>EDATE(I84,1)</f>
        <v>45139</v>
      </c>
      <c r="K84" s="79">
        <f>EDATE(J84,1)</f>
        <v>45170</v>
      </c>
      <c r="L84" s="79">
        <f>EDATE(K84,1)</f>
        <v>45200</v>
      </c>
      <c r="M84" s="79">
        <f>EDATE(L84,1)</f>
        <v>45231</v>
      </c>
      <c r="N84" s="79">
        <f>EDATE(M84,1)</f>
        <v>45261</v>
      </c>
      <c r="O84" s="79">
        <f>EDATE(N84,1)</f>
        <v>45292</v>
      </c>
      <c r="P84" s="79">
        <f>EDATE(O84,1)</f>
        <v>45323</v>
      </c>
      <c r="Q84" s="79">
        <f>EDATE(P84,1)</f>
        <v>45352</v>
      </c>
      <c r="R84" s="79">
        <f>EDATE(Q84,1)</f>
        <v>45383</v>
      </c>
      <c r="S84" s="79">
        <f>EDATE(R84,1)</f>
        <v>45413</v>
      </c>
      <c r="T84" s="79">
        <f>EDATE(S84,1)</f>
        <v>45444</v>
      </c>
      <c r="U84" s="79">
        <f>EDATE(T84,1)</f>
        <v>45474</v>
      </c>
      <c r="V84" s="79">
        <f>EDATE(U84,1)</f>
        <v>45505</v>
      </c>
      <c r="W84" s="79">
        <f>EDATE(V84,1)</f>
        <v>45536</v>
      </c>
      <c r="X84" s="79">
        <f>EDATE(W84,1)</f>
        <v>45566</v>
      </c>
      <c r="Y84" s="79">
        <f>EDATE(X84,1)</f>
        <v>45597</v>
      </c>
      <c r="Z84" s="79">
        <f>EDATE(Y84,1)</f>
        <v>45627</v>
      </c>
      <c r="AA84" s="79">
        <f>EDATE(Z84,1)</f>
        <v>45658</v>
      </c>
      <c r="AB84" s="79">
        <f>EDATE(AA84,1)</f>
        <v>45689</v>
      </c>
      <c r="AC84" s="79">
        <f>EDATE(AB84,1)</f>
        <v>45717</v>
      </c>
      <c r="AD84" s="79">
        <f>EDATE(AC84,1)</f>
        <v>45748</v>
      </c>
      <c r="AE84" s="79">
        <f>EDATE(AD84,1)</f>
        <v>45778</v>
      </c>
      <c r="AF84" s="79">
        <f>EDATE(AE84,1)</f>
        <v>45809</v>
      </c>
      <c r="AG84" s="79">
        <f>EDATE(AF84,1)</f>
        <v>45839</v>
      </c>
      <c r="AH84" s="79">
        <f>EDATE(AG84,1)</f>
        <v>45870</v>
      </c>
      <c r="AI84" s="79">
        <f>EDATE(AH84,1)</f>
        <v>45901</v>
      </c>
      <c r="AJ84" s="79">
        <f>EDATE(AI84,1)</f>
        <v>45931</v>
      </c>
      <c r="AK84" s="79">
        <f>EDATE(AJ84,1)</f>
        <v>45962</v>
      </c>
      <c r="AL84" s="79">
        <f>EDATE(AK84,1)</f>
        <v>45992</v>
      </c>
    </row>
    <row r="85" ht="12" customHeight="1" spans="2:38" x14ac:dyDescent="0.25" outlineLevel="1" collapsed="1">
      <c r="B85" s="131" t="s">
        <v>528</v>
      </c>
      <c r="C85" s="131" t="str">
        <f>IF(COUNT($C$84:$AL$84)&lt;=24,TEXT(C$84,"mmm-yy"),IF(MOD(MONTH(C$84)-1,3)=0,TEXT(C$84,"mmm-yy"),""))</f>
        <v>Jan-23</v>
      </c>
      <c r="D85" s="131" t="str">
        <f>IF(COUNT($C$84:$AL$84)&lt;=24,TEXT(D$84,"mmm-yy"),IF(MOD(MONTH(D$84)-1,3)=0,TEXT(D$84,"mmm-yy"),""))</f>
        <v/>
      </c>
      <c r="E85" s="131" t="str">
        <f>IF(COUNT($C$84:$AL$84)&lt;=24,TEXT(E$84,"mmm-yy"),IF(MOD(MONTH(E$84)-1,3)=0,TEXT(E$84,"mmm-yy"),""))</f>
        <v/>
      </c>
      <c r="F85" s="131" t="str">
        <f>IF(COUNT($C$84:$AL$84)&lt;=24,TEXT(F$84,"mmm-yy"),IF(MOD(MONTH(F$84)-1,3)=0,TEXT(F$84,"mmm-yy"),""))</f>
        <v>Apr-23</v>
      </c>
      <c r="G85" s="131" t="str">
        <f>IF(COUNT($C$84:$AL$84)&lt;=24,TEXT(G$84,"mmm-yy"),IF(MOD(MONTH(G$84)-1,3)=0,TEXT(G$84,"mmm-yy"),""))</f>
        <v/>
      </c>
      <c r="H85" s="131" t="str">
        <f>IF(COUNT($C$84:$AL$84)&lt;=24,TEXT(H$84,"mmm-yy"),IF(MOD(MONTH(H$84)-1,3)=0,TEXT(H$84,"mmm-yy"),""))</f>
        <v/>
      </c>
      <c r="I85" s="131" t="str">
        <f>IF(COUNT($C$84:$AL$84)&lt;=24,TEXT(I$84,"mmm-yy"),IF(MOD(MONTH(I$84)-1,3)=0,TEXT(I$84,"mmm-yy"),""))</f>
        <v>Jul-23</v>
      </c>
      <c r="J85" s="131" t="str">
        <f>IF(COUNT($C$84:$AL$84)&lt;=24,TEXT(J$84,"mmm-yy"),IF(MOD(MONTH(J$84)-1,3)=0,TEXT(J$84,"mmm-yy"),""))</f>
        <v/>
      </c>
      <c r="K85" s="131" t="str">
        <f>IF(COUNT($C$84:$AL$84)&lt;=24,TEXT(K$84,"mmm-yy"),IF(MOD(MONTH(K$84)-1,3)=0,TEXT(K$84,"mmm-yy"),""))</f>
        <v/>
      </c>
      <c r="L85" s="131" t="str">
        <f>IF(COUNT($C$84:$AL$84)&lt;=24,TEXT(L$84,"mmm-yy"),IF(MOD(MONTH(L$84)-1,3)=0,TEXT(L$84,"mmm-yy"),""))</f>
        <v>Oct-23</v>
      </c>
      <c r="M85" s="131" t="str">
        <f>IF(COUNT($C$84:$AL$84)&lt;=24,TEXT(M$84,"mmm-yy"),IF(MOD(MONTH(M$84)-1,3)=0,TEXT(M$84,"mmm-yy"),""))</f>
        <v/>
      </c>
      <c r="N85" s="131" t="str">
        <f>IF(COUNT($C$84:$AL$84)&lt;=24,TEXT(N$84,"mmm-yy"),IF(MOD(MONTH(N$84)-1,3)=0,TEXT(N$84,"mmm-yy"),""))</f>
        <v/>
      </c>
      <c r="O85" s="131" t="str">
        <f>IF(COUNT($C$84:$AL$84)&lt;=24,TEXT(O$84,"mmm-yy"),IF(MOD(MONTH(O$84)-1,3)=0,TEXT(O$84,"mmm-yy"),""))</f>
        <v>Jan-24</v>
      </c>
      <c r="P85" s="131" t="str">
        <f>IF(COUNT($C$84:$AL$84)&lt;=24,TEXT(P$84,"mmm-yy"),IF(MOD(MONTH(P$84)-1,3)=0,TEXT(P$84,"mmm-yy"),""))</f>
        <v/>
      </c>
      <c r="Q85" s="131" t="str">
        <f>IF(COUNT($C$84:$AL$84)&lt;=24,TEXT(Q$84,"mmm-yy"),IF(MOD(MONTH(Q$84)-1,3)=0,TEXT(Q$84,"mmm-yy"),""))</f>
        <v/>
      </c>
      <c r="R85" s="131" t="str">
        <f>IF(COUNT($C$84:$AL$84)&lt;=24,TEXT(R$84,"mmm-yy"),IF(MOD(MONTH(R$84)-1,3)=0,TEXT(R$84,"mmm-yy"),""))</f>
        <v>Apr-24</v>
      </c>
      <c r="S85" s="131" t="str">
        <f>IF(COUNT($C$84:$AL$84)&lt;=24,TEXT(S$84,"mmm-yy"),IF(MOD(MONTH(S$84)-1,3)=0,TEXT(S$84,"mmm-yy"),""))</f>
        <v/>
      </c>
      <c r="T85" s="131" t="str">
        <f>IF(COUNT($C$84:$AL$84)&lt;=24,TEXT(T$84,"mmm-yy"),IF(MOD(MONTH(T$84)-1,3)=0,TEXT(T$84,"mmm-yy"),""))</f>
        <v/>
      </c>
      <c r="U85" s="131" t="str">
        <f>IF(COUNT($C$84:$AL$84)&lt;=24,TEXT(U$84,"mmm-yy"),IF(MOD(MONTH(U$84)-1,3)=0,TEXT(U$84,"mmm-yy"),""))</f>
        <v>Jul-24</v>
      </c>
      <c r="V85" s="131" t="str">
        <f>IF(COUNT($C$84:$AL$84)&lt;=24,TEXT(V$84,"mmm-yy"),IF(MOD(MONTH(V$84)-1,3)=0,TEXT(V$84,"mmm-yy"),""))</f>
        <v/>
      </c>
      <c r="W85" s="131" t="str">
        <f>IF(COUNT($C$84:$AL$84)&lt;=24,TEXT(W$84,"mmm-yy"),IF(MOD(MONTH(W$84)-1,3)=0,TEXT(W$84,"mmm-yy"),""))</f>
        <v/>
      </c>
      <c r="X85" s="131" t="str">
        <f>IF(COUNT($C$84:$AL$84)&lt;=24,TEXT(X$84,"mmm-yy"),IF(MOD(MONTH(X$84)-1,3)=0,TEXT(X$84,"mmm-yy"),""))</f>
        <v>Oct-24</v>
      </c>
      <c r="Y85" s="131" t="str">
        <f>IF(COUNT($C$84:$AL$84)&lt;=24,TEXT(Y$84,"mmm-yy"),IF(MOD(MONTH(Y$84)-1,3)=0,TEXT(Y$84,"mmm-yy"),""))</f>
        <v/>
      </c>
      <c r="Z85" s="131" t="str">
        <f>IF(COUNT($C$84:$AL$84)&lt;=24,TEXT(Z$84,"mmm-yy"),IF(MOD(MONTH(Z$84)-1,3)=0,TEXT(Z$84,"mmm-yy"),""))</f>
        <v/>
      </c>
      <c r="AA85" s="131" t="str">
        <f>IF(COUNT($C$84:$AL$84)&lt;=24,TEXT(AA$84,"mmm-yy"),IF(MOD(MONTH(AA$84)-1,3)=0,TEXT(AA$84,"mmm-yy"),""))</f>
        <v>Jan-25</v>
      </c>
      <c r="AB85" s="131" t="str">
        <f>IF(COUNT($C$84:$AL$84)&lt;=24,TEXT(AB$84,"mmm-yy"),IF(MOD(MONTH(AB$84)-1,3)=0,TEXT(AB$84,"mmm-yy"),""))</f>
        <v/>
      </c>
      <c r="AC85" s="131" t="str">
        <f>IF(COUNT($C$84:$AL$84)&lt;=24,TEXT(AC$84,"mmm-yy"),IF(MOD(MONTH(AC$84)-1,3)=0,TEXT(AC$84,"mmm-yy"),""))</f>
        <v/>
      </c>
      <c r="AD85" s="131" t="str">
        <f>IF(COUNT($C$84:$AL$84)&lt;=24,TEXT(AD$84,"mmm-yy"),IF(MOD(MONTH(AD$84)-1,3)=0,TEXT(AD$84,"mmm-yy"),""))</f>
        <v>Apr-25</v>
      </c>
      <c r="AE85" s="131" t="str">
        <f>IF(COUNT($C$84:$AL$84)&lt;=24,TEXT(AE$84,"mmm-yy"),IF(MOD(MONTH(AE$84)-1,3)=0,TEXT(AE$84,"mmm-yy"),""))</f>
        <v/>
      </c>
      <c r="AF85" s="131" t="str">
        <f>IF(COUNT($C$84:$AL$84)&lt;=24,TEXT(AF$84,"mmm-yy"),IF(MOD(MONTH(AF$84)-1,3)=0,TEXT(AF$84,"mmm-yy"),""))</f>
        <v/>
      </c>
      <c r="AG85" s="131" t="str">
        <f>IF(COUNT($C$84:$AL$84)&lt;=24,TEXT(AG$84,"mmm-yy"),IF(MOD(MONTH(AG$84)-1,3)=0,TEXT(AG$84,"mmm-yy"),""))</f>
        <v>Jul-25</v>
      </c>
      <c r="AH85" s="131" t="str">
        <f>IF(COUNT($C$84:$AL$84)&lt;=24,TEXT(AH$84,"mmm-yy"),IF(MOD(MONTH(AH$84)-1,3)=0,TEXT(AH$84,"mmm-yy"),""))</f>
        <v/>
      </c>
      <c r="AI85" s="131" t="str">
        <f>IF(COUNT($C$84:$AL$84)&lt;=24,TEXT(AI$84,"mmm-yy"),IF(MOD(MONTH(AI$84)-1,3)=0,TEXT(AI$84,"mmm-yy"),""))</f>
        <v/>
      </c>
      <c r="AJ85" s="131" t="str">
        <f>IF(COUNT($C$84:$AL$84)&lt;=24,TEXT(AJ$84,"mmm-yy"),IF(MOD(MONTH(AJ$84)-1,3)=0,TEXT(AJ$84,"mmm-yy"),""))</f>
        <v>Oct-25</v>
      </c>
      <c r="AK85" s="131" t="str">
        <f>IF(COUNT($C$84:$AL$84)&lt;=24,TEXT(AK$84,"mmm-yy"),IF(MOD(MONTH(AK$84)-1,3)=0,TEXT(AK$84,"mmm-yy"),""))</f>
        <v/>
      </c>
      <c r="AL85" s="131" t="str">
        <f>IF(COUNT($C$84:$AL$84)&lt;=24,TEXT(AL$84,"mmm-yy"),IF(MOD(MONTH(AL$84)-1,3)=0,TEXT(AL$84,"mmm-yy"),""))</f>
        <v/>
      </c>
    </row>
    <row r="86" ht="12" customHeight="1" x14ac:dyDescent="0.25" outlineLevel="1" collapsed="1"/>
    <row r="87" ht="12" customHeight="1" spans="2:2" x14ac:dyDescent="0.25" outlineLevel="1" collapsed="1">
      <c r="B87" s="18" t="s">
        <v>815</v>
      </c>
    </row>
    <row r="88" ht="12" customHeight="1" spans="2:42" x14ac:dyDescent="0.25" outlineLevel="1" collapsed="1">
      <c r="B88" s="16" t="s">
        <v>816</v>
      </c>
      <c r="C88" s="151">
        <f>COUNTIFS('Raw - Payroll'!$O:$O,"No",'Raw - Payroll'!$D:$D,"&gt;="&amp;C$84,'Raw - Payroll'!$D:$D,"&lt;="&amp;EOMONTH(C$84,0))</f>
        <v>0</v>
      </c>
      <c r="D88" s="151">
        <f>COUNTIFS('Raw - Payroll'!$O:$O,"No",'Raw - Payroll'!$D:$D,"&gt;="&amp;D$84,'Raw - Payroll'!$D:$D,"&lt;="&amp;EOMONTH(D$84,0))</f>
        <v>0</v>
      </c>
      <c r="E88" s="151">
        <f>COUNTIFS('Raw - Payroll'!$O:$O,"No",'Raw - Payroll'!$D:$D,"&gt;="&amp;E$84,'Raw - Payroll'!$D:$D,"&lt;="&amp;EOMONTH(E$84,0))</f>
        <v>0</v>
      </c>
      <c r="F88" s="151">
        <f>COUNTIFS('Raw - Payroll'!$O:$O,"No",'Raw - Payroll'!$D:$D,"&gt;="&amp;F$84,'Raw - Payroll'!$D:$D,"&lt;="&amp;EOMONTH(F$84,0))</f>
        <v>1</v>
      </c>
      <c r="G88" s="151">
        <f>COUNTIFS('Raw - Payroll'!$O:$O,"No",'Raw - Payroll'!$D:$D,"&gt;="&amp;G$84,'Raw - Payroll'!$D:$D,"&lt;="&amp;EOMONTH(G$84,0))</f>
        <v>0</v>
      </c>
      <c r="H88" s="151">
        <f>COUNTIFS('Raw - Payroll'!$O:$O,"No",'Raw - Payroll'!$D:$D,"&gt;="&amp;H$84,'Raw - Payroll'!$D:$D,"&lt;="&amp;EOMONTH(H$84,0))</f>
        <v>1</v>
      </c>
      <c r="I88" s="151">
        <f>COUNTIFS('Raw - Payroll'!$O:$O,"No",'Raw - Payroll'!$D:$D,"&gt;="&amp;I$84,'Raw - Payroll'!$D:$D,"&lt;="&amp;EOMONTH(I$84,0))</f>
        <v>0</v>
      </c>
      <c r="J88" s="151">
        <f>COUNTIFS('Raw - Payroll'!$O:$O,"No",'Raw - Payroll'!$D:$D,"&gt;="&amp;J$84,'Raw - Payroll'!$D:$D,"&lt;="&amp;EOMONTH(J$84,0))</f>
        <v>1</v>
      </c>
      <c r="K88" s="151">
        <f>COUNTIFS('Raw - Payroll'!$O:$O,"No",'Raw - Payroll'!$D:$D,"&gt;="&amp;K$84,'Raw - Payroll'!$D:$D,"&lt;="&amp;EOMONTH(K$84,0))</f>
        <v>0</v>
      </c>
      <c r="L88" s="151">
        <f>COUNTIFS('Raw - Payroll'!$O:$O,"No",'Raw - Payroll'!$D:$D,"&gt;="&amp;L$84,'Raw - Payroll'!$D:$D,"&lt;="&amp;EOMONTH(L$84,0))</f>
        <v>0</v>
      </c>
      <c r="M88" s="151">
        <f>COUNTIFS('Raw - Payroll'!$O:$O,"No",'Raw - Payroll'!$D:$D,"&gt;="&amp;M$84,'Raw - Payroll'!$D:$D,"&lt;="&amp;EOMONTH(M$84,0))</f>
        <v>0</v>
      </c>
      <c r="N88" s="151">
        <f>COUNTIFS('Raw - Payroll'!$O:$O,"No",'Raw - Payroll'!$D:$D,"&gt;="&amp;N$84,'Raw - Payroll'!$D:$D,"&lt;="&amp;EOMONTH(N$84,0))</f>
        <v>0</v>
      </c>
      <c r="O88" s="151">
        <f>COUNTIFS('Raw - Payroll'!$O:$O,"No",'Raw - Payroll'!$D:$D,"&gt;="&amp;O$84,'Raw - Payroll'!$D:$D,"&lt;="&amp;EOMONTH(O$84,0))</f>
        <v>0</v>
      </c>
      <c r="P88" s="151">
        <f>COUNTIFS('Raw - Payroll'!$O:$O,"No",'Raw - Payroll'!$D:$D,"&gt;="&amp;P$84,'Raw - Payroll'!$D:$D,"&lt;="&amp;EOMONTH(P$84,0))</f>
        <v>0</v>
      </c>
      <c r="Q88" s="151">
        <f>COUNTIFS('Raw - Payroll'!$O:$O,"No",'Raw - Payroll'!$D:$D,"&gt;="&amp;Q$84,'Raw - Payroll'!$D:$D,"&lt;="&amp;EOMONTH(Q$84,0))</f>
        <v>1</v>
      </c>
      <c r="R88" s="151">
        <f>COUNTIFS('Raw - Payroll'!$O:$O,"No",'Raw - Payroll'!$D:$D,"&gt;="&amp;R$84,'Raw - Payroll'!$D:$D,"&lt;="&amp;EOMONTH(R$84,0))</f>
        <v>0</v>
      </c>
      <c r="S88" s="151">
        <f>COUNTIFS('Raw - Payroll'!$O:$O,"No",'Raw - Payroll'!$D:$D,"&gt;="&amp;S$84,'Raw - Payroll'!$D:$D,"&lt;="&amp;EOMONTH(S$84,0))</f>
        <v>0</v>
      </c>
      <c r="T88" s="151">
        <f>COUNTIFS('Raw - Payroll'!$O:$O,"No",'Raw - Payroll'!$D:$D,"&gt;="&amp;T$84,'Raw - Payroll'!$D:$D,"&lt;="&amp;EOMONTH(T$84,0))</f>
        <v>0</v>
      </c>
      <c r="U88" s="151">
        <f>COUNTIFS('Raw - Payroll'!$O:$O,"No",'Raw - Payroll'!$D:$D,"&gt;="&amp;U$84,'Raw - Payroll'!$D:$D,"&lt;="&amp;EOMONTH(U$84,0))</f>
        <v>1</v>
      </c>
      <c r="V88" s="151">
        <f>COUNTIFS('Raw - Payroll'!$O:$O,"No",'Raw - Payroll'!$D:$D,"&gt;="&amp;V$84,'Raw - Payroll'!$D:$D,"&lt;="&amp;EOMONTH(V$84,0))</f>
        <v>0</v>
      </c>
      <c r="W88" s="151">
        <f>COUNTIFS('Raw - Payroll'!$O:$O,"No",'Raw - Payroll'!$D:$D,"&gt;="&amp;W$84,'Raw - Payroll'!$D:$D,"&lt;="&amp;EOMONTH(W$84,0))</f>
        <v>1</v>
      </c>
      <c r="X88" s="151">
        <f>COUNTIFS('Raw - Payroll'!$O:$O,"No",'Raw - Payroll'!$D:$D,"&gt;="&amp;X$84,'Raw - Payroll'!$D:$D,"&lt;="&amp;EOMONTH(X$84,0))</f>
        <v>0</v>
      </c>
      <c r="Y88" s="151">
        <f>COUNTIFS('Raw - Payroll'!$O:$O,"No",'Raw - Payroll'!$D:$D,"&gt;="&amp;Y$84,'Raw - Payroll'!$D:$D,"&lt;="&amp;EOMONTH(Y$84,0))</f>
        <v>0</v>
      </c>
      <c r="Z88" s="151">
        <f>COUNTIFS('Raw - Payroll'!$O:$O,"No",'Raw - Payroll'!$D:$D,"&gt;="&amp;Z$84,'Raw - Payroll'!$D:$D,"&lt;="&amp;EOMONTH(Z$84,0))</f>
        <v>0</v>
      </c>
      <c r="AA88" s="151">
        <f>COUNTIFS('Raw - Payroll'!$O:$O,"No",'Raw - Payroll'!$D:$D,"&gt;="&amp;AA$84,'Raw - Payroll'!$D:$D,"&lt;="&amp;EOMONTH(AA$84,0))</f>
        <v>1</v>
      </c>
      <c r="AB88" s="151">
        <f>COUNTIFS('Raw - Payroll'!$O:$O,"No",'Raw - Payroll'!$D:$D,"&gt;="&amp;AB$84,'Raw - Payroll'!$D:$D,"&lt;="&amp;EOMONTH(AB$84,0))</f>
        <v>0</v>
      </c>
      <c r="AC88" s="151">
        <f>COUNTIFS('Raw - Payroll'!$O:$O,"No",'Raw - Payroll'!$D:$D,"&gt;="&amp;AC$84,'Raw - Payroll'!$D:$D,"&lt;="&amp;EOMONTH(AC$84,0))</f>
        <v>0</v>
      </c>
      <c r="AD88" s="151">
        <f>COUNTIFS('Raw - Payroll'!$O:$O,"No",'Raw - Payroll'!$D:$D,"&gt;="&amp;AD$84,'Raw - Payroll'!$D:$D,"&lt;="&amp;EOMONTH(AD$84,0))</f>
        <v>0</v>
      </c>
      <c r="AE88" s="151">
        <f>COUNTIFS('Raw - Payroll'!$O:$O,"No",'Raw - Payroll'!$D:$D,"&gt;="&amp;AE$84,'Raw - Payroll'!$D:$D,"&lt;="&amp;EOMONTH(AE$84,0))</f>
        <v>0</v>
      </c>
      <c r="AF88" s="151">
        <f>COUNTIFS('Raw - Payroll'!$O:$O,"No",'Raw - Payroll'!$D:$D,"&gt;="&amp;AF$84,'Raw - Payroll'!$D:$D,"&lt;="&amp;EOMONTH(AF$84,0))</f>
        <v>1</v>
      </c>
      <c r="AG88" s="151">
        <f>COUNTIFS('Raw - Payroll'!$O:$O,"No",'Raw - Payroll'!$D:$D,"&gt;="&amp;AG$84,'Raw - Payroll'!$D:$D,"&lt;="&amp;EOMONTH(AG$84,0))</f>
        <v>0</v>
      </c>
      <c r="AH88" s="151">
        <f>COUNTIFS('Raw - Payroll'!$O:$O,"No",'Raw - Payroll'!$D:$D,"&gt;="&amp;AH$84,'Raw - Payroll'!$D:$D,"&lt;="&amp;EOMONTH(AH$84,0))</f>
        <v>1</v>
      </c>
      <c r="AI88" s="151">
        <f>COUNTIFS('Raw - Payroll'!$O:$O,"No",'Raw - Payroll'!$D:$D,"&gt;="&amp;AI$84,'Raw - Payroll'!$D:$D,"&lt;="&amp;EOMONTH(AI$84,0))</f>
        <v>0</v>
      </c>
      <c r="AJ88" s="151">
        <f>COUNTIFS('Raw - Payroll'!$O:$O,"No",'Raw - Payroll'!$D:$D,"&gt;="&amp;AJ$84,'Raw - Payroll'!$D:$D,"&lt;="&amp;EOMONTH(AJ$84,0))</f>
        <v>0</v>
      </c>
      <c r="AK88" s="151">
        <f>COUNTIFS('Raw - Payroll'!$O:$O,"No",'Raw - Payroll'!$D:$D,"&gt;="&amp;AK$84,'Raw - Payroll'!$D:$D,"&lt;="&amp;EOMONTH(AK$84,0))</f>
        <v>0</v>
      </c>
      <c r="AL88" s="151">
        <f>COUNTIFS('Raw - Payroll'!$O:$O,"No",'Raw - Payroll'!$D:$D,"&gt;="&amp;AL$84,'Raw - Payroll'!$D:$D,"&lt;="&amp;EOMONTH(AL$84,0))</f>
        <v>0</v>
      </c>
      <c r="AN88" s="150">
        <f>SUM(C88:AL88)</f>
        <v>9</v>
      </c>
      <c r="AO88" s="151">
        <f>COUNTIFS('Raw - Payroll'!$O:$O,"No",'Raw - Payroll'!$D:$D,"&gt;="&amp;$C$84,'Raw - Payroll'!$D:$D,"&lt;="&amp;EOMONTH($AL$84,0))</f>
        <v>9</v>
      </c>
      <c r="AP88" s="130">
        <f>ROUND(AN88-AO88,6)</f>
        <v>0</v>
      </c>
    </row>
    <row r="89" ht="12" customHeight="1" spans="2:42" x14ac:dyDescent="0.25" outlineLevel="1" collapsed="1">
      <c r="B89" s="16" t="s">
        <v>817</v>
      </c>
      <c r="C89" s="151">
        <f>-COUNTIFS('Raw - Payroll'!$O:$O,"No",'Raw - Payroll'!$E:$E,"&gt;="&amp;C$84,'Raw - Payroll'!$E:$E,"&lt;="&amp;EOMONTH(C$84,0))</f>
        <v>0</v>
      </c>
      <c r="D89" s="151">
        <f>-COUNTIFS('Raw - Payroll'!$O:$O,"No",'Raw - Payroll'!$E:$E,"&gt;="&amp;D$84,'Raw - Payroll'!$E:$E,"&lt;="&amp;EOMONTH(D$84,0))</f>
        <v>0</v>
      </c>
      <c r="E89" s="151">
        <f>-COUNTIFS('Raw - Payroll'!$O:$O,"No",'Raw - Payroll'!$E:$E,"&gt;="&amp;E$84,'Raw - Payroll'!$E:$E,"&lt;="&amp;EOMONTH(E$84,0))</f>
        <v>0</v>
      </c>
      <c r="F89" s="151">
        <f>-COUNTIFS('Raw - Payroll'!$O:$O,"No",'Raw - Payroll'!$E:$E,"&gt;="&amp;F$84,'Raw - Payroll'!$E:$E,"&lt;="&amp;EOMONTH(F$84,0))</f>
        <v>0</v>
      </c>
      <c r="G89" s="151">
        <f>-COUNTIFS('Raw - Payroll'!$O:$O,"No",'Raw - Payroll'!$E:$E,"&gt;="&amp;G$84,'Raw - Payroll'!$E:$E,"&lt;="&amp;EOMONTH(G$84,0))</f>
        <v>0</v>
      </c>
      <c r="H89" s="151">
        <f>-COUNTIFS('Raw - Payroll'!$O:$O,"No",'Raw - Payroll'!$E:$E,"&gt;="&amp;H$84,'Raw - Payroll'!$E:$E,"&lt;="&amp;EOMONTH(H$84,0))</f>
        <v>0</v>
      </c>
      <c r="I89" s="151">
        <f>-COUNTIFS('Raw - Payroll'!$O:$O,"No",'Raw - Payroll'!$E:$E,"&gt;="&amp;I$84,'Raw - Payroll'!$E:$E,"&lt;="&amp;EOMONTH(I$84,0))</f>
        <v>0</v>
      </c>
      <c r="J89" s="151">
        <f>-COUNTIFS('Raw - Payroll'!$O:$O,"No",'Raw - Payroll'!$E:$E,"&gt;="&amp;J$84,'Raw - Payroll'!$E:$E,"&lt;="&amp;EOMONTH(J$84,0))</f>
        <v>0</v>
      </c>
      <c r="K89" s="151">
        <f>-COUNTIFS('Raw - Payroll'!$O:$O,"No",'Raw - Payroll'!$E:$E,"&gt;="&amp;K$84,'Raw - Payroll'!$E:$E,"&lt;="&amp;EOMONTH(K$84,0))</f>
        <v>-1</v>
      </c>
      <c r="L89" s="151">
        <f>-COUNTIFS('Raw - Payroll'!$O:$O,"No",'Raw - Payroll'!$E:$E,"&gt;="&amp;L$84,'Raw - Payroll'!$E:$E,"&lt;="&amp;EOMONTH(L$84,0))</f>
        <v>0</v>
      </c>
      <c r="M89" s="151">
        <f>-COUNTIFS('Raw - Payroll'!$O:$O,"No",'Raw - Payroll'!$E:$E,"&gt;="&amp;M$84,'Raw - Payroll'!$E:$E,"&lt;="&amp;EOMONTH(M$84,0))</f>
        <v>0</v>
      </c>
      <c r="N89" s="151">
        <f>-COUNTIFS('Raw - Payroll'!$O:$O,"No",'Raw - Payroll'!$E:$E,"&gt;="&amp;N$84,'Raw - Payroll'!$E:$E,"&lt;="&amp;EOMONTH(N$84,0))</f>
        <v>0</v>
      </c>
      <c r="O89" s="151">
        <f>-COUNTIFS('Raw - Payroll'!$O:$O,"No",'Raw - Payroll'!$E:$E,"&gt;="&amp;O$84,'Raw - Payroll'!$E:$E,"&lt;="&amp;EOMONTH(O$84,0))</f>
        <v>0</v>
      </c>
      <c r="P89" s="151">
        <f>-COUNTIFS('Raw - Payroll'!$O:$O,"No",'Raw - Payroll'!$E:$E,"&gt;="&amp;P$84,'Raw - Payroll'!$E:$E,"&lt;="&amp;EOMONTH(P$84,0))</f>
        <v>0</v>
      </c>
      <c r="Q89" s="151">
        <f>-COUNTIFS('Raw - Payroll'!$O:$O,"No",'Raw - Payroll'!$E:$E,"&gt;="&amp;Q$84,'Raw - Payroll'!$E:$E,"&lt;="&amp;EOMONTH(Q$84,0))</f>
        <v>-1</v>
      </c>
      <c r="R89" s="151">
        <f>-COUNTIFS('Raw - Payroll'!$O:$O,"No",'Raw - Payroll'!$E:$E,"&gt;="&amp;R$84,'Raw - Payroll'!$E:$E,"&lt;="&amp;EOMONTH(R$84,0))</f>
        <v>0</v>
      </c>
      <c r="S89" s="151">
        <f>-COUNTIFS('Raw - Payroll'!$O:$O,"No",'Raw - Payroll'!$E:$E,"&gt;="&amp;S$84,'Raw - Payroll'!$E:$E,"&lt;="&amp;EOMONTH(S$84,0))</f>
        <v>0</v>
      </c>
      <c r="T89" s="151">
        <f>-COUNTIFS('Raw - Payroll'!$O:$O,"No",'Raw - Payroll'!$E:$E,"&gt;="&amp;T$84,'Raw - Payroll'!$E:$E,"&lt;="&amp;EOMONTH(T$84,0))</f>
        <v>0</v>
      </c>
      <c r="U89" s="151">
        <f>-COUNTIFS('Raw - Payroll'!$O:$O,"No",'Raw - Payroll'!$E:$E,"&gt;="&amp;U$84,'Raw - Payroll'!$E:$E,"&lt;="&amp;EOMONTH(U$84,0))</f>
        <v>0</v>
      </c>
      <c r="V89" s="151">
        <f>-COUNTIFS('Raw - Payroll'!$O:$O,"No",'Raw - Payroll'!$E:$E,"&gt;="&amp;V$84,'Raw - Payroll'!$E:$E,"&lt;="&amp;EOMONTH(V$84,0))</f>
        <v>0</v>
      </c>
      <c r="W89" s="151">
        <f>-COUNTIFS('Raw - Payroll'!$O:$O,"No",'Raw - Payroll'!$E:$E,"&gt;="&amp;W$84,'Raw - Payroll'!$E:$E,"&lt;="&amp;EOMONTH(W$84,0))</f>
        <v>0</v>
      </c>
      <c r="X89" s="151">
        <f>-COUNTIFS('Raw - Payroll'!$O:$O,"No",'Raw - Payroll'!$E:$E,"&gt;="&amp;X$84,'Raw - Payroll'!$E:$E,"&lt;="&amp;EOMONTH(X$84,0))</f>
        <v>0</v>
      </c>
      <c r="Y89" s="151">
        <f>-COUNTIFS('Raw - Payroll'!$O:$O,"No",'Raw - Payroll'!$E:$E,"&gt;="&amp;Y$84,'Raw - Payroll'!$E:$E,"&lt;="&amp;EOMONTH(Y$84,0))</f>
        <v>0</v>
      </c>
      <c r="Z89" s="151">
        <f>-COUNTIFS('Raw - Payroll'!$O:$O,"No",'Raw - Payroll'!$E:$E,"&gt;="&amp;Z$84,'Raw - Payroll'!$E:$E,"&lt;="&amp;EOMONTH(Z$84,0))</f>
        <v>0</v>
      </c>
      <c r="AA89" s="151">
        <f>-COUNTIFS('Raw - Payroll'!$O:$O,"No",'Raw - Payroll'!$E:$E,"&gt;="&amp;AA$84,'Raw - Payroll'!$E:$E,"&lt;="&amp;EOMONTH(AA$84,0))</f>
        <v>0</v>
      </c>
      <c r="AB89" s="151">
        <f>-COUNTIFS('Raw - Payroll'!$O:$O,"No",'Raw - Payroll'!$E:$E,"&gt;="&amp;AB$84,'Raw - Payroll'!$E:$E,"&lt;="&amp;EOMONTH(AB$84,0))</f>
        <v>-1</v>
      </c>
      <c r="AC89" s="151">
        <f>-COUNTIFS('Raw - Payroll'!$O:$O,"No",'Raw - Payroll'!$E:$E,"&gt;="&amp;AC$84,'Raw - Payroll'!$E:$E,"&lt;="&amp;EOMONTH(AC$84,0))</f>
        <v>0</v>
      </c>
      <c r="AD89" s="151">
        <f>-COUNTIFS('Raw - Payroll'!$O:$O,"No",'Raw - Payroll'!$E:$E,"&gt;="&amp;AD$84,'Raw - Payroll'!$E:$E,"&lt;="&amp;EOMONTH(AD$84,0))</f>
        <v>0</v>
      </c>
      <c r="AE89" s="151">
        <f>-COUNTIFS('Raw - Payroll'!$O:$O,"No",'Raw - Payroll'!$E:$E,"&gt;="&amp;AE$84,'Raw - Payroll'!$E:$E,"&lt;="&amp;EOMONTH(AE$84,0))</f>
        <v>-1</v>
      </c>
      <c r="AF89" s="151">
        <f>-COUNTIFS('Raw - Payroll'!$O:$O,"No",'Raw - Payroll'!$E:$E,"&gt;="&amp;AF$84,'Raw - Payroll'!$E:$E,"&lt;="&amp;EOMONTH(AF$84,0))</f>
        <v>0</v>
      </c>
      <c r="AG89" s="151">
        <f>-COUNTIFS('Raw - Payroll'!$O:$O,"No",'Raw - Payroll'!$E:$E,"&gt;="&amp;AG$84,'Raw - Payroll'!$E:$E,"&lt;="&amp;EOMONTH(AG$84,0))</f>
        <v>-1</v>
      </c>
      <c r="AH89" s="151">
        <f>-COUNTIFS('Raw - Payroll'!$O:$O,"No",'Raw - Payroll'!$E:$E,"&gt;="&amp;AH$84,'Raw - Payroll'!$E:$E,"&lt;="&amp;EOMONTH(AH$84,0))</f>
        <v>0</v>
      </c>
      <c r="AI89" s="151">
        <f>-COUNTIFS('Raw - Payroll'!$O:$O,"No",'Raw - Payroll'!$E:$E,"&gt;="&amp;AI$84,'Raw - Payroll'!$E:$E,"&lt;="&amp;EOMONTH(AI$84,0))</f>
        <v>0</v>
      </c>
      <c r="AJ89" s="151">
        <f>-COUNTIFS('Raw - Payroll'!$O:$O,"No",'Raw - Payroll'!$E:$E,"&gt;="&amp;AJ$84,'Raw - Payroll'!$E:$E,"&lt;="&amp;EOMONTH(AJ$84,0))</f>
        <v>0</v>
      </c>
      <c r="AK89" s="151">
        <f>-COUNTIFS('Raw - Payroll'!$O:$O,"No",'Raw - Payroll'!$E:$E,"&gt;="&amp;AK$84,'Raw - Payroll'!$E:$E,"&lt;="&amp;EOMONTH(AK$84,0))</f>
        <v>0</v>
      </c>
      <c r="AL89" s="151">
        <f>-COUNTIFS('Raw - Payroll'!$O:$O,"No",'Raw - Payroll'!$E:$E,"&gt;="&amp;AL$84,'Raw - Payroll'!$E:$E,"&lt;="&amp;EOMONTH(AL$84,0))</f>
        <v>0</v>
      </c>
      <c r="AN89" s="150">
        <f>SUM(C89:AL89)</f>
        <v>-5</v>
      </c>
      <c r="AO89" s="151">
        <f>-COUNTIFS('Raw - Payroll'!$O:$O,"No",'Raw - Payroll'!$E:$E,"&gt;="&amp;$C$84,'Raw - Payroll'!$E:$E,"&lt;="&amp;EOMONTH($AL$84,0))</f>
        <v>-5</v>
      </c>
      <c r="AP89" s="130">
        <f>ROUND(AN89-AO89,6)</f>
        <v>0</v>
      </c>
    </row>
    <row r="90" ht="12" customHeight="1" x14ac:dyDescent="0.25" outlineLevel="1" collapsed="1"/>
    <row r="91" ht="12" customHeight="1" spans="2:2" x14ac:dyDescent="0.25" outlineLevel="1" collapsed="1">
      <c r="B91" s="18" t="s">
        <v>818</v>
      </c>
    </row>
    <row r="92" ht="12" customHeight="1" spans="2:42" x14ac:dyDescent="0.25" outlineLevel="1" collapsed="1">
      <c r="B92" s="16" t="s">
        <v>816</v>
      </c>
      <c r="C92" s="151">
        <f>COUNTIFS('Raw - Payroll'!$O:$O,"No",'Raw - Payroll'!$D:$D,"&gt;="&amp;C$84,'Raw - Payroll'!$D:$D,"&lt;="&amp;EOMONTH(C$84,0))</f>
        <v>0</v>
      </c>
      <c r="D92" s="151">
        <f>COUNTIFS('Raw - Payroll'!$O:$O,"No",'Raw - Payroll'!$D:$D,"&gt;="&amp;D$84,'Raw - Payroll'!$D:$D,"&lt;="&amp;EOMONTH(D$84,0))</f>
        <v>0</v>
      </c>
      <c r="E92" s="151">
        <f>COUNTIFS('Raw - Payroll'!$O:$O,"No",'Raw - Payroll'!$D:$D,"&gt;="&amp;E$84,'Raw - Payroll'!$D:$D,"&lt;="&amp;EOMONTH(E$84,0))</f>
        <v>0</v>
      </c>
      <c r="F92" s="151">
        <f>COUNTIFS('Raw - Payroll'!$O:$O,"No",'Raw - Payroll'!$D:$D,"&gt;="&amp;F$84,'Raw - Payroll'!$D:$D,"&lt;="&amp;EOMONTH(F$84,0))</f>
        <v>1</v>
      </c>
      <c r="G92" s="151">
        <f>COUNTIFS('Raw - Payroll'!$O:$O,"No",'Raw - Payroll'!$D:$D,"&gt;="&amp;G$84,'Raw - Payroll'!$D:$D,"&lt;="&amp;EOMONTH(G$84,0))</f>
        <v>0</v>
      </c>
      <c r="H92" s="151">
        <f>COUNTIFS('Raw - Payroll'!$O:$O,"No",'Raw - Payroll'!$D:$D,"&gt;="&amp;H$84,'Raw - Payroll'!$D:$D,"&lt;="&amp;EOMONTH(H$84,0))</f>
        <v>1</v>
      </c>
      <c r="I92" s="151">
        <f>COUNTIFS('Raw - Payroll'!$O:$O,"No",'Raw - Payroll'!$D:$D,"&gt;="&amp;I$84,'Raw - Payroll'!$D:$D,"&lt;="&amp;EOMONTH(I$84,0))</f>
        <v>0</v>
      </c>
      <c r="J92" s="151">
        <f>COUNTIFS('Raw - Payroll'!$O:$O,"No",'Raw - Payroll'!$D:$D,"&gt;="&amp;J$84,'Raw - Payroll'!$D:$D,"&lt;="&amp;EOMONTH(J$84,0))</f>
        <v>1</v>
      </c>
      <c r="K92" s="151">
        <f>COUNTIFS('Raw - Payroll'!$O:$O,"No",'Raw - Payroll'!$D:$D,"&gt;="&amp;K$84,'Raw - Payroll'!$D:$D,"&lt;="&amp;EOMONTH(K$84,0))</f>
        <v>0</v>
      </c>
      <c r="L92" s="151">
        <f>COUNTIFS('Raw - Payroll'!$O:$O,"No",'Raw - Payroll'!$D:$D,"&gt;="&amp;L$84,'Raw - Payroll'!$D:$D,"&lt;="&amp;EOMONTH(L$84,0))</f>
        <v>0</v>
      </c>
      <c r="M92" s="151">
        <f>COUNTIFS('Raw - Payroll'!$O:$O,"No",'Raw - Payroll'!$D:$D,"&gt;="&amp;M$84,'Raw - Payroll'!$D:$D,"&lt;="&amp;EOMONTH(M$84,0))</f>
        <v>0</v>
      </c>
      <c r="N92" s="151">
        <f>COUNTIFS('Raw - Payroll'!$O:$O,"No",'Raw - Payroll'!$D:$D,"&gt;="&amp;N$84,'Raw - Payroll'!$D:$D,"&lt;="&amp;EOMONTH(N$84,0))</f>
        <v>0</v>
      </c>
      <c r="O92" s="151">
        <f>COUNTIFS('Raw - Payroll'!$O:$O,"No",'Raw - Payroll'!$D:$D,"&gt;="&amp;O$84,'Raw - Payroll'!$D:$D,"&lt;="&amp;EOMONTH(O$84,0))</f>
        <v>0</v>
      </c>
      <c r="P92" s="151">
        <f>COUNTIFS('Raw - Payroll'!$O:$O,"No",'Raw - Payroll'!$D:$D,"&gt;="&amp;P$84,'Raw - Payroll'!$D:$D,"&lt;="&amp;EOMONTH(P$84,0))</f>
        <v>0</v>
      </c>
      <c r="Q92" s="151">
        <f>COUNTIFS('Raw - Payroll'!$O:$O,"No",'Raw - Payroll'!$D:$D,"&gt;="&amp;Q$84,'Raw - Payroll'!$D:$D,"&lt;="&amp;EOMONTH(Q$84,0))</f>
        <v>1</v>
      </c>
      <c r="R92" s="151">
        <f>COUNTIFS('Raw - Payroll'!$O:$O,"No",'Raw - Payroll'!$D:$D,"&gt;="&amp;R$84,'Raw - Payroll'!$D:$D,"&lt;="&amp;EOMONTH(R$84,0))</f>
        <v>0</v>
      </c>
      <c r="S92" s="151">
        <f>COUNTIFS('Raw - Payroll'!$O:$O,"No",'Raw - Payroll'!$D:$D,"&gt;="&amp;S$84,'Raw - Payroll'!$D:$D,"&lt;="&amp;EOMONTH(S$84,0))</f>
        <v>0</v>
      </c>
      <c r="T92" s="151">
        <f>COUNTIFS('Raw - Payroll'!$O:$O,"No",'Raw - Payroll'!$D:$D,"&gt;="&amp;T$84,'Raw - Payroll'!$D:$D,"&lt;="&amp;EOMONTH(T$84,0))</f>
        <v>0</v>
      </c>
      <c r="U92" s="151">
        <f>COUNTIFS('Raw - Payroll'!$O:$O,"No",'Raw - Payroll'!$D:$D,"&gt;="&amp;U$84,'Raw - Payroll'!$D:$D,"&lt;="&amp;EOMONTH(U$84,0))</f>
        <v>1</v>
      </c>
      <c r="V92" s="151">
        <f>COUNTIFS('Raw - Payroll'!$O:$O,"No",'Raw - Payroll'!$D:$D,"&gt;="&amp;V$84,'Raw - Payroll'!$D:$D,"&lt;="&amp;EOMONTH(V$84,0))</f>
        <v>0</v>
      </c>
      <c r="W92" s="151">
        <f>COUNTIFS('Raw - Payroll'!$O:$O,"No",'Raw - Payroll'!$D:$D,"&gt;="&amp;W$84,'Raw - Payroll'!$D:$D,"&lt;="&amp;EOMONTH(W$84,0))</f>
        <v>1</v>
      </c>
      <c r="X92" s="151">
        <f>COUNTIFS('Raw - Payroll'!$O:$O,"No",'Raw - Payroll'!$D:$D,"&gt;="&amp;X$84,'Raw - Payroll'!$D:$D,"&lt;="&amp;EOMONTH(X$84,0))</f>
        <v>0</v>
      </c>
      <c r="Y92" s="151">
        <f>COUNTIFS('Raw - Payroll'!$O:$O,"No",'Raw - Payroll'!$D:$D,"&gt;="&amp;Y$84,'Raw - Payroll'!$D:$D,"&lt;="&amp;EOMONTH(Y$84,0))</f>
        <v>0</v>
      </c>
      <c r="Z92" s="151">
        <f>COUNTIFS('Raw - Payroll'!$O:$O,"No",'Raw - Payroll'!$D:$D,"&gt;="&amp;Z$84,'Raw - Payroll'!$D:$D,"&lt;="&amp;EOMONTH(Z$84,0))</f>
        <v>0</v>
      </c>
      <c r="AA92" s="151">
        <f>COUNTIFS('Raw - Payroll'!$O:$O,"No",'Raw - Payroll'!$D:$D,"&gt;="&amp;AA$84,'Raw - Payroll'!$D:$D,"&lt;="&amp;EOMONTH(AA$84,0))</f>
        <v>1</v>
      </c>
      <c r="AB92" s="151">
        <f>COUNTIFS('Raw - Payroll'!$O:$O,"No",'Raw - Payroll'!$D:$D,"&gt;="&amp;AB$84,'Raw - Payroll'!$D:$D,"&lt;="&amp;EOMONTH(AB$84,0))</f>
        <v>0</v>
      </c>
      <c r="AC92" s="151">
        <f>COUNTIFS('Raw - Payroll'!$O:$O,"No",'Raw - Payroll'!$D:$D,"&gt;="&amp;AC$84,'Raw - Payroll'!$D:$D,"&lt;="&amp;EOMONTH(AC$84,0))</f>
        <v>0</v>
      </c>
      <c r="AD92" s="151">
        <f>COUNTIFS('Raw - Payroll'!$O:$O,"No",'Raw - Payroll'!$D:$D,"&gt;="&amp;AD$84,'Raw - Payroll'!$D:$D,"&lt;="&amp;EOMONTH(AD$84,0))</f>
        <v>0</v>
      </c>
      <c r="AE92" s="151">
        <f>COUNTIFS('Raw - Payroll'!$O:$O,"No",'Raw - Payroll'!$D:$D,"&gt;="&amp;AE$84,'Raw - Payroll'!$D:$D,"&lt;="&amp;EOMONTH(AE$84,0))</f>
        <v>0</v>
      </c>
      <c r="AF92" s="151">
        <f>COUNTIFS('Raw - Payroll'!$O:$O,"No",'Raw - Payroll'!$D:$D,"&gt;="&amp;AF$84,'Raw - Payroll'!$D:$D,"&lt;="&amp;EOMONTH(AF$84,0))</f>
        <v>1</v>
      </c>
      <c r="AG92" s="151">
        <f>COUNTIFS('Raw - Payroll'!$O:$O,"No",'Raw - Payroll'!$D:$D,"&gt;="&amp;AG$84,'Raw - Payroll'!$D:$D,"&lt;="&amp;EOMONTH(AG$84,0))</f>
        <v>0</v>
      </c>
      <c r="AH92" s="151">
        <f>COUNTIFS('Raw - Payroll'!$O:$O,"No",'Raw - Payroll'!$D:$D,"&gt;="&amp;AH$84,'Raw - Payroll'!$D:$D,"&lt;="&amp;EOMONTH(AH$84,0))</f>
        <v>1</v>
      </c>
      <c r="AI92" s="151">
        <f>COUNTIFS('Raw - Payroll'!$O:$O,"No",'Raw - Payroll'!$D:$D,"&gt;="&amp;AI$84,'Raw - Payroll'!$D:$D,"&lt;="&amp;EOMONTH(AI$84,0))</f>
        <v>0</v>
      </c>
      <c r="AJ92" s="151">
        <f>COUNTIFS('Raw - Payroll'!$O:$O,"No",'Raw - Payroll'!$D:$D,"&gt;="&amp;AJ$84,'Raw - Payroll'!$D:$D,"&lt;="&amp;EOMONTH(AJ$84,0))</f>
        <v>0</v>
      </c>
      <c r="AK92" s="151">
        <f>COUNTIFS('Raw - Payroll'!$O:$O,"No",'Raw - Payroll'!$D:$D,"&gt;="&amp;AK$84,'Raw - Payroll'!$D:$D,"&lt;="&amp;EOMONTH(AK$84,0))</f>
        <v>0</v>
      </c>
      <c r="AL92" s="151">
        <f>COUNTIFS('Raw - Payroll'!$O:$O,"No",'Raw - Payroll'!$D:$D,"&gt;="&amp;AL$84,'Raw - Payroll'!$D:$D,"&lt;="&amp;EOMONTH(AL$84,0))</f>
        <v>0</v>
      </c>
      <c r="AN92" s="150">
        <f>SUM(C92:AL92)</f>
        <v>9</v>
      </c>
      <c r="AO92" s="151">
        <f>COUNTIFS('Raw - Payroll'!$O:$O,"No",'Raw - Payroll'!$D:$D,"&gt;="&amp;$C$84,'Raw - Payroll'!$D:$D,"&lt;="&amp;EOMONTH($AL$84,0))</f>
        <v>9</v>
      </c>
      <c r="AP92" s="130">
        <f>ROUND(AN92-AO92,6)</f>
        <v>0</v>
      </c>
    </row>
    <row r="93" ht="12" customHeight="1" spans="2:42" x14ac:dyDescent="0.25" outlineLevel="1" collapsed="1">
      <c r="B93" s="16" t="s">
        <v>819</v>
      </c>
      <c r="C93" s="151">
        <f>-COUNTIFS('Raw - Payroll'!$O:$O,"No",'Raw - Payroll'!$E:$E,"&gt;="&amp;C$84,'Raw - Payroll'!$E:$E,"&lt;="&amp;EOMONTH(C$84,0),'Raw - Payroll'!$P:$P,"resignation")</f>
        <v>0</v>
      </c>
      <c r="D93" s="151">
        <f>-COUNTIFS('Raw - Payroll'!$O:$O,"No",'Raw - Payroll'!$E:$E,"&gt;="&amp;D$84,'Raw - Payroll'!$E:$E,"&lt;="&amp;EOMONTH(D$84,0),'Raw - Payroll'!$P:$P,"resignation")</f>
        <v>0</v>
      </c>
      <c r="E93" s="151">
        <f>-COUNTIFS('Raw - Payroll'!$O:$O,"No",'Raw - Payroll'!$E:$E,"&gt;="&amp;E$84,'Raw - Payroll'!$E:$E,"&lt;="&amp;EOMONTH(E$84,0),'Raw - Payroll'!$P:$P,"resignation")</f>
        <v>0</v>
      </c>
      <c r="F93" s="151">
        <f>-COUNTIFS('Raw - Payroll'!$O:$O,"No",'Raw - Payroll'!$E:$E,"&gt;="&amp;F$84,'Raw - Payroll'!$E:$E,"&lt;="&amp;EOMONTH(F$84,0),'Raw - Payroll'!$P:$P,"resignation")</f>
        <v>0</v>
      </c>
      <c r="G93" s="151">
        <f>-COUNTIFS('Raw - Payroll'!$O:$O,"No",'Raw - Payroll'!$E:$E,"&gt;="&amp;G$84,'Raw - Payroll'!$E:$E,"&lt;="&amp;EOMONTH(G$84,0),'Raw - Payroll'!$P:$P,"resignation")</f>
        <v>0</v>
      </c>
      <c r="H93" s="151">
        <f>-COUNTIFS('Raw - Payroll'!$O:$O,"No",'Raw - Payroll'!$E:$E,"&gt;="&amp;H$84,'Raw - Payroll'!$E:$E,"&lt;="&amp;EOMONTH(H$84,0),'Raw - Payroll'!$P:$P,"resignation")</f>
        <v>0</v>
      </c>
      <c r="I93" s="151">
        <f>-COUNTIFS('Raw - Payroll'!$O:$O,"No",'Raw - Payroll'!$E:$E,"&gt;="&amp;I$84,'Raw - Payroll'!$E:$E,"&lt;="&amp;EOMONTH(I$84,0),'Raw - Payroll'!$P:$P,"resignation")</f>
        <v>0</v>
      </c>
      <c r="J93" s="151">
        <f>-COUNTIFS('Raw - Payroll'!$O:$O,"No",'Raw - Payroll'!$E:$E,"&gt;="&amp;J$84,'Raw - Payroll'!$E:$E,"&lt;="&amp;EOMONTH(J$84,0),'Raw - Payroll'!$P:$P,"resignation")</f>
        <v>0</v>
      </c>
      <c r="K93" s="151">
        <f>-COUNTIFS('Raw - Payroll'!$O:$O,"No",'Raw - Payroll'!$E:$E,"&gt;="&amp;K$84,'Raw - Payroll'!$E:$E,"&lt;="&amp;EOMONTH(K$84,0),'Raw - Payroll'!$P:$P,"resignation")</f>
        <v>-1</v>
      </c>
      <c r="L93" s="151">
        <f>-COUNTIFS('Raw - Payroll'!$O:$O,"No",'Raw - Payroll'!$E:$E,"&gt;="&amp;L$84,'Raw - Payroll'!$E:$E,"&lt;="&amp;EOMONTH(L$84,0),'Raw - Payroll'!$P:$P,"resignation")</f>
        <v>0</v>
      </c>
      <c r="M93" s="151">
        <f>-COUNTIFS('Raw - Payroll'!$O:$O,"No",'Raw - Payroll'!$E:$E,"&gt;="&amp;M$84,'Raw - Payroll'!$E:$E,"&lt;="&amp;EOMONTH(M$84,0),'Raw - Payroll'!$P:$P,"resignation")</f>
        <v>0</v>
      </c>
      <c r="N93" s="151">
        <f>-COUNTIFS('Raw - Payroll'!$O:$O,"No",'Raw - Payroll'!$E:$E,"&gt;="&amp;N$84,'Raw - Payroll'!$E:$E,"&lt;="&amp;EOMONTH(N$84,0),'Raw - Payroll'!$P:$P,"resignation")</f>
        <v>0</v>
      </c>
      <c r="O93" s="151">
        <f>-COUNTIFS('Raw - Payroll'!$O:$O,"No",'Raw - Payroll'!$E:$E,"&gt;="&amp;O$84,'Raw - Payroll'!$E:$E,"&lt;="&amp;EOMONTH(O$84,0),'Raw - Payroll'!$P:$P,"resignation")</f>
        <v>0</v>
      </c>
      <c r="P93" s="151">
        <f>-COUNTIFS('Raw - Payroll'!$O:$O,"No",'Raw - Payroll'!$E:$E,"&gt;="&amp;P$84,'Raw - Payroll'!$E:$E,"&lt;="&amp;EOMONTH(P$84,0),'Raw - Payroll'!$P:$P,"resignation")</f>
        <v>0</v>
      </c>
      <c r="Q93" s="151">
        <f>-COUNTIFS('Raw - Payroll'!$O:$O,"No",'Raw - Payroll'!$E:$E,"&gt;="&amp;Q$84,'Raw - Payroll'!$E:$E,"&lt;="&amp;EOMONTH(Q$84,0),'Raw - Payroll'!$P:$P,"resignation")</f>
        <v>-1</v>
      </c>
      <c r="R93" s="151">
        <f>-COUNTIFS('Raw - Payroll'!$O:$O,"No",'Raw - Payroll'!$E:$E,"&gt;="&amp;R$84,'Raw - Payroll'!$E:$E,"&lt;="&amp;EOMONTH(R$84,0),'Raw - Payroll'!$P:$P,"resignation")</f>
        <v>0</v>
      </c>
      <c r="S93" s="151">
        <f>-COUNTIFS('Raw - Payroll'!$O:$O,"No",'Raw - Payroll'!$E:$E,"&gt;="&amp;S$84,'Raw - Payroll'!$E:$E,"&lt;="&amp;EOMONTH(S$84,0),'Raw - Payroll'!$P:$P,"resignation")</f>
        <v>0</v>
      </c>
      <c r="T93" s="151">
        <f>-COUNTIFS('Raw - Payroll'!$O:$O,"No",'Raw - Payroll'!$E:$E,"&gt;="&amp;T$84,'Raw - Payroll'!$E:$E,"&lt;="&amp;EOMONTH(T$84,0),'Raw - Payroll'!$P:$P,"resignation")</f>
        <v>0</v>
      </c>
      <c r="U93" s="151">
        <f>-COUNTIFS('Raw - Payroll'!$O:$O,"No",'Raw - Payroll'!$E:$E,"&gt;="&amp;U$84,'Raw - Payroll'!$E:$E,"&lt;="&amp;EOMONTH(U$84,0),'Raw - Payroll'!$P:$P,"resignation")</f>
        <v>0</v>
      </c>
      <c r="V93" s="151">
        <f>-COUNTIFS('Raw - Payroll'!$O:$O,"No",'Raw - Payroll'!$E:$E,"&gt;="&amp;V$84,'Raw - Payroll'!$E:$E,"&lt;="&amp;EOMONTH(V$84,0),'Raw - Payroll'!$P:$P,"resignation")</f>
        <v>0</v>
      </c>
      <c r="W93" s="151">
        <f>-COUNTIFS('Raw - Payroll'!$O:$O,"No",'Raw - Payroll'!$E:$E,"&gt;="&amp;W$84,'Raw - Payroll'!$E:$E,"&lt;="&amp;EOMONTH(W$84,0),'Raw - Payroll'!$P:$P,"resignation")</f>
        <v>0</v>
      </c>
      <c r="X93" s="151">
        <f>-COUNTIFS('Raw - Payroll'!$O:$O,"No",'Raw - Payroll'!$E:$E,"&gt;="&amp;X$84,'Raw - Payroll'!$E:$E,"&lt;="&amp;EOMONTH(X$84,0),'Raw - Payroll'!$P:$P,"resignation")</f>
        <v>0</v>
      </c>
      <c r="Y93" s="151">
        <f>-COUNTIFS('Raw - Payroll'!$O:$O,"No",'Raw - Payroll'!$E:$E,"&gt;="&amp;Y$84,'Raw - Payroll'!$E:$E,"&lt;="&amp;EOMONTH(Y$84,0),'Raw - Payroll'!$P:$P,"resignation")</f>
        <v>0</v>
      </c>
      <c r="Z93" s="151">
        <f>-COUNTIFS('Raw - Payroll'!$O:$O,"No",'Raw - Payroll'!$E:$E,"&gt;="&amp;Z$84,'Raw - Payroll'!$E:$E,"&lt;="&amp;EOMONTH(Z$84,0),'Raw - Payroll'!$P:$P,"resignation")</f>
        <v>0</v>
      </c>
      <c r="AA93" s="151">
        <f>-COUNTIFS('Raw - Payroll'!$O:$O,"No",'Raw - Payroll'!$E:$E,"&gt;="&amp;AA$84,'Raw - Payroll'!$E:$E,"&lt;="&amp;EOMONTH(AA$84,0),'Raw - Payroll'!$P:$P,"resignation")</f>
        <v>0</v>
      </c>
      <c r="AB93" s="151">
        <f>-COUNTIFS('Raw - Payroll'!$O:$O,"No",'Raw - Payroll'!$E:$E,"&gt;="&amp;AB$84,'Raw - Payroll'!$E:$E,"&lt;="&amp;EOMONTH(AB$84,0),'Raw - Payroll'!$P:$P,"resignation")</f>
        <v>0</v>
      </c>
      <c r="AC93" s="151">
        <f>-COUNTIFS('Raw - Payroll'!$O:$O,"No",'Raw - Payroll'!$E:$E,"&gt;="&amp;AC$84,'Raw - Payroll'!$E:$E,"&lt;="&amp;EOMONTH(AC$84,0),'Raw - Payroll'!$P:$P,"resignation")</f>
        <v>0</v>
      </c>
      <c r="AD93" s="151">
        <f>-COUNTIFS('Raw - Payroll'!$O:$O,"No",'Raw - Payroll'!$E:$E,"&gt;="&amp;AD$84,'Raw - Payroll'!$E:$E,"&lt;="&amp;EOMONTH(AD$84,0),'Raw - Payroll'!$P:$P,"resignation")</f>
        <v>0</v>
      </c>
      <c r="AE93" s="151">
        <f>-COUNTIFS('Raw - Payroll'!$O:$O,"No",'Raw - Payroll'!$E:$E,"&gt;="&amp;AE$84,'Raw - Payroll'!$E:$E,"&lt;="&amp;EOMONTH(AE$84,0),'Raw - Payroll'!$P:$P,"resignation")</f>
        <v>-1</v>
      </c>
      <c r="AF93" s="151">
        <f>-COUNTIFS('Raw - Payroll'!$O:$O,"No",'Raw - Payroll'!$E:$E,"&gt;="&amp;AF$84,'Raw - Payroll'!$E:$E,"&lt;="&amp;EOMONTH(AF$84,0),'Raw - Payroll'!$P:$P,"resignation")</f>
        <v>0</v>
      </c>
      <c r="AG93" s="151">
        <f>-COUNTIFS('Raw - Payroll'!$O:$O,"No",'Raw - Payroll'!$E:$E,"&gt;="&amp;AG$84,'Raw - Payroll'!$E:$E,"&lt;="&amp;EOMONTH(AG$84,0),'Raw - Payroll'!$P:$P,"resignation")</f>
        <v>-1</v>
      </c>
      <c r="AH93" s="151">
        <f>-COUNTIFS('Raw - Payroll'!$O:$O,"No",'Raw - Payroll'!$E:$E,"&gt;="&amp;AH$84,'Raw - Payroll'!$E:$E,"&lt;="&amp;EOMONTH(AH$84,0),'Raw - Payroll'!$P:$P,"resignation")</f>
        <v>0</v>
      </c>
      <c r="AI93" s="151">
        <f>-COUNTIFS('Raw - Payroll'!$O:$O,"No",'Raw - Payroll'!$E:$E,"&gt;="&amp;AI$84,'Raw - Payroll'!$E:$E,"&lt;="&amp;EOMONTH(AI$84,0),'Raw - Payroll'!$P:$P,"resignation")</f>
        <v>0</v>
      </c>
      <c r="AJ93" s="151">
        <f>-COUNTIFS('Raw - Payroll'!$O:$O,"No",'Raw - Payroll'!$E:$E,"&gt;="&amp;AJ$84,'Raw - Payroll'!$E:$E,"&lt;="&amp;EOMONTH(AJ$84,0),'Raw - Payroll'!$P:$P,"resignation")</f>
        <v>0</v>
      </c>
      <c r="AK93" s="151">
        <f>-COUNTIFS('Raw - Payroll'!$O:$O,"No",'Raw - Payroll'!$E:$E,"&gt;="&amp;AK$84,'Raw - Payroll'!$E:$E,"&lt;="&amp;EOMONTH(AK$84,0),'Raw - Payroll'!$P:$P,"resignation")</f>
        <v>0</v>
      </c>
      <c r="AL93" s="151">
        <f>-COUNTIFS('Raw - Payroll'!$O:$O,"No",'Raw - Payroll'!$E:$E,"&gt;="&amp;AL$84,'Raw - Payroll'!$E:$E,"&lt;="&amp;EOMONTH(AL$84,0),'Raw - Payroll'!$P:$P,"resignation")</f>
        <v>0</v>
      </c>
      <c r="AN93" s="150">
        <f>SUM(C93:AL93)</f>
        <v>-4</v>
      </c>
      <c r="AO93" s="151">
        <f>-COUNTIFS('Raw - Payroll'!$O:$O,"No",'Raw - Payroll'!$E:$E,"&gt;="&amp;$C$84,'Raw - Payroll'!$E:$E,"&lt;="&amp;EOMONTH($AL$84,0),'Raw - Payroll'!$P:$P,"resignation")</f>
        <v>-4</v>
      </c>
      <c r="AP93" s="130">
        <f>ROUND(AN93-AO93,6)</f>
        <v>0</v>
      </c>
    </row>
    <row r="94" ht="12" customHeight="1" spans="2:42" x14ac:dyDescent="0.25" outlineLevel="1" collapsed="1">
      <c r="B94" s="16" t="s">
        <v>820</v>
      </c>
      <c r="C94" s="151">
        <f>-COUNTIFS('Raw - Payroll'!$O:$O,"No",'Raw - Payroll'!$E:$E,"&gt;="&amp;C$84,'Raw - Payroll'!$E:$E,"&lt;="&amp;EOMONTH(C$84,0),'Raw - Payroll'!$P:$P,"termination")</f>
        <v>0</v>
      </c>
      <c r="D94" s="151">
        <f>-COUNTIFS('Raw - Payroll'!$O:$O,"No",'Raw - Payroll'!$E:$E,"&gt;="&amp;D$84,'Raw - Payroll'!$E:$E,"&lt;="&amp;EOMONTH(D$84,0),'Raw - Payroll'!$P:$P,"termination")</f>
        <v>0</v>
      </c>
      <c r="E94" s="151">
        <f>-COUNTIFS('Raw - Payroll'!$O:$O,"No",'Raw - Payroll'!$E:$E,"&gt;="&amp;E$84,'Raw - Payroll'!$E:$E,"&lt;="&amp;EOMONTH(E$84,0),'Raw - Payroll'!$P:$P,"termination")</f>
        <v>0</v>
      </c>
      <c r="F94" s="151">
        <f>-COUNTIFS('Raw - Payroll'!$O:$O,"No",'Raw - Payroll'!$E:$E,"&gt;="&amp;F$84,'Raw - Payroll'!$E:$E,"&lt;="&amp;EOMONTH(F$84,0),'Raw - Payroll'!$P:$P,"termination")</f>
        <v>0</v>
      </c>
      <c r="G94" s="151">
        <f>-COUNTIFS('Raw - Payroll'!$O:$O,"No",'Raw - Payroll'!$E:$E,"&gt;="&amp;G$84,'Raw - Payroll'!$E:$E,"&lt;="&amp;EOMONTH(G$84,0),'Raw - Payroll'!$P:$P,"termination")</f>
        <v>0</v>
      </c>
      <c r="H94" s="151">
        <f>-COUNTIFS('Raw - Payroll'!$O:$O,"No",'Raw - Payroll'!$E:$E,"&gt;="&amp;H$84,'Raw - Payroll'!$E:$E,"&lt;="&amp;EOMONTH(H$84,0),'Raw - Payroll'!$P:$P,"termination")</f>
        <v>0</v>
      </c>
      <c r="I94" s="151">
        <f>-COUNTIFS('Raw - Payroll'!$O:$O,"No",'Raw - Payroll'!$E:$E,"&gt;="&amp;I$84,'Raw - Payroll'!$E:$E,"&lt;="&amp;EOMONTH(I$84,0),'Raw - Payroll'!$P:$P,"termination")</f>
        <v>0</v>
      </c>
      <c r="J94" s="151">
        <f>-COUNTIFS('Raw - Payroll'!$O:$O,"No",'Raw - Payroll'!$E:$E,"&gt;="&amp;J$84,'Raw - Payroll'!$E:$E,"&lt;="&amp;EOMONTH(J$84,0),'Raw - Payroll'!$P:$P,"termination")</f>
        <v>0</v>
      </c>
      <c r="K94" s="151">
        <f>-COUNTIFS('Raw - Payroll'!$O:$O,"No",'Raw - Payroll'!$E:$E,"&gt;="&amp;K$84,'Raw - Payroll'!$E:$E,"&lt;="&amp;EOMONTH(K$84,0),'Raw - Payroll'!$P:$P,"termination")</f>
        <v>0</v>
      </c>
      <c r="L94" s="151">
        <f>-COUNTIFS('Raw - Payroll'!$O:$O,"No",'Raw - Payroll'!$E:$E,"&gt;="&amp;L$84,'Raw - Payroll'!$E:$E,"&lt;="&amp;EOMONTH(L$84,0),'Raw - Payroll'!$P:$P,"termination")</f>
        <v>0</v>
      </c>
      <c r="M94" s="151">
        <f>-COUNTIFS('Raw - Payroll'!$O:$O,"No",'Raw - Payroll'!$E:$E,"&gt;="&amp;M$84,'Raw - Payroll'!$E:$E,"&lt;="&amp;EOMONTH(M$84,0),'Raw - Payroll'!$P:$P,"termination")</f>
        <v>0</v>
      </c>
      <c r="N94" s="151">
        <f>-COUNTIFS('Raw - Payroll'!$O:$O,"No",'Raw - Payroll'!$E:$E,"&gt;="&amp;N$84,'Raw - Payroll'!$E:$E,"&lt;="&amp;EOMONTH(N$84,0),'Raw - Payroll'!$P:$P,"termination")</f>
        <v>0</v>
      </c>
      <c r="O94" s="151">
        <f>-COUNTIFS('Raw - Payroll'!$O:$O,"No",'Raw - Payroll'!$E:$E,"&gt;="&amp;O$84,'Raw - Payroll'!$E:$E,"&lt;="&amp;EOMONTH(O$84,0),'Raw - Payroll'!$P:$P,"termination")</f>
        <v>0</v>
      </c>
      <c r="P94" s="151">
        <f>-COUNTIFS('Raw - Payroll'!$O:$O,"No",'Raw - Payroll'!$E:$E,"&gt;="&amp;P$84,'Raw - Payroll'!$E:$E,"&lt;="&amp;EOMONTH(P$84,0),'Raw - Payroll'!$P:$P,"termination")</f>
        <v>0</v>
      </c>
      <c r="Q94" s="151">
        <f>-COUNTIFS('Raw - Payroll'!$O:$O,"No",'Raw - Payroll'!$E:$E,"&gt;="&amp;Q$84,'Raw - Payroll'!$E:$E,"&lt;="&amp;EOMONTH(Q$84,0),'Raw - Payroll'!$P:$P,"termination")</f>
        <v>0</v>
      </c>
      <c r="R94" s="151">
        <f>-COUNTIFS('Raw - Payroll'!$O:$O,"No",'Raw - Payroll'!$E:$E,"&gt;="&amp;R$84,'Raw - Payroll'!$E:$E,"&lt;="&amp;EOMONTH(R$84,0),'Raw - Payroll'!$P:$P,"termination")</f>
        <v>0</v>
      </c>
      <c r="S94" s="151">
        <f>-COUNTIFS('Raw - Payroll'!$O:$O,"No",'Raw - Payroll'!$E:$E,"&gt;="&amp;S$84,'Raw - Payroll'!$E:$E,"&lt;="&amp;EOMONTH(S$84,0),'Raw - Payroll'!$P:$P,"termination")</f>
        <v>0</v>
      </c>
      <c r="T94" s="151">
        <f>-COUNTIFS('Raw - Payroll'!$O:$O,"No",'Raw - Payroll'!$E:$E,"&gt;="&amp;T$84,'Raw - Payroll'!$E:$E,"&lt;="&amp;EOMONTH(T$84,0),'Raw - Payroll'!$P:$P,"termination")</f>
        <v>0</v>
      </c>
      <c r="U94" s="151">
        <f>-COUNTIFS('Raw - Payroll'!$O:$O,"No",'Raw - Payroll'!$E:$E,"&gt;="&amp;U$84,'Raw - Payroll'!$E:$E,"&lt;="&amp;EOMONTH(U$84,0),'Raw - Payroll'!$P:$P,"termination")</f>
        <v>0</v>
      </c>
      <c r="V94" s="151">
        <f>-COUNTIFS('Raw - Payroll'!$O:$O,"No",'Raw - Payroll'!$E:$E,"&gt;="&amp;V$84,'Raw - Payroll'!$E:$E,"&lt;="&amp;EOMONTH(V$84,0),'Raw - Payroll'!$P:$P,"termination")</f>
        <v>0</v>
      </c>
      <c r="W94" s="151">
        <f>-COUNTIFS('Raw - Payroll'!$O:$O,"No",'Raw - Payroll'!$E:$E,"&gt;="&amp;W$84,'Raw - Payroll'!$E:$E,"&lt;="&amp;EOMONTH(W$84,0),'Raw - Payroll'!$P:$P,"termination")</f>
        <v>0</v>
      </c>
      <c r="X94" s="151">
        <f>-COUNTIFS('Raw - Payroll'!$O:$O,"No",'Raw - Payroll'!$E:$E,"&gt;="&amp;X$84,'Raw - Payroll'!$E:$E,"&lt;="&amp;EOMONTH(X$84,0),'Raw - Payroll'!$P:$P,"termination")</f>
        <v>0</v>
      </c>
      <c r="Y94" s="151">
        <f>-COUNTIFS('Raw - Payroll'!$O:$O,"No",'Raw - Payroll'!$E:$E,"&gt;="&amp;Y$84,'Raw - Payroll'!$E:$E,"&lt;="&amp;EOMONTH(Y$84,0),'Raw - Payroll'!$P:$P,"termination")</f>
        <v>0</v>
      </c>
      <c r="Z94" s="151">
        <f>-COUNTIFS('Raw - Payroll'!$O:$O,"No",'Raw - Payroll'!$E:$E,"&gt;="&amp;Z$84,'Raw - Payroll'!$E:$E,"&lt;="&amp;EOMONTH(Z$84,0),'Raw - Payroll'!$P:$P,"termination")</f>
        <v>0</v>
      </c>
      <c r="AA94" s="151">
        <f>-COUNTIFS('Raw - Payroll'!$O:$O,"No",'Raw - Payroll'!$E:$E,"&gt;="&amp;AA$84,'Raw - Payroll'!$E:$E,"&lt;="&amp;EOMONTH(AA$84,0),'Raw - Payroll'!$P:$P,"termination")</f>
        <v>0</v>
      </c>
      <c r="AB94" s="151">
        <f>-COUNTIFS('Raw - Payroll'!$O:$O,"No",'Raw - Payroll'!$E:$E,"&gt;="&amp;AB$84,'Raw - Payroll'!$E:$E,"&lt;="&amp;EOMONTH(AB$84,0),'Raw - Payroll'!$P:$P,"termination")</f>
        <v>-1</v>
      </c>
      <c r="AC94" s="151">
        <f>-COUNTIFS('Raw - Payroll'!$O:$O,"No",'Raw - Payroll'!$E:$E,"&gt;="&amp;AC$84,'Raw - Payroll'!$E:$E,"&lt;="&amp;EOMONTH(AC$84,0),'Raw - Payroll'!$P:$P,"termination")</f>
        <v>0</v>
      </c>
      <c r="AD94" s="151">
        <f>-COUNTIFS('Raw - Payroll'!$O:$O,"No",'Raw - Payroll'!$E:$E,"&gt;="&amp;AD$84,'Raw - Payroll'!$E:$E,"&lt;="&amp;EOMONTH(AD$84,0),'Raw - Payroll'!$P:$P,"termination")</f>
        <v>0</v>
      </c>
      <c r="AE94" s="151">
        <f>-COUNTIFS('Raw - Payroll'!$O:$O,"No",'Raw - Payroll'!$E:$E,"&gt;="&amp;AE$84,'Raw - Payroll'!$E:$E,"&lt;="&amp;EOMONTH(AE$84,0),'Raw - Payroll'!$P:$P,"termination")</f>
        <v>0</v>
      </c>
      <c r="AF94" s="151">
        <f>-COUNTIFS('Raw - Payroll'!$O:$O,"No",'Raw - Payroll'!$E:$E,"&gt;="&amp;AF$84,'Raw - Payroll'!$E:$E,"&lt;="&amp;EOMONTH(AF$84,0),'Raw - Payroll'!$P:$P,"termination")</f>
        <v>0</v>
      </c>
      <c r="AG94" s="151">
        <f>-COUNTIFS('Raw - Payroll'!$O:$O,"No",'Raw - Payroll'!$E:$E,"&gt;="&amp;AG$84,'Raw - Payroll'!$E:$E,"&lt;="&amp;EOMONTH(AG$84,0),'Raw - Payroll'!$P:$P,"termination")</f>
        <v>0</v>
      </c>
      <c r="AH94" s="151">
        <f>-COUNTIFS('Raw - Payroll'!$O:$O,"No",'Raw - Payroll'!$E:$E,"&gt;="&amp;AH$84,'Raw - Payroll'!$E:$E,"&lt;="&amp;EOMONTH(AH$84,0),'Raw - Payroll'!$P:$P,"termination")</f>
        <v>0</v>
      </c>
      <c r="AI94" s="151">
        <f>-COUNTIFS('Raw - Payroll'!$O:$O,"No",'Raw - Payroll'!$E:$E,"&gt;="&amp;AI$84,'Raw - Payroll'!$E:$E,"&lt;="&amp;EOMONTH(AI$84,0),'Raw - Payroll'!$P:$P,"termination")</f>
        <v>0</v>
      </c>
      <c r="AJ94" s="151">
        <f>-COUNTIFS('Raw - Payroll'!$O:$O,"No",'Raw - Payroll'!$E:$E,"&gt;="&amp;AJ$84,'Raw - Payroll'!$E:$E,"&lt;="&amp;EOMONTH(AJ$84,0),'Raw - Payroll'!$P:$P,"termination")</f>
        <v>0</v>
      </c>
      <c r="AK94" s="151">
        <f>-COUNTIFS('Raw - Payroll'!$O:$O,"No",'Raw - Payroll'!$E:$E,"&gt;="&amp;AK$84,'Raw - Payroll'!$E:$E,"&lt;="&amp;EOMONTH(AK$84,0),'Raw - Payroll'!$P:$P,"termination")</f>
        <v>0</v>
      </c>
      <c r="AL94" s="151">
        <f>-COUNTIFS('Raw - Payroll'!$O:$O,"No",'Raw - Payroll'!$E:$E,"&gt;="&amp;AL$84,'Raw - Payroll'!$E:$E,"&lt;="&amp;EOMONTH(AL$84,0),'Raw - Payroll'!$P:$P,"termination")</f>
        <v>0</v>
      </c>
      <c r="AN94" s="150">
        <f>SUM(C94:AL94)</f>
        <v>-1</v>
      </c>
      <c r="AO94" s="151">
        <f>-COUNTIFS('Raw - Payroll'!$O:$O,"No",'Raw - Payroll'!$E:$E,"&gt;="&amp;$C$84,'Raw - Payroll'!$E:$E,"&lt;="&amp;EOMONTH($AL$84,0),'Raw - Payroll'!$P:$P,"termination")</f>
        <v>-1</v>
      </c>
      <c r="AP94" s="130">
        <f>ROUND(AN94-AO94,6)</f>
        <v>0</v>
      </c>
    </row>
    <row r="95" ht="12" customHeight="1" x14ac:dyDescent="0.25" outlineLevel="1" collapsed="1"/>
    <row r="96" ht="12" customHeight="1" spans="2:2" x14ac:dyDescent="0.25" outlineLevel="1" collapsed="1">
      <c r="B96" s="216" t="s">
        <v>821</v>
      </c>
    </row>
    <row r="97" ht="12" customHeight="1" spans="2:42" x14ac:dyDescent="0.25" outlineLevel="1" collapsed="1">
      <c r="B97" s="16" t="s">
        <v>816</v>
      </c>
      <c r="C97" s="151">
        <f>COUNTIFS('Raw - Payroll'!$O:$O,"No",'Raw - Payroll'!$D:$D,"&gt;="&amp;C$84,'Raw - Payroll'!$D:$D,"&lt;="&amp;EOMONTH(C$84,0),'Raw - Payroll'!$C:$C,"Field service")</f>
        <v>0</v>
      </c>
      <c r="D97" s="151">
        <f>COUNTIFS('Raw - Payroll'!$O:$O,"No",'Raw - Payroll'!$D:$D,"&gt;="&amp;D$84,'Raw - Payroll'!$D:$D,"&lt;="&amp;EOMONTH(D$84,0),'Raw - Payroll'!$C:$C,"Field service")</f>
        <v>0</v>
      </c>
      <c r="E97" s="151">
        <f>COUNTIFS('Raw - Payroll'!$O:$O,"No",'Raw - Payroll'!$D:$D,"&gt;="&amp;E$84,'Raw - Payroll'!$D:$D,"&lt;="&amp;EOMONTH(E$84,0),'Raw - Payroll'!$C:$C,"Field service")</f>
        <v>0</v>
      </c>
      <c r="F97" s="151">
        <f>COUNTIFS('Raw - Payroll'!$O:$O,"No",'Raw - Payroll'!$D:$D,"&gt;="&amp;F$84,'Raw - Payroll'!$D:$D,"&lt;="&amp;EOMONTH(F$84,0),'Raw - Payroll'!$C:$C,"Field service")</f>
        <v>1</v>
      </c>
      <c r="G97" s="151">
        <f>COUNTIFS('Raw - Payroll'!$O:$O,"No",'Raw - Payroll'!$D:$D,"&gt;="&amp;G$84,'Raw - Payroll'!$D:$D,"&lt;="&amp;EOMONTH(G$84,0),'Raw - Payroll'!$C:$C,"Field service")</f>
        <v>0</v>
      </c>
      <c r="H97" s="151">
        <f>COUNTIFS('Raw - Payroll'!$O:$O,"No",'Raw - Payroll'!$D:$D,"&gt;="&amp;H$84,'Raw - Payroll'!$D:$D,"&lt;="&amp;EOMONTH(H$84,0),'Raw - Payroll'!$C:$C,"Field service")</f>
        <v>0</v>
      </c>
      <c r="I97" s="151">
        <f>COUNTIFS('Raw - Payroll'!$O:$O,"No",'Raw - Payroll'!$D:$D,"&gt;="&amp;I$84,'Raw - Payroll'!$D:$D,"&lt;="&amp;EOMONTH(I$84,0),'Raw - Payroll'!$C:$C,"Field service")</f>
        <v>0</v>
      </c>
      <c r="J97" s="151">
        <f>COUNTIFS('Raw - Payroll'!$O:$O,"No",'Raw - Payroll'!$D:$D,"&gt;="&amp;J$84,'Raw - Payroll'!$D:$D,"&lt;="&amp;EOMONTH(J$84,0),'Raw - Payroll'!$C:$C,"Field service")</f>
        <v>1</v>
      </c>
      <c r="K97" s="151">
        <f>COUNTIFS('Raw - Payroll'!$O:$O,"No",'Raw - Payroll'!$D:$D,"&gt;="&amp;K$84,'Raw - Payroll'!$D:$D,"&lt;="&amp;EOMONTH(K$84,0),'Raw - Payroll'!$C:$C,"Field service")</f>
        <v>0</v>
      </c>
      <c r="L97" s="151">
        <f>COUNTIFS('Raw - Payroll'!$O:$O,"No",'Raw - Payroll'!$D:$D,"&gt;="&amp;L$84,'Raw - Payroll'!$D:$D,"&lt;="&amp;EOMONTH(L$84,0),'Raw - Payroll'!$C:$C,"Field service")</f>
        <v>0</v>
      </c>
      <c r="M97" s="151">
        <f>COUNTIFS('Raw - Payroll'!$O:$O,"No",'Raw - Payroll'!$D:$D,"&gt;="&amp;M$84,'Raw - Payroll'!$D:$D,"&lt;="&amp;EOMONTH(M$84,0),'Raw - Payroll'!$C:$C,"Field service")</f>
        <v>0</v>
      </c>
      <c r="N97" s="151">
        <f>COUNTIFS('Raw - Payroll'!$O:$O,"No",'Raw - Payroll'!$D:$D,"&gt;="&amp;N$84,'Raw - Payroll'!$D:$D,"&lt;="&amp;EOMONTH(N$84,0),'Raw - Payroll'!$C:$C,"Field service")</f>
        <v>0</v>
      </c>
      <c r="O97" s="151">
        <f>COUNTIFS('Raw - Payroll'!$O:$O,"No",'Raw - Payroll'!$D:$D,"&gt;="&amp;O$84,'Raw - Payroll'!$D:$D,"&lt;="&amp;EOMONTH(O$84,0),'Raw - Payroll'!$C:$C,"Field service")</f>
        <v>0</v>
      </c>
      <c r="P97" s="151">
        <f>COUNTIFS('Raw - Payroll'!$O:$O,"No",'Raw - Payroll'!$D:$D,"&gt;="&amp;P$84,'Raw - Payroll'!$D:$D,"&lt;="&amp;EOMONTH(P$84,0),'Raw - Payroll'!$C:$C,"Field service")</f>
        <v>0</v>
      </c>
      <c r="Q97" s="151">
        <f>COUNTIFS('Raw - Payroll'!$O:$O,"No",'Raw - Payroll'!$D:$D,"&gt;="&amp;Q$84,'Raw - Payroll'!$D:$D,"&lt;="&amp;EOMONTH(Q$84,0),'Raw - Payroll'!$C:$C,"Field service")</f>
        <v>1</v>
      </c>
      <c r="R97" s="151">
        <f>COUNTIFS('Raw - Payroll'!$O:$O,"No",'Raw - Payroll'!$D:$D,"&gt;="&amp;R$84,'Raw - Payroll'!$D:$D,"&lt;="&amp;EOMONTH(R$84,0),'Raw - Payroll'!$C:$C,"Field service")</f>
        <v>0</v>
      </c>
      <c r="S97" s="151">
        <f>COUNTIFS('Raw - Payroll'!$O:$O,"No",'Raw - Payroll'!$D:$D,"&gt;="&amp;S$84,'Raw - Payroll'!$D:$D,"&lt;="&amp;EOMONTH(S$84,0),'Raw - Payroll'!$C:$C,"Field service")</f>
        <v>0</v>
      </c>
      <c r="T97" s="151">
        <f>COUNTIFS('Raw - Payroll'!$O:$O,"No",'Raw - Payroll'!$D:$D,"&gt;="&amp;T$84,'Raw - Payroll'!$D:$D,"&lt;="&amp;EOMONTH(T$84,0),'Raw - Payroll'!$C:$C,"Field service")</f>
        <v>0</v>
      </c>
      <c r="U97" s="151">
        <f>COUNTIFS('Raw - Payroll'!$O:$O,"No",'Raw - Payroll'!$D:$D,"&gt;="&amp;U$84,'Raw - Payroll'!$D:$D,"&lt;="&amp;EOMONTH(U$84,0),'Raw - Payroll'!$C:$C,"Field service")</f>
        <v>1</v>
      </c>
      <c r="V97" s="151">
        <f>COUNTIFS('Raw - Payroll'!$O:$O,"No",'Raw - Payroll'!$D:$D,"&gt;="&amp;V$84,'Raw - Payroll'!$D:$D,"&lt;="&amp;EOMONTH(V$84,0),'Raw - Payroll'!$C:$C,"Field service")</f>
        <v>0</v>
      </c>
      <c r="W97" s="151">
        <f>COUNTIFS('Raw - Payroll'!$O:$O,"No",'Raw - Payroll'!$D:$D,"&gt;="&amp;W$84,'Raw - Payroll'!$D:$D,"&lt;="&amp;EOMONTH(W$84,0),'Raw - Payroll'!$C:$C,"Field service")</f>
        <v>0</v>
      </c>
      <c r="X97" s="151">
        <f>COUNTIFS('Raw - Payroll'!$O:$O,"No",'Raw - Payroll'!$D:$D,"&gt;="&amp;X$84,'Raw - Payroll'!$D:$D,"&lt;="&amp;EOMONTH(X$84,0),'Raw - Payroll'!$C:$C,"Field service")</f>
        <v>0</v>
      </c>
      <c r="Y97" s="151">
        <f>COUNTIFS('Raw - Payroll'!$O:$O,"No",'Raw - Payroll'!$D:$D,"&gt;="&amp;Y$84,'Raw - Payroll'!$D:$D,"&lt;="&amp;EOMONTH(Y$84,0),'Raw - Payroll'!$C:$C,"Field service")</f>
        <v>0</v>
      </c>
      <c r="Z97" s="151">
        <f>COUNTIFS('Raw - Payroll'!$O:$O,"No",'Raw - Payroll'!$D:$D,"&gt;="&amp;Z$84,'Raw - Payroll'!$D:$D,"&lt;="&amp;EOMONTH(Z$84,0),'Raw - Payroll'!$C:$C,"Field service")</f>
        <v>0</v>
      </c>
      <c r="AA97" s="151">
        <f>COUNTIFS('Raw - Payroll'!$O:$O,"No",'Raw - Payroll'!$D:$D,"&gt;="&amp;AA$84,'Raw - Payroll'!$D:$D,"&lt;="&amp;EOMONTH(AA$84,0),'Raw - Payroll'!$C:$C,"Field service")</f>
        <v>1</v>
      </c>
      <c r="AB97" s="151">
        <f>COUNTIFS('Raw - Payroll'!$O:$O,"No",'Raw - Payroll'!$D:$D,"&gt;="&amp;AB$84,'Raw - Payroll'!$D:$D,"&lt;="&amp;EOMONTH(AB$84,0),'Raw - Payroll'!$C:$C,"Field service")</f>
        <v>0</v>
      </c>
      <c r="AC97" s="151">
        <f>COUNTIFS('Raw - Payroll'!$O:$O,"No",'Raw - Payroll'!$D:$D,"&gt;="&amp;AC$84,'Raw - Payroll'!$D:$D,"&lt;="&amp;EOMONTH(AC$84,0),'Raw - Payroll'!$C:$C,"Field service")</f>
        <v>0</v>
      </c>
      <c r="AD97" s="151">
        <f>COUNTIFS('Raw - Payroll'!$O:$O,"No",'Raw - Payroll'!$D:$D,"&gt;="&amp;AD$84,'Raw - Payroll'!$D:$D,"&lt;="&amp;EOMONTH(AD$84,0),'Raw - Payroll'!$C:$C,"Field service")</f>
        <v>0</v>
      </c>
      <c r="AE97" s="151">
        <f>COUNTIFS('Raw - Payroll'!$O:$O,"No",'Raw - Payroll'!$D:$D,"&gt;="&amp;AE$84,'Raw - Payroll'!$D:$D,"&lt;="&amp;EOMONTH(AE$84,0),'Raw - Payroll'!$C:$C,"Field service")</f>
        <v>0</v>
      </c>
      <c r="AF97" s="151">
        <f>COUNTIFS('Raw - Payroll'!$O:$O,"No",'Raw - Payroll'!$D:$D,"&gt;="&amp;AF$84,'Raw - Payroll'!$D:$D,"&lt;="&amp;EOMONTH(AF$84,0),'Raw - Payroll'!$C:$C,"Field service")</f>
        <v>1</v>
      </c>
      <c r="AG97" s="151">
        <f>COUNTIFS('Raw - Payroll'!$O:$O,"No",'Raw - Payroll'!$D:$D,"&gt;="&amp;AG$84,'Raw - Payroll'!$D:$D,"&lt;="&amp;EOMONTH(AG$84,0),'Raw - Payroll'!$C:$C,"Field service")</f>
        <v>0</v>
      </c>
      <c r="AH97" s="151">
        <f>COUNTIFS('Raw - Payroll'!$O:$O,"No",'Raw - Payroll'!$D:$D,"&gt;="&amp;AH$84,'Raw - Payroll'!$D:$D,"&lt;="&amp;EOMONTH(AH$84,0),'Raw - Payroll'!$C:$C,"Field service")</f>
        <v>0</v>
      </c>
      <c r="AI97" s="151">
        <f>COUNTIFS('Raw - Payroll'!$O:$O,"No",'Raw - Payroll'!$D:$D,"&gt;="&amp;AI$84,'Raw - Payroll'!$D:$D,"&lt;="&amp;EOMONTH(AI$84,0),'Raw - Payroll'!$C:$C,"Field service")</f>
        <v>0</v>
      </c>
      <c r="AJ97" s="151">
        <f>COUNTIFS('Raw - Payroll'!$O:$O,"No",'Raw - Payroll'!$D:$D,"&gt;="&amp;AJ$84,'Raw - Payroll'!$D:$D,"&lt;="&amp;EOMONTH(AJ$84,0),'Raw - Payroll'!$C:$C,"Field service")</f>
        <v>0</v>
      </c>
      <c r="AK97" s="151">
        <f>COUNTIFS('Raw - Payroll'!$O:$O,"No",'Raw - Payroll'!$D:$D,"&gt;="&amp;AK$84,'Raw - Payroll'!$D:$D,"&lt;="&amp;EOMONTH(AK$84,0),'Raw - Payroll'!$C:$C,"Field service")</f>
        <v>0</v>
      </c>
      <c r="AL97" s="151">
        <f>COUNTIFS('Raw - Payroll'!$O:$O,"No",'Raw - Payroll'!$D:$D,"&gt;="&amp;AL$84,'Raw - Payroll'!$D:$D,"&lt;="&amp;EOMONTH(AL$84,0),'Raw - Payroll'!$C:$C,"Field service")</f>
        <v>0</v>
      </c>
      <c r="AN97" s="150">
        <f>SUM(C97:AL97)</f>
        <v>6</v>
      </c>
      <c r="AO97" s="151">
        <f>COUNTIFS('Raw - Payroll'!$O:$O,"No",'Raw - Payroll'!$D:$D,"&gt;="&amp;$C$84,'Raw - Payroll'!$D:$D,"&lt;="&amp;EOMONTH($AL$84,0),'Raw - Payroll'!$C:$C,"Field service")</f>
        <v>6</v>
      </c>
      <c r="AP97" s="130">
        <f>ROUND(AN97-AO97,6)</f>
        <v>0</v>
      </c>
    </row>
    <row r="98" ht="12" customHeight="1" spans="2:42" x14ac:dyDescent="0.25" outlineLevel="1" collapsed="1">
      <c r="B98" s="16" t="s">
        <v>817</v>
      </c>
      <c r="C98" s="151">
        <f>-COUNTIFS('Raw - Payroll'!$O:$O,"No",'Raw - Payroll'!$E:$E,"&gt;="&amp;C$84,'Raw - Payroll'!$E:$E,"&lt;="&amp;EOMONTH(C$84,0),'Raw - Payroll'!$C:$C,"Field service")</f>
        <v>0</v>
      </c>
      <c r="D98" s="151">
        <f>-COUNTIFS('Raw - Payroll'!$O:$O,"No",'Raw - Payroll'!$E:$E,"&gt;="&amp;D$84,'Raw - Payroll'!$E:$E,"&lt;="&amp;EOMONTH(D$84,0),'Raw - Payroll'!$C:$C,"Field service")</f>
        <v>0</v>
      </c>
      <c r="E98" s="151">
        <f>-COUNTIFS('Raw - Payroll'!$O:$O,"No",'Raw - Payroll'!$E:$E,"&gt;="&amp;E$84,'Raw - Payroll'!$E:$E,"&lt;="&amp;EOMONTH(E$84,0),'Raw - Payroll'!$C:$C,"Field service")</f>
        <v>0</v>
      </c>
      <c r="F98" s="151">
        <f>-COUNTIFS('Raw - Payroll'!$O:$O,"No",'Raw - Payroll'!$E:$E,"&gt;="&amp;F$84,'Raw - Payroll'!$E:$E,"&lt;="&amp;EOMONTH(F$84,0),'Raw - Payroll'!$C:$C,"Field service")</f>
        <v>0</v>
      </c>
      <c r="G98" s="151">
        <f>-COUNTIFS('Raw - Payroll'!$O:$O,"No",'Raw - Payroll'!$E:$E,"&gt;="&amp;G$84,'Raw - Payroll'!$E:$E,"&lt;="&amp;EOMONTH(G$84,0),'Raw - Payroll'!$C:$C,"Field service")</f>
        <v>0</v>
      </c>
      <c r="H98" s="151">
        <f>-COUNTIFS('Raw - Payroll'!$O:$O,"No",'Raw - Payroll'!$E:$E,"&gt;="&amp;H$84,'Raw - Payroll'!$E:$E,"&lt;="&amp;EOMONTH(H$84,0),'Raw - Payroll'!$C:$C,"Field service")</f>
        <v>0</v>
      </c>
      <c r="I98" s="151">
        <f>-COUNTIFS('Raw - Payroll'!$O:$O,"No",'Raw - Payroll'!$E:$E,"&gt;="&amp;I$84,'Raw - Payroll'!$E:$E,"&lt;="&amp;EOMONTH(I$84,0),'Raw - Payroll'!$C:$C,"Field service")</f>
        <v>0</v>
      </c>
      <c r="J98" s="151">
        <f>-COUNTIFS('Raw - Payroll'!$O:$O,"No",'Raw - Payroll'!$E:$E,"&gt;="&amp;J$84,'Raw - Payroll'!$E:$E,"&lt;="&amp;EOMONTH(J$84,0),'Raw - Payroll'!$C:$C,"Field service")</f>
        <v>0</v>
      </c>
      <c r="K98" s="151">
        <f>-COUNTIFS('Raw - Payroll'!$O:$O,"No",'Raw - Payroll'!$E:$E,"&gt;="&amp;K$84,'Raw - Payroll'!$E:$E,"&lt;="&amp;EOMONTH(K$84,0),'Raw - Payroll'!$C:$C,"Field service")</f>
        <v>-1</v>
      </c>
      <c r="L98" s="151">
        <f>-COUNTIFS('Raw - Payroll'!$O:$O,"No",'Raw - Payroll'!$E:$E,"&gt;="&amp;L$84,'Raw - Payroll'!$E:$E,"&lt;="&amp;EOMONTH(L$84,0),'Raw - Payroll'!$C:$C,"Field service")</f>
        <v>0</v>
      </c>
      <c r="M98" s="151">
        <f>-COUNTIFS('Raw - Payroll'!$O:$O,"No",'Raw - Payroll'!$E:$E,"&gt;="&amp;M$84,'Raw - Payroll'!$E:$E,"&lt;="&amp;EOMONTH(M$84,0),'Raw - Payroll'!$C:$C,"Field service")</f>
        <v>0</v>
      </c>
      <c r="N98" s="151">
        <f>-COUNTIFS('Raw - Payroll'!$O:$O,"No",'Raw - Payroll'!$E:$E,"&gt;="&amp;N$84,'Raw - Payroll'!$E:$E,"&lt;="&amp;EOMONTH(N$84,0),'Raw - Payroll'!$C:$C,"Field service")</f>
        <v>0</v>
      </c>
      <c r="O98" s="151">
        <f>-COUNTIFS('Raw - Payroll'!$O:$O,"No",'Raw - Payroll'!$E:$E,"&gt;="&amp;O$84,'Raw - Payroll'!$E:$E,"&lt;="&amp;EOMONTH(O$84,0),'Raw - Payroll'!$C:$C,"Field service")</f>
        <v>0</v>
      </c>
      <c r="P98" s="151">
        <f>-COUNTIFS('Raw - Payroll'!$O:$O,"No",'Raw - Payroll'!$E:$E,"&gt;="&amp;P$84,'Raw - Payroll'!$E:$E,"&lt;="&amp;EOMONTH(P$84,0),'Raw - Payroll'!$C:$C,"Field service")</f>
        <v>0</v>
      </c>
      <c r="Q98" s="151">
        <f>-COUNTIFS('Raw - Payroll'!$O:$O,"No",'Raw - Payroll'!$E:$E,"&gt;="&amp;Q$84,'Raw - Payroll'!$E:$E,"&lt;="&amp;EOMONTH(Q$84,0),'Raw - Payroll'!$C:$C,"Field service")</f>
        <v>-1</v>
      </c>
      <c r="R98" s="151">
        <f>-COUNTIFS('Raw - Payroll'!$O:$O,"No",'Raw - Payroll'!$E:$E,"&gt;="&amp;R$84,'Raw - Payroll'!$E:$E,"&lt;="&amp;EOMONTH(R$84,0),'Raw - Payroll'!$C:$C,"Field service")</f>
        <v>0</v>
      </c>
      <c r="S98" s="151">
        <f>-COUNTIFS('Raw - Payroll'!$O:$O,"No",'Raw - Payroll'!$E:$E,"&gt;="&amp;S$84,'Raw - Payroll'!$E:$E,"&lt;="&amp;EOMONTH(S$84,0),'Raw - Payroll'!$C:$C,"Field service")</f>
        <v>0</v>
      </c>
      <c r="T98" s="151">
        <f>-COUNTIFS('Raw - Payroll'!$O:$O,"No",'Raw - Payroll'!$E:$E,"&gt;="&amp;T$84,'Raw - Payroll'!$E:$E,"&lt;="&amp;EOMONTH(T$84,0),'Raw - Payroll'!$C:$C,"Field service")</f>
        <v>0</v>
      </c>
      <c r="U98" s="151">
        <f>-COUNTIFS('Raw - Payroll'!$O:$O,"No",'Raw - Payroll'!$E:$E,"&gt;="&amp;U$84,'Raw - Payroll'!$E:$E,"&lt;="&amp;EOMONTH(U$84,0),'Raw - Payroll'!$C:$C,"Field service")</f>
        <v>0</v>
      </c>
      <c r="V98" s="151">
        <f>-COUNTIFS('Raw - Payroll'!$O:$O,"No",'Raw - Payroll'!$E:$E,"&gt;="&amp;V$84,'Raw - Payroll'!$E:$E,"&lt;="&amp;EOMONTH(V$84,0),'Raw - Payroll'!$C:$C,"Field service")</f>
        <v>0</v>
      </c>
      <c r="W98" s="151">
        <f>-COUNTIFS('Raw - Payroll'!$O:$O,"No",'Raw - Payroll'!$E:$E,"&gt;="&amp;W$84,'Raw - Payroll'!$E:$E,"&lt;="&amp;EOMONTH(W$84,0),'Raw - Payroll'!$C:$C,"Field service")</f>
        <v>0</v>
      </c>
      <c r="X98" s="151">
        <f>-COUNTIFS('Raw - Payroll'!$O:$O,"No",'Raw - Payroll'!$E:$E,"&gt;="&amp;X$84,'Raw - Payroll'!$E:$E,"&lt;="&amp;EOMONTH(X$84,0),'Raw - Payroll'!$C:$C,"Field service")</f>
        <v>0</v>
      </c>
      <c r="Y98" s="151">
        <f>-COUNTIFS('Raw - Payroll'!$O:$O,"No",'Raw - Payroll'!$E:$E,"&gt;="&amp;Y$84,'Raw - Payroll'!$E:$E,"&lt;="&amp;EOMONTH(Y$84,0),'Raw - Payroll'!$C:$C,"Field service")</f>
        <v>0</v>
      </c>
      <c r="Z98" s="151">
        <f>-COUNTIFS('Raw - Payroll'!$O:$O,"No",'Raw - Payroll'!$E:$E,"&gt;="&amp;Z$84,'Raw - Payroll'!$E:$E,"&lt;="&amp;EOMONTH(Z$84,0),'Raw - Payroll'!$C:$C,"Field service")</f>
        <v>0</v>
      </c>
      <c r="AA98" s="151">
        <f>-COUNTIFS('Raw - Payroll'!$O:$O,"No",'Raw - Payroll'!$E:$E,"&gt;="&amp;AA$84,'Raw - Payroll'!$E:$E,"&lt;="&amp;EOMONTH(AA$84,0),'Raw - Payroll'!$C:$C,"Field service")</f>
        <v>0</v>
      </c>
      <c r="AB98" s="151">
        <f>-COUNTIFS('Raw - Payroll'!$O:$O,"No",'Raw - Payroll'!$E:$E,"&gt;="&amp;AB$84,'Raw - Payroll'!$E:$E,"&lt;="&amp;EOMONTH(AB$84,0),'Raw - Payroll'!$C:$C,"Field service")</f>
        <v>-1</v>
      </c>
      <c r="AC98" s="151">
        <f>-COUNTIFS('Raw - Payroll'!$O:$O,"No",'Raw - Payroll'!$E:$E,"&gt;="&amp;AC$84,'Raw - Payroll'!$E:$E,"&lt;="&amp;EOMONTH(AC$84,0),'Raw - Payroll'!$C:$C,"Field service")</f>
        <v>0</v>
      </c>
      <c r="AD98" s="151">
        <f>-COUNTIFS('Raw - Payroll'!$O:$O,"No",'Raw - Payroll'!$E:$E,"&gt;="&amp;AD$84,'Raw - Payroll'!$E:$E,"&lt;="&amp;EOMONTH(AD$84,0),'Raw - Payroll'!$C:$C,"Field service")</f>
        <v>0</v>
      </c>
      <c r="AE98" s="151">
        <f>-COUNTIFS('Raw - Payroll'!$O:$O,"No",'Raw - Payroll'!$E:$E,"&gt;="&amp;AE$84,'Raw - Payroll'!$E:$E,"&lt;="&amp;EOMONTH(AE$84,0),'Raw - Payroll'!$C:$C,"Field service")</f>
        <v>0</v>
      </c>
      <c r="AF98" s="151">
        <f>-COUNTIFS('Raw - Payroll'!$O:$O,"No",'Raw - Payroll'!$E:$E,"&gt;="&amp;AF$84,'Raw - Payroll'!$E:$E,"&lt;="&amp;EOMONTH(AF$84,0),'Raw - Payroll'!$C:$C,"Field service")</f>
        <v>0</v>
      </c>
      <c r="AG98" s="151">
        <f>-COUNTIFS('Raw - Payroll'!$O:$O,"No",'Raw - Payroll'!$E:$E,"&gt;="&amp;AG$84,'Raw - Payroll'!$E:$E,"&lt;="&amp;EOMONTH(AG$84,0),'Raw - Payroll'!$C:$C,"Field service")</f>
        <v>-1</v>
      </c>
      <c r="AH98" s="151">
        <f>-COUNTIFS('Raw - Payroll'!$O:$O,"No",'Raw - Payroll'!$E:$E,"&gt;="&amp;AH$84,'Raw - Payroll'!$E:$E,"&lt;="&amp;EOMONTH(AH$84,0),'Raw - Payroll'!$C:$C,"Field service")</f>
        <v>0</v>
      </c>
      <c r="AI98" s="151">
        <f>-COUNTIFS('Raw - Payroll'!$O:$O,"No",'Raw - Payroll'!$E:$E,"&gt;="&amp;AI$84,'Raw - Payroll'!$E:$E,"&lt;="&amp;EOMONTH(AI$84,0),'Raw - Payroll'!$C:$C,"Field service")</f>
        <v>0</v>
      </c>
      <c r="AJ98" s="151">
        <f>-COUNTIFS('Raw - Payroll'!$O:$O,"No",'Raw - Payroll'!$E:$E,"&gt;="&amp;AJ$84,'Raw - Payroll'!$E:$E,"&lt;="&amp;EOMONTH(AJ$84,0),'Raw - Payroll'!$C:$C,"Field service")</f>
        <v>0</v>
      </c>
      <c r="AK98" s="151">
        <f>-COUNTIFS('Raw - Payroll'!$O:$O,"No",'Raw - Payroll'!$E:$E,"&gt;="&amp;AK$84,'Raw - Payroll'!$E:$E,"&lt;="&amp;EOMONTH(AK$84,0),'Raw - Payroll'!$C:$C,"Field service")</f>
        <v>0</v>
      </c>
      <c r="AL98" s="151">
        <f>-COUNTIFS('Raw - Payroll'!$O:$O,"No",'Raw - Payroll'!$E:$E,"&gt;="&amp;AL$84,'Raw - Payroll'!$E:$E,"&lt;="&amp;EOMONTH(AL$84,0),'Raw - Payroll'!$C:$C,"Field service")</f>
        <v>0</v>
      </c>
      <c r="AN98" s="150">
        <f>SUM(C98:AL98)</f>
        <v>-4</v>
      </c>
      <c r="AO98" s="151">
        <f>-COUNTIFS('Raw - Payroll'!$O:$O,"No",'Raw - Payroll'!$E:$E,"&gt;="&amp;$C$84,'Raw - Payroll'!$E:$E,"&lt;="&amp;EOMONTH($AL$84,0),'Raw - Payroll'!$C:$C,"Field service")</f>
        <v>-4</v>
      </c>
      <c r="AP98" s="130">
        <f>ROUND(AN98-AO98,6)</f>
        <v>0</v>
      </c>
    </row>
    <row r="99" ht="12" customHeight="1" x14ac:dyDescent="0.25" outlineLevel="1" collapsed="1"/>
    <row r="100" ht="12" customHeight="1" spans="2:2" x14ac:dyDescent="0.25" outlineLevel="1" collapsed="1">
      <c r="B100" s="18" t="s">
        <v>822</v>
      </c>
    </row>
    <row r="101" ht="12" customHeight="1" spans="2:7" x14ac:dyDescent="0.25" outlineLevel="1" collapsed="1">
      <c r="B101" s="131" t="s">
        <v>426</v>
      </c>
      <c r="C101" s="232" t="s">
        <v>757</v>
      </c>
      <c r="D101" s="232" t="s">
        <v>758</v>
      </c>
      <c r="E101" s="232" t="s">
        <v>759</v>
      </c>
      <c r="F101" s="232" t="s">
        <v>760</v>
      </c>
      <c r="G101" s="232" t="s">
        <v>761</v>
      </c>
    </row>
    <row r="102" ht="12" customHeight="1" spans="2:42" x14ac:dyDescent="0.25" outlineLevel="1" collapsed="1">
      <c r="B102" s="16" t="s">
        <v>817</v>
      </c>
      <c r="C102" s="151">
        <f>'Headcount'!$C$30</f>
        <v>0</v>
      </c>
      <c r="D102" s="151">
        <f>'Headcount'!$C$31</f>
        <v>0</v>
      </c>
      <c r="E102" s="151">
        <f>'Headcount'!$C$32</f>
        <v>0</v>
      </c>
      <c r="F102" s="151">
        <f>'Headcount'!$C$33</f>
        <v>1</v>
      </c>
      <c r="G102" s="151">
        <f>'Headcount'!$C$34</f>
        <v>4</v>
      </c>
      <c r="AN102" s="150">
        <f>SUM(C102:G102)</f>
        <v>5</v>
      </c>
      <c r="AO102" s="151">
        <f>'Headcount'!$C$35</f>
        <v>5</v>
      </c>
      <c r="AP102" s="130">
        <f>ROUND(AN102-AO102,6)</f>
        <v>0</v>
      </c>
    </row>
  </sheetData>
  <conditionalFormatting sqref="AP87:AP102">
    <cfRule type="expression" dxfId="34" priority="1">
      <formula>ROUND(AP87,3)&lt;&gt;0</formula>
    </cfRule>
  </conditionalFormatting>
  <printOptions horizontalCentered="1"/>
  <pageMargins left="0.5" right="0.5" top="0.6" bottom="0.7" header="0.3" footer="0.3"/>
  <pageSetup paperSize="1" orientation="landscape" fitToWidth="1" fitToHeight="0"/>
  <headerFooter>
    <oddHeader>&amp;RProject Ridgeline | As of 12/31/25</oddHeader>
    <oddFooter>&amp;LAMB Advisory Services | Strictly confidential&amp;C&amp;A&amp;RPage &amp;P of &amp;N</oddFooter>
  </headerFooter>
  <rowBreaks count="1" manualBreakCount="1">
    <brk id="42" max="16383" man="1"/>
  </rowBreaks>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E39"/>
  <sheetViews>
    <sheetView workbookViewId="0" showGridLines="0" zoomScale="100"/>
  </sheetViews>
  <sheetFormatPr defaultRowHeight="12.75" outlineLevelRow="0" outlineLevelCol="0" x14ac:dyDescent="55" customHeight="1"/>
  <cols>
    <col min="1" max="1" width="1.7" customWidth="1"/>
    <col min="2" max="2" width="35" customWidth="1"/>
    <col min="3" max="5" width="9.1" customWidth="1"/>
  </cols>
  <sheetData>
    <row r="2" ht="16.5" customHeight="1" spans="2:2" x14ac:dyDescent="0.25">
      <c r="B2" s="9">
        <f>Cover!B24</f>
      </c>
    </row>
    <row r="3" spans="2:5" x14ac:dyDescent="0.25">
      <c r="B3" s="10" t="s">
        <v>823</v>
      </c>
      <c r="C3" s="11"/>
      <c r="D3" s="34" t="s">
        <v>80</v>
      </c>
      <c r="E3" s="35">
        <f>'Contents'!$I$18</f>
      </c>
    </row>
    <row r="5" spans="2:5" x14ac:dyDescent="0.25">
      <c r="B5" s="36"/>
      <c r="C5" s="36" t="s">
        <v>824</v>
      </c>
      <c r="D5" s="36"/>
      <c r="E5" s="36"/>
    </row>
    <row r="6" spans="2:5" x14ac:dyDescent="0.25">
      <c r="B6" s="13" t="s">
        <v>825</v>
      </c>
      <c r="C6" s="138">
        <f>EOMONTH('Databook'!I$48,0)</f>
        <v>45291</v>
      </c>
      <c r="D6" s="138">
        <f>EOMONTH('Databook'!J$48,0)</f>
        <v>45657</v>
      </c>
      <c r="E6" s="138">
        <f>EOMONTH('Databook'!K$48,0)</f>
        <v>46022</v>
      </c>
    </row>
    <row r="8" spans="2:5" x14ac:dyDescent="0.25">
      <c r="B8" s="38" t="s">
        <v>826</v>
      </c>
      <c r="C8" s="39">
        <f>SUMIFS('Databook'!$I$49:$I$68,'Databook'!$D$49:$D$68,"cash")/1000</f>
        <v>298.7</v>
      </c>
      <c r="D8" s="39">
        <f>SUMIFS('Databook'!$J$49:$J$68,'Databook'!$D$49:$D$68,"cash")/1000</f>
        <v>232.3</v>
      </c>
      <c r="E8" s="39">
        <f>SUMIFS('Databook'!$K$49:$K$68,'Databook'!$D$49:$D$68,"cash")/1000</f>
        <v>238.615</v>
      </c>
    </row>
    <row r="9" spans="2:5" x14ac:dyDescent="0.25">
      <c r="B9" s="52" t="s">
        <v>827</v>
      </c>
      <c r="C9" s="53">
        <f>SUMIFS('Databook'!$I$49:$I$68,'Databook'!$D$49:$D$68,"accounts_receivable")/1000</f>
        <v>198.4</v>
      </c>
      <c r="D9" s="53">
        <f>SUMIFS('Databook'!$J$49:$J$68,'Databook'!$D$49:$D$68,"accounts_receivable")/1000</f>
        <v>221.8</v>
      </c>
      <c r="E9" s="53">
        <f>SUMIFS('Databook'!$K$49:$K$68,'Databook'!$D$49:$D$68,"accounts_receivable")/1000</f>
        <v>248.6</v>
      </c>
    </row>
    <row r="10" spans="2:5" x14ac:dyDescent="0.25">
      <c r="B10" s="52" t="s">
        <v>828</v>
      </c>
      <c r="C10" s="53">
        <f>SUMIFS('Databook'!$I$49:$I$68,'Databook'!$D$49:$D$68,"inventory")/1000</f>
        <v>79.5</v>
      </c>
      <c r="D10" s="53">
        <f>SUMIFS('Databook'!$J$49:$J$68,'Databook'!$D$49:$D$68,"inventory")/1000</f>
        <v>88.1</v>
      </c>
      <c r="E10" s="53">
        <f>SUMIFS('Databook'!$K$49:$K$68,'Databook'!$D$49:$D$68,"inventory")/1000</f>
        <v>96.3</v>
      </c>
    </row>
    <row r="11" spans="2:5" x14ac:dyDescent="0.25">
      <c r="B11" s="52" t="s">
        <v>829</v>
      </c>
      <c r="C11" s="53">
        <f>SUMIFS('Databook'!$I$49:$I$68,'Databook'!$D$49:$D$68,"other_current_assets")/1000</f>
        <v>11.8</v>
      </c>
      <c r="D11" s="53">
        <f>SUMIFS('Databook'!$J$49:$J$68,'Databook'!$D$49:$D$68,"other_current_assets")/1000</f>
        <v>12.9</v>
      </c>
      <c r="E11" s="53">
        <f>SUMIFS('Databook'!$K$49:$K$68,'Databook'!$D$49:$D$68,"other_current_assets")/1000</f>
        <v>14.2</v>
      </c>
    </row>
    <row r="12" spans="2:5" x14ac:dyDescent="0.25">
      <c r="B12" s="116" t="s">
        <v>830</v>
      </c>
      <c r="C12" s="116">
        <f>SUM(C8:C11)</f>
        <v>588.4</v>
      </c>
      <c r="D12" s="116">
        <f>SUM(D8:D11)</f>
        <v>555.1</v>
      </c>
      <c r="E12" s="116">
        <f>SUM(E8:E11)</f>
        <v>597.715</v>
      </c>
    </row>
    <row r="13" spans="2:5" x14ac:dyDescent="0.25">
      <c r="B13" s="52" t="s">
        <v>831</v>
      </c>
      <c r="C13" s="53">
        <f>SUMIFS('Databook'!$I$49:$I$68,'Databook'!$D$49:$D$68,"fixed_assets_net")/1000</f>
        <v>362.56</v>
      </c>
      <c r="D13" s="53">
        <f>SUMIFS('Databook'!$J$49:$J$68,'Databook'!$D$49:$D$68,"fixed_assets_net")/1000</f>
        <v>352.9</v>
      </c>
      <c r="E13" s="53">
        <f>SUMIFS('Databook'!$K$49:$K$68,'Databook'!$D$49:$D$68,"fixed_assets_net")/1000</f>
        <v>357.5</v>
      </c>
    </row>
    <row r="14" spans="2:5" x14ac:dyDescent="0.25">
      <c r="B14" s="52" t="s">
        <v>832</v>
      </c>
      <c r="C14" s="53">
        <f>SUMIFS('Databook'!$I$49:$I$68,'Databook'!$D$49:$D$68,"other_assets")/1000</f>
        <v>12</v>
      </c>
      <c r="D14" s="53">
        <f>SUMIFS('Databook'!$J$49:$J$68,'Databook'!$D$49:$D$68,"other_assets")/1000</f>
        <v>12</v>
      </c>
      <c r="E14" s="53">
        <f>SUMIFS('Databook'!$K$49:$K$68,'Databook'!$D$49:$D$68,"other_assets")/1000</f>
        <v>12</v>
      </c>
    </row>
    <row r="15" spans="2:5" x14ac:dyDescent="0.25">
      <c r="B15" s="197" t="s">
        <v>833</v>
      </c>
      <c r="C15" s="170">
        <f>C12+C13+C14</f>
        <v>962.96</v>
      </c>
      <c r="D15" s="200">
        <f>D12+D13+D14</f>
        <v>920</v>
      </c>
      <c r="E15" s="212">
        <f>E12+E13+E14</f>
        <v>967.215</v>
      </c>
    </row>
    <row r="16" spans="2:5" x14ac:dyDescent="0.25">
      <c r="B16" s="38" t="s">
        <v>834</v>
      </c>
      <c r="C16" s="39">
        <f>SUMIFS('Databook'!$I$49:$I$68,'Databook'!$D$49:$D$68,"accounts_payable")/1000</f>
        <v>96.2</v>
      </c>
      <c r="D16" s="39">
        <f>SUMIFS('Databook'!$J$49:$J$68,'Databook'!$D$49:$D$68,"accounts_payable")/1000</f>
        <v>104.7</v>
      </c>
      <c r="E16" s="39">
        <f>SUMIFS('Databook'!$K$49:$K$68,'Databook'!$D$49:$D$68,"accounts_payable")/1000</f>
        <v>118.4</v>
      </c>
    </row>
    <row r="17" spans="2:5" x14ac:dyDescent="0.25">
      <c r="B17" s="52" t="s">
        <v>835</v>
      </c>
      <c r="C17" s="53">
        <f>SUMIFS('Databook'!$I$49:$I$68,'Databook'!$D$49:$D$68,"other_current_liabilities")/1000</f>
        <v>51.5</v>
      </c>
      <c r="D17" s="53">
        <f>SUMIFS('Databook'!$J$49:$J$68,'Databook'!$D$49:$D$68,"other_current_liabilities")/1000</f>
        <v>59.8</v>
      </c>
      <c r="E17" s="53">
        <f>SUMIFS('Databook'!$K$49:$K$68,'Databook'!$D$49:$D$68,"other_current_liabilities")/1000</f>
        <v>67.5</v>
      </c>
    </row>
    <row r="18" spans="2:5" x14ac:dyDescent="0.25">
      <c r="B18" s="116" t="s">
        <v>836</v>
      </c>
      <c r="C18" s="116">
        <f>C16+C17</f>
        <v>147.7</v>
      </c>
      <c r="D18" s="116">
        <f>D16+D17</f>
        <v>164.5</v>
      </c>
      <c r="E18" s="116">
        <f>E16+E17</f>
        <v>185.9</v>
      </c>
    </row>
    <row r="19" spans="2:5" x14ac:dyDescent="0.25">
      <c r="B19" s="52" t="s">
        <v>837</v>
      </c>
      <c r="C19" s="53">
        <f>SUMIFS('Databook'!$I$49:$I$68,'Databook'!$D$49:$D$68,"debt")/1000</f>
        <v>365.4</v>
      </c>
      <c r="D19" s="53">
        <f>SUMIFS('Databook'!$J$49:$J$68,'Databook'!$D$49:$D$68,"debt")/1000</f>
        <v>326.4</v>
      </c>
      <c r="E19" s="53">
        <f>SUMIFS('Databook'!$K$49:$K$68,'Databook'!$D$49:$D$68,"debt")/1000</f>
        <v>279.4</v>
      </c>
    </row>
    <row r="20" spans="2:5" x14ac:dyDescent="0.25">
      <c r="B20" s="116" t="s">
        <v>838</v>
      </c>
      <c r="C20" s="116">
        <f>C18+C19</f>
        <v>513.1</v>
      </c>
      <c r="D20" s="116">
        <f>D18+D19</f>
        <v>490.9</v>
      </c>
      <c r="E20" s="116">
        <f>E18+E19</f>
        <v>465.3</v>
      </c>
    </row>
    <row r="21" spans="2:5" x14ac:dyDescent="0.25">
      <c r="B21" s="52" t="s">
        <v>839</v>
      </c>
      <c r="C21" s="53">
        <f>SUMIFS('Databook'!$I$49:$I$68,'Databook'!$D$49:$D$68,"equity")/1000</f>
        <v>449.86</v>
      </c>
      <c r="D21" s="53">
        <f>SUMIFS('Databook'!$J$49:$J$68,'Databook'!$D$49:$D$68,"equity")/1000</f>
        <v>429.1</v>
      </c>
      <c r="E21" s="53">
        <f>SUMIFS('Databook'!$K$49:$K$68,'Databook'!$D$49:$D$68,"equity")/1000</f>
        <v>501.915</v>
      </c>
    </row>
    <row r="22" spans="2:5" x14ac:dyDescent="0.25">
      <c r="B22" s="197" t="s">
        <v>840</v>
      </c>
      <c r="C22" s="170">
        <f>C20+C21</f>
        <v>962.96</v>
      </c>
      <c r="D22" s="200">
        <f>D20+D21</f>
        <v>920</v>
      </c>
      <c r="E22" s="212">
        <f>E20+E21</f>
        <v>967.215</v>
      </c>
    </row>
    <row r="23" spans="2:5" x14ac:dyDescent="0.25">
      <c r="B23" s="130" t="s">
        <v>841</v>
      </c>
      <c r="C23" s="130">
        <f>ROUND(C15-C22,6)</f>
        <v>0</v>
      </c>
      <c r="D23" s="130">
        <f>ROUND(D15-D22,6)</f>
        <v>0</v>
      </c>
      <c r="E23" s="130">
        <f>ROUND(E15-E22,6)</f>
        <v>0</v>
      </c>
    </row>
    <row r="25" spans="2:5" x14ac:dyDescent="0.25">
      <c r="B25" s="37" t="s">
        <v>842</v>
      </c>
      <c r="C25" s="37"/>
      <c r="D25" s="37"/>
      <c r="E25" s="37"/>
    </row>
    <row r="26" spans="2:5" x14ac:dyDescent="0.25">
      <c r="B26" s="52" t="s">
        <v>843</v>
      </c>
      <c r="C26" s="233" t="s">
        <v>136</v>
      </c>
      <c r="D26" s="233" t="s">
        <v>136</v>
      </c>
      <c r="E26" s="233" t="s">
        <v>136</v>
      </c>
    </row>
    <row r="27" spans="2:5" x14ac:dyDescent="0.25">
      <c r="B27" s="52" t="s">
        <v>844</v>
      </c>
      <c r="C27" s="53">
        <f>(SUMIFS('Databook'!$I$49:$I$68,'Databook'!$B$49:$B$68,"Current Assets : Other Current Assets : Prepaid Expenses"))/1000</f>
        <v>11.8</v>
      </c>
      <c r="D27" s="53">
        <f>(SUMIFS('Databook'!$J$49:$J$68,'Databook'!$B$49:$B$68,"Current Assets : Other Current Assets : Prepaid Expenses"))/1000</f>
        <v>12.9</v>
      </c>
      <c r="E27" s="53">
        <f>(SUMIFS('Databook'!$K$49:$K$68,'Databook'!$B$49:$B$68,"Current Assets : Other Current Assets : Prepaid Expenses"))/1000</f>
        <v>14.2</v>
      </c>
    </row>
    <row r="28" spans="2:5" x14ac:dyDescent="0.25">
      <c r="B28" s="52" t="s">
        <v>845</v>
      </c>
      <c r="C28" s="53">
        <f>(SUMIFS('Databook'!$I$49:$I$68,'Databook'!$B$49:$B$68,"Current Liabilities : Other Current Liabilities : Accrued Payroll")+SUMIFS('Databook'!$I$49:$I$68,'Databook'!$B$49:$B$68,"Current Liabilities : Other Current Liabilities : Sales Tax Payable"))/1000</f>
        <v>35</v>
      </c>
      <c r="D28" s="53">
        <f>(SUMIFS('Databook'!$J$49:$J$68,'Databook'!$B$49:$B$68,"Current Liabilities : Other Current Liabilities : Accrued Payroll")+SUMIFS('Databook'!$J$49:$J$68,'Databook'!$B$49:$B$68,"Current Liabilities : Other Current Liabilities : Sales Tax Payable"))/1000</f>
        <v>40</v>
      </c>
      <c r="E28" s="53">
        <f>(SUMIFS('Databook'!$K$49:$K$68,'Databook'!$B$49:$B$68,"Current Liabilities : Other Current Liabilities : Accrued Payroll")+SUMIFS('Databook'!$K$49:$K$68,'Databook'!$B$49:$B$68,"Current Liabilities : Other Current Liabilities : Sales Tax Payable"))/1000</f>
        <v>45.1</v>
      </c>
    </row>
    <row r="29" spans="2:5" x14ac:dyDescent="0.25">
      <c r="B29" s="52" t="s">
        <v>846</v>
      </c>
      <c r="C29" s="233" t="s">
        <v>136</v>
      </c>
      <c r="D29" s="233" t="s">
        <v>136</v>
      </c>
      <c r="E29" s="233" t="s">
        <v>136</v>
      </c>
    </row>
    <row r="30" spans="2:5" x14ac:dyDescent="0.25">
      <c r="B30" s="52" t="s">
        <v>847</v>
      </c>
      <c r="C30" s="53">
        <f>(SUMIFS('Databook'!$I$49:$I$68,'Databook'!$B$49:$B$68,"Current Liabilities : Other Current Liabilities : Customer Deposits"))/1000</f>
        <v>16.5</v>
      </c>
      <c r="D30" s="53">
        <f>(SUMIFS('Databook'!$J$49:$J$68,'Databook'!$B$49:$B$68,"Current Liabilities : Other Current Liabilities : Customer Deposits"))/1000</f>
        <v>19.8</v>
      </c>
      <c r="E30" s="53">
        <f>(SUMIFS('Databook'!$K$49:$K$68,'Databook'!$B$49:$B$68,"Current Liabilities : Other Current Liabilities : Customer Deposits"))/1000</f>
        <v>22.4</v>
      </c>
    </row>
    <row r="31" spans="2:5" x14ac:dyDescent="0.25">
      <c r="B31" s="52" t="s">
        <v>848</v>
      </c>
      <c r="C31" s="53">
        <f>(SUMIFS('Databook'!$I$49:$I$68,'Databook'!$B$49:$B$68,"Current Liabilities : Credit Cards : Business Credit Card"))/1000</f>
        <v>10.8</v>
      </c>
      <c r="D31" s="53">
        <f>(SUMIFS('Databook'!$J$49:$J$68,'Databook'!$B$49:$B$68,"Current Liabilities : Credit Cards : Business Credit Card"))/1000</f>
        <v>12.1</v>
      </c>
      <c r="E31" s="53">
        <f>(SUMIFS('Databook'!$K$49:$K$68,'Databook'!$B$49:$B$68,"Current Liabilities : Credit Cards : Business Credit Card"))/1000</f>
        <v>14.6</v>
      </c>
    </row>
    <row r="32" spans="2:5" x14ac:dyDescent="0.25">
      <c r="B32" s="52" t="s">
        <v>849</v>
      </c>
      <c r="C32" s="233" t="s">
        <v>136</v>
      </c>
      <c r="D32" s="233" t="s">
        <v>136</v>
      </c>
      <c r="E32" s="233" t="s">
        <v>136</v>
      </c>
    </row>
    <row r="33" spans="2:5" x14ac:dyDescent="0.25">
      <c r="B33" s="66" t="s">
        <v>850</v>
      </c>
      <c r="C33" s="233" t="s">
        <v>136</v>
      </c>
      <c r="D33" s="233" t="s">
        <v>136</v>
      </c>
      <c r="E33" s="233" t="s">
        <v>136</v>
      </c>
    </row>
    <row r="34" spans="2:5" x14ac:dyDescent="0.25">
      <c r="B34" s="52" t="s">
        <v>851</v>
      </c>
      <c r="C34" s="233" t="s">
        <v>136</v>
      </c>
      <c r="D34" s="233" t="s">
        <v>136</v>
      </c>
      <c r="E34" s="233" t="s">
        <v>136</v>
      </c>
    </row>
    <row r="35" spans="2:5" x14ac:dyDescent="0.25">
      <c r="B35" s="66" t="s">
        <v>852</v>
      </c>
      <c r="C35" s="233" t="s">
        <v>136</v>
      </c>
      <c r="D35" s="233" t="s">
        <v>136</v>
      </c>
      <c r="E35" s="233" t="s">
        <v>136</v>
      </c>
    </row>
    <row r="36" spans="2:5" x14ac:dyDescent="0.25">
      <c r="B36" s="193" t="s">
        <v>853</v>
      </c>
      <c r="C36" s="234" t="s">
        <v>136</v>
      </c>
      <c r="D36" s="234" t="s">
        <v>136</v>
      </c>
      <c r="E36" s="234" t="s">
        <v>136</v>
      </c>
    </row>
    <row r="37" spans="2:5" x14ac:dyDescent="0.25">
      <c r="B37" s="193" t="s">
        <v>854</v>
      </c>
      <c r="C37" s="234" t="s">
        <v>136</v>
      </c>
      <c r="D37" s="234" t="s">
        <v>136</v>
      </c>
      <c r="E37" s="234" t="s">
        <v>136</v>
      </c>
    </row>
    <row r="39" ht="48" customHeight="1" spans="2:5" x14ac:dyDescent="0.25">
      <c r="B39" s="60" t="s">
        <v>855</v>
      </c>
      <c r="C39" s="60"/>
      <c r="D39" s="60"/>
      <c r="E39" s="60"/>
    </row>
  </sheetData>
  <mergeCells count="1">
    <mergeCell ref="B39:E39"/>
  </mergeCells>
  <conditionalFormatting sqref="C23:E23">
    <cfRule type="expression" dxfId="35" priority="1">
      <formula>ROUND(C23,3)&lt;&gt;0</formula>
    </cfRule>
  </conditionalFormatting>
  <conditionalFormatting sqref="B2 E3 C8:E11 C13:E14 C16:E17 C19:E19 C21:E21 B23:E23 C27:E28 C30:E31">
    <cfRule type="expression" dxfId="36" priority="2">
      <formula>$E$3=1</formula>
    </cfRule>
  </conditionalFormatting>
  <printOptions horizontalCentered="1"/>
  <pageMargins left="0.5" right="0.5" top="0.6" bottom="0.7" header="0.3" footer="0.3"/>
  <pageSetup paperSize="1" orientation="portrait" fitToWidth="1" fitToHeight="0"/>
  <headerFooter>
    <oddHeader>&amp;RProject Ridgeline | As of 12/31/25</oddHeader>
    <oddFooter>&amp;LAMB Advisory Services | Strictly confidential&amp;C&amp;A&amp;RPage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K34"/>
  <sheetViews>
    <sheetView workbookViewId="0" showGridLines="0" zoomScale="100"/>
  </sheetViews>
  <sheetFormatPr defaultRowHeight="12.75" outlineLevelRow="0" outlineLevelCol="0" x14ac:dyDescent="55" customHeight="1"/>
  <cols>
    <col min="1" max="1" width="1.7" customWidth="1"/>
    <col min="2" max="2" width="31" customWidth="1"/>
    <col min="3" max="5" width="9.1" customWidth="1"/>
    <col min="6" max="6" width="0.9" customWidth="1"/>
    <col min="7" max="7" width="14" customWidth="1"/>
    <col min="8" max="8" width="11" customWidth="1"/>
    <col min="9" max="9" width="13" customWidth="1"/>
    <col min="10" max="10" width="0.9" customWidth="1"/>
    <col min="11" max="11" width="20" customWidth="1"/>
  </cols>
  <sheetData>
    <row r="2" ht="16.5" customHeight="1" spans="2:2" x14ac:dyDescent="0.25">
      <c r="B2" s="9">
        <f>Cover!B24</f>
      </c>
    </row>
    <row r="3" spans="2:11" x14ac:dyDescent="0.25">
      <c r="B3" s="10" t="s">
        <v>856</v>
      </c>
      <c r="C3" s="11"/>
      <c r="D3" s="11"/>
      <c r="E3" s="11"/>
      <c r="F3" s="11"/>
      <c r="G3" s="11"/>
      <c r="H3" s="11"/>
      <c r="I3" s="11"/>
      <c r="J3" s="34" t="s">
        <v>80</v>
      </c>
      <c r="K3" s="35">
        <f>'Contents'!$I$18</f>
      </c>
    </row>
    <row r="5" spans="2:11" x14ac:dyDescent="0.25">
      <c r="B5" s="36"/>
      <c r="C5" s="36" t="s">
        <v>824</v>
      </c>
      <c r="D5" s="36"/>
      <c r="E5" s="36"/>
      <c r="G5" s="36" t="s">
        <v>857</v>
      </c>
      <c r="H5" s="36"/>
      <c r="I5" s="36"/>
      <c r="K5" s="36" t="s">
        <v>858</v>
      </c>
    </row>
    <row r="6" spans="2:11" x14ac:dyDescent="0.25">
      <c r="B6" s="13" t="s">
        <v>859</v>
      </c>
      <c r="C6" s="138">
        <f>'Balance Sheet'!C6</f>
        <v>45291</v>
      </c>
      <c r="D6" s="138">
        <f>'Balance Sheet'!D6</f>
        <v>45657</v>
      </c>
      <c r="E6" s="138">
        <f>'Balance Sheet'!E6</f>
        <v>46022</v>
      </c>
      <c r="G6" s="12" t="s">
        <v>860</v>
      </c>
      <c r="H6" s="12" t="s">
        <v>861</v>
      </c>
      <c r="I6" s="12" t="s">
        <v>862</v>
      </c>
      <c r="K6" s="12" t="s">
        <v>863</v>
      </c>
    </row>
    <row r="8" spans="2:11" x14ac:dyDescent="0.25">
      <c r="B8" s="38" t="s">
        <v>827</v>
      </c>
      <c r="C8" s="39">
        <f>'Balance Sheet'!C9</f>
        <v>198.4</v>
      </c>
      <c r="D8" s="39">
        <f>'Balance Sheet'!D9</f>
        <v>221.8</v>
      </c>
      <c r="E8" s="39">
        <f>'Balance Sheet'!E9</f>
        <v>248.6</v>
      </c>
      <c r="G8" s="235" t="s">
        <v>136</v>
      </c>
      <c r="H8" s="236">
        <f>E8</f>
        <v>248.6</v>
      </c>
      <c r="I8" s="235" t="s">
        <v>136</v>
      </c>
      <c r="K8" s="17" t="s">
        <v>864</v>
      </c>
    </row>
    <row r="9" spans="2:11" x14ac:dyDescent="0.25">
      <c r="B9" s="52" t="s">
        <v>865</v>
      </c>
      <c r="C9" s="210" t="s">
        <v>136</v>
      </c>
      <c r="D9" s="210" t="s">
        <v>136</v>
      </c>
      <c r="E9" s="210" t="s">
        <v>136</v>
      </c>
      <c r="G9" s="210" t="s">
        <v>136</v>
      </c>
      <c r="H9" s="210" t="s">
        <v>136</v>
      </c>
      <c r="I9" s="210" t="s">
        <v>136</v>
      </c>
      <c r="K9" s="17" t="s">
        <v>864</v>
      </c>
    </row>
    <row r="10" spans="2:11" x14ac:dyDescent="0.25">
      <c r="B10" s="52" t="s">
        <v>828</v>
      </c>
      <c r="C10" s="53">
        <f>'Balance Sheet'!C10</f>
        <v>79.5</v>
      </c>
      <c r="D10" s="53">
        <f>'Balance Sheet'!D10</f>
        <v>88.1</v>
      </c>
      <c r="E10" s="53">
        <f>'Balance Sheet'!E10</f>
        <v>96.3</v>
      </c>
      <c r="G10" s="210" t="s">
        <v>136</v>
      </c>
      <c r="H10" s="205">
        <f>E10</f>
        <v>96.3</v>
      </c>
      <c r="I10" s="210" t="s">
        <v>136</v>
      </c>
      <c r="K10" s="17" t="s">
        <v>858</v>
      </c>
    </row>
    <row r="11" spans="2:11" x14ac:dyDescent="0.25">
      <c r="B11" s="52" t="s">
        <v>829</v>
      </c>
      <c r="C11" s="53">
        <f>'Balance Sheet'!C11-IF(ISNUMBER('Balance Sheet'!C26),'Balance Sheet'!C26,0)</f>
        <v>11.8</v>
      </c>
      <c r="D11" s="53">
        <f>'Balance Sheet'!D11-IF(ISNUMBER('Balance Sheet'!D26),'Balance Sheet'!D26,0)</f>
        <v>12.9</v>
      </c>
      <c r="E11" s="53">
        <f>'Balance Sheet'!E11-IF(ISNUMBER('Balance Sheet'!E26),'Balance Sheet'!E26,0)</f>
        <v>14.2</v>
      </c>
      <c r="G11" s="210" t="s">
        <v>136</v>
      </c>
      <c r="H11" s="205">
        <f>E11</f>
        <v>14.2</v>
      </c>
      <c r="I11" s="210" t="s">
        <v>136</v>
      </c>
      <c r="K11" s="17" t="s">
        <v>864</v>
      </c>
    </row>
    <row r="12" spans="2:9" x14ac:dyDescent="0.25">
      <c r="B12" s="116" t="s">
        <v>866</v>
      </c>
      <c r="C12" s="116">
        <f>SUM(C8:C11)</f>
        <v>289.7</v>
      </c>
      <c r="D12" s="116">
        <f>SUM(D8:D11)</f>
        <v>322.8</v>
      </c>
      <c r="E12" s="116">
        <f>SUM(E8:E11)</f>
        <v>359.1</v>
      </c>
      <c r="G12" s="237" t="s">
        <v>136</v>
      </c>
      <c r="H12" s="238">
        <f>E12</f>
        <v>359.1</v>
      </c>
      <c r="I12" s="237" t="s">
        <v>136</v>
      </c>
    </row>
    <row r="13" spans="2:11" x14ac:dyDescent="0.25">
      <c r="B13" s="38" t="s">
        <v>834</v>
      </c>
      <c r="C13" s="39">
        <f>'Balance Sheet'!C16</f>
        <v>96.2</v>
      </c>
      <c r="D13" s="39">
        <f>'Balance Sheet'!D16</f>
        <v>104.7</v>
      </c>
      <c r="E13" s="39">
        <f>'Balance Sheet'!E16</f>
        <v>118.4</v>
      </c>
      <c r="G13" s="235" t="s">
        <v>136</v>
      </c>
      <c r="H13" s="236">
        <f>E13</f>
        <v>118.4</v>
      </c>
      <c r="I13" s="235" t="s">
        <v>136</v>
      </c>
      <c r="K13" s="17" t="s">
        <v>864</v>
      </c>
    </row>
    <row r="14" spans="2:11" x14ac:dyDescent="0.25">
      <c r="B14" s="52" t="s">
        <v>867</v>
      </c>
      <c r="C14" s="53">
        <f>'Balance Sheet'!C17-IF(ISNUMBER('Balance Sheet'!C29),'Balance Sheet'!C29,0)-IF(ISNUMBER('Balance Sheet'!C30),'Balance Sheet'!C30,0)</f>
        <v>35</v>
      </c>
      <c r="D14" s="53">
        <f>'Balance Sheet'!D17-IF(ISNUMBER('Balance Sheet'!D29),'Balance Sheet'!D29,0)-IF(ISNUMBER('Balance Sheet'!D30),'Balance Sheet'!D30,0)</f>
        <v>40</v>
      </c>
      <c r="E14" s="53">
        <f>'Balance Sheet'!E17-IF(ISNUMBER('Balance Sheet'!E29),'Balance Sheet'!E29,0)-IF(ISNUMBER('Balance Sheet'!E30),'Balance Sheet'!E30,0)</f>
        <v>45.1</v>
      </c>
      <c r="G14" s="210" t="s">
        <v>136</v>
      </c>
      <c r="H14" s="205">
        <f>E14</f>
        <v>45.1</v>
      </c>
      <c r="I14" s="210" t="s">
        <v>136</v>
      </c>
      <c r="K14" s="17" t="s">
        <v>864</v>
      </c>
    </row>
    <row r="15" spans="2:11" x14ac:dyDescent="0.25">
      <c r="B15" s="52" t="s">
        <v>868</v>
      </c>
      <c r="C15" s="210" t="s">
        <v>136</v>
      </c>
      <c r="D15" s="210" t="s">
        <v>136</v>
      </c>
      <c r="E15" s="210" t="s">
        <v>136</v>
      </c>
      <c r="G15" s="210" t="s">
        <v>136</v>
      </c>
      <c r="H15" s="210" t="s">
        <v>136</v>
      </c>
      <c r="I15" s="210" t="s">
        <v>136</v>
      </c>
      <c r="K15" s="17" t="s">
        <v>869</v>
      </c>
    </row>
    <row r="16" spans="2:11" x14ac:dyDescent="0.25">
      <c r="B16" s="52" t="s">
        <v>870</v>
      </c>
      <c r="C16" s="53">
        <f>'Balance Sheet'!C30</f>
        <v>16.5</v>
      </c>
      <c r="D16" s="53">
        <f>'Balance Sheet'!D30</f>
        <v>19.8</v>
      </c>
      <c r="E16" s="53">
        <f>'Balance Sheet'!E30</f>
        <v>22.4</v>
      </c>
      <c r="G16" s="210" t="s">
        <v>136</v>
      </c>
      <c r="H16" s="205">
        <f>E16</f>
        <v>22.4</v>
      </c>
      <c r="I16" s="210" t="s">
        <v>136</v>
      </c>
      <c r="K16" s="17" t="s">
        <v>858</v>
      </c>
    </row>
    <row r="17" spans="2:9" x14ac:dyDescent="0.25">
      <c r="B17" s="116" t="s">
        <v>871</v>
      </c>
      <c r="C17" s="116">
        <f>SUM(C13:C16)</f>
        <v>147.7</v>
      </c>
      <c r="D17" s="116">
        <f>SUM(D13:D16)</f>
        <v>164.5</v>
      </c>
      <c r="E17" s="116">
        <f>SUM(E13:E16)</f>
        <v>185.9</v>
      </c>
      <c r="G17" s="237" t="s">
        <v>136</v>
      </c>
      <c r="H17" s="238">
        <f>E17</f>
        <v>185.9</v>
      </c>
      <c r="I17" s="237" t="s">
        <v>136</v>
      </c>
    </row>
    <row r="18" spans="2:9" x14ac:dyDescent="0.25">
      <c r="B18" s="197" t="s">
        <v>872</v>
      </c>
      <c r="C18" s="170">
        <f>C12-C17</f>
        <v>142</v>
      </c>
      <c r="D18" s="200">
        <f>D12-D17</f>
        <v>158.3</v>
      </c>
      <c r="E18" s="212">
        <f>E12-E17</f>
        <v>173.2</v>
      </c>
      <c r="G18" s="211" t="s">
        <v>136</v>
      </c>
      <c r="H18" s="174">
        <f>E18</f>
        <v>173.2</v>
      </c>
      <c r="I18" s="239" t="s">
        <v>136</v>
      </c>
    </row>
    <row r="19" spans="2:9" x14ac:dyDescent="0.25">
      <c r="B19" s="52" t="s">
        <v>873</v>
      </c>
      <c r="C19" s="53">
        <f>IF(ISNUMBER('Balance Sheet'!C34),'Balance Sheet'!C34,0)+IF(ISNUMBER('Balance Sheet'!C35),'Balance Sheet'!C35,0)+IF(ISNUMBER('Balance Sheet'!C33),'Balance Sheet'!C33,0)+IF(ISNUMBER('Balance Sheet'!C36),'Balance Sheet'!C36,0)-IF(ISNUMBER('Balance Sheet'!C37),'Balance Sheet'!C37,0)+IF('Assumptions'!$C$69="Debt-like",IF(ISNUMBER(C15),C15,0)+IF(ISNUMBER(C16),C16,0),0)</f>
        <v>0</v>
      </c>
      <c r="D19" s="53">
        <f>IF(ISNUMBER('Balance Sheet'!D34),'Balance Sheet'!D34,0)+IF(ISNUMBER('Balance Sheet'!D35),'Balance Sheet'!D35,0)+IF(ISNUMBER('Balance Sheet'!D33),'Balance Sheet'!D33,0)+IF(ISNUMBER('Balance Sheet'!D36),'Balance Sheet'!D36,0)-IF(ISNUMBER('Balance Sheet'!D37),'Balance Sheet'!D37,0)+IF('Assumptions'!$C$69="Debt-like",IF(ISNUMBER(D15),D15,0)+IF(ISNUMBER(D16),D16,0),0)</f>
        <v>0</v>
      </c>
      <c r="E19" s="53">
        <f>IF(ISNUMBER('Balance Sheet'!E34),'Balance Sheet'!E34,0)+IF(ISNUMBER('Balance Sheet'!E35),'Balance Sheet'!E35,0)+IF(ISNUMBER('Balance Sheet'!E33),'Balance Sheet'!E33,0)+IF(ISNUMBER('Balance Sheet'!E36),'Balance Sheet'!E36,0)-IF(ISNUMBER('Balance Sheet'!E37),'Balance Sheet'!E37,0)+IF('Assumptions'!$C$69="Debt-like",IF(ISNUMBER(E15),E15,0)+IF(ISNUMBER(E16),E16,0),0)</f>
        <v>0</v>
      </c>
      <c r="G19" s="210" t="s">
        <v>136</v>
      </c>
      <c r="H19" s="205">
        <f>E19</f>
        <v>0</v>
      </c>
      <c r="I19" s="210" t="s">
        <v>136</v>
      </c>
    </row>
    <row r="20" spans="2:9" x14ac:dyDescent="0.25">
      <c r="B20" s="197" t="s">
        <v>874</v>
      </c>
      <c r="C20" s="170">
        <f>C18+C19</f>
        <v>142</v>
      </c>
      <c r="D20" s="200">
        <f>D18+D19</f>
        <v>158.3</v>
      </c>
      <c r="E20" s="212">
        <f>E18+E19</f>
        <v>173.2</v>
      </c>
      <c r="G20" s="211" t="s">
        <v>136</v>
      </c>
      <c r="H20" s="174">
        <f>E20</f>
        <v>173.2</v>
      </c>
      <c r="I20" s="239" t="s">
        <v>136</v>
      </c>
    </row>
    <row r="21" spans="2:5" x14ac:dyDescent="0.25">
      <c r="B21" s="40" t="s">
        <v>875</v>
      </c>
      <c r="C21" s="129">
        <f>IFERROR(C20/C27,"n.a.")</f>
        <v>0.05899950141266412</v>
      </c>
      <c r="D21" s="129">
        <f>IFERROR(D20/D27,"n.a.")</f>
        <v>0.058228499963216364</v>
      </c>
      <c r="E21" s="129">
        <f>IFERROR(E20/E27,"n.a.")</f>
        <v>0.05695869508024204</v>
      </c>
    </row>
    <row r="22" spans="2:5" x14ac:dyDescent="0.25">
      <c r="B22" s="40" t="s">
        <v>876</v>
      </c>
      <c r="C22" s="129" t="str">
        <f>IF(ISNUMBER(C15),IFERROR(C15/C27,"n.a."),"n.a.")</f>
        <v>n.a.</v>
      </c>
      <c r="D22" s="129" t="str">
        <f>IF(ISNUMBER(D15),IFERROR(D15/D27,"n.a."),"n.a.")</f>
        <v>n.a.</v>
      </c>
      <c r="E22" s="129" t="str">
        <f>IF(ISNUMBER(E15),IFERROR(E15/E27,"n.a."),"n.a.")</f>
        <v>n.a.</v>
      </c>
    </row>
    <row r="23" spans="2:5" x14ac:dyDescent="0.25">
      <c r="B23" s="40" t="s">
        <v>877</v>
      </c>
      <c r="C23" s="240">
        <f>IFERROR(C8/C27*365,"n.a.")</f>
        <v>30.08808376267243</v>
      </c>
      <c r="D23" s="240">
        <f>IFERROR(D8/D27*365,"n.a.")</f>
        <v>29.77893033178842</v>
      </c>
      <c r="E23" s="240">
        <f>IFERROR(E8/E27*365,"n.a.")</f>
        <v>29.840502499342282</v>
      </c>
    </row>
    <row r="24" spans="2:5" x14ac:dyDescent="0.25">
      <c r="B24" s="40" t="s">
        <v>878</v>
      </c>
      <c r="C24" s="240">
        <f>IFERROR(C10/C28*365,"n.a.")</f>
        <v>30.90913932680017</v>
      </c>
      <c r="D24" s="240">
        <f>IFERROR(D10/D28*365,"n.a.")</f>
        <v>30.68661131787384</v>
      </c>
      <c r="E24" s="240">
        <f>IFERROR(E10/E28*365,"n.a.")</f>
        <v>30.3300543618949</v>
      </c>
    </row>
    <row r="25" spans="2:5" x14ac:dyDescent="0.25">
      <c r="B25" s="40" t="s">
        <v>879</v>
      </c>
      <c r="C25" s="240">
        <f>IFERROR(C13/C28*365,"n.a.")</f>
        <v>37.40200255645505</v>
      </c>
      <c r="D25" s="240">
        <f>IFERROR(D13/D28*365,"n.a.")</f>
        <v>36.468651588892065</v>
      </c>
      <c r="E25" s="240">
        <f>IFERROR(E13/E28*365,"n.a.")</f>
        <v>37.29053412718958</v>
      </c>
    </row>
    <row r="27" spans="2:5" x14ac:dyDescent="0.25">
      <c r="B27" s="131" t="s">
        <v>880</v>
      </c>
      <c r="C27" s="204">
        <f>SUMIFS('Monthly P&amp;L'!$Q$14:$AZ$14,'Monthly P&amp;L'!$Q$6:$AZ$6,"&gt;="&amp;(EOMONTH(C$6,-12)+1),'Monthly P&amp;L'!$Q$6:$AZ$6,"&lt;="&amp;C$6)</f>
        <v>2406.8</v>
      </c>
      <c r="D27" s="204">
        <f>SUMIFS('Monthly P&amp;L'!$Q$14:$AZ$14,'Monthly P&amp;L'!$Q$6:$AZ$6,"&gt;="&amp;(EOMONTH(D$6,-12)+1),'Monthly P&amp;L'!$Q$6:$AZ$6,"&lt;="&amp;D$6)</f>
        <v>2718.6</v>
      </c>
      <c r="E27" s="204">
        <f>SUMIFS('Monthly P&amp;L'!$Q$14:$AZ$14,'Monthly P&amp;L'!$Q$6:$AZ$6,"&gt;="&amp;(EOMONTH(E$6,-12)+1),'Monthly P&amp;L'!$Q$6:$AZ$6,"&lt;="&amp;E$6)</f>
        <v>3040.8</v>
      </c>
    </row>
    <row r="28" spans="2:5" x14ac:dyDescent="0.25">
      <c r="B28" s="131" t="s">
        <v>881</v>
      </c>
      <c r="C28" s="204">
        <f>SUMIFS('Monthly P&amp;L'!$Q$16:$AZ$16,'Monthly P&amp;L'!$Q$6:$AZ$6,"&gt;="&amp;(EOMONTH(C$6,-12)+1),'Monthly P&amp;L'!$Q$6:$AZ$6,"&lt;="&amp;C$6)</f>
        <v>938.8</v>
      </c>
      <c r="D28" s="204">
        <f>SUMIFS('Monthly P&amp;L'!$Q$16:$AZ$16,'Monthly P&amp;L'!$Q$6:$AZ$6,"&gt;="&amp;(EOMONTH(D$6,-12)+1),'Monthly P&amp;L'!$Q$6:$AZ$6,"&lt;="&amp;D$6)</f>
        <v>1047.9</v>
      </c>
      <c r="E28" s="204">
        <f>SUMIFS('Monthly P&amp;L'!$Q$16:$AZ$16,'Monthly P&amp;L'!$Q$6:$AZ$6,"&gt;="&amp;(EOMONTH(E$6,-12)+1),'Monthly P&amp;L'!$Q$6:$AZ$6,"&lt;="&amp;E$6)</f>
        <v>1158.9</v>
      </c>
    </row>
    <row r="29" spans="2:5" x14ac:dyDescent="0.25">
      <c r="B29" s="241" t="s">
        <v>882</v>
      </c>
      <c r="C29" s="242">
        <f>ROUND(ABS(C12-('Balance Sheet'!C12-'Balance Sheet'!C8))+ABS(C17-'Balance Sheet'!C18),6)</f>
        <v>0</v>
      </c>
      <c r="D29" s="242">
        <f>ROUND(ABS(D12-('Balance Sheet'!D12-'Balance Sheet'!D8))+ABS(D17-'Balance Sheet'!D18),6)</f>
        <v>0</v>
      </c>
      <c r="E29" s="242">
        <f>ROUND(ABS(E12-('Balance Sheet'!E12-'Balance Sheet'!E8))+ABS(E17-'Balance Sheet'!E18),6)</f>
        <v>0</v>
      </c>
    </row>
    <row r="31" spans="2:8" x14ac:dyDescent="0.25">
      <c r="B31" s="243" t="s">
        <v>883</v>
      </c>
      <c r="H31" s="244">
        <f>H10-IF(ISNUMBER(H16),H16,0)</f>
        <v>73.9</v>
      </c>
    </row>
    <row r="32" spans="2:8" x14ac:dyDescent="0.25">
      <c r="B32" s="193" t="s">
        <v>884</v>
      </c>
      <c r="H32" s="58">
        <f>H8+IF(ISNUMBER(H9),H9,0)+H11-H13-H14</f>
        <v>99.3</v>
      </c>
    </row>
    <row r="34" ht="36.5" customHeight="1" spans="2:11" x14ac:dyDescent="0.25">
      <c r="B34" s="60" t="s">
        <v>885</v>
      </c>
      <c r="C34" s="60"/>
      <c r="D34" s="60"/>
      <c r="E34" s="60"/>
      <c r="F34" s="60"/>
      <c r="G34" s="60"/>
      <c r="H34" s="60"/>
      <c r="I34" s="60"/>
      <c r="J34" s="60"/>
      <c r="K34" s="60"/>
    </row>
  </sheetData>
  <mergeCells count="1">
    <mergeCell ref="B34:K34"/>
  </mergeCells>
  <conditionalFormatting sqref="C29:E29">
    <cfRule type="expression" dxfId="37" priority="1">
      <formula>ROUND(C29,3)&lt;&gt;0</formula>
    </cfRule>
  </conditionalFormatting>
  <conditionalFormatting sqref="B2 K3 C8:E8 H8 C10:E11 C13:E14 H10:H14 C16:E16 C19:E19 H16:H20 B27:E29">
    <cfRule type="expression" dxfId="38" priority="2">
      <formula>$K$3=1</formula>
    </cfRule>
  </conditionalFormatting>
  <printOptions horizontalCentered="1"/>
  <pageMargins left="0.5" right="0.5" top="0.6" bottom="0.7" header="0.3" footer="0.3"/>
  <pageSetup paperSize="1" orientation="portrait" fitToWidth="1" fitToHeight="0"/>
  <headerFooter>
    <oddHeader>&amp;RProject Ridgeline | As of 12/31/25</oddHeader>
    <oddFooter>&amp;LAMB Advisory Services | Strictly confidential&amp;C&amp;A&amp;RPage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I35"/>
  <sheetViews>
    <sheetView workbookViewId="0" showGridLines="0" zoomScale="100"/>
  </sheetViews>
  <sheetFormatPr defaultRowHeight="12.75" outlineLevelRow="0" outlineLevelCol="0" x14ac:dyDescent="55" customHeight="1"/>
  <cols>
    <col min="1" max="1" width="1.7" customWidth="1"/>
    <col min="2" max="2" width="34" customWidth="1"/>
    <col min="3" max="3" width="14" customWidth="1"/>
    <col min="4" max="4" width="12" customWidth="1"/>
    <col min="5" max="5" width="31" customWidth="1"/>
    <col min="6" max="6" width="11" customWidth="1"/>
    <col min="7" max="7" width="13" customWidth="1"/>
    <col min="8" max="8" width="39" customWidth="1"/>
    <col min="9" max="9" width="7" customWidth="1"/>
  </cols>
  <sheetData>
    <row r="2" ht="16.5" customHeight="1" spans="2:2" x14ac:dyDescent="0.25">
      <c r="B2" s="9">
        <f>Cover!B24</f>
      </c>
    </row>
    <row r="3" spans="2:9" x14ac:dyDescent="0.25">
      <c r="B3" s="10" t="s">
        <v>886</v>
      </c>
      <c r="C3" s="11"/>
      <c r="D3" s="11"/>
      <c r="E3" s="11"/>
      <c r="F3" s="11"/>
      <c r="G3" s="11"/>
      <c r="H3" s="34" t="s">
        <v>80</v>
      </c>
      <c r="I3" s="35">
        <f>'Contents'!$I$18</f>
      </c>
    </row>
    <row r="5" spans="2:9" x14ac:dyDescent="0.25">
      <c r="B5" s="36" t="s">
        <v>887</v>
      </c>
      <c r="C5" s="36"/>
      <c r="D5" s="36"/>
      <c r="E5" s="36"/>
      <c r="F5" s="36"/>
      <c r="G5" s="36"/>
      <c r="H5" s="36"/>
      <c r="I5" s="36"/>
    </row>
    <row r="6" spans="2:9" x14ac:dyDescent="0.25">
      <c r="B6" s="13" t="s">
        <v>888</v>
      </c>
      <c r="C6" s="12" t="s">
        <v>889</v>
      </c>
      <c r="D6" s="12" t="s">
        <v>863</v>
      </c>
      <c r="E6" s="13" t="s">
        <v>140</v>
      </c>
      <c r="F6" s="12" t="s">
        <v>429</v>
      </c>
      <c r="G6" s="12" t="s">
        <v>890</v>
      </c>
      <c r="H6" s="13" t="s">
        <v>891</v>
      </c>
      <c r="I6" s="12"/>
    </row>
    <row r="8" spans="2:8" x14ac:dyDescent="0.25">
      <c r="B8" s="245" t="s">
        <v>892</v>
      </c>
      <c r="C8" s="161">
        <f>(SUMIFS('Databook'!$K$49:$K$68,'Databook'!$B$49:$B$68,"Long-Term Liabilities : Vehicle Loans"))/1000</f>
        <v>146.8</v>
      </c>
      <c r="D8" s="140" t="s">
        <v>893</v>
      </c>
      <c r="E8" s="24" t="s">
        <v>894</v>
      </c>
      <c r="F8" s="140" t="s">
        <v>895</v>
      </c>
      <c r="G8" s="25" t="s">
        <v>896</v>
      </c>
      <c r="H8" s="29" t="s">
        <v>897</v>
      </c>
    </row>
    <row r="9" spans="2:8" x14ac:dyDescent="0.25">
      <c r="B9" s="245" t="s">
        <v>898</v>
      </c>
      <c r="C9" s="161">
        <f>(SUMIFS('Databook'!$K$49:$K$68,'Databook'!$B$49:$B$68,"Long-Term Liabilities : SBA Loan"))/1000</f>
        <v>118</v>
      </c>
      <c r="D9" s="140" t="s">
        <v>893</v>
      </c>
      <c r="E9" s="24" t="s">
        <v>899</v>
      </c>
      <c r="F9" s="140" t="s">
        <v>895</v>
      </c>
      <c r="G9" s="25" t="s">
        <v>896</v>
      </c>
      <c r="H9" s="29" t="s">
        <v>897</v>
      </c>
    </row>
    <row r="10" spans="2:8" x14ac:dyDescent="0.25">
      <c r="B10" s="245" t="s">
        <v>900</v>
      </c>
      <c r="C10" s="161">
        <f>(SUMIFS('Databook'!$K$49:$K$68,'Databook'!$B$49:$B$68,"Current Liabilities : Credit Cards : Business Credit Card"))/1000</f>
        <v>14.6</v>
      </c>
      <c r="D10" s="140" t="s">
        <v>893</v>
      </c>
      <c r="E10" s="24" t="s">
        <v>901</v>
      </c>
      <c r="F10" s="140" t="s">
        <v>895</v>
      </c>
      <c r="G10" s="25" t="s">
        <v>136</v>
      </c>
      <c r="H10" s="29" t="s">
        <v>902</v>
      </c>
    </row>
    <row r="11" spans="2:8" x14ac:dyDescent="0.25">
      <c r="B11" s="245" t="s">
        <v>903</v>
      </c>
      <c r="C11" s="161">
        <f>(SUMIFS('Databook'!$K$49:$K$68,'Databook'!$B$49:$B$68,"Current Liabilities : Other Current Liabilities : Accrued Payroll"))/1000</f>
        <v>38.9</v>
      </c>
      <c r="D11" s="140" t="s">
        <v>859</v>
      </c>
      <c r="E11" s="24" t="s">
        <v>904</v>
      </c>
      <c r="F11" s="140" t="s">
        <v>895</v>
      </c>
      <c r="G11" s="25" t="s">
        <v>136</v>
      </c>
      <c r="H11" s="29" t="s">
        <v>905</v>
      </c>
    </row>
    <row r="12" spans="2:8" x14ac:dyDescent="0.25">
      <c r="B12" s="245" t="s">
        <v>906</v>
      </c>
      <c r="C12" s="161">
        <f>(SUMIFS('Databook'!$K$49:$K$68,'Databook'!$B$49:$B$68,"Current Liabilities : Other Current Liabilities : Sales Tax Payable"))/1000</f>
        <v>6.2</v>
      </c>
      <c r="D12" s="140" t="s">
        <v>859</v>
      </c>
      <c r="E12" s="24" t="s">
        <v>907</v>
      </c>
      <c r="F12" s="140" t="s">
        <v>895</v>
      </c>
      <c r="G12" s="25" t="s">
        <v>136</v>
      </c>
      <c r="H12" s="29" t="s">
        <v>905</v>
      </c>
    </row>
    <row r="13" spans="2:8" x14ac:dyDescent="0.25">
      <c r="B13" s="245" t="s">
        <v>908</v>
      </c>
      <c r="C13" s="161">
        <f>(SUMIFS('Databook'!$K$49:$K$68,'Databook'!$B$49:$B$68,"Current Liabilities : Other Current Liabilities : Customer Deposits"))/1000</f>
        <v>22.4</v>
      </c>
      <c r="D13" s="26" t="str">
        <f>IF('Assumptions'!$C$69="Debt-like","Debt-like","NWC")</f>
        <v>NWC</v>
      </c>
      <c r="E13" s="24" t="s">
        <v>909</v>
      </c>
      <c r="F13" s="140" t="s">
        <v>895</v>
      </c>
      <c r="G13" s="25" t="s">
        <v>136</v>
      </c>
      <c r="H13" s="29" t="s">
        <v>905</v>
      </c>
    </row>
    <row r="15" spans="2:3" x14ac:dyDescent="0.25">
      <c r="B15" s="197" t="s">
        <v>910</v>
      </c>
      <c r="C15" s="197">
        <f>SUMIFS($C$8:$C$13,$D$8:$D$13,"Debt")</f>
        <v>279.4</v>
      </c>
    </row>
    <row r="16" spans="2:3" x14ac:dyDescent="0.25">
      <c r="B16" s="243" t="s">
        <v>911</v>
      </c>
      <c r="C16" s="244">
        <f>SUMIFS($C$8:$C$13,$D$8:$D$13,"Debt-like")</f>
        <v>0</v>
      </c>
    </row>
    <row r="17" spans="2:3" x14ac:dyDescent="0.25">
      <c r="B17" s="66" t="s">
        <v>912</v>
      </c>
      <c r="C17" s="38">
        <f>SUMIFS($C$8:$C$13,$D$8:$D$13,"NWC")</f>
        <v>67.5</v>
      </c>
    </row>
    <row r="18" spans="2:3" x14ac:dyDescent="0.25">
      <c r="B18" s="193" t="s">
        <v>913</v>
      </c>
      <c r="C18" s="245">
        <f>SUMIFS($C$8:$C$13,$D$8:$D$13,"Debt",$B$8:$B$13,"*redit card*")</f>
        <v>14.6</v>
      </c>
    </row>
    <row r="20" spans="2:9" x14ac:dyDescent="0.25">
      <c r="B20" s="37" t="s">
        <v>914</v>
      </c>
      <c r="C20" s="37"/>
      <c r="D20" s="37"/>
      <c r="E20" s="37"/>
      <c r="F20" s="37"/>
      <c r="G20" s="37"/>
      <c r="H20" s="37"/>
      <c r="I20" s="37"/>
    </row>
    <row r="21" spans="2:8" x14ac:dyDescent="0.25">
      <c r="B21" s="52" t="s">
        <v>915</v>
      </c>
      <c r="C21" s="210" t="s">
        <v>136</v>
      </c>
      <c r="D21" s="17" t="s">
        <v>916</v>
      </c>
      <c r="E21" s="16" t="s">
        <v>917</v>
      </c>
      <c r="F21" s="227" t="s">
        <v>918</v>
      </c>
      <c r="G21" s="17" t="s">
        <v>136</v>
      </c>
      <c r="H21" s="16" t="s">
        <v>919</v>
      </c>
    </row>
    <row r="22" spans="2:8" x14ac:dyDescent="0.25">
      <c r="B22" s="52" t="s">
        <v>920</v>
      </c>
      <c r="C22" s="210" t="s">
        <v>136</v>
      </c>
      <c r="D22" s="17" t="s">
        <v>916</v>
      </c>
      <c r="E22" s="16" t="s">
        <v>917</v>
      </c>
      <c r="F22" s="227" t="s">
        <v>918</v>
      </c>
      <c r="G22" s="17" t="s">
        <v>136</v>
      </c>
      <c r="H22" s="16" t="s">
        <v>919</v>
      </c>
    </row>
    <row r="23" spans="2:8" x14ac:dyDescent="0.25">
      <c r="B23" s="52" t="s">
        <v>921</v>
      </c>
      <c r="C23" s="210" t="s">
        <v>136</v>
      </c>
      <c r="D23" s="17" t="s">
        <v>916</v>
      </c>
      <c r="E23" s="16" t="s">
        <v>917</v>
      </c>
      <c r="F23" s="227" t="s">
        <v>918</v>
      </c>
      <c r="G23" s="17" t="s">
        <v>136</v>
      </c>
      <c r="H23" s="16" t="s">
        <v>919</v>
      </c>
    </row>
    <row r="24" spans="2:8" x14ac:dyDescent="0.25">
      <c r="B24" s="52" t="s">
        <v>922</v>
      </c>
      <c r="C24" s="210" t="s">
        <v>136</v>
      </c>
      <c r="D24" s="17" t="s">
        <v>916</v>
      </c>
      <c r="E24" s="16" t="s">
        <v>917</v>
      </c>
      <c r="F24" s="227" t="s">
        <v>918</v>
      </c>
      <c r="G24" s="17" t="s">
        <v>136</v>
      </c>
      <c r="H24" s="16" t="s">
        <v>919</v>
      </c>
    </row>
    <row r="25" spans="2:8" x14ac:dyDescent="0.25">
      <c r="B25" s="52" t="s">
        <v>923</v>
      </c>
      <c r="C25" s="210" t="s">
        <v>136</v>
      </c>
      <c r="D25" s="17" t="s">
        <v>916</v>
      </c>
      <c r="E25" s="16" t="s">
        <v>917</v>
      </c>
      <c r="F25" s="227" t="s">
        <v>918</v>
      </c>
      <c r="G25" s="17" t="s">
        <v>136</v>
      </c>
      <c r="H25" s="16" t="s">
        <v>919</v>
      </c>
    </row>
    <row r="26" spans="2:8" x14ac:dyDescent="0.25">
      <c r="B26" s="52" t="s">
        <v>924</v>
      </c>
      <c r="C26" s="210" t="s">
        <v>136</v>
      </c>
      <c r="D26" s="17" t="s">
        <v>916</v>
      </c>
      <c r="E26" s="16" t="s">
        <v>917</v>
      </c>
      <c r="F26" s="227" t="s">
        <v>918</v>
      </c>
      <c r="G26" s="17" t="s">
        <v>136</v>
      </c>
      <c r="H26" s="16" t="s">
        <v>919</v>
      </c>
    </row>
    <row r="27" spans="2:8" x14ac:dyDescent="0.25">
      <c r="B27" s="52" t="s">
        <v>925</v>
      </c>
      <c r="C27" s="210" t="s">
        <v>136</v>
      </c>
      <c r="D27" s="17" t="s">
        <v>916</v>
      </c>
      <c r="E27" s="16" t="s">
        <v>917</v>
      </c>
      <c r="F27" s="227" t="s">
        <v>918</v>
      </c>
      <c r="G27" s="17" t="s">
        <v>136</v>
      </c>
      <c r="H27" s="16" t="s">
        <v>919</v>
      </c>
    </row>
    <row r="28" spans="2:8" x14ac:dyDescent="0.25">
      <c r="B28" s="52" t="s">
        <v>926</v>
      </c>
      <c r="C28" s="210" t="s">
        <v>136</v>
      </c>
      <c r="D28" s="17" t="s">
        <v>916</v>
      </c>
      <c r="E28" s="16" t="s">
        <v>917</v>
      </c>
      <c r="F28" s="227" t="s">
        <v>918</v>
      </c>
      <c r="G28" s="17" t="s">
        <v>136</v>
      </c>
      <c r="H28" s="16" t="s">
        <v>919</v>
      </c>
    </row>
    <row r="29" spans="2:8" x14ac:dyDescent="0.25">
      <c r="B29" s="52" t="s">
        <v>927</v>
      </c>
      <c r="C29" s="210" t="s">
        <v>136</v>
      </c>
      <c r="D29" s="17" t="s">
        <v>916</v>
      </c>
      <c r="E29" s="16" t="s">
        <v>917</v>
      </c>
      <c r="F29" s="227" t="s">
        <v>918</v>
      </c>
      <c r="G29" s="17" t="s">
        <v>136</v>
      </c>
      <c r="H29" s="16" t="s">
        <v>919</v>
      </c>
    </row>
    <row r="30" spans="2:8" x14ac:dyDescent="0.25">
      <c r="B30" s="52" t="s">
        <v>928</v>
      </c>
      <c r="C30" s="210" t="s">
        <v>136</v>
      </c>
      <c r="D30" s="17" t="s">
        <v>916</v>
      </c>
      <c r="E30" s="16" t="s">
        <v>917</v>
      </c>
      <c r="F30" s="227" t="s">
        <v>918</v>
      </c>
      <c r="G30" s="17" t="s">
        <v>136</v>
      </c>
      <c r="H30" s="16" t="s">
        <v>919</v>
      </c>
    </row>
    <row r="31" spans="2:8" x14ac:dyDescent="0.25">
      <c r="B31" s="52" t="s">
        <v>929</v>
      </c>
      <c r="C31" s="210" t="s">
        <v>136</v>
      </c>
      <c r="D31" s="17" t="s">
        <v>916</v>
      </c>
      <c r="E31" s="16" t="s">
        <v>917</v>
      </c>
      <c r="F31" s="227" t="s">
        <v>918</v>
      </c>
      <c r="G31" s="17" t="s">
        <v>136</v>
      </c>
      <c r="H31" s="16" t="s">
        <v>919</v>
      </c>
    </row>
    <row r="32" spans="2:8" x14ac:dyDescent="0.25">
      <c r="B32" s="52" t="s">
        <v>930</v>
      </c>
      <c r="C32" s="210" t="s">
        <v>136</v>
      </c>
      <c r="D32" s="17" t="s">
        <v>916</v>
      </c>
      <c r="E32" s="16" t="s">
        <v>917</v>
      </c>
      <c r="F32" s="227" t="s">
        <v>918</v>
      </c>
      <c r="G32" s="17" t="s">
        <v>136</v>
      </c>
      <c r="H32" s="16" t="s">
        <v>919</v>
      </c>
    </row>
    <row r="33" spans="2:8" x14ac:dyDescent="0.25">
      <c r="B33" s="52" t="s">
        <v>931</v>
      </c>
      <c r="C33" s="210" t="s">
        <v>136</v>
      </c>
      <c r="D33" s="17" t="s">
        <v>497</v>
      </c>
      <c r="E33" s="16" t="s">
        <v>917</v>
      </c>
      <c r="F33" s="227" t="s">
        <v>918</v>
      </c>
      <c r="G33" s="17" t="s">
        <v>136</v>
      </c>
      <c r="H33" s="16" t="s">
        <v>932</v>
      </c>
    </row>
    <row r="35" ht="25" customHeight="1" spans="2:9" x14ac:dyDescent="0.25">
      <c r="B35" s="60" t="s">
        <v>933</v>
      </c>
      <c r="C35" s="60"/>
      <c r="D35" s="60"/>
      <c r="E35" s="60"/>
      <c r="F35" s="60"/>
      <c r="G35" s="60"/>
      <c r="H35" s="60"/>
      <c r="I35" s="60"/>
    </row>
  </sheetData>
  <mergeCells count="1">
    <mergeCell ref="B35:I35"/>
  </mergeCells>
  <conditionalFormatting sqref="B2 I3 F8:F13 C8:D13 F21:F33">
    <cfRule type="expression" dxfId="39" priority="1">
      <formula>$I$3=1</formula>
    </cfRule>
  </conditionalFormatting>
  <printOptions horizontalCentered="1"/>
  <pageMargins left="0.5" right="0.5" top="0.6" bottom="0.7" header="0.3" footer="0.3"/>
  <pageSetup paperSize="1" orientation="landscape" fitToWidth="1" fitToHeight="0"/>
  <headerFooter>
    <oddHeader>&amp;RProject Ridgeline | As of 12/31/25</oddHeader>
    <oddFooter>&amp;LAMB Advisory Services | Strictly confidential&amp;C&amp;A&amp;RPage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D29"/>
  <sheetViews>
    <sheetView workbookViewId="0" showGridLines="0" zoomScale="100"/>
  </sheetViews>
  <sheetFormatPr defaultRowHeight="12.75" outlineLevelRow="0" outlineLevelCol="0" x14ac:dyDescent="55" customHeight="1"/>
  <cols>
    <col min="1" max="1" width="1.7" customWidth="1"/>
    <col min="2" max="2" width="35.5" customWidth="1"/>
    <col min="3" max="4" width="9.1" customWidth="1"/>
  </cols>
  <sheetData>
    <row r="2" ht="16.5" customHeight="1" spans="2:2" x14ac:dyDescent="0.25">
      <c r="B2" s="9">
        <f>Cover!B24</f>
      </c>
    </row>
    <row r="3" spans="2:4" x14ac:dyDescent="0.25">
      <c r="B3" s="10" t="s">
        <v>934</v>
      </c>
      <c r="C3" s="34" t="s">
        <v>80</v>
      </c>
      <c r="D3" s="35">
        <f>'Contents'!$I$18</f>
      </c>
    </row>
    <row r="5" spans="2:4" x14ac:dyDescent="0.25">
      <c r="B5" s="36"/>
      <c r="C5" s="36" t="s">
        <v>81</v>
      </c>
      <c r="D5" s="36"/>
    </row>
    <row r="6" spans="2:4" x14ac:dyDescent="0.25">
      <c r="B6" s="13" t="s">
        <v>935</v>
      </c>
      <c r="C6" s="12" t="str">
        <f>'P&amp;L Summary'!D6</f>
        <v>FY2024</v>
      </c>
      <c r="D6" s="12" t="str">
        <f>'P&amp;L Summary'!E6</f>
        <v>FY2025</v>
      </c>
    </row>
    <row r="8" spans="2:4" x14ac:dyDescent="0.25">
      <c r="B8" s="38" t="s">
        <v>92</v>
      </c>
      <c r="C8" s="39">
        <f>'P&amp;L Summary'!D43</f>
        <v>129.24</v>
      </c>
      <c r="D8" s="39">
        <f>'P&amp;L Summary'!E43</f>
        <v>232.815</v>
      </c>
    </row>
    <row r="9" spans="2:4" x14ac:dyDescent="0.25">
      <c r="B9" s="52" t="s">
        <v>936</v>
      </c>
      <c r="C9" s="53">
        <f>'P&amp;L Summary'!D35</f>
        <v>66.8</v>
      </c>
      <c r="D9" s="53">
        <f>'P&amp;L Summary'!E35</f>
        <v>72.4</v>
      </c>
    </row>
    <row r="10" spans="2:4" x14ac:dyDescent="0.25">
      <c r="B10" s="52" t="s">
        <v>937</v>
      </c>
      <c r="C10" s="53">
        <f>'Balance Sheet'!C9-'Balance Sheet'!D9</f>
        <v>-23.4</v>
      </c>
      <c r="D10" s="53">
        <f>'Balance Sheet'!D9-'Balance Sheet'!E9</f>
        <v>-26.8</v>
      </c>
    </row>
    <row r="11" spans="2:4" x14ac:dyDescent="0.25">
      <c r="B11" s="52" t="s">
        <v>938</v>
      </c>
      <c r="C11" s="53">
        <f>'Balance Sheet'!C10-'Balance Sheet'!D10</f>
        <v>-8.6</v>
      </c>
      <c r="D11" s="53">
        <f>'Balance Sheet'!D10-'Balance Sheet'!E10</f>
        <v>-8.2</v>
      </c>
    </row>
    <row r="12" spans="2:4" x14ac:dyDescent="0.25">
      <c r="B12" s="66" t="s">
        <v>939</v>
      </c>
      <c r="C12" s="53">
        <f>'Balance Sheet'!C11-'Balance Sheet'!D11</f>
        <v>-1.1</v>
      </c>
      <c r="D12" s="53">
        <f>'Balance Sheet'!D11-'Balance Sheet'!E11</f>
        <v>-1.3</v>
      </c>
    </row>
    <row r="13" spans="2:4" x14ac:dyDescent="0.25">
      <c r="B13" s="52" t="s">
        <v>940</v>
      </c>
      <c r="C13" s="53">
        <f>'Balance Sheet'!D16-'Balance Sheet'!C16</f>
        <v>8.5</v>
      </c>
      <c r="D13" s="53">
        <f>'Balance Sheet'!E16-'Balance Sheet'!D16</f>
        <v>13.7</v>
      </c>
    </row>
    <row r="14" spans="2:4" x14ac:dyDescent="0.25">
      <c r="B14" s="66" t="s">
        <v>941</v>
      </c>
      <c r="C14" s="53">
        <f>'Balance Sheet'!D17-'Balance Sheet'!C17</f>
        <v>8.3</v>
      </c>
      <c r="D14" s="53">
        <f>'Balance Sheet'!E17-'Balance Sheet'!D17</f>
        <v>7.7</v>
      </c>
    </row>
    <row r="15" spans="2:4" x14ac:dyDescent="0.25">
      <c r="B15" s="116" t="s">
        <v>942</v>
      </c>
      <c r="C15" s="116">
        <f>SUM(C8:C14)</f>
        <v>179.74</v>
      </c>
      <c r="D15" s="116">
        <f>SUM(D8:D14)</f>
        <v>290.315</v>
      </c>
    </row>
    <row r="16" spans="2:4" x14ac:dyDescent="0.25">
      <c r="B16" s="52" t="s">
        <v>943</v>
      </c>
      <c r="C16" s="53">
        <f>-('Balance Sheet'!D13-'Balance Sheet'!C13+C9)-('Balance Sheet'!D14-'Balance Sheet'!C14)</f>
        <v>-57.14</v>
      </c>
      <c r="D16" s="53">
        <f>-('Balance Sheet'!E13-'Balance Sheet'!D13+D9)-('Balance Sheet'!E14-'Balance Sheet'!D14)</f>
        <v>-77</v>
      </c>
    </row>
    <row r="17" spans="2:4" x14ac:dyDescent="0.25">
      <c r="B17" s="116" t="s">
        <v>944</v>
      </c>
      <c r="C17" s="238">
        <f>C16</f>
        <v>-57.14</v>
      </c>
      <c r="D17" s="238">
        <f>D16</f>
        <v>-77</v>
      </c>
    </row>
    <row r="18" spans="2:4" x14ac:dyDescent="0.25">
      <c r="B18" s="52" t="s">
        <v>945</v>
      </c>
      <c r="C18" s="53">
        <f>'Balance Sheet'!D19-'Balance Sheet'!C19</f>
        <v>-39</v>
      </c>
      <c r="D18" s="53">
        <f>'Balance Sheet'!E19-'Balance Sheet'!D19</f>
        <v>-47</v>
      </c>
    </row>
    <row r="19" spans="2:4" x14ac:dyDescent="0.25">
      <c r="B19" s="52" t="s">
        <v>946</v>
      </c>
      <c r="C19" s="53">
        <f>-('Balance Sheet'!C21+C8-'Balance Sheet'!D21)</f>
        <v>-150</v>
      </c>
      <c r="D19" s="53">
        <f>-('Balance Sheet'!D21+D8-'Balance Sheet'!E21)</f>
        <v>-160</v>
      </c>
    </row>
    <row r="20" spans="2:4" x14ac:dyDescent="0.25">
      <c r="B20" s="116" t="s">
        <v>947</v>
      </c>
      <c r="C20" s="116">
        <f>C18+C19</f>
        <v>-189</v>
      </c>
      <c r="D20" s="116">
        <f>D18+D19</f>
        <v>-207</v>
      </c>
    </row>
    <row r="21" spans="2:4" x14ac:dyDescent="0.25">
      <c r="B21" s="197" t="s">
        <v>948</v>
      </c>
      <c r="C21" s="170">
        <f>C15+C17+C20</f>
        <v>-66.4</v>
      </c>
      <c r="D21" s="212">
        <f>D15+D17+D20</f>
        <v>6.315</v>
      </c>
    </row>
    <row r="22" spans="2:4" x14ac:dyDescent="0.25">
      <c r="B22" s="52" t="s">
        <v>949</v>
      </c>
      <c r="C22" s="53">
        <f>'Balance Sheet'!C8</f>
        <v>298.7</v>
      </c>
      <c r="D22" s="53">
        <f>'Balance Sheet'!D8</f>
        <v>232.3</v>
      </c>
    </row>
    <row r="23" spans="2:4" x14ac:dyDescent="0.25">
      <c r="B23" s="197" t="s">
        <v>950</v>
      </c>
      <c r="C23" s="170">
        <f>C22+C21</f>
        <v>232.3</v>
      </c>
      <c r="D23" s="212">
        <f>D22+D21</f>
        <v>238.615</v>
      </c>
    </row>
    <row r="24" spans="2:4" x14ac:dyDescent="0.25">
      <c r="B24" s="52" t="s">
        <v>951</v>
      </c>
      <c r="C24" s="53">
        <f>'Balance Sheet'!D8</f>
        <v>232.3</v>
      </c>
      <c r="D24" s="53">
        <f>'Balance Sheet'!E8</f>
        <v>238.615</v>
      </c>
    </row>
    <row r="25" spans="2:4" x14ac:dyDescent="0.25">
      <c r="B25" s="230" t="s">
        <v>952</v>
      </c>
      <c r="C25" s="130">
        <f>ROUND(C23-C24,6)</f>
        <v>0</v>
      </c>
      <c r="D25" s="130">
        <f>ROUND(D23-D24,6)</f>
        <v>0</v>
      </c>
    </row>
    <row r="26" spans="2:4" x14ac:dyDescent="0.25">
      <c r="B26" s="197" t="s">
        <v>953</v>
      </c>
      <c r="C26" s="170">
        <f>C15+C16</f>
        <v>122.6</v>
      </c>
      <c r="D26" s="212">
        <f>D15+D16</f>
        <v>213.315</v>
      </c>
    </row>
    <row r="27" spans="2:4" x14ac:dyDescent="0.25">
      <c r="B27" s="246" t="s">
        <v>954</v>
      </c>
      <c r="C27" s="56">
        <f>IFERROR(C26/'P&amp;L Summary'!D32,"n.a.")</f>
        <v>0.5711889675736116</v>
      </c>
      <c r="D27" s="56">
        <f>IFERROR(D26/'P&amp;L Summary'!E32,"n.a.")</f>
        <v>0.6676212384395099</v>
      </c>
    </row>
    <row r="29" ht="48" customHeight="1" spans="2:4" x14ac:dyDescent="0.25">
      <c r="B29" s="60" t="s">
        <v>955</v>
      </c>
      <c r="C29" s="60"/>
      <c r="D29" s="60"/>
    </row>
  </sheetData>
  <mergeCells count="1">
    <mergeCell ref="B29:D29"/>
  </mergeCells>
  <conditionalFormatting sqref="C25:D25">
    <cfRule type="expression" dxfId="40" priority="1">
      <formula>ROUND(C25,3)&lt;&gt;0</formula>
    </cfRule>
  </conditionalFormatting>
  <conditionalFormatting sqref="B2 D3 C8:D14 C16:D19 C22:D22 C24:D24 B25:D25 C27:D27">
    <cfRule type="expression" dxfId="41" priority="2">
      <formula>$D$3=1</formula>
    </cfRule>
  </conditionalFormatting>
  <printOptions horizontalCentered="1"/>
  <pageMargins left="0.5" right="0.5" top="0.6" bottom="0.7" header="0.3" footer="0.3"/>
  <pageSetup paperSize="1" orientation="portrait" fitToWidth="1" fitToHeight="0"/>
  <headerFooter>
    <oddHeader>&amp;RProject Ridgeline | As of 12/31/25</oddHeader>
    <oddFooter>&amp;LAMB Advisory Services | Strictly confidential&amp;C&amp;A&amp;RPage &amp;P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I25"/>
  <sheetViews>
    <sheetView workbookViewId="0" showGridLines="0" zoomScale="100"/>
  </sheetViews>
  <sheetFormatPr defaultRowHeight="12.75" outlineLevelRow="0" outlineLevelCol="0" x14ac:dyDescent="55" customHeight="1"/>
  <cols>
    <col min="1" max="1" width="1.7" customWidth="1"/>
    <col min="2" max="2" width="16" customWidth="1"/>
    <col min="3" max="4" width="14" customWidth="1"/>
    <col min="5" max="5" width="12" customWidth="1"/>
    <col min="6" max="6" width="11" customWidth="1"/>
    <col min="7" max="7" width="0.9" customWidth="1"/>
    <col min="8" max="8" width="44" customWidth="1"/>
    <col min="9" max="9" width="7" customWidth="1"/>
  </cols>
  <sheetData>
    <row r="2" ht="16.5" customHeight="1" spans="2:2" x14ac:dyDescent="0.25">
      <c r="B2" s="9">
        <f>Cover!B24</f>
      </c>
    </row>
    <row r="3" spans="2:9" x14ac:dyDescent="0.25">
      <c r="B3" s="10" t="s">
        <v>956</v>
      </c>
      <c r="C3" s="11"/>
      <c r="D3" s="11"/>
      <c r="E3" s="11"/>
      <c r="F3" s="11"/>
      <c r="G3" s="11"/>
      <c r="H3" s="34" t="s">
        <v>80</v>
      </c>
      <c r="I3" s="35">
        <f>'Contents'!$I$18</f>
      </c>
    </row>
    <row r="5" spans="2:9" x14ac:dyDescent="0.25">
      <c r="B5" s="36" t="s">
        <v>957</v>
      </c>
      <c r="C5" s="36"/>
      <c r="D5" s="36"/>
      <c r="E5" s="36"/>
      <c r="F5" s="36"/>
      <c r="H5" s="36" t="s">
        <v>84</v>
      </c>
      <c r="I5" s="36"/>
    </row>
    <row r="6" spans="2:9" x14ac:dyDescent="0.25">
      <c r="B6" s="13" t="s">
        <v>527</v>
      </c>
      <c r="C6" s="12" t="s">
        <v>958</v>
      </c>
      <c r="D6" s="12" t="s">
        <v>959</v>
      </c>
      <c r="E6" s="12" t="s">
        <v>960</v>
      </c>
      <c r="F6" s="12" t="s">
        <v>961</v>
      </c>
      <c r="H6" s="13" t="s">
        <v>962</v>
      </c>
      <c r="I6" s="12"/>
    </row>
    <row r="8" spans="2:8" x14ac:dyDescent="0.25">
      <c r="B8" s="247">
        <f>EOMONTH('Assumptions'!$C$9,-12)+1</f>
        <v>45658</v>
      </c>
      <c r="C8" s="53">
        <f>INDEX('Monthly P&amp;L'!$Q$14:$AZ$14,MATCH(B8,'Monthly P&amp;L'!$Q$6:$AZ$6,0))</f>
        <v>228.339</v>
      </c>
      <c r="D8" s="53">
        <f>IF(COUNTIFS('Raw - Bank'!$A$4:$A$874,"&gt;="&amp;B8,'Raw - Bank'!$A$4:$A$874,"&lt;="&amp;EOMONTH(B8,0))=0,"n.a.",SUMIFS('Raw - Bank'!$C$4:$C$874,'Raw - Bank'!$D$4:$D$874,"Operating",'Raw - Bank'!$A$4:$A$874,"&gt;="&amp;B8,'Raw - Bank'!$A$4:$A$874,"&lt;="&amp;EOMONTH(B8,0))/1000)</f>
        <v>185.70165</v>
      </c>
      <c r="E8" s="52">
        <f>IFERROR(D8-C8,"n.a.")</f>
        <v>-42.637350000000005</v>
      </c>
      <c r="F8" s="129">
        <f>IFERROR(E8/C8,"n.a.")</f>
        <v>-0.1867282855753945</v>
      </c>
      <c r="H8" s="248" t="str">
        <f>IF(ISNUMBER(F8),IF(ABS(F8)&gt;$F$23,"Explain: variance above the threshold",""),"No bank statement for the month")</f>
        <v>Explain: variance above the threshold</v>
      </c>
    </row>
    <row r="9" spans="2:8" x14ac:dyDescent="0.25">
      <c r="B9" s="249">
        <f>EOMONTH(B8,0)+1</f>
        <v>45689</v>
      </c>
      <c r="C9" s="53">
        <f>INDEX('Monthly P&amp;L'!$Q$14:$AZ$14,MATCH(B9,'Monthly P&amp;L'!$Q$6:$AZ$6,0))</f>
        <v>212.116</v>
      </c>
      <c r="D9" s="53">
        <f>IF(COUNTIFS('Raw - Bank'!$A$4:$A$874,"&gt;="&amp;B9,'Raw - Bank'!$A$4:$A$874,"&lt;="&amp;EOMONTH(B9,0))=0,"n.a.",SUMIFS('Raw - Bank'!$C$4:$C$874,'Raw - Bank'!$D$4:$D$874,"Operating",'Raw - Bank'!$A$4:$A$874,"&gt;="&amp;B9,'Raw - Bank'!$A$4:$A$874,"&lt;="&amp;EOMONTH(B9,0))/1000)</f>
        <v>197.68242</v>
      </c>
      <c r="E9" s="52">
        <f>IFERROR(D9-C9,"n.a.")</f>
        <v>-14.433579999999987</v>
      </c>
      <c r="F9" s="129">
        <f>IFERROR(E9/C9,"n.a.")</f>
        <v>-0.06804569197986002</v>
      </c>
      <c r="H9" s="248" t="str">
        <f>IF(ISNUMBER(F9),IF(ABS(F9)&gt;$F$23,"Explain: variance above the threshold",""),"No bank statement for the month")</f>
        <v>Explain: variance above the threshold</v>
      </c>
    </row>
    <row r="10" spans="2:8" x14ac:dyDescent="0.25">
      <c r="B10" s="249">
        <f>EOMONTH(B9,0)+1</f>
        <v>45717</v>
      </c>
      <c r="C10" s="53">
        <f>INDEX('Monthly P&amp;L'!$Q$14:$AZ$14,MATCH(B10,'Monthly P&amp;L'!$Q$6:$AZ$6,0))</f>
        <v>206.551</v>
      </c>
      <c r="D10" s="53">
        <f>IF(COUNTIFS('Raw - Bank'!$A$4:$A$874,"&gt;="&amp;B10,'Raw - Bank'!$A$4:$A$874,"&lt;="&amp;EOMONTH(B10,0))=0,"n.a.",SUMIFS('Raw - Bank'!$C$4:$C$874,'Raw - Bank'!$D$4:$D$874,"Operating",'Raw - Bank'!$A$4:$A$874,"&gt;="&amp;B10,'Raw - Bank'!$A$4:$A$874,"&lt;="&amp;EOMONTH(B10,0))/1000)</f>
        <v>224.63913</v>
      </c>
      <c r="E10" s="52">
        <f>IFERROR(D10-C10,"n.a.")</f>
        <v>18.088130000000003</v>
      </c>
      <c r="F10" s="129">
        <f>IFERROR(E10/C10,"n.a.")</f>
        <v>0.08757222187256418</v>
      </c>
      <c r="H10" s="248" t="str">
        <f>IF(ISNUMBER(F10),IF(ABS(F10)&gt;$F$23,"Explain: variance above the threshold",""),"No bank statement for the month")</f>
        <v>Explain: variance above the threshold</v>
      </c>
    </row>
    <row r="11" spans="2:8" x14ac:dyDescent="0.25">
      <c r="B11" s="249">
        <f>EOMONTH(B10,0)+1</f>
        <v>45748</v>
      </c>
      <c r="C11" s="53">
        <f>INDEX('Monthly P&amp;L'!$Q$14:$AZ$14,MATCH(B11,'Monthly P&amp;L'!$Q$6:$AZ$6,0))</f>
        <v>219.853</v>
      </c>
      <c r="D11" s="53">
        <f>IF(COUNTIFS('Raw - Bank'!$A$4:$A$874,"&gt;="&amp;B11,'Raw - Bank'!$A$4:$A$874,"&lt;="&amp;EOMONTH(B11,0))=0,"n.a.",SUMIFS('Raw - Bank'!$C$4:$C$874,'Raw - Bank'!$D$4:$D$874,"Operating",'Raw - Bank'!$A$4:$A$874,"&gt;="&amp;B11,'Raw - Bank'!$A$4:$A$874,"&lt;="&amp;EOMONTH(B11,0))/1000)</f>
        <v>239.61507999999998</v>
      </c>
      <c r="E11" s="52">
        <f>IFERROR(D11-C11,"n.a.")</f>
        <v>19.762079999999987</v>
      </c>
      <c r="F11" s="129">
        <f>IFERROR(E11/C11,"n.a.")</f>
        <v>0.08988769768891026</v>
      </c>
      <c r="H11" s="248" t="str">
        <f>IF(ISNUMBER(F11),IF(ABS(F11)&gt;$F$23,"Explain: variance above the threshold",""),"No bank statement for the month")</f>
        <v>Explain: variance above the threshold</v>
      </c>
    </row>
    <row r="12" spans="2:8" x14ac:dyDescent="0.25">
      <c r="B12" s="249">
        <f>EOMONTH(B11,0)+1</f>
        <v>45778</v>
      </c>
      <c r="C12" s="53">
        <f>INDEX('Monthly P&amp;L'!$Q$14:$AZ$14,MATCH(B12,'Monthly P&amp;L'!$Q$6:$AZ$6,0))</f>
        <v>249.28</v>
      </c>
      <c r="D12" s="53">
        <f>IF(COUNTIFS('Raw - Bank'!$A$4:$A$874,"&gt;="&amp;B12,'Raw - Bank'!$A$4:$A$874,"&lt;="&amp;EOMONTH(B12,0))=0,"n.a.",SUMIFS('Raw - Bank'!$C$4:$C$874,'Raw - Bank'!$D$4:$D$874,"Operating",'Raw - Bank'!$A$4:$A$874,"&gt;="&amp;B12,'Raw - Bank'!$A$4:$A$874,"&lt;="&amp;EOMONTH(B12,0))/1000)</f>
        <v>269.56696</v>
      </c>
      <c r="E12" s="52">
        <f>IFERROR(D12-C12,"n.a.")</f>
        <v>20.286960000000022</v>
      </c>
      <c r="F12" s="129">
        <f>IFERROR(E12/C12,"n.a.")</f>
        <v>0.08138222079589226</v>
      </c>
      <c r="H12" s="248" t="str">
        <f>IF(ISNUMBER(F12),IF(ABS(F12)&gt;$F$23,"Explain: variance above the threshold",""),"No bank statement for the month")</f>
        <v>Explain: variance above the threshold</v>
      </c>
    </row>
    <row r="13" spans="2:8" x14ac:dyDescent="0.25">
      <c r="B13" s="249">
        <f>EOMONTH(B12,0)+1</f>
        <v>45809</v>
      </c>
      <c r="C13" s="53">
        <f>INDEX('Monthly P&amp;L'!$Q$14:$AZ$14,MATCH(B13,'Monthly P&amp;L'!$Q$6:$AZ$6,0))</f>
        <v>290.649</v>
      </c>
      <c r="D13" s="53">
        <f>IF(COUNTIFS('Raw - Bank'!$A$4:$A$874,"&gt;="&amp;B13,'Raw - Bank'!$A$4:$A$874,"&lt;="&amp;EOMONTH(B13,0))=0,"n.a.",SUMIFS('Raw - Bank'!$C$4:$C$874,'Raw - Bank'!$D$4:$D$874,"Operating",'Raw - Bank'!$A$4:$A$874,"&gt;="&amp;B13,'Raw - Bank'!$A$4:$A$874,"&lt;="&amp;EOMONTH(B13,0))/1000)</f>
        <v>302.51396</v>
      </c>
      <c r="E13" s="52">
        <f>IFERROR(D13-C13,"n.a.")</f>
        <v>11.864960000000021</v>
      </c>
      <c r="F13" s="129">
        <f>IFERROR(E13/C13,"n.a.")</f>
        <v>0.04082229768552453</v>
      </c>
      <c r="H13" s="248" t="str">
        <f>IF(ISNUMBER(F13),IF(ABS(F13)&gt;$F$23,"Explain: variance above the threshold",""),"No bank statement for the month")</f>
        <v/>
      </c>
    </row>
    <row r="14" spans="2:8" x14ac:dyDescent="0.25">
      <c r="B14" s="249">
        <f>EOMONTH(B13,0)+1</f>
        <v>45839</v>
      </c>
      <c r="C14" s="53">
        <f>INDEX('Monthly P&amp;L'!$Q$14:$AZ$14,MATCH(B14,'Monthly P&amp;L'!$Q$6:$AZ$6,0))</f>
        <v>313.184</v>
      </c>
      <c r="D14" s="53">
        <f>IF(COUNTIFS('Raw - Bank'!$A$4:$A$874,"&gt;="&amp;B14,'Raw - Bank'!$A$4:$A$874,"&lt;="&amp;EOMONTH(B14,0))=0,"n.a.",SUMIFS('Raw - Bank'!$C$4:$C$874,'Raw - Bank'!$D$4:$D$874,"Operating",'Raw - Bank'!$A$4:$A$874,"&gt;="&amp;B14,'Raw - Bank'!$A$4:$A$874,"&lt;="&amp;EOMONTH(B14,0))/1000)</f>
        <v>323.48032</v>
      </c>
      <c r="E14" s="52">
        <f>IFERROR(D14-C14,"n.a.")</f>
        <v>10.296320000000007</v>
      </c>
      <c r="F14" s="129">
        <f>IFERROR(E14/C14,"n.a.")</f>
        <v>0.03287626443241036</v>
      </c>
      <c r="H14" s="248" t="str">
        <f>IF(ISNUMBER(F14),IF(ABS(F14)&gt;$F$23,"Explain: variance above the threshold",""),"No bank statement for the month")</f>
        <v/>
      </c>
    </row>
    <row r="15" spans="2:8" x14ac:dyDescent="0.25">
      <c r="B15" s="249">
        <f>EOMONTH(B14,0)+1</f>
        <v>45870</v>
      </c>
      <c r="C15" s="53">
        <f>INDEX('Monthly P&amp;L'!$Q$14:$AZ$14,MATCH(B15,'Monthly P&amp;L'!$Q$6:$AZ$6,0))</f>
        <v>296.491</v>
      </c>
      <c r="D15" s="53">
        <f>IF(COUNTIFS('Raw - Bank'!$A$4:$A$874,"&gt;="&amp;B15,'Raw - Bank'!$A$4:$A$874,"&lt;="&amp;EOMONTH(B15,0))=0,"n.a.",SUMIFS('Raw - Bank'!$C$4:$C$874,'Raw - Bank'!$D$4:$D$874,"Operating",'Raw - Bank'!$A$4:$A$874,"&gt;="&amp;B15,'Raw - Bank'!$A$4:$A$874,"&lt;="&amp;EOMONTH(B15,0))/1000)</f>
        <v>311.49955</v>
      </c>
      <c r="E15" s="52">
        <f>IFERROR(D15-C15,"n.a.")</f>
        <v>15.008549999999989</v>
      </c>
      <c r="F15" s="129">
        <f>IFERROR(E15/C15,"n.a.")</f>
        <v>0.0506205921933549</v>
      </c>
      <c r="H15" s="248" t="str">
        <f>IF(ISNUMBER(F15),IF(ABS(F15)&gt;$F$23,"Explain: variance above the threshold",""),"No bank statement for the month")</f>
        <v>Explain: variance above the threshold</v>
      </c>
    </row>
    <row r="16" spans="2:8" x14ac:dyDescent="0.25">
      <c r="B16" s="249">
        <f>EOMONTH(B15,0)+1</f>
        <v>45901</v>
      </c>
      <c r="C16" s="53">
        <f>INDEX('Monthly P&amp;L'!$Q$14:$AZ$14,MATCH(B16,'Monthly P&amp;L'!$Q$6:$AZ$6,0))</f>
        <v>262.866</v>
      </c>
      <c r="D16" s="53">
        <f>IF(COUNTIFS('Raw - Bank'!$A$4:$A$874,"&gt;="&amp;B16,'Raw - Bank'!$A$4:$A$874,"&lt;="&amp;EOMONTH(B16,0))=0,"n.a.",SUMIFS('Raw - Bank'!$C$4:$C$874,'Raw - Bank'!$D$4:$D$874,"Operating",'Raw - Bank'!$A$4:$A$874,"&gt;="&amp;B16,'Raw - Bank'!$A$4:$A$874,"&lt;="&amp;EOMONTH(B16,0))/1000)</f>
        <v>263.57655</v>
      </c>
      <c r="E16" s="52">
        <f>IFERROR(D16-C16,"n.a.")</f>
        <v>0.7105499999999884</v>
      </c>
      <c r="F16" s="129">
        <f>IFERROR(E16/C16,"n.a.")</f>
        <v>0.002703088265504053</v>
      </c>
      <c r="H16" s="248" t="str">
        <f>IF(ISNUMBER(F16),IF(ABS(F16)&gt;$F$23,"Explain: variance above the threshold",""),"No bank statement for the month")</f>
        <v/>
      </c>
    </row>
    <row r="17" spans="2:8" x14ac:dyDescent="0.25">
      <c r="B17" s="249">
        <f>EOMONTH(B16,0)+1</f>
        <v>45931</v>
      </c>
      <c r="C17" s="53">
        <f>INDEX('Monthly P&amp;L'!$Q$14:$AZ$14,MATCH(B17,'Monthly P&amp;L'!$Q$6:$AZ$6,0))</f>
        <v>233.382</v>
      </c>
      <c r="D17" s="53">
        <f>IF(COUNTIFS('Raw - Bank'!$A$4:$A$874,"&gt;="&amp;B17,'Raw - Bank'!$A$4:$A$874,"&lt;="&amp;EOMONTH(B17,0))=0,"n.a.",SUMIFS('Raw - Bank'!$C$4:$C$874,'Raw - Bank'!$D$4:$D$874,"Operating",'Raw - Bank'!$A$4:$A$874,"&gt;="&amp;B17,'Raw - Bank'!$A$4:$A$874,"&lt;="&amp;EOMONTH(B17,0))/1000)</f>
        <v>239.61504000000002</v>
      </c>
      <c r="E17" s="52">
        <f>IFERROR(D17-C17,"n.a.")</f>
        <v>6.233040000000008</v>
      </c>
      <c r="F17" s="129">
        <f>IFERROR(E17/C17,"n.a.")</f>
        <v>0.026707458158726927</v>
      </c>
      <c r="H17" s="248" t="str">
        <f>IF(ISNUMBER(F17),IF(ABS(F17)&gt;$F$23,"Explain: variance above the threshold",""),"No bank statement for the month")</f>
        <v/>
      </c>
    </row>
    <row r="18" spans="2:8" x14ac:dyDescent="0.25">
      <c r="B18" s="249">
        <f>EOMONTH(B17,0)+1</f>
        <v>45962</v>
      </c>
      <c r="C18" s="53">
        <f>INDEX('Monthly P&amp;L'!$Q$14:$AZ$14,MATCH(B18,'Monthly P&amp;L'!$Q$6:$AZ$6,0))</f>
        <v>244.069</v>
      </c>
      <c r="D18" s="53">
        <f>IF(COUNTIFS('Raw - Bank'!$A$4:$A$874,"&gt;="&amp;B18,'Raw - Bank'!$A$4:$A$874,"&lt;="&amp;EOMONTH(B18,0))=0,"n.a.",SUMIFS('Raw - Bank'!$C$4:$C$874,'Raw - Bank'!$D$4:$D$874,"Operating",'Raw - Bank'!$A$4:$A$874,"&gt;="&amp;B18,'Raw - Bank'!$A$4:$A$874,"&lt;="&amp;EOMONTH(B18,0))/1000)</f>
        <v>221.64392</v>
      </c>
      <c r="E18" s="52">
        <f>IFERROR(D18-C18,"n.a.")</f>
        <v>-22.425079999999987</v>
      </c>
      <c r="F18" s="129">
        <f>IFERROR(E18/C18,"n.a.")</f>
        <v>-0.09188008309125693</v>
      </c>
      <c r="H18" s="248" t="str">
        <f>IF(ISNUMBER(F18),IF(ABS(F18)&gt;$F$23,"Explain: variance above the threshold",""),"No bank statement for the month")</f>
        <v>Explain: variance above the threshold</v>
      </c>
    </row>
    <row r="19" spans="2:8" x14ac:dyDescent="0.25">
      <c r="B19" s="249">
        <f>EOMONTH(B18,0)+1</f>
        <v>45992</v>
      </c>
      <c r="C19" s="53">
        <f>INDEX('Monthly P&amp;L'!$Q$14:$AZ$14,MATCH(B19,'Monthly P&amp;L'!$Q$6:$AZ$6,0))</f>
        <v>284.02</v>
      </c>
      <c r="D19" s="53">
        <f>IF(COUNTIFS('Raw - Bank'!$A$4:$A$874,"&gt;="&amp;B19,'Raw - Bank'!$A$4:$A$874,"&lt;="&amp;EOMONTH(B19,0))=0,"n.a.",SUMIFS('Raw - Bank'!$C$4:$C$874,'Raw - Bank'!$D$4:$D$874,"Operating",'Raw - Bank'!$A$4:$A$874,"&gt;="&amp;B19,'Raw - Bank'!$A$4:$A$874,"&lt;="&amp;EOMONTH(B19,0))/1000)</f>
        <v>215.65353</v>
      </c>
      <c r="E19" s="52">
        <f>IFERROR(D19-C19,"n.a.")</f>
        <v>-68.36647</v>
      </c>
      <c r="F19" s="129">
        <f>IFERROR(E19/C19,"n.a.")</f>
        <v>-0.24071005562988523</v>
      </c>
      <c r="H19" s="248" t="str">
        <f>IF(ISNUMBER(F19),IF(ABS(F19)&gt;$F$23,"Explain: variance above the threshold",""),"No bank statement for the month")</f>
        <v>Explain: variance above the threshold</v>
      </c>
    </row>
    <row r="20" spans="2:6" x14ac:dyDescent="0.25">
      <c r="B20" s="197" t="s">
        <v>563</v>
      </c>
      <c r="C20" s="170">
        <f>SUMIFS(C8:C19,D8:D19,"&lt;&gt;n.a.")</f>
        <v>3040.8</v>
      </c>
      <c r="D20" s="200">
        <f>SUM(D8:D19)</f>
        <v>2995.18811</v>
      </c>
      <c r="E20" s="200">
        <f>D20-C20</f>
        <v>-45.61189000000013</v>
      </c>
      <c r="F20" s="250">
        <f>IFERROR(E20/C20,"n.a.")</f>
        <v>-0.014999963825309172</v>
      </c>
    </row>
    <row r="22" spans="2:6" x14ac:dyDescent="0.25">
      <c r="B22" s="251" t="s">
        <v>963</v>
      </c>
      <c r="F22" s="203">
        <f>ROUND(IFERROR(E20/C20,0),6)</f>
        <v>-0.014999963825309172</v>
      </c>
    </row>
    <row r="23" spans="2:6" x14ac:dyDescent="0.25">
      <c r="B23" s="52" t="s">
        <v>964</v>
      </c>
      <c r="F23" s="252">
        <f>'Checks'!$F$23</f>
        <v>0.05</v>
      </c>
    </row>
    <row r="25" ht="36.5" customHeight="1" spans="2:9" x14ac:dyDescent="0.25">
      <c r="B25" s="60" t="s">
        <v>965</v>
      </c>
      <c r="C25" s="60"/>
      <c r="D25" s="60"/>
      <c r="E25" s="60"/>
      <c r="F25" s="60"/>
      <c r="G25" s="60"/>
      <c r="H25" s="60"/>
      <c r="I25" s="60"/>
    </row>
  </sheetData>
  <mergeCells count="1">
    <mergeCell ref="B25:I25"/>
  </mergeCells>
  <conditionalFormatting sqref="F22">
    <cfRule type="expression" dxfId="42" priority="1">
      <formula>ABS(F22)&gt;$F$23</formula>
    </cfRule>
  </conditionalFormatting>
  <conditionalFormatting sqref="B2 I3 B8:D8 H8:H19 C9:D19 B22 F22:F23">
    <cfRule type="expression" dxfId="43" priority="2">
      <formula>$I$3=1</formula>
    </cfRule>
  </conditionalFormatting>
  <printOptions horizontalCentered="1"/>
  <pageMargins left="0.5" right="0.5" top="0.6" bottom="0.7" header="0.3" footer="0.3"/>
  <pageSetup paperSize="1" orientation="portrait" fitToWidth="1" fitToHeight="0"/>
  <headerFooter>
    <oddHeader>&amp;RProject Ridgeline | As of 12/31/25</oddHeader>
    <oddFooter>&amp;LAMB Advisory Services | Strictly confidential&amp;C&amp;A&amp;RPage &amp;P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I61"/>
  <sheetViews>
    <sheetView workbookViewId="0" showGridLines="0" zoomScale="100"/>
  </sheetViews>
  <sheetFormatPr defaultRowHeight="12.75" outlineLevelRow="0" outlineLevelCol="0" x14ac:dyDescent="55" customHeight="1"/>
  <cols>
    <col min="1" max="1" width="1.7" customWidth="1"/>
    <col min="2" max="2" width="35.5" customWidth="1"/>
    <col min="3" max="3" width="9.1" customWidth="1"/>
    <col min="4" max="4" width="0.9" customWidth="1"/>
    <col min="5" max="9" width="9.1" customWidth="1"/>
  </cols>
  <sheetData>
    <row r="2" ht="16.5" customHeight="1" spans="2:2" x14ac:dyDescent="0.25">
      <c r="B2" s="9">
        <f>Cover!B24</f>
      </c>
    </row>
    <row r="3" spans="2:9" x14ac:dyDescent="0.25">
      <c r="B3" s="10" t="s">
        <v>966</v>
      </c>
      <c r="C3" s="11"/>
      <c r="D3" s="11"/>
      <c r="E3" s="11"/>
      <c r="F3" s="11"/>
      <c r="G3" s="11"/>
      <c r="H3" s="34" t="s">
        <v>80</v>
      </c>
      <c r="I3" s="35">
        <f>'Contents'!$I$18</f>
      </c>
    </row>
    <row r="5" spans="2:9" x14ac:dyDescent="0.25">
      <c r="B5" s="36"/>
      <c r="C5" s="36" t="s">
        <v>967</v>
      </c>
      <c r="E5" s="36" t="s">
        <v>968</v>
      </c>
      <c r="F5" s="36"/>
      <c r="G5" s="36"/>
      <c r="H5" s="36"/>
      <c r="I5" s="36"/>
    </row>
    <row r="6" spans="2:9" x14ac:dyDescent="0.25">
      <c r="B6" s="13" t="s">
        <v>969</v>
      </c>
      <c r="C6" s="12" t="str">
        <f>'P&amp;L Summary'!E6</f>
        <v>FY2025</v>
      </c>
      <c r="E6" s="12" t="str">
        <f>"FY"&amp;('Assumptions'!$C$15+1)&amp;"E"</f>
        <v>FY2026E</v>
      </c>
      <c r="F6" s="12" t="str">
        <f>"FY"&amp;('Assumptions'!$C$15+2)&amp;"E"</f>
        <v>FY2027E</v>
      </c>
      <c r="G6" s="12" t="str">
        <f>"FY"&amp;('Assumptions'!$C$15+3)&amp;"E"</f>
        <v>FY2028E</v>
      </c>
      <c r="H6" s="12" t="str">
        <f>"FY"&amp;('Assumptions'!$C$15+4)&amp;"E"</f>
        <v>FY2029E</v>
      </c>
      <c r="I6" s="12" t="str">
        <f>"FY"&amp;('Assumptions'!$C$15+5)&amp;"E"</f>
        <v>FY2030E</v>
      </c>
    </row>
    <row r="8" spans="2:9" x14ac:dyDescent="0.25">
      <c r="B8" s="37" t="s">
        <v>329</v>
      </c>
      <c r="C8" s="37"/>
      <c r="E8" s="37"/>
      <c r="F8" s="37"/>
      <c r="G8" s="37"/>
      <c r="H8" s="37"/>
      <c r="I8" s="37"/>
    </row>
    <row r="9" spans="2:9" x14ac:dyDescent="0.25">
      <c r="B9" s="38" t="s">
        <v>87</v>
      </c>
      <c r="C9" s="39">
        <f>'P&amp;L Summary'!E14</f>
        <v>3040.8</v>
      </c>
      <c r="E9" s="39">
        <f>C9*(1+'Assumptions'!$C$31)</f>
        <v>3417.8592000000003</v>
      </c>
      <c r="F9" s="39">
        <f>E9*(1+'Assumptions'!$D$31)</f>
        <v>3761.3540496000005</v>
      </c>
      <c r="G9" s="39">
        <f>F9*(1+'Assumptions'!$E$31)</f>
        <v>4050.9783114192</v>
      </c>
      <c r="H9" s="39">
        <f>G9*(1+'Assumptions'!$F$31)</f>
        <v>4267.705651080128</v>
      </c>
      <c r="I9" s="39">
        <f>H9*(1+'Assumptions'!$G$31)</f>
        <v>4395.736820612532</v>
      </c>
    </row>
    <row r="10" spans="2:9" x14ac:dyDescent="0.25">
      <c r="B10" s="40" t="s">
        <v>88</v>
      </c>
      <c r="C10" s="118" t="s">
        <v>136</v>
      </c>
      <c r="E10" s="115">
        <f>IFERROR(E9/C9-1,"n.a.")</f>
        <v>0.12400000000000011</v>
      </c>
      <c r="F10" s="115">
        <f>IFERROR(F9/E9-1,"n.a.")</f>
        <v>0.10050000000000003</v>
      </c>
      <c r="G10" s="115">
        <f>IFERROR(G9/F9-1,"n.a.")</f>
        <v>0.07699999999999996</v>
      </c>
      <c r="H10" s="115">
        <f>IFERROR(H9/G9-1,"n.a.")</f>
        <v>0.0535000000000001</v>
      </c>
      <c r="I10" s="115">
        <f>IFERROR(I9/H9-1,"n.a.")</f>
        <v>0.030000000000000027</v>
      </c>
    </row>
    <row r="11" spans="2:9" x14ac:dyDescent="0.25">
      <c r="B11" s="52" t="s">
        <v>344</v>
      </c>
      <c r="C11" s="53">
        <f>'P&amp;L Summary'!E16</f>
        <v>1158.9</v>
      </c>
      <c r="E11" s="53">
        <f>E9*'Assumptions'!$C$32</f>
        <v>1302.5461411200001</v>
      </c>
      <c r="F11" s="53">
        <f>F9*'Assumptions'!$D$32</f>
        <v>1433.4520283025602</v>
      </c>
      <c r="G11" s="53">
        <f>G9*'Assumptions'!$E$32</f>
        <v>1543.8278344818573</v>
      </c>
      <c r="H11" s="53">
        <f>H9*'Assumptions'!$F$32</f>
        <v>1626.4226236266366</v>
      </c>
      <c r="I11" s="53">
        <f>I9*'Assumptions'!$G$32</f>
        <v>1675.215302335436</v>
      </c>
    </row>
    <row r="12" spans="2:9" x14ac:dyDescent="0.25">
      <c r="B12" s="116" t="s">
        <v>89</v>
      </c>
      <c r="C12" s="116">
        <f>C9-C11</f>
        <v>1881.9</v>
      </c>
      <c r="E12" s="116">
        <f>E9-E11</f>
        <v>2115.3130588800004</v>
      </c>
      <c r="F12" s="116">
        <f>F9-F11</f>
        <v>2327.9020212974406</v>
      </c>
      <c r="G12" s="116">
        <f>G9-G11</f>
        <v>2507.150476937343</v>
      </c>
      <c r="H12" s="116">
        <f>H9-H11</f>
        <v>2641.2830274534913</v>
      </c>
      <c r="I12" s="116">
        <f>I9-I11</f>
        <v>2720.521518277096</v>
      </c>
    </row>
    <row r="13" spans="2:9" x14ac:dyDescent="0.25">
      <c r="B13" s="52" t="s">
        <v>349</v>
      </c>
      <c r="C13" s="53">
        <f>'P&amp;L Summary'!E22</f>
        <v>904.7</v>
      </c>
      <c r="E13" s="53">
        <f>E9*'Assumptions'!$C$33</f>
        <v>1016.8131119999999</v>
      </c>
      <c r="F13" s="53">
        <f>F9*'Assumptions'!$D$33</f>
        <v>1119.002829756</v>
      </c>
      <c r="G13" s="53">
        <f>G9*'Assumptions'!$E$33</f>
        <v>1205.1660476472118</v>
      </c>
      <c r="H13" s="53">
        <f>H9*'Assumptions'!$F$33</f>
        <v>1269.642431196338</v>
      </c>
      <c r="I13" s="53">
        <f>I9*'Assumptions'!$G$33</f>
        <v>1307.731704132228</v>
      </c>
    </row>
    <row r="14" spans="2:9" x14ac:dyDescent="0.25">
      <c r="B14" s="52" t="s">
        <v>351</v>
      </c>
      <c r="C14" s="53">
        <f>'P&amp;L Summary'!E23</f>
        <v>200</v>
      </c>
      <c r="E14" s="53">
        <f>'Assumptions'!$C$34/1000</f>
        <v>200</v>
      </c>
      <c r="F14" s="53">
        <f>'Assumptions'!$D$34/1000</f>
        <v>200</v>
      </c>
      <c r="G14" s="53">
        <f>'Assumptions'!$E$34/1000</f>
        <v>200</v>
      </c>
      <c r="H14" s="53">
        <f>'Assumptions'!$F$34/1000</f>
        <v>200</v>
      </c>
      <c r="I14" s="53">
        <f>'Assumptions'!$G$34/1000</f>
        <v>200</v>
      </c>
    </row>
    <row r="15" spans="2:9" x14ac:dyDescent="0.25">
      <c r="B15" s="52" t="s">
        <v>353</v>
      </c>
      <c r="C15" s="53">
        <f>'P&amp;L Summary'!E24</f>
        <v>76.385</v>
      </c>
      <c r="E15" s="53">
        <f>E9*'Assumptions'!$C$35</f>
        <v>85.78826592</v>
      </c>
      <c r="F15" s="53">
        <f>F9*'Assumptions'!$D$35</f>
        <v>94.40998664496001</v>
      </c>
      <c r="G15" s="53">
        <f>G9*'Assumptions'!$E$35</f>
        <v>101.67955561662193</v>
      </c>
      <c r="H15" s="53">
        <f>H9*'Assumptions'!$F$35</f>
        <v>107.1194118421112</v>
      </c>
      <c r="I15" s="53">
        <f>I9*'Assumptions'!$G$35</f>
        <v>110.33299419737456</v>
      </c>
    </row>
    <row r="16" spans="2:9" x14ac:dyDescent="0.25">
      <c r="B16" s="52" t="s">
        <v>355</v>
      </c>
      <c r="C16" s="53">
        <f>'P&amp;L Summary'!E25</f>
        <v>79.6</v>
      </c>
      <c r="E16" s="53">
        <f>E9*'Assumptions'!$C$36</f>
        <v>89.54791104</v>
      </c>
      <c r="F16" s="53">
        <f>F9*'Assumptions'!$D$36</f>
        <v>98.54747609952003</v>
      </c>
      <c r="G16" s="53">
        <f>G9*'Assumptions'!$E$36</f>
        <v>106.13563175918304</v>
      </c>
      <c r="H16" s="53">
        <f>H9*'Assumptions'!$F$36</f>
        <v>111.81388805829936</v>
      </c>
      <c r="I16" s="53">
        <f>I9*'Assumptions'!$G$36</f>
        <v>115.16830470004835</v>
      </c>
    </row>
    <row r="17" spans="2:9" x14ac:dyDescent="0.25">
      <c r="B17" s="52" t="s">
        <v>357</v>
      </c>
      <c r="C17" s="53">
        <f>'P&amp;L Summary'!E26</f>
        <v>304.8</v>
      </c>
      <c r="E17" s="53">
        <f>E9*'Assumptions'!$C$37</f>
        <v>342.46949184000005</v>
      </c>
      <c r="F17" s="53">
        <f>F9*'Assumptions'!$D$37</f>
        <v>376.88767576992007</v>
      </c>
      <c r="G17" s="53">
        <f>G9*'Assumptions'!$E$37</f>
        <v>405.90802680420387</v>
      </c>
      <c r="H17" s="53">
        <f>H9*'Assumptions'!$F$37</f>
        <v>427.6241062382288</v>
      </c>
      <c r="I17" s="53">
        <f>I9*'Assumptions'!$G$37</f>
        <v>440.4528294253757</v>
      </c>
    </row>
    <row r="18" spans="2:9" x14ac:dyDescent="0.25">
      <c r="B18" s="116" t="s">
        <v>359</v>
      </c>
      <c r="C18" s="116">
        <f>SUM(C13:C17)</f>
        <v>1565.485</v>
      </c>
      <c r="E18" s="116">
        <f>SUM(E13:E17)</f>
        <v>1734.6187807999997</v>
      </c>
      <c r="F18" s="116">
        <f>SUM(F13:F17)</f>
        <v>1888.8479682704</v>
      </c>
      <c r="G18" s="116">
        <f>SUM(G13:G17)</f>
        <v>2018.8892618272207</v>
      </c>
      <c r="H18" s="116">
        <f>SUM(H13:H17)</f>
        <v>2116.1998373349775</v>
      </c>
      <c r="I18" s="116">
        <f>SUM(I13:I17)</f>
        <v>2173.685832455027</v>
      </c>
    </row>
    <row r="19" spans="2:9" x14ac:dyDescent="0.25">
      <c r="B19" s="52" t="s">
        <v>970</v>
      </c>
      <c r="C19" s="53">
        <f>'P&amp;L Summary'!E29-'P&amp;L Summary'!E30</f>
        <v>3.1</v>
      </c>
      <c r="E19" s="210" t="s">
        <v>136</v>
      </c>
      <c r="F19" s="210" t="s">
        <v>136</v>
      </c>
      <c r="G19" s="210" t="s">
        <v>136</v>
      </c>
      <c r="H19" s="210" t="s">
        <v>136</v>
      </c>
      <c r="I19" s="210" t="s">
        <v>136</v>
      </c>
    </row>
    <row r="20" spans="2:9" x14ac:dyDescent="0.25">
      <c r="B20" s="42" t="s">
        <v>91</v>
      </c>
      <c r="C20" s="42">
        <f>C12-C18+N(C19)</f>
        <v>319.515</v>
      </c>
      <c r="E20" s="119">
        <f>E12-E18+N(E19)</f>
        <v>380.6942780800005</v>
      </c>
      <c r="F20" s="120">
        <f>F12-F18+N(F19)</f>
        <v>439.0540530270403</v>
      </c>
      <c r="G20" s="120">
        <f>G12-G18+N(G19)</f>
        <v>488.26121511012224</v>
      </c>
      <c r="H20" s="120">
        <f>H12-H18+N(H19)</f>
        <v>525.083190118514</v>
      </c>
      <c r="I20" s="121">
        <f>I12-I18+N(I19)</f>
        <v>546.8356858220692</v>
      </c>
    </row>
    <row r="21" spans="2:9" x14ac:dyDescent="0.25">
      <c r="B21" s="47" t="s">
        <v>90</v>
      </c>
      <c r="C21" s="126">
        <f>IFERROR(C20/C9,"n.m.")</f>
        <v>0.10507596685082873</v>
      </c>
      <c r="E21" s="123">
        <f>IFERROR(E20/E9,"n.m.")</f>
        <v>0.11138383877252771</v>
      </c>
      <c r="F21" s="124">
        <f>IFERROR(F20/F9,"n.m.")</f>
        <v>0.11672765903909825</v>
      </c>
      <c r="G21" s="124">
        <f>IFERROR(G20/G9,"n.m.")</f>
        <v>0.12052920987845703</v>
      </c>
      <c r="H21" s="124">
        <f>IFERROR(H20/H9,"n.m.")</f>
        <v>0.12303641184476229</v>
      </c>
      <c r="I21" s="125">
        <f>IFERROR(I20/I9,"n.m.")</f>
        <v>0.12440137072307011</v>
      </c>
    </row>
    <row r="22" spans="2:9" x14ac:dyDescent="0.25">
      <c r="B22" s="52" t="s">
        <v>365</v>
      </c>
      <c r="C22" s="53">
        <f>'P&amp;L Summary'!E35</f>
        <v>72.4</v>
      </c>
      <c r="E22" s="53">
        <f>E9*'Assumptions'!$C$38</f>
        <v>81.34504896000001</v>
      </c>
      <c r="F22" s="53">
        <f>F9*'Assumptions'!$D$38</f>
        <v>89.52022638048001</v>
      </c>
      <c r="G22" s="53">
        <f>G9*'Assumptions'!$E$38</f>
        <v>96.41328381177698</v>
      </c>
      <c r="H22" s="53">
        <f>H9*'Assumptions'!$F$38</f>
        <v>101.57139449570705</v>
      </c>
      <c r="I22" s="53">
        <f>I9*'Assumptions'!$G$38</f>
        <v>104.61853633057827</v>
      </c>
    </row>
    <row r="23" spans="2:9" x14ac:dyDescent="0.25">
      <c r="B23" s="116" t="s">
        <v>367</v>
      </c>
      <c r="C23" s="116">
        <f>C20-C22</f>
        <v>247.115</v>
      </c>
      <c r="E23" s="116">
        <f>E20-E22</f>
        <v>299.3492291200005</v>
      </c>
      <c r="F23" s="116">
        <f>F20-F22</f>
        <v>349.5338266465603</v>
      </c>
      <c r="G23" s="116">
        <f>G20-G22</f>
        <v>391.84793129834526</v>
      </c>
      <c r="H23" s="116">
        <f>H20-H22</f>
        <v>423.5117956228069</v>
      </c>
      <c r="I23" s="116">
        <f>I20-I22</f>
        <v>442.2171494914909</v>
      </c>
    </row>
    <row r="24" spans="2:9" x14ac:dyDescent="0.25">
      <c r="B24" s="52" t="s">
        <v>369</v>
      </c>
      <c r="C24" s="53">
        <f>'P&amp;L Summary'!E38</f>
        <v>14.3</v>
      </c>
      <c r="E24" s="53">
        <f>C39*'Assumptions'!$C$43</f>
        <v>14.30528</v>
      </c>
      <c r="F24" s="53">
        <f>E39*'Assumptions'!$D$43</f>
        <v>11.444224</v>
      </c>
      <c r="G24" s="53">
        <f>F39*'Assumptions'!$E$43</f>
        <v>8.583167999999999</v>
      </c>
      <c r="H24" s="53">
        <f>G39*'Assumptions'!$F$43</f>
        <v>5.722112</v>
      </c>
      <c r="I24" s="53">
        <f>H39*'Assumptions'!$G$43</f>
        <v>2.861056</v>
      </c>
    </row>
    <row r="25" spans="2:9" x14ac:dyDescent="0.25">
      <c r="B25" s="116" t="s">
        <v>371</v>
      </c>
      <c r="C25" s="116">
        <f>C23-C24</f>
        <v>232.815</v>
      </c>
      <c r="E25" s="116">
        <f>E23-E24</f>
        <v>285.0439491200005</v>
      </c>
      <c r="F25" s="116">
        <f>F23-F24</f>
        <v>338.08960264656037</v>
      </c>
      <c r="G25" s="116">
        <f>G23-G24</f>
        <v>383.26476329834526</v>
      </c>
      <c r="H25" s="116">
        <f>H23-H24</f>
        <v>417.78968362280693</v>
      </c>
      <c r="I25" s="116">
        <f>I23-I24</f>
        <v>439.3560934914909</v>
      </c>
    </row>
    <row r="26" spans="2:9" x14ac:dyDescent="0.25">
      <c r="B26" s="52" t="s">
        <v>373</v>
      </c>
      <c r="C26" s="53">
        <f>'P&amp;L Summary'!E41</f>
        <v>0</v>
      </c>
      <c r="E26" s="53">
        <f>MAX(0,E25)*'Assumptions'!$C$45</f>
        <v>0</v>
      </c>
      <c r="F26" s="53">
        <f>MAX(0,F25)*'Assumptions'!$D$45</f>
        <v>0</v>
      </c>
      <c r="G26" s="53">
        <f>MAX(0,G25)*'Assumptions'!$E$45</f>
        <v>0</v>
      </c>
      <c r="H26" s="53">
        <f>MAX(0,H25)*'Assumptions'!$F$45</f>
        <v>0</v>
      </c>
      <c r="I26" s="53">
        <f>MAX(0,I25)*'Assumptions'!$G$45</f>
        <v>0</v>
      </c>
    </row>
    <row r="27" spans="2:9" x14ac:dyDescent="0.25">
      <c r="B27" s="197" t="s">
        <v>92</v>
      </c>
      <c r="C27" s="197">
        <f>C25-C26</f>
        <v>232.815</v>
      </c>
      <c r="E27" s="170">
        <f>E25-E26</f>
        <v>285.0439491200005</v>
      </c>
      <c r="F27" s="200">
        <f>F25-F26</f>
        <v>338.08960264656037</v>
      </c>
      <c r="G27" s="200">
        <f>G25-G26</f>
        <v>383.26476329834526</v>
      </c>
      <c r="H27" s="200">
        <f>H25-H26</f>
        <v>417.78968362280693</v>
      </c>
      <c r="I27" s="212">
        <f>I25-I26</f>
        <v>439.3560934914909</v>
      </c>
    </row>
    <row r="29" spans="2:9" x14ac:dyDescent="0.25">
      <c r="B29" s="37" t="s">
        <v>825</v>
      </c>
      <c r="C29" s="37"/>
      <c r="E29" s="37"/>
      <c r="F29" s="37"/>
      <c r="G29" s="37"/>
      <c r="H29" s="37"/>
      <c r="I29" s="37"/>
    </row>
    <row r="30" spans="2:9" x14ac:dyDescent="0.25">
      <c r="B30" s="38" t="s">
        <v>826</v>
      </c>
      <c r="C30" s="39">
        <f>'Balance Sheet'!E8</f>
        <v>238.615</v>
      </c>
      <c r="E30" s="236">
        <f>E58</f>
        <v>438.3393518264114</v>
      </c>
      <c r="F30" s="236">
        <f>F58</f>
        <v>694.8270249449661</v>
      </c>
      <c r="G30" s="236">
        <f>G58</f>
        <v>1000.5238506780487</v>
      </c>
      <c r="H30" s="236">
        <f>H58</f>
        <v>1346.2043379561587</v>
      </c>
      <c r="I30" s="236">
        <f>I58</f>
        <v>1720.093071625703</v>
      </c>
    </row>
    <row r="31" spans="2:9" x14ac:dyDescent="0.25">
      <c r="B31" s="52" t="s">
        <v>827</v>
      </c>
      <c r="C31" s="53">
        <f>'Balance Sheet'!E9</f>
        <v>248.6</v>
      </c>
      <c r="E31" s="53">
        <f>E9*'Assumptions'!$C$40/365</f>
        <v>280.91993424657534</v>
      </c>
      <c r="F31" s="53">
        <f>F9*'Assumptions'!$D$40/365</f>
        <v>309.15238763835623</v>
      </c>
      <c r="G31" s="53">
        <f>G9*'Assumptions'!$E$40/365</f>
        <v>332.95712148650955</v>
      </c>
      <c r="H31" s="53">
        <f>H9*'Assumptions'!$F$40/365</f>
        <v>350.77032748603784</v>
      </c>
      <c r="I31" s="53">
        <f>I9*'Assumptions'!$G$40/365</f>
        <v>361.293437310619</v>
      </c>
    </row>
    <row r="32" spans="2:9" x14ac:dyDescent="0.25">
      <c r="B32" s="52" t="s">
        <v>828</v>
      </c>
      <c r="C32" s="53">
        <f>'Balance Sheet'!E10</f>
        <v>96.3</v>
      </c>
      <c r="E32" s="53">
        <f>E11*'Assumptions'!$C$41/365</f>
        <v>107.05858694136985</v>
      </c>
      <c r="F32" s="53">
        <f>F11*'Assumptions'!$D$41/365</f>
        <v>117.81797492897753</v>
      </c>
      <c r="G32" s="53">
        <f>G11*'Assumptions'!$E$41/365</f>
        <v>126.8899589985088</v>
      </c>
      <c r="H32" s="53">
        <f>H11*'Assumptions'!$F$41/365</f>
        <v>133.67857180492902</v>
      </c>
      <c r="I32" s="53">
        <f>I11*'Assumptions'!$G$41/365</f>
        <v>137.68892895907695</v>
      </c>
    </row>
    <row r="33" spans="2:9" x14ac:dyDescent="0.25">
      <c r="B33" s="52" t="s">
        <v>829</v>
      </c>
      <c r="C33" s="53">
        <f>'Balance Sheet'!E11</f>
        <v>14.2</v>
      </c>
      <c r="E33" s="205">
        <f>C33</f>
        <v>14.2</v>
      </c>
      <c r="F33" s="205">
        <f>E33</f>
        <v>14.2</v>
      </c>
      <c r="G33" s="205">
        <f>F33</f>
        <v>14.2</v>
      </c>
      <c r="H33" s="205">
        <f>G33</f>
        <v>14.2</v>
      </c>
      <c r="I33" s="205">
        <f>H33</f>
        <v>14.2</v>
      </c>
    </row>
    <row r="34" spans="2:9" x14ac:dyDescent="0.25">
      <c r="B34" s="52" t="s">
        <v>831</v>
      </c>
      <c r="C34" s="53">
        <f>'Balance Sheet'!E13</f>
        <v>357.5</v>
      </c>
      <c r="E34" s="52">
        <f>C34-E51-E22</f>
        <v>357.5</v>
      </c>
      <c r="F34" s="52">
        <f>E34-F51-F22</f>
        <v>357.5</v>
      </c>
      <c r="G34" s="52">
        <f>F34-G51-G22</f>
        <v>357.5</v>
      </c>
      <c r="H34" s="52">
        <f>G34-H51-H22</f>
        <v>357.5</v>
      </c>
      <c r="I34" s="52">
        <f>H34-I51-I22</f>
        <v>357.5</v>
      </c>
    </row>
    <row r="35" spans="2:9" x14ac:dyDescent="0.25">
      <c r="B35" s="52" t="s">
        <v>832</v>
      </c>
      <c r="C35" s="53">
        <f>'Balance Sheet'!E14</f>
        <v>12</v>
      </c>
      <c r="E35" s="205">
        <f>C35</f>
        <v>12</v>
      </c>
      <c r="F35" s="205">
        <f>E35</f>
        <v>12</v>
      </c>
      <c r="G35" s="205">
        <f>F35</f>
        <v>12</v>
      </c>
      <c r="H35" s="205">
        <f>G35</f>
        <v>12</v>
      </c>
      <c r="I35" s="205">
        <f>H35</f>
        <v>12</v>
      </c>
    </row>
    <row r="36" spans="2:9" x14ac:dyDescent="0.25">
      <c r="B36" s="197" t="s">
        <v>833</v>
      </c>
      <c r="C36" s="197">
        <f>SUM(C30:C35)</f>
        <v>967.215</v>
      </c>
      <c r="E36" s="170">
        <f>SUM(E30:E35)</f>
        <v>1210.0178730143564</v>
      </c>
      <c r="F36" s="200">
        <f>SUM(F30:F35)</f>
        <v>1505.4973875122996</v>
      </c>
      <c r="G36" s="200">
        <f>SUM(G30:G35)</f>
        <v>1844.070931163067</v>
      </c>
      <c r="H36" s="200">
        <f>SUM(H30:H35)</f>
        <v>2214.353237247126</v>
      </c>
      <c r="I36" s="212">
        <f>SUM(I30:I35)</f>
        <v>2602.775437895399</v>
      </c>
    </row>
    <row r="37" spans="2:9" x14ac:dyDescent="0.25">
      <c r="B37" s="38" t="s">
        <v>834</v>
      </c>
      <c r="C37" s="39">
        <f>'Balance Sheet'!E16</f>
        <v>118.4</v>
      </c>
      <c r="E37" s="39">
        <f>E11*'Assumptions'!$C$42/365</f>
        <v>132.03892389435617</v>
      </c>
      <c r="F37" s="39">
        <f>F11*'Assumptions'!$D$42/365</f>
        <v>145.30883574573897</v>
      </c>
      <c r="G37" s="39">
        <f>G11*'Assumptions'!$E$42/365</f>
        <v>156.49761609816088</v>
      </c>
      <c r="H37" s="39">
        <f>H11*'Assumptions'!$F$42/365</f>
        <v>164.87023855941248</v>
      </c>
      <c r="I37" s="39">
        <f>I11*'Assumptions'!$G$42/365</f>
        <v>169.8163457161949</v>
      </c>
    </row>
    <row r="38" spans="2:9" x14ac:dyDescent="0.25">
      <c r="B38" s="52" t="s">
        <v>835</v>
      </c>
      <c r="C38" s="53">
        <f>'Balance Sheet'!E17</f>
        <v>67.5</v>
      </c>
      <c r="E38" s="205">
        <f>C38</f>
        <v>67.5</v>
      </c>
      <c r="F38" s="205">
        <f>E38</f>
        <v>67.5</v>
      </c>
      <c r="G38" s="205">
        <f>F38</f>
        <v>67.5</v>
      </c>
      <c r="H38" s="205">
        <f>G38</f>
        <v>67.5</v>
      </c>
      <c r="I38" s="205">
        <f>H38</f>
        <v>67.5</v>
      </c>
    </row>
    <row r="39" spans="2:9" x14ac:dyDescent="0.25">
      <c r="B39" s="52" t="s">
        <v>893</v>
      </c>
      <c r="C39" s="53">
        <f>'Balance Sheet'!E19</f>
        <v>279.4</v>
      </c>
      <c r="E39" s="52">
        <f>C39+E53</f>
        <v>223.52</v>
      </c>
      <c r="F39" s="52">
        <f>E39+F53</f>
        <v>167.64</v>
      </c>
      <c r="G39" s="52">
        <f>F39+G53</f>
        <v>111.76</v>
      </c>
      <c r="H39" s="52">
        <f>G39+H53</f>
        <v>55.88</v>
      </c>
      <c r="I39" s="52">
        <f>H39+I53</f>
        <v>0</v>
      </c>
    </row>
    <row r="40" spans="2:9" x14ac:dyDescent="0.25">
      <c r="B40" s="52" t="s">
        <v>839</v>
      </c>
      <c r="C40" s="53">
        <f>'Balance Sheet'!E21</f>
        <v>501.915</v>
      </c>
      <c r="E40" s="52">
        <f>C40+E27+E54</f>
        <v>786.9589491200005</v>
      </c>
      <c r="F40" s="52">
        <f>E40+F27+F54</f>
        <v>1125.0485517665609</v>
      </c>
      <c r="G40" s="52">
        <f>F40+G27+G54</f>
        <v>1508.3133150649062</v>
      </c>
      <c r="H40" s="52">
        <f>G40+H27+H54</f>
        <v>1926.102998687713</v>
      </c>
      <c r="I40" s="52">
        <f>H40+I27+I54</f>
        <v>2365.4590921792037</v>
      </c>
    </row>
    <row r="41" spans="2:9" x14ac:dyDescent="0.25">
      <c r="B41" s="197" t="s">
        <v>840</v>
      </c>
      <c r="C41" s="197">
        <f>SUM(C37:C40)</f>
        <v>967.215</v>
      </c>
      <c r="E41" s="170">
        <f>SUM(E37:E40)</f>
        <v>1210.0178730143566</v>
      </c>
      <c r="F41" s="200">
        <f>SUM(F37:F40)</f>
        <v>1505.4973875122996</v>
      </c>
      <c r="G41" s="200">
        <f>SUM(G37:G40)</f>
        <v>1844.070931163067</v>
      </c>
      <c r="H41" s="200">
        <f>SUM(H37:H40)</f>
        <v>2214.3532372471254</v>
      </c>
      <c r="I41" s="212">
        <f>SUM(I37:I40)</f>
        <v>2602.7754378953987</v>
      </c>
    </row>
    <row r="42" spans="2:9" x14ac:dyDescent="0.25">
      <c r="B42" s="130" t="s">
        <v>841</v>
      </c>
      <c r="C42" s="130">
        <f>ROUND(C36-C41,6)</f>
        <v>0</v>
      </c>
      <c r="E42" s="130">
        <f>ROUND(E36-E41,6)</f>
        <v>0</v>
      </c>
      <c r="F42" s="130">
        <f>ROUND(F36-F41,6)</f>
        <v>0</v>
      </c>
      <c r="G42" s="130">
        <f>ROUND(G36-G41,6)</f>
        <v>0</v>
      </c>
      <c r="H42" s="130">
        <f>ROUND(H36-H41,6)</f>
        <v>0</v>
      </c>
      <c r="I42" s="130">
        <f>ROUND(I36-I41,6)</f>
        <v>0</v>
      </c>
    </row>
    <row r="44" spans="2:9" x14ac:dyDescent="0.25">
      <c r="B44" s="37" t="s">
        <v>935</v>
      </c>
      <c r="C44" s="37"/>
      <c r="E44" s="37"/>
      <c r="F44" s="37"/>
      <c r="G44" s="37"/>
      <c r="H44" s="37"/>
      <c r="I44" s="37"/>
    </row>
    <row r="45" spans="2:9" x14ac:dyDescent="0.25">
      <c r="B45" s="38" t="s">
        <v>92</v>
      </c>
      <c r="E45" s="236">
        <f>E27</f>
        <v>285.0439491200005</v>
      </c>
      <c r="F45" s="236">
        <f>F27</f>
        <v>338.08960264656037</v>
      </c>
      <c r="G45" s="236">
        <f>G27</f>
        <v>383.26476329834526</v>
      </c>
      <c r="H45" s="236">
        <f>H27</f>
        <v>417.78968362280693</v>
      </c>
      <c r="I45" s="236">
        <f>I27</f>
        <v>439.3560934914909</v>
      </c>
    </row>
    <row r="46" spans="2:9" x14ac:dyDescent="0.25">
      <c r="B46" s="52" t="s">
        <v>936</v>
      </c>
      <c r="E46" s="205">
        <f>E22</f>
        <v>81.34504896000001</v>
      </c>
      <c r="F46" s="205">
        <f>F22</f>
        <v>89.52022638048001</v>
      </c>
      <c r="G46" s="205">
        <f>G22</f>
        <v>96.41328381177698</v>
      </c>
      <c r="H46" s="205">
        <f>H22</f>
        <v>101.57139449570705</v>
      </c>
      <c r="I46" s="205">
        <f>I22</f>
        <v>104.61853633057827</v>
      </c>
    </row>
    <row r="47" spans="2:9" x14ac:dyDescent="0.25">
      <c r="B47" s="52" t="s">
        <v>937</v>
      </c>
      <c r="E47" s="52">
        <f>C31-E31</f>
        <v>-32.31993424657534</v>
      </c>
      <c r="F47" s="52">
        <f>E31-F31</f>
        <v>-28.2324533917809</v>
      </c>
      <c r="G47" s="52">
        <f>F31-G31</f>
        <v>-23.804733848153322</v>
      </c>
      <c r="H47" s="52">
        <f>G31-H31</f>
        <v>-17.81320599952829</v>
      </c>
      <c r="I47" s="52">
        <f>H31-I31</f>
        <v>-10.523109824581189</v>
      </c>
    </row>
    <row r="48" spans="2:9" x14ac:dyDescent="0.25">
      <c r="B48" s="52" t="s">
        <v>938</v>
      </c>
      <c r="E48" s="52">
        <f>C32-E32</f>
        <v>-10.758586941369852</v>
      </c>
      <c r="F48" s="52">
        <f>E32-F32</f>
        <v>-10.759387987607683</v>
      </c>
      <c r="G48" s="52">
        <f>F32-G32</f>
        <v>-9.071984069531274</v>
      </c>
      <c r="H48" s="52">
        <f>G32-H32</f>
        <v>-6.78861280642022</v>
      </c>
      <c r="I48" s="52">
        <f>H32-I32</f>
        <v>-4.010357154147903</v>
      </c>
    </row>
    <row r="49" spans="2:9" x14ac:dyDescent="0.25">
      <c r="B49" s="52" t="s">
        <v>940</v>
      </c>
      <c r="E49" s="52">
        <f>E37-C37</f>
        <v>13.63892389435618</v>
      </c>
      <c r="F49" s="52">
        <f>F37-E37</f>
        <v>13.269911851382785</v>
      </c>
      <c r="G49" s="52">
        <f>G37-F37</f>
        <v>11.18878035242192</v>
      </c>
      <c r="H49" s="52">
        <f>H37-G37</f>
        <v>8.372622461251595</v>
      </c>
      <c r="I49" s="52">
        <f>I37-H37</f>
        <v>4.946107156782411</v>
      </c>
    </row>
    <row r="50" spans="2:9" x14ac:dyDescent="0.25">
      <c r="B50" s="116" t="s">
        <v>942</v>
      </c>
      <c r="C50" s="222"/>
      <c r="E50" s="116">
        <f>SUM(E45:E49)</f>
        <v>336.9494007864115</v>
      </c>
      <c r="F50" s="116">
        <f>SUM(F45:F49)</f>
        <v>401.88789949903463</v>
      </c>
      <c r="G50" s="116">
        <f>SUM(G45:G49)</f>
        <v>457.99010954485954</v>
      </c>
      <c r="H50" s="116">
        <f>SUM(H45:H49)</f>
        <v>503.131881773817</v>
      </c>
      <c r="I50" s="116">
        <f>SUM(I45:I49)</f>
        <v>534.3872700001225</v>
      </c>
    </row>
    <row r="51" spans="2:9" x14ac:dyDescent="0.25">
      <c r="B51" s="52" t="s">
        <v>971</v>
      </c>
      <c r="E51" s="53">
        <f>-E9*'Assumptions'!$C$39</f>
        <v>-81.34504896000001</v>
      </c>
      <c r="F51" s="53">
        <f>-F9*'Assumptions'!$D$39</f>
        <v>-89.52022638048001</v>
      </c>
      <c r="G51" s="53">
        <f>-G9*'Assumptions'!$E$39</f>
        <v>-96.41328381177698</v>
      </c>
      <c r="H51" s="53">
        <f>-H9*'Assumptions'!$F$39</f>
        <v>-101.57139449570705</v>
      </c>
      <c r="I51" s="53">
        <f>-I9*'Assumptions'!$G$39</f>
        <v>-104.61853633057827</v>
      </c>
    </row>
    <row r="52" spans="2:9" x14ac:dyDescent="0.25">
      <c r="B52" s="116" t="s">
        <v>944</v>
      </c>
      <c r="C52" s="222"/>
      <c r="E52" s="238">
        <f>E51</f>
        <v>-81.34504896000001</v>
      </c>
      <c r="F52" s="238">
        <f>F51</f>
        <v>-89.52022638048001</v>
      </c>
      <c r="G52" s="238">
        <f>G51</f>
        <v>-96.41328381177698</v>
      </c>
      <c r="H52" s="238">
        <f>H51</f>
        <v>-101.57139449570705</v>
      </c>
      <c r="I52" s="238">
        <f>I51</f>
        <v>-104.61853633057827</v>
      </c>
    </row>
    <row r="53" spans="2:9" x14ac:dyDescent="0.25">
      <c r="B53" s="52" t="s">
        <v>972</v>
      </c>
      <c r="E53" s="53">
        <f>-MIN(C39,'Assumptions'!$C$44/1000)</f>
        <v>-55.88</v>
      </c>
      <c r="F53" s="53">
        <f>-MIN(E39,'Assumptions'!$D$44/1000)</f>
        <v>-55.88</v>
      </c>
      <c r="G53" s="53">
        <f>-MIN(F39,'Assumptions'!$E$44/1000)</f>
        <v>-55.88</v>
      </c>
      <c r="H53" s="53">
        <f>-MIN(G39,'Assumptions'!$F$44/1000)</f>
        <v>-55.88</v>
      </c>
      <c r="I53" s="53">
        <f>-MIN(H39,'Assumptions'!$G$44/1000)</f>
        <v>-55.88</v>
      </c>
    </row>
    <row r="54" spans="2:9" x14ac:dyDescent="0.25">
      <c r="B54" s="52" t="s">
        <v>973</v>
      </c>
      <c r="E54" s="53">
        <f>-MAX(0,E27)*'Assumptions'!$C$46</f>
        <v>0</v>
      </c>
      <c r="F54" s="53">
        <f>-MAX(0,F27)*'Assumptions'!$D$46</f>
        <v>0</v>
      </c>
      <c r="G54" s="53">
        <f>-MAX(0,G27)*'Assumptions'!$E$46</f>
        <v>0</v>
      </c>
      <c r="H54" s="53">
        <f>-MAX(0,H27)*'Assumptions'!$F$46</f>
        <v>0</v>
      </c>
      <c r="I54" s="53">
        <f>-MAX(0,I27)*'Assumptions'!$G$46</f>
        <v>0</v>
      </c>
    </row>
    <row r="55" spans="2:9" x14ac:dyDescent="0.25">
      <c r="B55" s="116" t="s">
        <v>947</v>
      </c>
      <c r="C55" s="222"/>
      <c r="E55" s="116">
        <f>E53+E54</f>
        <v>-55.88</v>
      </c>
      <c r="F55" s="116">
        <f>F53+F54</f>
        <v>-55.88</v>
      </c>
      <c r="G55" s="116">
        <f>G53+G54</f>
        <v>-55.88</v>
      </c>
      <c r="H55" s="116">
        <f>H53+H54</f>
        <v>-55.88</v>
      </c>
      <c r="I55" s="116">
        <f>I53+I54</f>
        <v>-55.88</v>
      </c>
    </row>
    <row r="56" spans="2:9" x14ac:dyDescent="0.25">
      <c r="B56" s="197" t="s">
        <v>948</v>
      </c>
      <c r="C56" s="253"/>
      <c r="E56" s="170">
        <f>E50+E52+E55</f>
        <v>199.72435182641146</v>
      </c>
      <c r="F56" s="200">
        <f>F50+F52+F55</f>
        <v>256.48767311855465</v>
      </c>
      <c r="G56" s="200">
        <f>G50+G52+G55</f>
        <v>305.6968257330826</v>
      </c>
      <c r="H56" s="200">
        <f>H50+H52+H55</f>
        <v>345.6804872781099</v>
      </c>
      <c r="I56" s="212">
        <f>I50+I52+I55</f>
        <v>373.8887336695442</v>
      </c>
    </row>
    <row r="57" spans="2:9" x14ac:dyDescent="0.25">
      <c r="B57" s="52" t="s">
        <v>949</v>
      </c>
      <c r="E57" s="205">
        <f>C30</f>
        <v>238.615</v>
      </c>
      <c r="F57" s="205">
        <f>E30</f>
        <v>438.3393518264114</v>
      </c>
      <c r="G57" s="205">
        <f>F30</f>
        <v>694.8270249449661</v>
      </c>
      <c r="H57" s="205">
        <f>G30</f>
        <v>1000.5238506780487</v>
      </c>
      <c r="I57" s="205">
        <f>H30</f>
        <v>1346.2043379561587</v>
      </c>
    </row>
    <row r="58" spans="2:9" x14ac:dyDescent="0.25">
      <c r="B58" s="197" t="s">
        <v>950</v>
      </c>
      <c r="C58" s="253"/>
      <c r="E58" s="170">
        <f>E57+E56</f>
        <v>438.3393518264114</v>
      </c>
      <c r="F58" s="200">
        <f>F57+F56</f>
        <v>694.8270249449661</v>
      </c>
      <c r="G58" s="200">
        <f>G57+G56</f>
        <v>1000.5238506780487</v>
      </c>
      <c r="H58" s="200">
        <f>H57+H56</f>
        <v>1346.2043379561587</v>
      </c>
      <c r="I58" s="212">
        <f>I57+I56</f>
        <v>1720.093071625703</v>
      </c>
    </row>
    <row r="59" spans="2:9" x14ac:dyDescent="0.25">
      <c r="B59" s="230" t="s">
        <v>952</v>
      </c>
      <c r="E59" s="130">
        <f>ROUND(E58-E30,6)</f>
        <v>0</v>
      </c>
      <c r="F59" s="130">
        <f>ROUND(F58-F30,6)</f>
        <v>0</v>
      </c>
      <c r="G59" s="130">
        <f>ROUND(G58-G30,6)</f>
        <v>0</v>
      </c>
      <c r="H59" s="130">
        <f>ROUND(H58-H30,6)</f>
        <v>0</v>
      </c>
      <c r="I59" s="130">
        <f>ROUND(I58-I30,6)</f>
        <v>0</v>
      </c>
    </row>
    <row r="61" ht="36.5" customHeight="1" spans="2:9" x14ac:dyDescent="0.25">
      <c r="B61" s="60" t="s">
        <v>974</v>
      </c>
      <c r="C61" s="60"/>
      <c r="D61" s="60"/>
      <c r="E61" s="60"/>
      <c r="F61" s="60"/>
      <c r="G61" s="60"/>
      <c r="H61" s="60"/>
      <c r="I61" s="60"/>
    </row>
  </sheetData>
  <mergeCells count="1">
    <mergeCell ref="B61:I61"/>
  </mergeCells>
  <conditionalFormatting sqref="C42:I42">
    <cfRule type="expression" dxfId="44" priority="1">
      <formula>ROUND(C42,3)&lt;&gt;0</formula>
    </cfRule>
  </conditionalFormatting>
  <conditionalFormatting sqref="C59:I59">
    <cfRule type="expression" dxfId="45" priority="2">
      <formula>ROUND(C59,3)&lt;&gt;0</formula>
    </cfRule>
  </conditionalFormatting>
  <conditionalFormatting sqref="B2 I3 C9 E9:I9 C11 E11:I11 C13:C17 E13:I17 C19 C22 E22:I22 C24 E24:I24 C26 E26:I26 E30:I33 C30:C35 E35:I35 E37:I38 C37:C40 E42:I42 B42:C42 E45:I46 E51:I54 E57:I57 E59:I59 B59">
    <cfRule type="expression" dxfId="46" priority="3">
      <formula>$I$3=1</formula>
    </cfRule>
  </conditionalFormatting>
  <printOptions horizontalCentered="1"/>
  <pageMargins left="0.5" right="0.5" top="0.6" bottom="0.7" header="0.3" footer="0.3"/>
  <pageSetup paperSize="1" orientation="portrait" fitToWidth="1" fitToHeight="1"/>
  <headerFooter>
    <oddHeader>&amp;RProject Ridgeline | As of 12/31/25</oddHeader>
    <oddFooter>&amp;LAMB Advisory Services | Strictly confidential&amp;C&amp;A&amp;RPage &amp;P of &amp;N</oddFooter>
  </headerFooter>
  <rowBreaks count="1" manualBreakCount="1">
    <brk id="43"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K15"/>
  <sheetViews>
    <sheetView workbookViewId="0" showGridLines="0" zoomScale="100"/>
  </sheetViews>
  <sheetFormatPr defaultRowHeight="12.75" outlineLevelRow="0" outlineLevelCol="0" x14ac:dyDescent="55" customHeight="1"/>
  <cols>
    <col min="1" max="1" width="1.7" customWidth="1"/>
    <col min="2" max="2" width="24" customWidth="1"/>
    <col min="3" max="3" width="20" customWidth="1"/>
    <col min="4" max="4" width="18" customWidth="1"/>
    <col min="5" max="6" width="20" customWidth="1"/>
    <col min="7" max="7" width="14" customWidth="1"/>
    <col min="8" max="8" width="10" customWidth="1"/>
    <col min="9" max="9" width="13" customWidth="1"/>
    <col min="10" max="10" width="0.9" customWidth="1"/>
    <col min="11" max="11" width="20" customWidth="1"/>
  </cols>
  <sheetData>
    <row r="2" ht="16.5" customHeight="1" spans="2:2" x14ac:dyDescent="0.25">
      <c r="B2" s="9">
        <f>Cover!B24</f>
      </c>
    </row>
    <row r="3" spans="2:11" x14ac:dyDescent="0.25">
      <c r="B3" s="10" t="s">
        <v>975</v>
      </c>
      <c r="C3" s="11"/>
      <c r="D3" s="11"/>
      <c r="E3" s="11"/>
      <c r="F3" s="11"/>
      <c r="G3" s="11"/>
      <c r="H3" s="11"/>
      <c r="I3" s="11"/>
      <c r="J3" s="34" t="s">
        <v>80</v>
      </c>
      <c r="K3" s="35">
        <f>'Contents'!$I$18</f>
      </c>
    </row>
    <row r="5" spans="2:11" x14ac:dyDescent="0.25">
      <c r="B5" s="36" t="s">
        <v>976</v>
      </c>
      <c r="C5" s="36"/>
      <c r="D5" s="36"/>
      <c r="E5" s="36"/>
      <c r="F5" s="36"/>
      <c r="G5" s="36" t="s">
        <v>977</v>
      </c>
      <c r="H5" s="36"/>
      <c r="I5" s="36"/>
      <c r="K5" s="36" t="s">
        <v>140</v>
      </c>
    </row>
    <row r="6" spans="2:11" x14ac:dyDescent="0.25">
      <c r="B6" s="13" t="s">
        <v>978</v>
      </c>
      <c r="C6" s="13" t="s">
        <v>979</v>
      </c>
      <c r="D6" s="13" t="s">
        <v>980</v>
      </c>
      <c r="E6" s="13" t="s">
        <v>981</v>
      </c>
      <c r="F6" s="13" t="s">
        <v>982</v>
      </c>
      <c r="G6" s="12" t="s">
        <v>983</v>
      </c>
      <c r="H6" s="12" t="s">
        <v>984</v>
      </c>
      <c r="I6" s="12" t="s">
        <v>985</v>
      </c>
      <c r="K6" s="12"/>
    </row>
    <row r="8" spans="2:11" x14ac:dyDescent="0.25">
      <c r="B8" s="254" t="s">
        <v>986</v>
      </c>
      <c r="C8" s="24" t="s">
        <v>987</v>
      </c>
      <c r="D8" s="255" t="s">
        <v>988</v>
      </c>
      <c r="E8" s="24" t="s">
        <v>989</v>
      </c>
      <c r="F8" s="24" t="s">
        <v>11</v>
      </c>
      <c r="G8" s="90">
        <v>0</v>
      </c>
      <c r="H8" s="256">
        <f>'P&amp;L Summary'!K19</f>
        <v>0.6188831886345698</v>
      </c>
      <c r="I8" s="162">
        <f>G8*H8</f>
        <v>0</v>
      </c>
      <c r="K8" s="24" t="s">
        <v>500</v>
      </c>
    </row>
    <row r="9" spans="2:11" x14ac:dyDescent="0.25">
      <c r="B9" s="254" t="s">
        <v>990</v>
      </c>
      <c r="C9" s="24" t="s">
        <v>991</v>
      </c>
      <c r="D9" s="255" t="s">
        <v>988</v>
      </c>
      <c r="E9" s="24" t="s">
        <v>992</v>
      </c>
      <c r="F9" s="24" t="s">
        <v>11</v>
      </c>
      <c r="G9" s="90">
        <v>0</v>
      </c>
      <c r="H9" s="256">
        <f>'P&amp;L Summary'!K19</f>
        <v>0.6188831886345698</v>
      </c>
      <c r="I9" s="162">
        <f>G9*H9</f>
        <v>0</v>
      </c>
      <c r="K9" s="24" t="s">
        <v>500</v>
      </c>
    </row>
    <row r="10" spans="2:11" x14ac:dyDescent="0.25">
      <c r="B10" s="254" t="s">
        <v>993</v>
      </c>
      <c r="C10" s="24" t="s">
        <v>994</v>
      </c>
      <c r="D10" s="255" t="s">
        <v>988</v>
      </c>
      <c r="E10" s="24" t="s">
        <v>995</v>
      </c>
      <c r="F10" s="24" t="s">
        <v>994</v>
      </c>
      <c r="G10" s="90">
        <v>0</v>
      </c>
      <c r="H10" s="256">
        <f>'P&amp;L Summary'!K19</f>
        <v>0.6188831886345698</v>
      </c>
      <c r="I10" s="162">
        <f>G10*H10</f>
        <v>0</v>
      </c>
      <c r="K10" s="24" t="s">
        <v>500</v>
      </c>
    </row>
    <row r="11" spans="2:11" x14ac:dyDescent="0.25">
      <c r="B11" s="254" t="s">
        <v>996</v>
      </c>
      <c r="C11" s="24" t="s">
        <v>997</v>
      </c>
      <c r="D11" s="255" t="s">
        <v>988</v>
      </c>
      <c r="E11" s="24" t="s">
        <v>998</v>
      </c>
      <c r="F11" s="24" t="s">
        <v>11</v>
      </c>
      <c r="G11" s="90">
        <v>0</v>
      </c>
      <c r="H11" s="256">
        <f>'P&amp;L Summary'!K19</f>
        <v>0.6188831886345698</v>
      </c>
      <c r="I11" s="162">
        <f>G11*H11</f>
        <v>0</v>
      </c>
      <c r="K11" s="24" t="s">
        <v>500</v>
      </c>
    </row>
    <row r="12" spans="2:11" x14ac:dyDescent="0.25">
      <c r="B12" s="254" t="s">
        <v>999</v>
      </c>
      <c r="C12" s="24" t="s">
        <v>1000</v>
      </c>
      <c r="D12" s="255" t="s">
        <v>988</v>
      </c>
      <c r="E12" s="24" t="s">
        <v>1001</v>
      </c>
      <c r="F12" s="24" t="s">
        <v>11</v>
      </c>
      <c r="G12" s="90">
        <v>0</v>
      </c>
      <c r="H12" s="256">
        <f>'P&amp;L Summary'!K19</f>
        <v>0.6188831886345698</v>
      </c>
      <c r="I12" s="162">
        <f>G12*H12</f>
        <v>0</v>
      </c>
      <c r="K12" s="24" t="s">
        <v>500</v>
      </c>
    </row>
    <row r="13" spans="2:9" x14ac:dyDescent="0.25">
      <c r="B13" s="197" t="s">
        <v>563</v>
      </c>
      <c r="G13" s="170">
        <f>SUM(G8:G12)</f>
        <v>0</v>
      </c>
      <c r="H13" s="199"/>
      <c r="I13" s="212">
        <f>SUM(I8:I12)</f>
        <v>0</v>
      </c>
    </row>
    <row r="15" ht="25" customHeight="1" spans="2:11" x14ac:dyDescent="0.25">
      <c r="B15" s="60" t="s">
        <v>1002</v>
      </c>
      <c r="C15" s="60"/>
      <c r="D15" s="60"/>
      <c r="E15" s="60"/>
      <c r="F15" s="60"/>
      <c r="G15" s="60"/>
      <c r="H15" s="60"/>
      <c r="I15" s="60"/>
      <c r="J15" s="60"/>
      <c r="K15" s="60"/>
    </row>
  </sheetData>
  <mergeCells count="1">
    <mergeCell ref="B15:K15"/>
  </mergeCells>
  <conditionalFormatting sqref="B2 K3 D8:D12 G8:H12">
    <cfRule type="expression" dxfId="47" priority="1">
      <formula>$K$3=1</formula>
    </cfRule>
  </conditionalFormatting>
  <printOptions horizontalCentered="1"/>
  <pageMargins left="0.5" right="0.5" top="0.6" bottom="0.7" header="0.3" footer="0.3"/>
  <pageSetup paperSize="1" orientation="landscape" fitToWidth="1" fitToHeight="0"/>
  <headerFooter>
    <oddHeader>&amp;RProject Ridgeline | As of 12/31/25</oddHeader>
    <oddFooter>&amp;LAMB Advisory Services | Strictly confidential&amp;C&amp;A&amp;RPage &amp;P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H62"/>
  <sheetViews>
    <sheetView workbookViewId="0" showGridLines="0" zoomScale="100"/>
  </sheetViews>
  <sheetFormatPr defaultRowHeight="12.75" outlineLevelRow="0" outlineLevelCol="0" x14ac:dyDescent="55" customHeight="1"/>
  <cols>
    <col min="1" max="1" width="1.7" customWidth="1"/>
    <col min="2" max="2" width="34" customWidth="1"/>
    <col min="3" max="5" width="11" customWidth="1"/>
    <col min="6" max="6" width="0.9" customWidth="1"/>
    <col min="7" max="7" width="42" customWidth="1"/>
    <col min="8" max="8" width="7" customWidth="1"/>
  </cols>
  <sheetData>
    <row r="2" ht="16.5" customHeight="1" spans="2:2" x14ac:dyDescent="0.25">
      <c r="B2" s="9">
        <f>Cover!B24</f>
      </c>
    </row>
    <row r="3" spans="2:8" x14ac:dyDescent="0.25">
      <c r="B3" s="10" t="s">
        <v>1003</v>
      </c>
      <c r="C3" s="11"/>
      <c r="D3" s="11"/>
      <c r="E3" s="11"/>
      <c r="F3" s="11"/>
      <c r="G3" s="34" t="s">
        <v>80</v>
      </c>
      <c r="H3" s="35">
        <f>'Contents'!$I$18</f>
      </c>
    </row>
    <row r="5" spans="2:8" x14ac:dyDescent="0.25">
      <c r="B5" s="36"/>
      <c r="C5" s="36" t="s">
        <v>1004</v>
      </c>
      <c r="D5" s="36"/>
      <c r="E5" s="36"/>
      <c r="G5" s="36" t="s">
        <v>1005</v>
      </c>
      <c r="H5" s="36"/>
    </row>
    <row r="6" spans="2:8" x14ac:dyDescent="0.25">
      <c r="B6" s="13" t="s">
        <v>1006</v>
      </c>
      <c r="C6" s="12" t="s">
        <v>128</v>
      </c>
      <c r="D6" s="12" t="s">
        <v>129</v>
      </c>
      <c r="E6" s="12" t="s">
        <v>130</v>
      </c>
      <c r="G6" s="12"/>
      <c r="H6" s="12"/>
    </row>
    <row r="8" spans="2:7" x14ac:dyDescent="0.25">
      <c r="B8" s="37" t="s">
        <v>1007</v>
      </c>
      <c r="C8" s="257" t="s">
        <v>1008</v>
      </c>
      <c r="D8" s="37"/>
      <c r="E8" s="37"/>
      <c r="G8" s="60" t="s">
        <v>1009</v>
      </c>
    </row>
    <row r="9" spans="2:7" x14ac:dyDescent="0.25">
      <c r="B9" s="38" t="s">
        <v>87</v>
      </c>
      <c r="C9" s="39">
        <f>'P&amp;L Summary'!K14</f>
        <v>3040.8</v>
      </c>
      <c r="G9" s="60" t="s">
        <v>1010</v>
      </c>
    </row>
    <row r="10" spans="2:7" x14ac:dyDescent="0.25">
      <c r="B10" s="52" t="s">
        <v>91</v>
      </c>
      <c r="C10" s="53">
        <f>'Adj. EBITDA'!L13</f>
        <v>319.515</v>
      </c>
      <c r="G10" s="60" t="s">
        <v>1011</v>
      </c>
    </row>
    <row r="11" spans="2:3" x14ac:dyDescent="0.25">
      <c r="B11" s="52" t="s">
        <v>96</v>
      </c>
      <c r="C11" s="53">
        <f>'Adj. EBITDA'!L28</f>
        <v>385.725</v>
      </c>
    </row>
    <row r="12" spans="2:3" x14ac:dyDescent="0.25">
      <c r="B12" s="52" t="s">
        <v>98</v>
      </c>
      <c r="C12" s="53">
        <f>'Adj. EBITDA'!L32</f>
        <v>385.725</v>
      </c>
    </row>
    <row r="13" spans="2:3" x14ac:dyDescent="0.25">
      <c r="B13" s="52" t="s">
        <v>1012</v>
      </c>
      <c r="C13" s="53">
        <f>'Adj. EBITDA'!L24</f>
        <v>561.775</v>
      </c>
    </row>
    <row r="14" ht="3.95" customHeight="1" x14ac:dyDescent="0.25"/>
    <row r="15" spans="2:5" x14ac:dyDescent="0.25">
      <c r="B15" s="37" t="s">
        <v>1013</v>
      </c>
      <c r="C15" s="37"/>
      <c r="D15" s="37"/>
      <c r="E15" s="37"/>
    </row>
    <row r="16" spans="2:7" x14ac:dyDescent="0.25">
      <c r="B16" s="38" t="s">
        <v>87</v>
      </c>
      <c r="C16" s="39">
        <f>'P&amp;L Summary'!K14*(1+'Assumptions'!$C$88)</f>
        <v>2949.576</v>
      </c>
      <c r="D16" s="39">
        <f>'P&amp;L Summary'!K14*(1+'Assumptions'!$D$88)</f>
        <v>3040.8</v>
      </c>
      <c r="E16" s="39">
        <f>'P&amp;L Summary'!K14*(1+'Assumptions'!$E$88)</f>
        <v>3132.024</v>
      </c>
      <c r="G16" s="60" t="s">
        <v>1014</v>
      </c>
    </row>
    <row r="17" spans="2:7" x14ac:dyDescent="0.25">
      <c r="B17" s="52" t="s">
        <v>344</v>
      </c>
      <c r="C17" s="53">
        <f>IF('Assumptions'!$C$89="3-year average",AVERAGE('P&amp;L Summary'!$C$16:$E$16),IF('Assumptions'!$C$89="% of sales, 3-year blended",SUM('P&amp;L Summary'!$C$16:$E$16)/SUM('P&amp;L Summary'!$C$14:$E$14)*C16,IF('Assumptions'!$C$89="% of sales, latest year",'P&amp;L Summary'!K16/'P&amp;L Summary'!K14*C16,'P&amp;L Summary'!K16)))</f>
        <v>1124.133</v>
      </c>
      <c r="D17" s="53">
        <f>IF('Assumptions'!$D$89="3-year average",AVERAGE('P&amp;L Summary'!$C$16:$E$16),IF('Assumptions'!$D$89="% of sales, 3-year blended",SUM('P&amp;L Summary'!$C$16:$E$16)/SUM('P&amp;L Summary'!$C$14:$E$14)*D16,IF('Assumptions'!$D$89="% of sales, latest year",'P&amp;L Summary'!K16/'P&amp;L Summary'!K14*D16,'P&amp;L Summary'!K16)))</f>
        <v>1158.9</v>
      </c>
      <c r="E17" s="53">
        <f>IF('Assumptions'!$E$89="3-year average",AVERAGE('P&amp;L Summary'!$C$16:$E$16),IF('Assumptions'!$E$89="% of sales, 3-year blended",SUM('P&amp;L Summary'!$C$16:$E$16)/SUM('P&amp;L Summary'!$C$14:$E$14)*E16,IF('Assumptions'!$E$89="% of sales, latest year",'P&amp;L Summary'!K16/'P&amp;L Summary'!K14*E16,'P&amp;L Summary'!K16)))</f>
        <v>1193.667</v>
      </c>
      <c r="G17" s="60" t="s">
        <v>1015</v>
      </c>
    </row>
    <row r="18" spans="2:7" x14ac:dyDescent="0.25">
      <c r="B18" s="52" t="s">
        <v>349</v>
      </c>
      <c r="C18" s="53">
        <f>IF('Assumptions'!$C$90="3-year average",AVERAGE('P&amp;L Summary'!$C$22:$E$22),IF('Assumptions'!$C$90="% of sales, 3-year blended",SUM('P&amp;L Summary'!$C$22:$E$22)/SUM('P&amp;L Summary'!$C$14:$E$14)*C16,IF('Assumptions'!$C$90="% of sales, latest year",'P&amp;L Summary'!K22/'P&amp;L Summary'!K14*C16,'P&amp;L Summary'!K22)))</f>
        <v>904.7</v>
      </c>
      <c r="D18" s="53">
        <f>IF('Assumptions'!$D$90="3-year average",AVERAGE('P&amp;L Summary'!$C$22:$E$22),IF('Assumptions'!$D$90="% of sales, 3-year blended",SUM('P&amp;L Summary'!$C$22:$E$22)/SUM('P&amp;L Summary'!$C$14:$E$14)*D16,IF('Assumptions'!$D$90="% of sales, latest year",'P&amp;L Summary'!K22/'P&amp;L Summary'!K14*D16,'P&amp;L Summary'!K22)))</f>
        <v>904.7</v>
      </c>
      <c r="E18" s="53">
        <f>IF('Assumptions'!$E$90="3-year average",AVERAGE('P&amp;L Summary'!$C$22:$E$22),IF('Assumptions'!$E$90="% of sales, 3-year blended",SUM('P&amp;L Summary'!$C$22:$E$22)/SUM('P&amp;L Summary'!$C$14:$E$14)*E16,IF('Assumptions'!$E$90="% of sales, latest year",'P&amp;L Summary'!K22/'P&amp;L Summary'!K14*E16,'P&amp;L Summary'!K22)))</f>
        <v>904.7</v>
      </c>
      <c r="G18" s="60" t="s">
        <v>1015</v>
      </c>
    </row>
    <row r="19" spans="2:7" x14ac:dyDescent="0.25">
      <c r="B19" s="52" t="s">
        <v>353</v>
      </c>
      <c r="C19" s="53">
        <f>IF('Assumptions'!$C$91="3-year average",AVERAGE('P&amp;L Summary'!$C$24:$E$24),IF('Assumptions'!$C$91="% of sales, 3-year blended",SUM('P&amp;L Summary'!$C$24:$E$24)/SUM('P&amp;L Summary'!$C$14:$E$14)*C16,IF('Assumptions'!$C$91="% of sales, latest year",'P&amp;L Summary'!K24/'P&amp;L Summary'!K14*C16,'P&amp;L Summary'!K24)))</f>
        <v>76.385</v>
      </c>
      <c r="D19" s="53">
        <f>IF('Assumptions'!$D$91="3-year average",AVERAGE('P&amp;L Summary'!$C$24:$E$24),IF('Assumptions'!$D$91="% of sales, 3-year blended",SUM('P&amp;L Summary'!$C$24:$E$24)/SUM('P&amp;L Summary'!$C$14:$E$14)*D16,IF('Assumptions'!$D$91="% of sales, latest year",'P&amp;L Summary'!K24/'P&amp;L Summary'!K14*D16,'P&amp;L Summary'!K24)))</f>
        <v>76.385</v>
      </c>
      <c r="E19" s="53">
        <f>IF('Assumptions'!$E$91="3-year average",AVERAGE('P&amp;L Summary'!$C$24:$E$24),IF('Assumptions'!$E$91="% of sales, 3-year blended",SUM('P&amp;L Summary'!$C$24:$E$24)/SUM('P&amp;L Summary'!$C$14:$E$14)*E16,IF('Assumptions'!$E$91="% of sales, latest year",'P&amp;L Summary'!K24/'P&amp;L Summary'!K14*E16,'P&amp;L Summary'!K24)))</f>
        <v>76.385</v>
      </c>
      <c r="G19" s="60" t="s">
        <v>1015</v>
      </c>
    </row>
    <row r="20" spans="2:7" x14ac:dyDescent="0.25">
      <c r="B20" s="52" t="s">
        <v>355</v>
      </c>
      <c r="C20" s="53">
        <f>IF('Assumptions'!$C$92="3-year average",AVERAGE('P&amp;L Summary'!$C$25:$E$25),IF('Assumptions'!$C$92="% of sales, 3-year blended",SUM('P&amp;L Summary'!$C$25:$E$25)/SUM('P&amp;L Summary'!$C$14:$E$14)*C16,IF('Assumptions'!$C$92="% of sales, latest year",'P&amp;L Summary'!K25/'P&amp;L Summary'!K14*C16,'P&amp;L Summary'!K25)))</f>
        <v>79.6</v>
      </c>
      <c r="D20" s="53">
        <f>IF('Assumptions'!$D$92="3-year average",AVERAGE('P&amp;L Summary'!$C$25:$E$25),IF('Assumptions'!$D$92="% of sales, 3-year blended",SUM('P&amp;L Summary'!$C$25:$E$25)/SUM('P&amp;L Summary'!$C$14:$E$14)*D16,IF('Assumptions'!$D$92="% of sales, latest year",'P&amp;L Summary'!K25/'P&amp;L Summary'!K14*D16,'P&amp;L Summary'!K25)))</f>
        <v>79.6</v>
      </c>
      <c r="E20" s="53">
        <f>IF('Assumptions'!$E$92="3-year average",AVERAGE('P&amp;L Summary'!$C$25:$E$25),IF('Assumptions'!$E$92="% of sales, 3-year blended",SUM('P&amp;L Summary'!$C$25:$E$25)/SUM('P&amp;L Summary'!$C$14:$E$14)*E16,IF('Assumptions'!$E$92="% of sales, latest year",'P&amp;L Summary'!K25/'P&amp;L Summary'!K14*E16,'P&amp;L Summary'!K25)))</f>
        <v>79.6</v>
      </c>
      <c r="G20" s="60" t="s">
        <v>1015</v>
      </c>
    </row>
    <row r="21" spans="2:7" x14ac:dyDescent="0.25">
      <c r="B21" s="52" t="s">
        <v>357</v>
      </c>
      <c r="C21" s="53">
        <f>IF('Assumptions'!$C$93="3-year average",AVERAGE('P&amp;L Summary'!$C$26:$E$26),IF('Assumptions'!$C$93="% of sales, 3-year blended",SUM('P&amp;L Summary'!$C$26:$E$26)/SUM('P&amp;L Summary'!$C$14:$E$14)*C16,IF('Assumptions'!$C$93="% of sales, latest year",'P&amp;L Summary'!K26/'P&amp;L Summary'!K14*C16,'P&amp;L Summary'!K26)))</f>
        <v>304.8</v>
      </c>
      <c r="D21" s="53">
        <f>IF('Assumptions'!$D$93="3-year average",AVERAGE('P&amp;L Summary'!$C$26:$E$26),IF('Assumptions'!$D$93="% of sales, 3-year blended",SUM('P&amp;L Summary'!$C$26:$E$26)/SUM('P&amp;L Summary'!$C$14:$E$14)*D16,IF('Assumptions'!$D$93="% of sales, latest year",'P&amp;L Summary'!K26/'P&amp;L Summary'!K14*D16,'P&amp;L Summary'!K26)))</f>
        <v>304.8</v>
      </c>
      <c r="E21" s="53">
        <f>IF('Assumptions'!$E$93="3-year average",AVERAGE('P&amp;L Summary'!$C$26:$E$26),IF('Assumptions'!$E$93="% of sales, 3-year blended",SUM('P&amp;L Summary'!$C$26:$E$26)/SUM('P&amp;L Summary'!$C$14:$E$14)*E16,IF('Assumptions'!$E$93="% of sales, latest year",'P&amp;L Summary'!K26/'P&amp;L Summary'!K14*E16,'P&amp;L Summary'!K26)))</f>
        <v>304.8</v>
      </c>
      <c r="G21" s="60" t="s">
        <v>1015</v>
      </c>
    </row>
    <row r="22" spans="2:7" x14ac:dyDescent="0.25">
      <c r="B22" s="66" t="s">
        <v>1016</v>
      </c>
      <c r="C22" s="53">
        <f>C16-'P&amp;L Summary'!K14-(C17-'P&amp;L Summary'!K16)-(C18-'P&amp;L Summary'!K22)-(C19-'P&amp;L Summary'!K24)-(C20-'P&amp;L Summary'!K25)-(C21-'P&amp;L Summary'!K26)</f>
        <v>-56.457</v>
      </c>
      <c r="D22" s="53">
        <f>D16-'P&amp;L Summary'!K14-(D17-'P&amp;L Summary'!K16)-(D18-'P&amp;L Summary'!K22)-(D19-'P&amp;L Summary'!K24)-(D20-'P&amp;L Summary'!K25)-(D21-'P&amp;L Summary'!K26)</f>
        <v>0</v>
      </c>
      <c r="E22" s="53">
        <f>E16-'P&amp;L Summary'!K14-(E17-'P&amp;L Summary'!K16)-(E18-'P&amp;L Summary'!K22)-(E19-'P&amp;L Summary'!K24)-(E20-'P&amp;L Summary'!K25)-(E21-'P&amp;L Summary'!K26)</f>
        <v>56.457</v>
      </c>
      <c r="G22" s="60" t="s">
        <v>1017</v>
      </c>
    </row>
    <row r="23" spans="2:7" x14ac:dyDescent="0.25">
      <c r="B23" s="116" t="s">
        <v>1018</v>
      </c>
      <c r="C23" s="135">
        <f>'Adj. EBITDA'!K24+C22</f>
        <v>505.318</v>
      </c>
      <c r="D23" s="135">
        <f>'Adj. EBITDA'!K24+D22</f>
        <v>561.775</v>
      </c>
      <c r="E23" s="135">
        <f>'Adj. EBITDA'!K24+E22</f>
        <v>618.232</v>
      </c>
      <c r="G23" s="60" t="s">
        <v>1019</v>
      </c>
    </row>
    <row r="24" ht="3.95" customHeight="1" x14ac:dyDescent="0.25"/>
    <row r="25" spans="2:5" x14ac:dyDescent="0.25">
      <c r="B25" s="37" t="s">
        <v>1020</v>
      </c>
      <c r="C25" s="37"/>
      <c r="D25" s="37"/>
      <c r="E25" s="37"/>
    </row>
    <row r="26" spans="2:7" x14ac:dyDescent="0.25">
      <c r="B26" s="38" t="s">
        <v>1012</v>
      </c>
      <c r="C26" s="236">
        <f>C23</f>
        <v>505.318</v>
      </c>
      <c r="D26" s="236">
        <f>D23</f>
        <v>561.775</v>
      </c>
      <c r="E26" s="236">
        <f>E23</f>
        <v>618.232</v>
      </c>
      <c r="G26" s="60" t="s">
        <v>1021</v>
      </c>
    </row>
    <row r="27" spans="2:7" x14ac:dyDescent="0.25">
      <c r="B27" s="58" t="s">
        <v>1022</v>
      </c>
      <c r="C27" s="258">
        <f>'Assumptions'!$C$50</f>
        <v>2.5</v>
      </c>
      <c r="D27" s="258">
        <f>'Assumptions'!$D$50</f>
        <v>3</v>
      </c>
      <c r="E27" s="258">
        <f>'Assumptions'!$E$50</f>
        <v>3.5</v>
      </c>
      <c r="G27" s="60" t="s">
        <v>219</v>
      </c>
    </row>
    <row r="28" spans="2:5" x14ac:dyDescent="0.25">
      <c r="B28" s="116" t="s">
        <v>1023</v>
      </c>
      <c r="C28" s="116">
        <f>C26*C27</f>
        <v>1263.295</v>
      </c>
      <c r="D28" s="116">
        <f>D26*D27</f>
        <v>1685.325</v>
      </c>
      <c r="E28" s="116">
        <f>E26*E27</f>
        <v>2163.812</v>
      </c>
    </row>
    <row r="29" spans="2:7" x14ac:dyDescent="0.25">
      <c r="B29" s="52" t="s">
        <v>1024</v>
      </c>
      <c r="C29" s="53">
        <f>'Assumptions'!$C$96/1000</f>
        <v>0</v>
      </c>
      <c r="D29" s="53">
        <f>'Assumptions'!$D$96/1000</f>
        <v>0</v>
      </c>
      <c r="E29" s="53">
        <f>'Assumptions'!$E$96/1000</f>
        <v>0</v>
      </c>
      <c r="G29" s="60" t="s">
        <v>1025</v>
      </c>
    </row>
    <row r="30" spans="2:7" x14ac:dyDescent="0.25">
      <c r="B30" s="197" t="s">
        <v>131</v>
      </c>
      <c r="C30" s="170">
        <f>ROUND((C28+C29)*1000,-1)/1000</f>
        <v>1263.3</v>
      </c>
      <c r="D30" s="200">
        <f>ROUND((D28+D29)*1000,-1)/1000</f>
        <v>1685.33</v>
      </c>
      <c r="E30" s="212">
        <f>ROUND((E28+E29)*1000,-1)/1000</f>
        <v>2163.81</v>
      </c>
      <c r="G30" s="60" t="s">
        <v>1026</v>
      </c>
    </row>
    <row r="31" spans="2:5" x14ac:dyDescent="0.25">
      <c r="B31" s="52" t="s">
        <v>1027</v>
      </c>
      <c r="C31" s="259">
        <f>IFERROR(C30/C13,"n.a.")</f>
        <v>2.248765074985537</v>
      </c>
      <c r="D31" s="259">
        <f>IFERROR(D30/C13,"n.a.")</f>
        <v>3.0000089003604646</v>
      </c>
      <c r="E31" s="259">
        <f>IFERROR(E30/C13,"n.a.")</f>
        <v>3.851737795380713</v>
      </c>
    </row>
    <row r="32" spans="2:5" x14ac:dyDescent="0.25">
      <c r="B32" s="52" t="s">
        <v>1028</v>
      </c>
      <c r="C32" s="259">
        <f>IFERROR(C30/C11,"n.a.")</f>
        <v>3.275131246354268</v>
      </c>
      <c r="D32" s="259">
        <f>IFERROR(D30/C11,"n.a.")</f>
        <v>4.369252705943353</v>
      </c>
      <c r="E32" s="259">
        <f>IFERROR(E30/C11,"n.a.")</f>
        <v>5.6097219521679955</v>
      </c>
    </row>
    <row r="33" ht="3.95" customHeight="1" x14ac:dyDescent="0.25"/>
    <row r="34" spans="2:2" x14ac:dyDescent="0.25">
      <c r="B34" s="136" t="s">
        <v>1029</v>
      </c>
    </row>
    <row r="35" spans="2:7" x14ac:dyDescent="0.25">
      <c r="B35" s="38" t="s">
        <v>1030</v>
      </c>
      <c r="C35" s="236">
        <f>C30</f>
        <v>1263.3</v>
      </c>
      <c r="D35" s="236">
        <f>D30</f>
        <v>1685.33</v>
      </c>
      <c r="E35" s="236">
        <f>E30</f>
        <v>2163.81</v>
      </c>
      <c r="G35" s="60" t="s">
        <v>1031</v>
      </c>
    </row>
    <row r="36" spans="2:7" x14ac:dyDescent="0.25">
      <c r="B36" s="52" t="s">
        <v>1032</v>
      </c>
      <c r="C36" s="53">
        <f>-C35*'Assumptions'!$C$97</f>
        <v>-126.33</v>
      </c>
      <c r="D36" s="53">
        <f>-D35*'Assumptions'!$D$97</f>
        <v>-168.533</v>
      </c>
      <c r="E36" s="53">
        <f>-E35*'Assumptions'!$E$97</f>
        <v>-216.381</v>
      </c>
      <c r="G36" s="60" t="s">
        <v>1033</v>
      </c>
    </row>
    <row r="37" spans="2:7" x14ac:dyDescent="0.25">
      <c r="B37" s="116" t="s">
        <v>1034</v>
      </c>
      <c r="C37" s="116">
        <f>MAX(0,C35+C36)</f>
        <v>1136.97</v>
      </c>
      <c r="D37" s="116">
        <f>MAX(0,D35+D36)</f>
        <v>1516.797</v>
      </c>
      <c r="E37" s="116">
        <f>MAX(0,E35+E36)</f>
        <v>1947.429</v>
      </c>
      <c r="G37" s="60" t="s">
        <v>1035</v>
      </c>
    </row>
    <row r="38" spans="2:7" x14ac:dyDescent="0.25">
      <c r="B38" s="52" t="s">
        <v>1036</v>
      </c>
      <c r="C38" s="260">
        <f>'Assumptions'!$C$98</f>
        <v>10</v>
      </c>
      <c r="D38" s="260">
        <f>'Assumptions'!$D$98</f>
        <v>10</v>
      </c>
      <c r="E38" s="260">
        <f>'Assumptions'!$E$98</f>
        <v>10</v>
      </c>
      <c r="G38" s="60" t="s">
        <v>1025</v>
      </c>
    </row>
    <row r="39" spans="2:7" x14ac:dyDescent="0.25">
      <c r="B39" s="52" t="s">
        <v>1037</v>
      </c>
      <c r="C39" s="261">
        <f>'Assumptions'!$C$99</f>
        <v>0.105</v>
      </c>
      <c r="D39" s="261">
        <f>'Assumptions'!$D$99</f>
        <v>0.105</v>
      </c>
      <c r="E39" s="261">
        <f>'Assumptions'!$E$99</f>
        <v>0.105</v>
      </c>
      <c r="G39" s="60" t="s">
        <v>1025</v>
      </c>
    </row>
    <row r="40" spans="2:7" x14ac:dyDescent="0.25">
      <c r="B40" s="52" t="s">
        <v>1038</v>
      </c>
      <c r="C40" s="52">
        <f>-PMT(C39/12,C38*12,C37)*12</f>
        <v>184.10045194067197</v>
      </c>
      <c r="D40" s="52">
        <f>-PMT(D39/12,D38*12,D37)*12</f>
        <v>245.60279796499066</v>
      </c>
      <c r="E40" s="52">
        <f>-PMT(E39/12,E38*12,E37)*12</f>
        <v>315.33159100272735</v>
      </c>
      <c r="G40" s="60" t="s">
        <v>1039</v>
      </c>
    </row>
    <row r="41" spans="2:7" x14ac:dyDescent="0.25">
      <c r="B41" s="52" t="s">
        <v>1040</v>
      </c>
      <c r="C41" s="53">
        <f>'Adj. EBITDA'!L26-('Assumptions'!$C$94-'Assumptions'!$C$23)*(1+'Assumptions'!$C$24)/1000</f>
        <v>-109.25000000000001</v>
      </c>
      <c r="D41" s="53">
        <f>'Adj. EBITDA'!L26-('Assumptions'!$D$94-'Assumptions'!$C$23)*(1+'Assumptions'!$C$24)/1000</f>
        <v>-109.25000000000001</v>
      </c>
      <c r="E41" s="53">
        <f>'Adj. EBITDA'!L26-('Assumptions'!$E$94-'Assumptions'!$C$23)*(1+'Assumptions'!$C$24)/1000</f>
        <v>-109.25000000000001</v>
      </c>
      <c r="G41" s="60" t="s">
        <v>1041</v>
      </c>
    </row>
    <row r="42" spans="2:7" x14ac:dyDescent="0.25">
      <c r="B42" s="52" t="s">
        <v>1042</v>
      </c>
      <c r="C42" s="53">
        <f>'Adj. EBITDA'!L27-('Assumptions'!$C$95-'Assumptions'!$C$26)/1000</f>
        <v>-66.79999999999998</v>
      </c>
      <c r="D42" s="53">
        <f>'Adj. EBITDA'!L27-('Assumptions'!$D$95-'Assumptions'!$C$26)/1000</f>
        <v>-66.79999999999998</v>
      </c>
      <c r="E42" s="53">
        <f>'Adj. EBITDA'!L27-('Assumptions'!$E$95-'Assumptions'!$C$26)/1000</f>
        <v>-66.79999999999998</v>
      </c>
      <c r="G42" s="60" t="s">
        <v>1043</v>
      </c>
    </row>
    <row r="43" spans="2:7" x14ac:dyDescent="0.25">
      <c r="B43" s="52" t="s">
        <v>1044</v>
      </c>
      <c r="C43" s="52">
        <f>C26+C41+C42</f>
        <v>329.268</v>
      </c>
      <c r="D43" s="52">
        <f>D26+D41+D42</f>
        <v>385.725</v>
      </c>
      <c r="E43" s="52">
        <f>E26+E41+E42</f>
        <v>442.182</v>
      </c>
      <c r="G43" s="60" t="s">
        <v>1045</v>
      </c>
    </row>
    <row r="44" spans="2:7" x14ac:dyDescent="0.25">
      <c r="B44" s="262" t="s">
        <v>1046</v>
      </c>
      <c r="C44" s="263">
        <f>IFERROR(C43/C40,"n.a.")</f>
        <v>1.7885235833430195</v>
      </c>
      <c r="D44" s="264">
        <f>IFERROR(D43/D40,"n.a.")</f>
        <v>1.5705236389651513</v>
      </c>
      <c r="E44" s="265">
        <f>IFERROR(E43/E40,"n.a.")</f>
        <v>1.4022762470258665</v>
      </c>
      <c r="G44" s="71" t="str">
        <f>IFERROR("SBA loan only: "&amp;CHOOSE(MATCH(MIN(C44:E44),C44:E44,0),"Low","Mid","High")&amp;" case binds at "&amp;TEXT(MIN(C44:E44),"0.00")&amp;"x, "&amp;IF(MIN(C44:E44)&lt;'Assumptions'!$C$84,"below","clearing")&amp;" the "&amp;TEXT('Assumptions'!$C$84,"0.00")&amp;"x hurdle","n.a.")</f>
        <v>SBA loan only: High case binds at 1.40x, clearing the 1.25x hurdle</v>
      </c>
    </row>
    <row r="45" spans="2:7" x14ac:dyDescent="0.25">
      <c r="B45" s="193" t="s">
        <v>1047</v>
      </c>
      <c r="C45" s="72" t="s">
        <v>136</v>
      </c>
      <c r="D45" s="70">
        <f>'Deal Structure'!$C$80</f>
        <v>0.889260981564293</v>
      </c>
      <c r="E45" s="72" t="s">
        <v>136</v>
      </c>
      <c r="G45" s="71" t="str">
        <f>IF(ISNUMBER(D45),IF(D45&lt;'Assumptions'!$C$84,"Below the "&amp;TEXT('Assumptions'!$C$84,"0.00")&amp;"x hurdle: the seller note amortises inside "&amp;TEXT('Assumptions'!$C$57,"0")&amp;" months; lengthen the note or lower the price","Clears the "&amp;TEXT('Assumptions'!$C$84,"0.00")&amp;"x hurdle, seller note included"),"n.a.")</f>
        <v>Below the 1.25x hurdle: the seller note amortises inside 18 months; lengthen the note or lower the price</v>
      </c>
    </row>
    <row r="46" ht="3.95" customHeight="1" x14ac:dyDescent="0.25"/>
    <row r="47" spans="2:5" x14ac:dyDescent="0.25">
      <c r="B47" s="37" t="s">
        <v>1048</v>
      </c>
      <c r="C47" s="37"/>
      <c r="D47" s="37"/>
      <c r="E47" s="37"/>
    </row>
    <row r="48" spans="2:5" x14ac:dyDescent="0.25">
      <c r="B48" s="38" t="s">
        <v>1049</v>
      </c>
      <c r="C48" s="259">
        <f>IFERROR(C30/C10,"n.a.")</f>
        <v>3.9538049856814235</v>
      </c>
      <c r="D48" s="259">
        <f>IFERROR(D30/C10,"n.a.")</f>
        <v>5.274650642379857</v>
      </c>
      <c r="E48" s="259">
        <f>IFERROR(E30/C10,"n.a.")</f>
        <v>6.772170320642223</v>
      </c>
    </row>
    <row r="49" spans="2:5" x14ac:dyDescent="0.25">
      <c r="B49" s="52" t="s">
        <v>1050</v>
      </c>
      <c r="C49" s="259">
        <f>IFERROR(C30/C11,"n.a.")</f>
        <v>3.275131246354268</v>
      </c>
      <c r="D49" s="259">
        <f>IFERROR(D30/C11,"n.a.")</f>
        <v>4.369252705943353</v>
      </c>
      <c r="E49" s="259">
        <f>IFERROR(E30/C11,"n.a.")</f>
        <v>5.6097219521679955</v>
      </c>
    </row>
    <row r="50" spans="2:5" x14ac:dyDescent="0.25">
      <c r="B50" s="52" t="s">
        <v>1051</v>
      </c>
      <c r="C50" s="259">
        <f>IFERROR(C30/C12,"n.a.")</f>
        <v>3.275131246354268</v>
      </c>
      <c r="D50" s="259">
        <f>IFERROR(D30/C12,"n.a.")</f>
        <v>4.369252705943353</v>
      </c>
      <c r="E50" s="259">
        <f>IFERROR(E30/C12,"n.a.")</f>
        <v>5.6097219521679955</v>
      </c>
    </row>
    <row r="51" spans="2:5" x14ac:dyDescent="0.25">
      <c r="B51" s="52" t="s">
        <v>1052</v>
      </c>
      <c r="C51" s="259">
        <f>IFERROR(C30/C13,"n.a.")</f>
        <v>2.248765074985537</v>
      </c>
      <c r="D51" s="259">
        <f>IFERROR(D30/C13,"n.a.")</f>
        <v>3.0000089003604646</v>
      </c>
      <c r="E51" s="259">
        <f>IFERROR(E30/C13,"n.a.")</f>
        <v>3.851737795380713</v>
      </c>
    </row>
    <row r="52" spans="2:5" x14ac:dyDescent="0.25">
      <c r="B52" s="52" t="s">
        <v>1053</v>
      </c>
      <c r="C52" s="266">
        <f>IFERROR(C30/C9,"n.a.")</f>
        <v>0.4154498816101026</v>
      </c>
      <c r="D52" s="266">
        <f>IFERROR(D30/C9,"n.a.")</f>
        <v>0.5542390160484083</v>
      </c>
      <c r="E52" s="266">
        <f>IFERROR(E30/C9,"n.a.")</f>
        <v>0.7115923441199684</v>
      </c>
    </row>
    <row r="53" ht="3.95" customHeight="1" x14ac:dyDescent="0.25"/>
    <row r="54" spans="2:5" x14ac:dyDescent="0.25">
      <c r="B54" s="37" t="s">
        <v>1054</v>
      </c>
      <c r="C54" s="37"/>
      <c r="D54" s="37"/>
      <c r="E54" s="37"/>
    </row>
    <row r="55" spans="2:5" x14ac:dyDescent="0.25">
      <c r="B55" s="38" t="s">
        <v>1055</v>
      </c>
      <c r="C55" s="236">
        <f>C30</f>
        <v>1263.3</v>
      </c>
      <c r="D55" s="236">
        <f>D30</f>
        <v>1685.33</v>
      </c>
      <c r="E55" s="236">
        <f>E30</f>
        <v>2163.81</v>
      </c>
    </row>
    <row r="56" spans="2:7" x14ac:dyDescent="0.25">
      <c r="B56" s="52" t="s">
        <v>1056</v>
      </c>
      <c r="C56" s="53">
        <f>-'Debt-Like Items'!$C$15</f>
        <v>-279.4</v>
      </c>
      <c r="D56" s="53">
        <f>-'Debt-Like Items'!$C$15</f>
        <v>-279.4</v>
      </c>
      <c r="E56" s="53">
        <f>-'Debt-Like Items'!$C$15</f>
        <v>-279.4</v>
      </c>
      <c r="G56" s="60" t="s">
        <v>1057</v>
      </c>
    </row>
    <row r="57" spans="2:7" x14ac:dyDescent="0.25">
      <c r="B57" s="52" t="s">
        <v>1058</v>
      </c>
      <c r="C57" s="210" t="s">
        <v>136</v>
      </c>
      <c r="D57" s="210" t="s">
        <v>136</v>
      </c>
      <c r="E57" s="210" t="s">
        <v>136</v>
      </c>
      <c r="G57" s="60" t="s">
        <v>1059</v>
      </c>
    </row>
    <row r="58" spans="2:7" x14ac:dyDescent="0.25">
      <c r="B58" s="58" t="s">
        <v>1060</v>
      </c>
      <c r="C58" s="72" t="s">
        <v>136</v>
      </c>
      <c r="D58" s="72" t="s">
        <v>136</v>
      </c>
      <c r="E58" s="72" t="s">
        <v>136</v>
      </c>
      <c r="G58" s="60" t="s">
        <v>1061</v>
      </c>
    </row>
    <row r="59" spans="2:7" x14ac:dyDescent="0.25">
      <c r="B59" s="58" t="s">
        <v>1062</v>
      </c>
      <c r="C59" s="72" t="s">
        <v>136</v>
      </c>
      <c r="D59" s="72" t="s">
        <v>136</v>
      </c>
      <c r="E59" s="72" t="s">
        <v>136</v>
      </c>
      <c r="G59" s="60" t="s">
        <v>1063</v>
      </c>
    </row>
    <row r="60" spans="2:5" x14ac:dyDescent="0.25">
      <c r="B60" s="197" t="s">
        <v>1064</v>
      </c>
      <c r="C60" s="170">
        <f>SUM(C55:C59)</f>
        <v>983.9</v>
      </c>
      <c r="D60" s="200">
        <f>SUM(D55:D59)</f>
        <v>1405.93</v>
      </c>
      <c r="E60" s="212">
        <f>SUM(E55:E59)</f>
        <v>1884.41</v>
      </c>
    </row>
    <row r="62" ht="25" customHeight="1" spans="2:8" x14ac:dyDescent="0.25">
      <c r="B62" s="60" t="s">
        <v>1065</v>
      </c>
      <c r="C62" s="60"/>
      <c r="D62" s="60"/>
      <c r="E62" s="60"/>
      <c r="F62" s="60"/>
      <c r="G62" s="60"/>
      <c r="H62" s="60"/>
    </row>
  </sheetData>
  <mergeCells count="1">
    <mergeCell ref="B62:H62"/>
  </mergeCells>
  <conditionalFormatting sqref="B2 H3 C9:C13 C16:E23 C26:E27 C29:E29 C35:E36 C38:E39 C41:E42 G44:G45 D45 C55:E56">
    <cfRule type="expression" dxfId="48" priority="1">
      <formula>$H$3=1</formula>
    </cfRule>
  </conditionalFormatting>
  <printOptions horizontalCentered="1"/>
  <pageMargins left="0.5" right="0.5" top="0.6" bottom="0.7" header="0.3" footer="0.3"/>
  <pageSetup paperSize="1" orientation="portrait" fitToWidth="1" fitToHeight="0"/>
  <headerFooter>
    <oddHeader>&amp;RProject Ridgeline | As of 12/31/25</oddHeader>
    <oddFooter>&amp;LAMB Advisory Services | Strictly confidential&amp;C&amp;A&amp;RPage &amp;P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J82"/>
  <sheetViews>
    <sheetView workbookViewId="0" showGridLines="0" zoomScale="100"/>
  </sheetViews>
  <sheetFormatPr defaultRowHeight="12.75" outlineLevelRow="0" outlineLevelCol="0" x14ac:dyDescent="55" customHeight="1"/>
  <cols>
    <col min="1" max="1" width="1.7" customWidth="1"/>
    <col min="2" max="2" width="46" customWidth="1"/>
    <col min="3" max="4" width="12.3" customWidth="1"/>
    <col min="5" max="7" width="15" customWidth="1"/>
    <col min="8" max="8" width="0.9" customWidth="1"/>
    <col min="9" max="9" width="35.5" customWidth="1"/>
    <col min="10" max="10" width="7" customWidth="1"/>
  </cols>
  <sheetData>
    <row r="2" ht="16.5" customHeight="1" spans="2:2" x14ac:dyDescent="0.25">
      <c r="B2" s="9">
        <f>Cover!B24</f>
      </c>
    </row>
    <row r="3" spans="2:10" x14ac:dyDescent="0.25">
      <c r="B3" s="10" t="s">
        <v>1066</v>
      </c>
      <c r="C3" s="11"/>
      <c r="D3" s="11"/>
      <c r="E3" s="11"/>
      <c r="F3" s="11"/>
      <c r="G3" s="11"/>
      <c r="H3" s="11"/>
      <c r="I3" s="34" t="s">
        <v>80</v>
      </c>
      <c r="J3" s="35">
        <f>'Contents'!$I$18</f>
      </c>
    </row>
    <row r="5" spans="2:10" x14ac:dyDescent="0.25">
      <c r="B5" s="36"/>
      <c r="C5" s="36" t="s">
        <v>1067</v>
      </c>
      <c r="D5" s="36"/>
      <c r="E5" s="36"/>
      <c r="F5" s="36"/>
      <c r="G5" s="36"/>
      <c r="I5" s="36" t="s">
        <v>84</v>
      </c>
      <c r="J5" s="36"/>
    </row>
    <row r="6" spans="2:10" x14ac:dyDescent="0.25">
      <c r="B6" s="13" t="s">
        <v>1068</v>
      </c>
      <c r="C6" s="12" t="s">
        <v>1069</v>
      </c>
      <c r="D6" s="12"/>
      <c r="E6" s="12"/>
      <c r="F6" s="12"/>
      <c r="G6" s="12"/>
      <c r="I6" s="12"/>
      <c r="J6" s="12"/>
    </row>
    <row r="8" spans="2:7" x14ac:dyDescent="0.25">
      <c r="B8" s="37" t="s">
        <v>1070</v>
      </c>
      <c r="C8" s="37"/>
      <c r="D8" s="37"/>
      <c r="E8" s="37"/>
      <c r="F8" s="37"/>
      <c r="G8" s="37"/>
    </row>
    <row r="9" spans="2:3" x14ac:dyDescent="0.25">
      <c r="B9" s="267" t="s">
        <v>1071</v>
      </c>
      <c r="C9" s="268" t="str">
        <f>TEXT(C22*1000,"$#,##0")&amp;" ("&amp;TEXT('Assumptions'!$D$50,"0.0")&amp;"x SDE)"</f>
        <v>$1,685,330 (3.0x SDE)</v>
      </c>
    </row>
    <row r="10" spans="2:3" x14ac:dyDescent="0.25">
      <c r="B10" s="267" t="s">
        <v>1072</v>
      </c>
      <c r="C10" s="268" t="str">
        <f>TEXT(C23*1000,"$#,##0")&amp;" ("&amp;TEXT('Assumptions'!$C$55,"0%")&amp;" of valuation)"</f>
        <v>$1,348,264 (80% of valuation)</v>
      </c>
    </row>
    <row r="11" spans="2:3" x14ac:dyDescent="0.25">
      <c r="B11" s="267" t="s">
        <v>1073</v>
      </c>
      <c r="C11" s="268" t="str">
        <f>TEXT(C24*1000,"$#,##0")&amp;", "&amp;'Assumptions'!$C$57&amp;"-month term, quarterly payments, "&amp;TEXT('Assumptions'!$C$58,"0.0%")&amp;" interest ("&amp;TEXT('Assumptions'!$C$56,"0%")&amp;" of valuation)"</f>
        <v>$337,066, 18-month term, quarterly payments, 9.0% interest (20% of valuation)</v>
      </c>
    </row>
    <row r="12" spans="2:3" x14ac:dyDescent="0.25">
      <c r="B12" s="267" t="s">
        <v>1074</v>
      </c>
      <c r="C12" s="16" t="s">
        <v>1075</v>
      </c>
    </row>
    <row r="13" spans="2:3" x14ac:dyDescent="0.25">
      <c r="B13" s="267" t="s">
        <v>1076</v>
      </c>
      <c r="C13" s="16" t="s">
        <v>1075</v>
      </c>
    </row>
    <row r="14" spans="2:3" x14ac:dyDescent="0.25">
      <c r="B14" s="267" t="s">
        <v>1077</v>
      </c>
      <c r="C14" s="268" t="str">
        <f>"An escrow of "&amp;TEXT('Assumptions'!$C$59,"0%")&amp;" of the cash consideration ("&amp;TEXT(C25*1000,"$#,##0")&amp;") will be funded at closing and held for "&amp;'Assumptions'!$C$60&amp;" months."</f>
        <v>An escrow of 10% of the cash consideration ($134,826) will be funded at closing and held for 15 months.</v>
      </c>
    </row>
    <row r="15" spans="2:3" x14ac:dyDescent="0.25">
      <c r="B15" s="267" t="s">
        <v>1078</v>
      </c>
      <c r="C15" s="16" t="s">
        <v>1075</v>
      </c>
    </row>
    <row r="16" spans="2:3" x14ac:dyDescent="0.25">
      <c r="B16" s="267" t="s">
        <v>825</v>
      </c>
      <c r="C16" s="16" t="s">
        <v>1079</v>
      </c>
    </row>
    <row r="17" spans="2:3" x14ac:dyDescent="0.25">
      <c r="B17" s="267" t="s">
        <v>1080</v>
      </c>
      <c r="C17" s="268" t="str">
        <f>IF('Assumptions'!$C$65=1,"One month of payroll as reconciliation holdback",TEXT('Assumptions'!$C$65,"0.0")&amp;" months of payroll as reconciliation holdback")</f>
        <v>One month of payroll as reconciliation holdback</v>
      </c>
    </row>
    <row r="18" spans="2:3" x14ac:dyDescent="0.25">
      <c r="B18" s="267" t="s">
        <v>1081</v>
      </c>
      <c r="C18" s="268" t="str">
        <f>IF('Assumptions'!$C$20="Asset purchase","Asset sale","Stock sale")</f>
        <v>Asset sale</v>
      </c>
    </row>
    <row r="19" spans="2:3" x14ac:dyDescent="0.25">
      <c r="B19" s="267" t="s">
        <v>1082</v>
      </c>
      <c r="C19" s="268" t="str">
        <f>IF('Assumptions'!$C$71="","[Confirm: LOI date, signing and effective closing date]","Sign closing documents "&amp;TEXT('Assumptions'!$C$73,"mm/dd/yy")&amp;"; effective closing date "&amp;TEXT('Assumptions'!$C$74,"mm/dd/yy"))</f>
        <v>[Confirm: LOI date, signing and effective closing date]</v>
      </c>
    </row>
    <row r="20" ht="3.95" customHeight="1" x14ac:dyDescent="0.25"/>
    <row r="21" spans="2:7" x14ac:dyDescent="0.25">
      <c r="B21" s="37" t="s">
        <v>1083</v>
      </c>
      <c r="C21" s="37"/>
      <c r="D21" s="37"/>
      <c r="E21" s="37"/>
      <c r="F21" s="37"/>
      <c r="G21" s="37"/>
    </row>
    <row r="22" spans="2:9" x14ac:dyDescent="0.25">
      <c r="B22" s="52" t="s">
        <v>1084</v>
      </c>
      <c r="C22" s="269">
        <f>'Valuation'!$D$30</f>
        <v>1685.33</v>
      </c>
      <c r="I22" s="60" t="s">
        <v>1085</v>
      </c>
    </row>
    <row r="23" spans="2:3" x14ac:dyDescent="0.25">
      <c r="B23" s="52" t="s">
        <v>1072</v>
      </c>
      <c r="C23" s="269">
        <f>C22*'Assumptions'!$C$55</f>
        <v>1348.264</v>
      </c>
    </row>
    <row r="24" spans="2:3" x14ac:dyDescent="0.25">
      <c r="B24" s="52" t="s">
        <v>1073</v>
      </c>
      <c r="C24" s="269">
        <f>C22*'Assumptions'!$C$56</f>
        <v>337.066</v>
      </c>
    </row>
    <row r="25" spans="2:9" x14ac:dyDescent="0.25">
      <c r="B25" s="58" t="s">
        <v>1086</v>
      </c>
      <c r="C25" s="270">
        <f>C23*'Assumptions'!$C$59</f>
        <v>134.8264</v>
      </c>
      <c r="I25" s="60" t="s">
        <v>1087</v>
      </c>
    </row>
    <row r="26" spans="2:9" x14ac:dyDescent="0.25">
      <c r="B26" s="58" t="s">
        <v>1088</v>
      </c>
      <c r="C26" s="270">
        <f>'P&amp;L Summary'!K22/12*'Assumptions'!$C$65</f>
        <v>75.39166666666667</v>
      </c>
      <c r="I26" s="60" t="s">
        <v>1089</v>
      </c>
    </row>
    <row r="27" spans="2:3" x14ac:dyDescent="0.25">
      <c r="B27" s="52" t="s">
        <v>1090</v>
      </c>
      <c r="C27" s="269">
        <f>'Assumptions'!$C$64/1000</f>
        <v>0</v>
      </c>
    </row>
    <row r="28" spans="2:9" x14ac:dyDescent="0.25">
      <c r="B28" s="52" t="s">
        <v>1091</v>
      </c>
      <c r="C28" s="81">
        <f>SUMPRODUCT(--(LEN($C$6:$G$6)&gt;0))</f>
        <v>1</v>
      </c>
      <c r="I28" s="60" t="s">
        <v>1092</v>
      </c>
    </row>
    <row r="29" spans="2:3" x14ac:dyDescent="0.25">
      <c r="B29" s="52" t="s">
        <v>1093</v>
      </c>
      <c r="C29" s="271">
        <f>'Assumptions'!$C$61</f>
        <v>0.1</v>
      </c>
    </row>
    <row r="30" ht="3.95" customHeight="1" x14ac:dyDescent="0.25"/>
    <row r="31" spans="2:7" x14ac:dyDescent="0.25">
      <c r="B31" s="37" t="s">
        <v>1094</v>
      </c>
      <c r="C31" s="37"/>
      <c r="D31" s="37"/>
      <c r="E31" s="37"/>
      <c r="F31" s="37"/>
      <c r="G31" s="37"/>
    </row>
    <row r="32" spans="2:7" x14ac:dyDescent="0.25">
      <c r="B32" s="13" t="s">
        <v>1095</v>
      </c>
      <c r="C32" s="12" t="s">
        <v>18</v>
      </c>
      <c r="D32" s="12" t="s">
        <v>1096</v>
      </c>
      <c r="E32" s="12" t="s">
        <v>1050</v>
      </c>
      <c r="F32" s="12" t="s">
        <v>1051</v>
      </c>
      <c r="G32" s="12" t="s">
        <v>1052</v>
      </c>
    </row>
    <row r="33" spans="2:7" x14ac:dyDescent="0.25">
      <c r="B33" s="38" t="s">
        <v>1097</v>
      </c>
      <c r="C33" s="236">
        <f>C22</f>
        <v>1685.33</v>
      </c>
      <c r="D33" s="115">
        <f>IFERROR(C33/C$37,"n.a.")</f>
        <v>1</v>
      </c>
      <c r="E33" s="69">
        <f>IFERROR(C33/'Adj. EBITDA'!L28,"n.a.")</f>
        <v>4.369252705943353</v>
      </c>
      <c r="F33" s="69">
        <f>IFERROR(C33/'Adj. EBITDA'!L32,"n.a.")</f>
        <v>4.369252705943353</v>
      </c>
      <c r="G33" s="69">
        <f>IFERROR(C33/'Adj. EBITDA'!L24,"n.a.")</f>
        <v>3.0000089003604646</v>
      </c>
    </row>
    <row r="34" spans="2:9" x14ac:dyDescent="0.25">
      <c r="B34" s="272" t="s">
        <v>1098</v>
      </c>
      <c r="C34" s="273">
        <f>C26</f>
        <v>75.39166666666667</v>
      </c>
      <c r="I34" s="60" t="s">
        <v>1099</v>
      </c>
    </row>
    <row r="35" spans="2:7" x14ac:dyDescent="0.25">
      <c r="B35" s="52" t="s">
        <v>1100</v>
      </c>
      <c r="C35" s="205">
        <f>C27</f>
        <v>0</v>
      </c>
      <c r="D35" s="115">
        <f>IFERROR(C35/C$37,"n.a.")</f>
        <v>0</v>
      </c>
      <c r="E35" s="69">
        <f>IFERROR(C35/'Adj. EBITDA'!L28,"n.a.")</f>
        <v>0</v>
      </c>
      <c r="F35" s="69">
        <f>IFERROR(C35/'Adj. EBITDA'!L32,"n.a.")</f>
        <v>0</v>
      </c>
      <c r="G35" s="69">
        <f>IFERROR(C35/'Adj. EBITDA'!L24,"n.a.")</f>
        <v>0</v>
      </c>
    </row>
    <row r="36" spans="2:7" x14ac:dyDescent="0.25">
      <c r="B36" s="52" t="s">
        <v>1101</v>
      </c>
      <c r="C36" s="274">
        <v>0</v>
      </c>
      <c r="D36" s="115">
        <f>IFERROR(C36/C$37,"n.a.")</f>
        <v>0</v>
      </c>
      <c r="E36" s="69">
        <f>IFERROR(C36/'Adj. EBITDA'!L28,"n.a.")</f>
        <v>0</v>
      </c>
      <c r="F36" s="69">
        <f>IFERROR(C36/'Adj. EBITDA'!L32,"n.a.")</f>
        <v>0</v>
      </c>
      <c r="G36" s="69">
        <f>IFERROR(C36/'Adj. EBITDA'!L24,"n.a.")</f>
        <v>0</v>
      </c>
    </row>
    <row r="37" spans="2:7" x14ac:dyDescent="0.25">
      <c r="B37" s="275" t="s">
        <v>1102</v>
      </c>
      <c r="C37" s="275">
        <f>C33+SUM(C35:C36)</f>
        <v>1685.33</v>
      </c>
      <c r="D37" s="276">
        <f>IFERROR(C37/C37,"n.a.")</f>
        <v>1</v>
      </c>
      <c r="E37" s="277">
        <f>IFERROR(C37/'Adj. EBITDA'!L28,"n.a.")</f>
        <v>4.369252705943353</v>
      </c>
      <c r="F37" s="277">
        <f>IFERROR(C37/'Adj. EBITDA'!L32,"n.a.")</f>
        <v>4.369252705943353</v>
      </c>
      <c r="G37" s="277">
        <f>IFERROR(C37/'Adj. EBITDA'!L24,"n.a.")</f>
        <v>3.0000089003604646</v>
      </c>
    </row>
    <row r="39" spans="2:7" x14ac:dyDescent="0.25">
      <c r="B39" s="13" t="s">
        <v>1103</v>
      </c>
      <c r="C39" s="12"/>
      <c r="D39" s="12"/>
      <c r="E39" s="12"/>
      <c r="F39" s="12"/>
      <c r="G39" s="12"/>
    </row>
    <row r="40" spans="2:7" x14ac:dyDescent="0.25">
      <c r="B40" s="38" t="s">
        <v>1104</v>
      </c>
      <c r="C40" s="38">
        <f>C37-C41-C42-C43</f>
        <v>1179.731</v>
      </c>
      <c r="D40" s="115">
        <f>IFERROR(C40/C$44,"n.a.")</f>
        <v>0.7</v>
      </c>
      <c r="E40" s="69">
        <f>IFERROR(C40/'Adj. EBITDA'!L28,"n.a.")</f>
        <v>3.0584768941603473</v>
      </c>
      <c r="F40" s="69">
        <f>IFERROR(C40/'Adj. EBITDA'!L32,"n.a.")</f>
        <v>3.0584768941603473</v>
      </c>
      <c r="G40" s="69">
        <f>IFERROR(C40/'Adj. EBITDA'!L24,"n.a.")</f>
        <v>2.1000062302523252</v>
      </c>
    </row>
    <row r="41" spans="2:7" x14ac:dyDescent="0.25">
      <c r="B41" s="52" t="s">
        <v>1073</v>
      </c>
      <c r="C41" s="205">
        <f>C24</f>
        <v>337.066</v>
      </c>
      <c r="D41" s="115">
        <f>IFERROR(C41/C$44,"n.a.")</f>
        <v>0.2</v>
      </c>
      <c r="E41" s="69">
        <f>IFERROR(C41/'Adj. EBITDA'!L28,"n.a.")</f>
        <v>0.8738505411886707</v>
      </c>
      <c r="F41" s="69">
        <f>IFERROR(C41/'Adj. EBITDA'!L32,"n.a.")</f>
        <v>0.8738505411886707</v>
      </c>
      <c r="G41" s="69">
        <f>IFERROR(C41/'Adj. EBITDA'!L24,"n.a.")</f>
        <v>0.6000017800720929</v>
      </c>
    </row>
    <row r="42" spans="2:7" x14ac:dyDescent="0.25">
      <c r="B42" s="52" t="s">
        <v>1105</v>
      </c>
      <c r="C42" s="274">
        <v>0</v>
      </c>
      <c r="D42" s="115">
        <f>IFERROR(C42/C$44,"n.a.")</f>
        <v>0</v>
      </c>
      <c r="E42" s="69">
        <f>IFERROR(C42/'Adj. EBITDA'!L28,"n.a.")</f>
        <v>0</v>
      </c>
      <c r="F42" s="69">
        <f>IFERROR(C42/'Adj. EBITDA'!L32,"n.a.")</f>
        <v>0</v>
      </c>
      <c r="G42" s="69">
        <f>IFERROR(C42/'Adj. EBITDA'!L24,"n.a.")</f>
        <v>0</v>
      </c>
    </row>
    <row r="43" spans="2:7" x14ac:dyDescent="0.25">
      <c r="B43" s="52" t="s">
        <v>1106</v>
      </c>
      <c r="C43" s="52">
        <f>C37*C29</f>
        <v>168.533</v>
      </c>
      <c r="D43" s="115">
        <f>IFERROR(C43/C$44,"n.a.")</f>
        <v>0.1</v>
      </c>
      <c r="E43" s="69">
        <f>IFERROR(C43/'Adj. EBITDA'!L28,"n.a.")</f>
        <v>0.43692527059433534</v>
      </c>
      <c r="F43" s="69">
        <f>IFERROR(C43/'Adj. EBITDA'!L32,"n.a.")</f>
        <v>0.43692527059433534</v>
      </c>
      <c r="G43" s="69">
        <f>IFERROR(C43/'Adj. EBITDA'!L24,"n.a.")</f>
        <v>0.30000089003604646</v>
      </c>
    </row>
    <row r="44" spans="2:7" x14ac:dyDescent="0.25">
      <c r="B44" s="275" t="s">
        <v>1107</v>
      </c>
      <c r="C44" s="275">
        <f>SUM(C40:C43)</f>
        <v>1685.33</v>
      </c>
      <c r="D44" s="276">
        <f>IFERROR(C44/C44,"n.a.")</f>
        <v>1</v>
      </c>
      <c r="E44" s="277">
        <f>IFERROR(C44/'Adj. EBITDA'!L28,"n.a.")</f>
        <v>4.369252705943353</v>
      </c>
      <c r="F44" s="277">
        <f>IFERROR(C44/'Adj. EBITDA'!L32,"n.a.")</f>
        <v>4.369252705943353</v>
      </c>
      <c r="G44" s="277">
        <f>IFERROR(C44/'Adj. EBITDA'!L24,"n.a.")</f>
        <v>3.0000089003604646</v>
      </c>
    </row>
    <row r="45" spans="2:3" x14ac:dyDescent="0.25">
      <c r="B45" s="130" t="s">
        <v>1108</v>
      </c>
      <c r="C45" s="130">
        <f>ROUND(C44-C37,6)</f>
        <v>0</v>
      </c>
    </row>
    <row r="47" spans="2:7" x14ac:dyDescent="0.25">
      <c r="B47" s="37" t="s">
        <v>1109</v>
      </c>
      <c r="C47" s="37"/>
      <c r="D47" s="37"/>
      <c r="E47" s="37"/>
      <c r="F47" s="37"/>
      <c r="G47" s="37"/>
    </row>
    <row r="48" spans="2:3" x14ac:dyDescent="0.25">
      <c r="B48" s="38" t="s">
        <v>1030</v>
      </c>
      <c r="C48" s="236">
        <f>C22</f>
        <v>1685.33</v>
      </c>
    </row>
    <row r="49" spans="2:9" x14ac:dyDescent="0.25">
      <c r="B49" s="52" t="s">
        <v>1110</v>
      </c>
      <c r="C49" s="53">
        <f>-'Debt-Like Items'!$C$15+'Debt-Like Items'!$C$18</f>
        <v>-264.8</v>
      </c>
      <c r="I49" s="60" t="s">
        <v>1111</v>
      </c>
    </row>
    <row r="50" spans="2:9" x14ac:dyDescent="0.25">
      <c r="B50" s="58" t="s">
        <v>1112</v>
      </c>
      <c r="C50" s="195">
        <f>-'Debt-Like Items'!$C$18</f>
        <v>-14.6</v>
      </c>
      <c r="I50" s="60" t="s">
        <v>1113</v>
      </c>
    </row>
    <row r="51" spans="2:9" x14ac:dyDescent="0.25">
      <c r="B51" s="52" t="s">
        <v>1114</v>
      </c>
      <c r="C51" s="52">
        <f>-C26</f>
        <v>-75.39166666666667</v>
      </c>
      <c r="I51" s="60" t="s">
        <v>1115</v>
      </c>
    </row>
    <row r="52" spans="2:9" x14ac:dyDescent="0.25">
      <c r="B52" s="52" t="s">
        <v>1116</v>
      </c>
      <c r="C52" s="274">
        <v>0</v>
      </c>
      <c r="I52" s="60" t="s">
        <v>1117</v>
      </c>
    </row>
    <row r="53" spans="2:3" x14ac:dyDescent="0.25">
      <c r="B53" s="52" t="s">
        <v>1118</v>
      </c>
      <c r="C53" s="52">
        <f>-C25</f>
        <v>-134.8264</v>
      </c>
    </row>
    <row r="54" spans="2:3" x14ac:dyDescent="0.25">
      <c r="B54" s="52" t="s">
        <v>1119</v>
      </c>
      <c r="C54" s="52">
        <f>-C24</f>
        <v>-337.066</v>
      </c>
    </row>
    <row r="55" spans="2:3" x14ac:dyDescent="0.25">
      <c r="B55" s="275" t="s">
        <v>1120</v>
      </c>
      <c r="C55" s="275">
        <f>SUM(C48:C54)</f>
        <v>858.6459333333333</v>
      </c>
    </row>
    <row r="56" spans="2:3" x14ac:dyDescent="0.25">
      <c r="B56" s="52" t="s">
        <v>1121</v>
      </c>
      <c r="C56" s="205">
        <f>C26</f>
        <v>75.39166666666667</v>
      </c>
    </row>
    <row r="57" spans="2:3" x14ac:dyDescent="0.25">
      <c r="B57" s="52" t="s">
        <v>1122</v>
      </c>
      <c r="C57" s="205">
        <f>C25</f>
        <v>134.8264</v>
      </c>
    </row>
    <row r="58" spans="2:3" x14ac:dyDescent="0.25">
      <c r="B58" s="52" t="s">
        <v>1123</v>
      </c>
      <c r="C58" s="205">
        <f>C24</f>
        <v>337.066</v>
      </c>
    </row>
    <row r="59" spans="2:3" x14ac:dyDescent="0.25">
      <c r="B59" s="275" t="s">
        <v>1124</v>
      </c>
      <c r="C59" s="275">
        <f>SUM(C55:C58)</f>
        <v>1405.93</v>
      </c>
    </row>
    <row r="60" spans="2:9" x14ac:dyDescent="0.25">
      <c r="B60" s="52" t="s">
        <v>1125</v>
      </c>
      <c r="C60" s="53">
        <f>'Balance Sheet'!E8</f>
        <v>238.615</v>
      </c>
      <c r="I60" s="60" t="s">
        <v>1126</v>
      </c>
    </row>
    <row r="61" spans="2:9" x14ac:dyDescent="0.25">
      <c r="B61" s="193" t="s">
        <v>884</v>
      </c>
      <c r="C61" s="195">
        <f>'NWC'!$H$32</f>
        <v>99.3</v>
      </c>
      <c r="I61" s="60" t="s">
        <v>1127</v>
      </c>
    </row>
    <row r="62" spans="2:3" x14ac:dyDescent="0.25">
      <c r="B62" s="52" t="s">
        <v>1128</v>
      </c>
      <c r="C62" s="52">
        <f>C60+C61</f>
        <v>337.915</v>
      </c>
    </row>
    <row r="63" ht="3.95" customHeight="1" x14ac:dyDescent="0.25"/>
    <row r="64" spans="2:7" x14ac:dyDescent="0.25">
      <c r="B64" s="37" t="s">
        <v>1129</v>
      </c>
      <c r="C64" s="37"/>
      <c r="D64" s="37"/>
      <c r="E64" s="37"/>
      <c r="F64" s="37"/>
      <c r="G64" s="37"/>
    </row>
    <row r="65" spans="2:9" x14ac:dyDescent="0.25">
      <c r="B65" s="245" t="s">
        <v>1130</v>
      </c>
      <c r="C65" s="85">
        <v>0</v>
      </c>
      <c r="I65" s="60" t="s">
        <v>1131</v>
      </c>
    </row>
    <row r="66" spans="2:9" x14ac:dyDescent="0.25">
      <c r="B66" s="58" t="s">
        <v>1132</v>
      </c>
      <c r="C66" s="90">
        <v>0</v>
      </c>
      <c r="I66" s="60" t="s">
        <v>1133</v>
      </c>
    </row>
    <row r="67" spans="2:9" x14ac:dyDescent="0.25">
      <c r="B67" s="58" t="s">
        <v>1134</v>
      </c>
      <c r="C67" s="195">
        <f>'Balance Sheet'!E13</f>
        <v>357.5</v>
      </c>
      <c r="I67" s="60" t="s">
        <v>1135</v>
      </c>
    </row>
    <row r="68" spans="2:9" x14ac:dyDescent="0.25">
      <c r="B68" s="52" t="s">
        <v>828</v>
      </c>
      <c r="C68" s="53">
        <f>'Balance Sheet'!E10</f>
        <v>96.3</v>
      </c>
      <c r="I68" s="60" t="s">
        <v>1136</v>
      </c>
    </row>
    <row r="69" spans="2:9" x14ac:dyDescent="0.25">
      <c r="B69" s="58" t="s">
        <v>1137</v>
      </c>
      <c r="C69" s="90">
        <v>0</v>
      </c>
      <c r="I69" s="60" t="s">
        <v>1138</v>
      </c>
    </row>
    <row r="70" spans="2:9" x14ac:dyDescent="0.25">
      <c r="B70" s="52" t="s">
        <v>1139</v>
      </c>
      <c r="C70" s="52">
        <f>C22-SUM(C65:C69)</f>
        <v>1231.53</v>
      </c>
      <c r="I70" s="60" t="s">
        <v>1140</v>
      </c>
    </row>
    <row r="71" spans="2:3" x14ac:dyDescent="0.25">
      <c r="B71" s="275" t="s">
        <v>1141</v>
      </c>
      <c r="C71" s="275">
        <f>SUM(C65:C70)</f>
        <v>1685.33</v>
      </c>
    </row>
    <row r="72" ht="3.95" customHeight="1" x14ac:dyDescent="0.25"/>
    <row r="73" spans="2:3" x14ac:dyDescent="0.25">
      <c r="B73" s="52" t="s">
        <v>1142</v>
      </c>
      <c r="C73" s="268" t="str">
        <f>IF('Assumptions'!$C$68="Y","Stock-for-stock structure: cash elements are "&amp;TEXT((C23+C24)/C22,"0%")&amp;" of consideration (reverse triangular merger limit 20%; forward merger continuity of interest ~40% stock). A cash working-capital true-up (settlement: "&amp;'Assumptions'!$C$67&amp;") and a seller note count as boot. Confirm with tax counsel.","None: no buyer stock intended to be tax-deferred (Assumptions)")</f>
        <v>None: no buyer stock intended to be tax-deferred (Assumptions)</v>
      </c>
    </row>
    <row r="74" ht="3.95" customHeight="1" x14ac:dyDescent="0.25"/>
    <row r="75" spans="2:7" x14ac:dyDescent="0.25">
      <c r="B75" s="37" t="s">
        <v>1143</v>
      </c>
      <c r="C75" s="37"/>
      <c r="D75" s="37"/>
      <c r="E75" s="37"/>
      <c r="F75" s="37"/>
      <c r="G75" s="37"/>
    </row>
    <row r="76" spans="2:9" x14ac:dyDescent="0.25">
      <c r="B76" s="52" t="s">
        <v>1144</v>
      </c>
      <c r="C76" s="151">
        <f>-PMT('Assumptions'!$C$63/12,'Assumptions'!$C$62*12,C40)*12</f>
        <v>191.02439841721494</v>
      </c>
      <c r="I76" s="60" t="s">
        <v>1039</v>
      </c>
    </row>
    <row r="77" spans="2:9" x14ac:dyDescent="0.25">
      <c r="B77" s="52" t="s">
        <v>1145</v>
      </c>
      <c r="C77" s="151">
        <f>IF('Assumptions'!$C$57&gt;0,-PMT('Assumptions'!$C$58/4,'Assumptions'!$C$57/3,C24)*MIN(4,'Assumptions'!$C$57/3),0)</f>
        <v>242.7346531960401</v>
      </c>
      <c r="I77" s="60" t="s">
        <v>1146</v>
      </c>
    </row>
    <row r="78" spans="2:3" x14ac:dyDescent="0.25">
      <c r="B78" s="52" t="s">
        <v>1147</v>
      </c>
      <c r="C78" s="87">
        <f>C76+C77</f>
        <v>433.75905161325505</v>
      </c>
    </row>
    <row r="79" spans="2:9" x14ac:dyDescent="0.25">
      <c r="B79" s="58" t="s">
        <v>1044</v>
      </c>
      <c r="C79" s="270">
        <f>'Valuation'!$D$43</f>
        <v>385.725</v>
      </c>
      <c r="I79" s="60" t="s">
        <v>1148</v>
      </c>
    </row>
    <row r="80" spans="2:9" x14ac:dyDescent="0.25">
      <c r="B80" s="262" t="s">
        <v>1149</v>
      </c>
      <c r="C80" s="278">
        <f>IFERROR(C79/C78,"n.a.")</f>
        <v>0.889260981564293</v>
      </c>
      <c r="I80" s="71" t="str">
        <f>IF(ISNUMBER(C80),IF(C80&lt;'Assumptions'!$C$84,"Below the "&amp;TEXT('Assumptions'!$C$84,"0.00")&amp;"x hurdle: the seller note amortises inside "&amp;TEXT('Assumptions'!$C$57,"0")&amp;" months; lengthen the note or lower the price","Clears the "&amp;TEXT('Assumptions'!$C$84,"0.00")&amp;"x hurdle, seller note included"),"n.a.")</f>
        <v>Below the 1.25x hurdle: the seller note amortises inside 18 months; lengthen the note or lower the price</v>
      </c>
    </row>
    <row r="82" ht="25" customHeight="1" spans="2:10" x14ac:dyDescent="0.25">
      <c r="B82" s="60" t="s">
        <v>1150</v>
      </c>
      <c r="C82" s="60"/>
      <c r="D82" s="60"/>
      <c r="E82" s="60"/>
      <c r="F82" s="60"/>
      <c r="G82" s="60"/>
      <c r="H82" s="60"/>
      <c r="I82" s="60"/>
      <c r="J82" s="60"/>
    </row>
  </sheetData>
  <mergeCells count="1">
    <mergeCell ref="B82:J82"/>
  </mergeCells>
  <conditionalFormatting sqref="C45:C45">
    <cfRule type="expression" dxfId="49" priority="1">
      <formula>ROUND(C45,3)&lt;&gt;0</formula>
    </cfRule>
  </conditionalFormatting>
  <conditionalFormatting sqref="B2 J3 C9:C11 C14 C17:C19 C22:C27 C29 E33:G33 C33:C36 E35:G37 C41:C42 E40:G44 B45:C45 C48:C50 C52 C56:C58 C60:C61 C65:C69 C73 C76:C77 C79 I80">
    <cfRule type="expression" dxfId="50" priority="2">
      <formula>$J$3=1</formula>
    </cfRule>
  </conditionalFormatting>
  <printOptions horizontalCentered="1"/>
  <pageMargins left="0.5" right="0.5" top="0.6" bottom="0.7" header="0.3" footer="0.3"/>
  <pageSetup paperSize="1" orientation="landscape" fitToWidth="1" fitToHeight="0"/>
  <headerFooter>
    <oddHeader>&amp;RProject Ridgeline | As of 12/31/25</oddHeader>
    <oddFooter>&amp;LAMB Advisory Services | Strictly confidential&amp;C&amp;A&amp;RPage &amp;P of &amp;N</oddFooter>
  </headerFooter>
  <rowBreaks count="1" manualBreakCount="1">
    <brk id="46"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BD65"/>
  <sheetViews>
    <sheetView workbookViewId="0" showGridLines="0" zoomScale="100"/>
  </sheetViews>
  <sheetFormatPr defaultRowHeight="12.75" outlineLevelRow="0" outlineLevelCol="0" x14ac:dyDescent="55" customHeight="1"/>
  <cols>
    <col min="1" max="1" width="1.7" customWidth="1"/>
    <col min="3" max="12" width="8.71" customWidth="1"/>
  </cols>
  <sheetData>
    <row r="2" ht="16.5" customHeight="1" spans="2:2" x14ac:dyDescent="0.25">
      <c r="B2" s="9">
        <f>Cover!B24</f>
      </c>
    </row>
    <row r="3" spans="2:12" x14ac:dyDescent="0.25">
      <c r="B3" s="10" t="s">
        <v>1151</v>
      </c>
      <c r="C3" s="11"/>
      <c r="D3" s="11"/>
      <c r="E3" s="11"/>
      <c r="F3" s="11"/>
      <c r="G3" s="11"/>
      <c r="H3" s="11"/>
      <c r="I3" s="11"/>
      <c r="J3" s="11"/>
      <c r="K3" s="34" t="s">
        <v>80</v>
      </c>
      <c r="L3" s="35">
        <f>'Contents'!$I$18</f>
      </c>
    </row>
    <row r="4" spans="26:26" x14ac:dyDescent="0.25">
      <c r="Z4" s="131" t="s">
        <v>1152</v>
      </c>
    </row>
    <row r="5" ht="15" customHeight="1" spans="2:2" x14ac:dyDescent="0.25">
      <c r="B5" s="279" t="s">
        <v>1153</v>
      </c>
    </row>
    <row r="6" ht="2.1" customHeight="1" x14ac:dyDescent="0.25"/>
    <row r="7" ht="12.75" customHeight="1" spans="2:12" x14ac:dyDescent="0.25">
      <c r="B7" s="13"/>
      <c r="C7" s="13"/>
      <c r="D7" s="36" t="s">
        <v>1154</v>
      </c>
      <c r="E7" s="36"/>
      <c r="F7" s="36"/>
      <c r="G7" s="36"/>
      <c r="H7" s="36"/>
      <c r="I7" s="36"/>
      <c r="J7" s="36"/>
      <c r="K7" s="36"/>
      <c r="L7" s="36"/>
    </row>
    <row r="8" ht="12.75" customHeight="1" spans="2:12" x14ac:dyDescent="0.25">
      <c r="B8" s="12"/>
      <c r="C8" s="12"/>
      <c r="D8" s="280">
        <f>E8-$F$50</f>
        <v>2</v>
      </c>
      <c r="E8" s="280">
        <f>F8-$F$50</f>
        <v>2.25</v>
      </c>
      <c r="F8" s="280">
        <f>G8-$F$50</f>
        <v>2.5</v>
      </c>
      <c r="G8" s="280">
        <f>H8-$F$50</f>
        <v>2.75</v>
      </c>
      <c r="H8" s="280">
        <f>$F$49</f>
        <v>3</v>
      </c>
      <c r="I8" s="280">
        <f>H8+$F$50</f>
        <v>3.25</v>
      </c>
      <c r="J8" s="280">
        <f>I8+$F$50</f>
        <v>3.5</v>
      </c>
      <c r="K8" s="280">
        <f>J8+$F$50</f>
        <v>3.75</v>
      </c>
      <c r="L8" s="280">
        <f>K8+$F$50</f>
        <v>4</v>
      </c>
    </row>
    <row r="9" ht="12.75" customHeight="1" spans="2:34" x14ac:dyDescent="0.25">
      <c r="B9" s="281" t="s">
        <v>1155</v>
      </c>
      <c r="C9" s="282">
        <f>C10-$F$48</f>
        <v>477.50875</v>
      </c>
      <c r="D9" s="283">
        <f>ROUND(Z9,$F$58)</f>
        <v>955</v>
      </c>
      <c r="E9" s="283">
        <f>ROUND(AA9,$F$58)</f>
        <v>1074</v>
      </c>
      <c r="F9" s="283">
        <f>ROUND(AB9,$F$58)</f>
        <v>1194</v>
      </c>
      <c r="G9" s="283">
        <f>ROUND(AC9,$F$58)</f>
        <v>1313</v>
      </c>
      <c r="H9" s="283">
        <f>ROUND(AD9,$F$58)</f>
        <v>1433</v>
      </c>
      <c r="I9" s="283">
        <f>ROUND(AE9,$F$58)</f>
        <v>1552</v>
      </c>
      <c r="J9" s="283">
        <f>ROUND(AF9,$F$58)</f>
        <v>1671</v>
      </c>
      <c r="K9" s="283">
        <f>ROUND(AG9,$F$58)</f>
        <v>1791</v>
      </c>
      <c r="L9" s="283">
        <f>ROUND(AH9,$F$58)</f>
        <v>1910</v>
      </c>
      <c r="Z9" s="204">
        <f>$C9*D$8</f>
        <v>955.0175</v>
      </c>
      <c r="AA9" s="204">
        <f>$C9*E$8</f>
        <v>1074.3946875</v>
      </c>
      <c r="AB9" s="204">
        <f>$C9*F$8</f>
        <v>1193.771875</v>
      </c>
      <c r="AC9" s="204">
        <f>$C9*G$8</f>
        <v>1313.1490625</v>
      </c>
      <c r="AD9" s="204">
        <f>$C9*H$8</f>
        <v>1432.52625</v>
      </c>
      <c r="AE9" s="204">
        <f>$C9*I$8</f>
        <v>1551.9034375</v>
      </c>
      <c r="AF9" s="204">
        <f>$C9*J$8</f>
        <v>1671.280625</v>
      </c>
      <c r="AG9" s="204">
        <f>$C9*K$8</f>
        <v>1790.6578125</v>
      </c>
      <c r="AH9" s="204">
        <f>$C9*L$8</f>
        <v>1910.035</v>
      </c>
    </row>
    <row r="10" ht="12.75" customHeight="1" spans="2:34" x14ac:dyDescent="0.25">
      <c r="B10" s="281"/>
      <c r="C10" s="282">
        <f>C11-$F$48</f>
        <v>505.5975</v>
      </c>
      <c r="D10" s="283">
        <f>ROUND(Z10,$F$58)</f>
        <v>1011</v>
      </c>
      <c r="E10" s="283">
        <f>ROUND(AA10,$F$58)</f>
        <v>1138</v>
      </c>
      <c r="F10" s="283">
        <f>ROUND(AB10,$F$58)</f>
        <v>1264</v>
      </c>
      <c r="G10" s="283">
        <f>ROUND(AC10,$F$58)</f>
        <v>1390</v>
      </c>
      <c r="H10" s="283">
        <f>ROUND(AD10,$F$58)</f>
        <v>1517</v>
      </c>
      <c r="I10" s="283">
        <f>ROUND(AE10,$F$58)</f>
        <v>1643</v>
      </c>
      <c r="J10" s="283">
        <f>ROUND(AF10,$F$58)</f>
        <v>1770</v>
      </c>
      <c r="K10" s="283">
        <f>ROUND(AG10,$F$58)</f>
        <v>1896</v>
      </c>
      <c r="L10" s="283">
        <f>ROUND(AH10,$F$58)</f>
        <v>2022</v>
      </c>
      <c r="Z10" s="204">
        <f>$C10*D$8</f>
        <v>1011.195</v>
      </c>
      <c r="AA10" s="204">
        <f>$C10*E$8</f>
        <v>1137.594375</v>
      </c>
      <c r="AB10" s="204">
        <f>$C10*F$8</f>
        <v>1263.99375</v>
      </c>
      <c r="AC10" s="204">
        <f>$C10*G$8</f>
        <v>1390.393125</v>
      </c>
      <c r="AD10" s="204">
        <f>$C10*H$8</f>
        <v>1516.7925</v>
      </c>
      <c r="AE10" s="204">
        <f>$C10*I$8</f>
        <v>1643.191875</v>
      </c>
      <c r="AF10" s="204">
        <f>$C10*J$8</f>
        <v>1769.59125</v>
      </c>
      <c r="AG10" s="204">
        <f>$C10*K$8</f>
        <v>1895.990625</v>
      </c>
      <c r="AH10" s="204">
        <f>$C10*L$8</f>
        <v>2022.39</v>
      </c>
    </row>
    <row r="11" ht="12.75" customHeight="1" spans="2:34" x14ac:dyDescent="0.25">
      <c r="B11" s="281"/>
      <c r="C11" s="282">
        <f>C12-$F$48</f>
        <v>533.68625</v>
      </c>
      <c r="D11" s="283">
        <f>ROUND(Z11,$F$58)</f>
        <v>1067</v>
      </c>
      <c r="E11" s="283">
        <f>ROUND(AA11,$F$58)</f>
        <v>1201</v>
      </c>
      <c r="F11" s="283">
        <f>ROUND(AB11,$F$58)</f>
        <v>1334</v>
      </c>
      <c r="G11" s="283">
        <f>ROUND(AC11,$F$58)</f>
        <v>1468</v>
      </c>
      <c r="H11" s="283">
        <f>ROUND(AD11,$F$58)</f>
        <v>1601</v>
      </c>
      <c r="I11" s="283">
        <f>ROUND(AE11,$F$58)</f>
        <v>1734</v>
      </c>
      <c r="J11" s="283">
        <f>ROUND(AF11,$F$58)</f>
        <v>1868</v>
      </c>
      <c r="K11" s="283">
        <f>ROUND(AG11,$F$58)</f>
        <v>2001</v>
      </c>
      <c r="L11" s="283">
        <f>ROUND(AH11,$F$58)</f>
        <v>2135</v>
      </c>
      <c r="Z11" s="204">
        <f>$C11*D$8</f>
        <v>1067.3725</v>
      </c>
      <c r="AA11" s="204">
        <f>$C11*E$8</f>
        <v>1200.7940625</v>
      </c>
      <c r="AB11" s="204">
        <f>$C11*F$8</f>
        <v>1334.215625</v>
      </c>
      <c r="AC11" s="204">
        <f>$C11*G$8</f>
        <v>1467.6371875</v>
      </c>
      <c r="AD11" s="204">
        <f>$C11*H$8</f>
        <v>1601.05875</v>
      </c>
      <c r="AE11" s="204">
        <f>$C11*I$8</f>
        <v>1734.4803125</v>
      </c>
      <c r="AF11" s="204">
        <f>$C11*J$8</f>
        <v>1867.901875</v>
      </c>
      <c r="AG11" s="204">
        <f>$C11*K$8</f>
        <v>2001.3234375</v>
      </c>
      <c r="AH11" s="204">
        <f>$C11*L$8</f>
        <v>2134.745</v>
      </c>
    </row>
    <row r="12" ht="12.75" customHeight="1" spans="2:34" x14ac:dyDescent="0.25">
      <c r="B12" s="281"/>
      <c r="C12" s="282">
        <f>$F$47</f>
        <v>561.775</v>
      </c>
      <c r="D12" s="283">
        <f>ROUND(Z12,$F$58)</f>
        <v>1124</v>
      </c>
      <c r="E12" s="283">
        <f>ROUND(AA12,$F$58)</f>
        <v>1264</v>
      </c>
      <c r="F12" s="283">
        <f>ROUND(AB12,$F$58)</f>
        <v>1404</v>
      </c>
      <c r="G12" s="283">
        <f>ROUND(AC12,$F$58)</f>
        <v>1545</v>
      </c>
      <c r="H12" s="284">
        <f>ROUND(AD12,$F$58)</f>
        <v>1685</v>
      </c>
      <c r="I12" s="283">
        <f>ROUND(AE12,$F$58)</f>
        <v>1826</v>
      </c>
      <c r="J12" s="283">
        <f>ROUND(AF12,$F$58)</f>
        <v>1966</v>
      </c>
      <c r="K12" s="283">
        <f>ROUND(AG12,$F$58)</f>
        <v>2107</v>
      </c>
      <c r="L12" s="283">
        <f>ROUND(AH12,$F$58)</f>
        <v>2247</v>
      </c>
      <c r="Z12" s="204">
        <f>$C12*D$8</f>
        <v>1123.55</v>
      </c>
      <c r="AA12" s="204">
        <f>$C12*E$8</f>
        <v>1263.99375</v>
      </c>
      <c r="AB12" s="204">
        <f>$C12*F$8</f>
        <v>1404.4375</v>
      </c>
      <c r="AC12" s="204">
        <f>$C12*G$8</f>
        <v>1544.88125</v>
      </c>
      <c r="AD12" s="204">
        <f>$C12*H$8</f>
        <v>1685.325</v>
      </c>
      <c r="AE12" s="204">
        <f>$C12*I$8</f>
        <v>1825.76875</v>
      </c>
      <c r="AF12" s="204">
        <f>$C12*J$8</f>
        <v>1966.2125</v>
      </c>
      <c r="AG12" s="204">
        <f>$C12*K$8</f>
        <v>2106.65625</v>
      </c>
      <c r="AH12" s="204">
        <f>$C12*L$8</f>
        <v>2247.1</v>
      </c>
    </row>
    <row r="13" ht="12.75" customHeight="1" spans="2:34" x14ac:dyDescent="0.25">
      <c r="B13" s="281"/>
      <c r="C13" s="282">
        <f>C12+$F$48</f>
        <v>589.86375</v>
      </c>
      <c r="D13" s="283">
        <f>ROUND(Z13,$F$58)</f>
        <v>1180</v>
      </c>
      <c r="E13" s="283">
        <f>ROUND(AA13,$F$58)</f>
        <v>1327</v>
      </c>
      <c r="F13" s="283">
        <f>ROUND(AB13,$F$58)</f>
        <v>1475</v>
      </c>
      <c r="G13" s="283">
        <f>ROUND(AC13,$F$58)</f>
        <v>1622</v>
      </c>
      <c r="H13" s="283">
        <f>ROUND(AD13,$F$58)</f>
        <v>1770</v>
      </c>
      <c r="I13" s="283">
        <f>ROUND(AE13,$F$58)</f>
        <v>1917</v>
      </c>
      <c r="J13" s="283">
        <f>ROUND(AF13,$F$58)</f>
        <v>2065</v>
      </c>
      <c r="K13" s="283">
        <f>ROUND(AG13,$F$58)</f>
        <v>2212</v>
      </c>
      <c r="L13" s="283">
        <f>ROUND(AH13,$F$58)</f>
        <v>2359</v>
      </c>
      <c r="Z13" s="204">
        <f>$C13*D$8</f>
        <v>1179.7275</v>
      </c>
      <c r="AA13" s="204">
        <f>$C13*E$8</f>
        <v>1327.1934375</v>
      </c>
      <c r="AB13" s="204">
        <f>$C13*F$8</f>
        <v>1474.659375</v>
      </c>
      <c r="AC13" s="204">
        <f>$C13*G$8</f>
        <v>1622.1253125</v>
      </c>
      <c r="AD13" s="204">
        <f>$C13*H$8</f>
        <v>1769.59125</v>
      </c>
      <c r="AE13" s="204">
        <f>$C13*I$8</f>
        <v>1917.0571875</v>
      </c>
      <c r="AF13" s="204">
        <f>$C13*J$8</f>
        <v>2064.523125</v>
      </c>
      <c r="AG13" s="204">
        <f>$C13*K$8</f>
        <v>2211.9890625</v>
      </c>
      <c r="AH13" s="204">
        <f>$C13*L$8</f>
        <v>2359.455</v>
      </c>
    </row>
    <row r="14" ht="12.75" customHeight="1" spans="2:34" x14ac:dyDescent="0.25">
      <c r="B14" s="281"/>
      <c r="C14" s="282">
        <f>C13+$F$48</f>
        <v>617.9525</v>
      </c>
      <c r="D14" s="283">
        <f>ROUND(Z14,$F$58)</f>
        <v>1236</v>
      </c>
      <c r="E14" s="283">
        <f>ROUND(AA14,$F$58)</f>
        <v>1390</v>
      </c>
      <c r="F14" s="283">
        <f>ROUND(AB14,$F$58)</f>
        <v>1545</v>
      </c>
      <c r="G14" s="283">
        <f>ROUND(AC14,$F$58)</f>
        <v>1699</v>
      </c>
      <c r="H14" s="283">
        <f>ROUND(AD14,$F$58)</f>
        <v>1854</v>
      </c>
      <c r="I14" s="283">
        <f>ROUND(AE14,$F$58)</f>
        <v>2008</v>
      </c>
      <c r="J14" s="283">
        <f>ROUND(AF14,$F$58)</f>
        <v>2163</v>
      </c>
      <c r="K14" s="283">
        <f>ROUND(AG14,$F$58)</f>
        <v>2317</v>
      </c>
      <c r="L14" s="283">
        <f>ROUND(AH14,$F$58)</f>
        <v>2472</v>
      </c>
      <c r="Z14" s="204">
        <f>$C14*D$8</f>
        <v>1235.905</v>
      </c>
      <c r="AA14" s="204">
        <f>$C14*E$8</f>
        <v>1390.393125</v>
      </c>
      <c r="AB14" s="204">
        <f>$C14*F$8</f>
        <v>1544.88125</v>
      </c>
      <c r="AC14" s="204">
        <f>$C14*G$8</f>
        <v>1699.369375</v>
      </c>
      <c r="AD14" s="204">
        <f>$C14*H$8</f>
        <v>1853.8575</v>
      </c>
      <c r="AE14" s="204">
        <f>$C14*I$8</f>
        <v>2008.345625</v>
      </c>
      <c r="AF14" s="204">
        <f>$C14*J$8</f>
        <v>2162.83375</v>
      </c>
      <c r="AG14" s="204">
        <f>$C14*K$8</f>
        <v>2317.321875</v>
      </c>
      <c r="AH14" s="204">
        <f>$C14*L$8</f>
        <v>2471.81</v>
      </c>
    </row>
    <row r="15" ht="12.75" customHeight="1" spans="2:34" x14ac:dyDescent="0.25">
      <c r="B15" s="281"/>
      <c r="C15" s="285">
        <f>C14+$F$48</f>
        <v>646.04125</v>
      </c>
      <c r="D15" s="286">
        <f>ROUND(Z15,$F$58)</f>
        <v>1292</v>
      </c>
      <c r="E15" s="286">
        <f>ROUND(AA15,$F$58)</f>
        <v>1454</v>
      </c>
      <c r="F15" s="286">
        <f>ROUND(AB15,$F$58)</f>
        <v>1615</v>
      </c>
      <c r="G15" s="286">
        <f>ROUND(AC15,$F$58)</f>
        <v>1777</v>
      </c>
      <c r="H15" s="286">
        <f>ROUND(AD15,$F$58)</f>
        <v>1938</v>
      </c>
      <c r="I15" s="286">
        <f>ROUND(AE15,$F$58)</f>
        <v>2100</v>
      </c>
      <c r="J15" s="286">
        <f>ROUND(AF15,$F$58)</f>
        <v>2261</v>
      </c>
      <c r="K15" s="286">
        <f>ROUND(AG15,$F$58)</f>
        <v>2423</v>
      </c>
      <c r="L15" s="286">
        <f>ROUND(AH15,$F$58)</f>
        <v>2584</v>
      </c>
      <c r="Z15" s="204">
        <f>$C15*D$8</f>
        <v>1292.0825</v>
      </c>
      <c r="AA15" s="204">
        <f>$C15*E$8</f>
        <v>1453.5928125</v>
      </c>
      <c r="AB15" s="204">
        <f>$C15*F$8</f>
        <v>1615.103125</v>
      </c>
      <c r="AC15" s="204">
        <f>$C15*G$8</f>
        <v>1776.6134375</v>
      </c>
      <c r="AD15" s="204">
        <f>$C15*H$8</f>
        <v>1938.12375</v>
      </c>
      <c r="AE15" s="204">
        <f>$C15*I$8</f>
        <v>2099.6340625</v>
      </c>
      <c r="AF15" s="204">
        <f>$C15*J$8</f>
        <v>2261.144375</v>
      </c>
      <c r="AG15" s="204">
        <f>$C15*K$8</f>
        <v>2422.6546875</v>
      </c>
      <c r="AH15" s="204">
        <f>$C15*L$8</f>
        <v>2584.165</v>
      </c>
    </row>
    <row r="16" ht="25" customHeight="1" spans="2:12" x14ac:dyDescent="0.25">
      <c r="B16" s="60" t="s">
        <v>1156</v>
      </c>
      <c r="C16" s="60"/>
      <c r="D16" s="60"/>
      <c r="E16" s="60"/>
      <c r="F16" s="60"/>
      <c r="G16" s="60"/>
      <c r="H16" s="60"/>
      <c r="I16" s="60"/>
      <c r="J16" s="60"/>
      <c r="K16" s="60"/>
      <c r="L16" s="60"/>
    </row>
    <row r="17" ht="3.95" customHeight="1" x14ac:dyDescent="0.25"/>
    <row r="18" ht="15" customHeight="1" spans="2:2" x14ac:dyDescent="0.25">
      <c r="B18" s="279" t="s">
        <v>1157</v>
      </c>
    </row>
    <row r="19" ht="2.1" customHeight="1" x14ac:dyDescent="0.25"/>
    <row r="20" ht="12.75" customHeight="1" spans="2:12" x14ac:dyDescent="0.25">
      <c r="B20" s="13"/>
      <c r="C20" s="13"/>
      <c r="D20" s="36" t="s">
        <v>1158</v>
      </c>
      <c r="E20" s="36"/>
      <c r="F20" s="36"/>
      <c r="G20" s="36"/>
      <c r="H20" s="36"/>
      <c r="I20" s="36"/>
      <c r="J20" s="36"/>
      <c r="K20" s="36"/>
      <c r="L20" s="36"/>
    </row>
    <row r="21" ht="12.75" customHeight="1" spans="2:12" x14ac:dyDescent="0.25">
      <c r="B21" s="12"/>
      <c r="C21" s="12"/>
      <c r="D21" s="287">
        <f>E21-$F$54</f>
        <v>0.08499999999999999</v>
      </c>
      <c r="E21" s="287">
        <f>F21-$F$54</f>
        <v>0.09</v>
      </c>
      <c r="F21" s="287">
        <f>G21-$F$54</f>
        <v>0.095</v>
      </c>
      <c r="G21" s="287">
        <f>H21-$F$54</f>
        <v>0.09999999999999999</v>
      </c>
      <c r="H21" s="287">
        <f>$F$53</f>
        <v>0.105</v>
      </c>
      <c r="I21" s="287">
        <f>H21+$F$54</f>
        <v>0.11</v>
      </c>
      <c r="J21" s="287">
        <f>I21+$F$54</f>
        <v>0.11499999999999999</v>
      </c>
      <c r="K21" s="287">
        <f>J21+$F$54</f>
        <v>0.12</v>
      </c>
      <c r="L21" s="287">
        <f>K21+$F$54</f>
        <v>0.125</v>
      </c>
    </row>
    <row r="22" ht="12.75" customHeight="1" spans="2:45" x14ac:dyDescent="0.25">
      <c r="B22" s="281" t="s">
        <v>1159</v>
      </c>
      <c r="C22" s="282">
        <f>C23-$F$52</f>
        <v>1432.5305</v>
      </c>
      <c r="D22" s="288">
        <f>AK22</f>
        <v>2.0108449999672273</v>
      </c>
      <c r="E22" s="288">
        <f>AL22</f>
        <v>1.9681427250039845</v>
      </c>
      <c r="F22" s="288">
        <f>AM22</f>
        <v>1.9267442696798922</v>
      </c>
      <c r="G22" s="288">
        <f>AN22</f>
        <v>1.8866031958934235</v>
      </c>
      <c r="H22" s="288">
        <f>AO22</f>
        <v>1.8476748693707667</v>
      </c>
      <c r="I22" s="288">
        <f>AP22</f>
        <v>1.809916385505401</v>
      </c>
      <c r="J22" s="288">
        <f>AQ22</f>
        <v>1.7732864983738466</v>
      </c>
      <c r="K22" s="288">
        <f>AR22</f>
        <v>1.7377455527875143</v>
      </c>
      <c r="L22" s="288">
        <f>AS22</f>
        <v>1.703255419246247</v>
      </c>
      <c r="AK22" s="289">
        <f>IFERROR('Valuation'!$D$43/(-PMT(D$21/12,'Assumptions'!$C$62*12,MAX(0,$C22*(1-'Assumptions'!$C$61)))*12),0)</f>
        <v>2.0108449999672273</v>
      </c>
      <c r="AL22" s="289">
        <f>IFERROR('Valuation'!$D$43/(-PMT(E$21/12,'Assumptions'!$C$62*12,MAX(0,$C22*(1-'Assumptions'!$C$61)))*12),0)</f>
        <v>1.9681427250039845</v>
      </c>
      <c r="AM22" s="289">
        <f>IFERROR('Valuation'!$D$43/(-PMT(F$21/12,'Assumptions'!$C$62*12,MAX(0,$C22*(1-'Assumptions'!$C$61)))*12),0)</f>
        <v>1.9267442696798922</v>
      </c>
      <c r="AN22" s="289">
        <f>IFERROR('Valuation'!$D$43/(-PMT(G$21/12,'Assumptions'!$C$62*12,MAX(0,$C22*(1-'Assumptions'!$C$61)))*12),0)</f>
        <v>1.8866031958934235</v>
      </c>
      <c r="AO22" s="289">
        <f>IFERROR('Valuation'!$D$43/(-PMT(H$21/12,'Assumptions'!$C$62*12,MAX(0,$C22*(1-'Assumptions'!$C$61)))*12),0)</f>
        <v>1.8476748693707667</v>
      </c>
      <c r="AP22" s="289">
        <f>IFERROR('Valuation'!$D$43/(-PMT(I$21/12,'Assumptions'!$C$62*12,MAX(0,$C22*(1-'Assumptions'!$C$61)))*12),0)</f>
        <v>1.809916385505401</v>
      </c>
      <c r="AQ22" s="289">
        <f>IFERROR('Valuation'!$D$43/(-PMT(J$21/12,'Assumptions'!$C$62*12,MAX(0,$C22*(1-'Assumptions'!$C$61)))*12),0)</f>
        <v>1.7732864983738466</v>
      </c>
      <c r="AR22" s="289">
        <f>IFERROR('Valuation'!$D$43/(-PMT(K$21/12,'Assumptions'!$C$62*12,MAX(0,$C22*(1-'Assumptions'!$C$61)))*12),0)</f>
        <v>1.7377455527875143</v>
      </c>
      <c r="AS22" s="289">
        <f>IFERROR('Valuation'!$D$43/(-PMT(L$21/12,'Assumptions'!$C$62*12,MAX(0,$C22*(1-'Assumptions'!$C$61)))*12),0)</f>
        <v>1.703255419246247</v>
      </c>
    </row>
    <row r="23" ht="12.75" customHeight="1" spans="2:45" x14ac:dyDescent="0.25">
      <c r="B23" s="281"/>
      <c r="C23" s="282">
        <f>C24-$F$52</f>
        <v>1516.797</v>
      </c>
      <c r="D23" s="288">
        <f>AK23</f>
        <v>1.899131388857937</v>
      </c>
      <c r="E23" s="288">
        <f>AL23</f>
        <v>1.858801462503763</v>
      </c>
      <c r="F23" s="288">
        <f>AM23</f>
        <v>1.8197029213643425</v>
      </c>
      <c r="G23" s="288">
        <f>AN23</f>
        <v>1.7817919072326776</v>
      </c>
      <c r="H23" s="288">
        <f>AO23</f>
        <v>1.7450262655168347</v>
      </c>
      <c r="I23" s="288">
        <f>AP23</f>
        <v>1.709365475199545</v>
      </c>
      <c r="J23" s="288">
        <f>AQ23</f>
        <v>1.6747705817975211</v>
      </c>
      <c r="K23" s="288">
        <f>AR23</f>
        <v>1.6412041331882075</v>
      </c>
      <c r="L23" s="288">
        <f>AS23</f>
        <v>1.6086301181770108</v>
      </c>
      <c r="AK23" s="289">
        <f>IFERROR('Valuation'!$D$43/(-PMT(D$21/12,'Assumptions'!$C$62*12,MAX(0,$C23*(1-'Assumptions'!$C$61)))*12),0)</f>
        <v>1.899131388857937</v>
      </c>
      <c r="AL23" s="289">
        <f>IFERROR('Valuation'!$D$43/(-PMT(E$21/12,'Assumptions'!$C$62*12,MAX(0,$C23*(1-'Assumptions'!$C$61)))*12),0)</f>
        <v>1.858801462503763</v>
      </c>
      <c r="AM23" s="289">
        <f>IFERROR('Valuation'!$D$43/(-PMT(F$21/12,'Assumptions'!$C$62*12,MAX(0,$C23*(1-'Assumptions'!$C$61)))*12),0)</f>
        <v>1.8197029213643425</v>
      </c>
      <c r="AN23" s="289">
        <f>IFERROR('Valuation'!$D$43/(-PMT(G$21/12,'Assumptions'!$C$62*12,MAX(0,$C23*(1-'Assumptions'!$C$61)))*12),0)</f>
        <v>1.7817919072326776</v>
      </c>
      <c r="AO23" s="289">
        <f>IFERROR('Valuation'!$D$43/(-PMT(H$21/12,'Assumptions'!$C$62*12,MAX(0,$C23*(1-'Assumptions'!$C$61)))*12),0)</f>
        <v>1.7450262655168347</v>
      </c>
      <c r="AP23" s="289">
        <f>IFERROR('Valuation'!$D$43/(-PMT(I$21/12,'Assumptions'!$C$62*12,MAX(0,$C23*(1-'Assumptions'!$C$61)))*12),0)</f>
        <v>1.709365475199545</v>
      </c>
      <c r="AQ23" s="289">
        <f>IFERROR('Valuation'!$D$43/(-PMT(J$21/12,'Assumptions'!$C$62*12,MAX(0,$C23*(1-'Assumptions'!$C$61)))*12),0)</f>
        <v>1.6747705817975211</v>
      </c>
      <c r="AR23" s="289">
        <f>IFERROR('Valuation'!$D$43/(-PMT(K$21/12,'Assumptions'!$C$62*12,MAX(0,$C23*(1-'Assumptions'!$C$61)))*12),0)</f>
        <v>1.6412041331882075</v>
      </c>
      <c r="AS23" s="289">
        <f>IFERROR('Valuation'!$D$43/(-PMT(L$21/12,'Assumptions'!$C$62*12,MAX(0,$C23*(1-'Assumptions'!$C$61)))*12),0)</f>
        <v>1.6086301181770108</v>
      </c>
    </row>
    <row r="24" ht="12.75" customHeight="1" spans="2:45" x14ac:dyDescent="0.25">
      <c r="B24" s="281"/>
      <c r="C24" s="282">
        <f>C25-$F$52</f>
        <v>1601.0635</v>
      </c>
      <c r="D24" s="288">
        <f>AK24</f>
        <v>1.7991771052338348</v>
      </c>
      <c r="E24" s="288">
        <f>AL24</f>
        <v>1.7609698065825123</v>
      </c>
      <c r="F24" s="288">
        <f>AM24</f>
        <v>1.7239290833977978</v>
      </c>
      <c r="G24" s="288">
        <f>AN24</f>
        <v>1.6880133857993789</v>
      </c>
      <c r="H24" s="288">
        <f>AO24</f>
        <v>1.6531827778580541</v>
      </c>
      <c r="I24" s="288">
        <f>AP24</f>
        <v>1.6193988712416743</v>
      </c>
      <c r="J24" s="288">
        <f>AQ24</f>
        <v>1.586624761702915</v>
      </c>
      <c r="K24" s="288">
        <f>AR24</f>
        <v>1.5548249682835646</v>
      </c>
      <c r="L24" s="288">
        <f>AS24</f>
        <v>1.5239653751150628</v>
      </c>
      <c r="AK24" s="289">
        <f>IFERROR('Valuation'!$D$43/(-PMT(D$21/12,'Assumptions'!$C$62*12,MAX(0,$C24*(1-'Assumptions'!$C$61)))*12),0)</f>
        <v>1.7991771052338348</v>
      </c>
      <c r="AL24" s="289">
        <f>IFERROR('Valuation'!$D$43/(-PMT(E$21/12,'Assumptions'!$C$62*12,MAX(0,$C24*(1-'Assumptions'!$C$61)))*12),0)</f>
        <v>1.7609698065825123</v>
      </c>
      <c r="AM24" s="289">
        <f>IFERROR('Valuation'!$D$43/(-PMT(F$21/12,'Assumptions'!$C$62*12,MAX(0,$C24*(1-'Assumptions'!$C$61)))*12),0)</f>
        <v>1.7239290833977978</v>
      </c>
      <c r="AN24" s="289">
        <f>IFERROR('Valuation'!$D$43/(-PMT(G$21/12,'Assumptions'!$C$62*12,MAX(0,$C24*(1-'Assumptions'!$C$61)))*12),0)</f>
        <v>1.6880133857993789</v>
      </c>
      <c r="AO24" s="289">
        <f>IFERROR('Valuation'!$D$43/(-PMT(H$21/12,'Assumptions'!$C$62*12,MAX(0,$C24*(1-'Assumptions'!$C$61)))*12),0)</f>
        <v>1.6531827778580541</v>
      </c>
      <c r="AP24" s="289">
        <f>IFERROR('Valuation'!$D$43/(-PMT(I$21/12,'Assumptions'!$C$62*12,MAX(0,$C24*(1-'Assumptions'!$C$61)))*12),0)</f>
        <v>1.6193988712416743</v>
      </c>
      <c r="AQ24" s="289">
        <f>IFERROR('Valuation'!$D$43/(-PMT(J$21/12,'Assumptions'!$C$62*12,MAX(0,$C24*(1-'Assumptions'!$C$61)))*12),0)</f>
        <v>1.586624761702915</v>
      </c>
      <c r="AR24" s="289">
        <f>IFERROR('Valuation'!$D$43/(-PMT(K$21/12,'Assumptions'!$C$62*12,MAX(0,$C24*(1-'Assumptions'!$C$61)))*12),0)</f>
        <v>1.5548249682835646</v>
      </c>
      <c r="AS24" s="289">
        <f>IFERROR('Valuation'!$D$43/(-PMT(L$21/12,'Assumptions'!$C$62*12,MAX(0,$C24*(1-'Assumptions'!$C$61)))*12),0)</f>
        <v>1.5239653751150628</v>
      </c>
    </row>
    <row r="25" ht="12.75" customHeight="1" spans="2:45" x14ac:dyDescent="0.25">
      <c r="B25" s="281"/>
      <c r="C25" s="282">
        <f>$F$51</f>
        <v>1685.33</v>
      </c>
      <c r="D25" s="288">
        <f>AK25</f>
        <v>1.7092182499721431</v>
      </c>
      <c r="E25" s="288">
        <f>AL25</f>
        <v>1.672921316253387</v>
      </c>
      <c r="F25" s="288">
        <f>AM25</f>
        <v>1.6377326292279084</v>
      </c>
      <c r="G25" s="288">
        <f>AN25</f>
        <v>1.60361271650941</v>
      </c>
      <c r="H25" s="290">
        <f>AO25</f>
        <v>1.5705236389651513</v>
      </c>
      <c r="I25" s="288">
        <f>AP25</f>
        <v>1.5384289276795906</v>
      </c>
      <c r="J25" s="288">
        <f>AQ25</f>
        <v>1.5072935236177694</v>
      </c>
      <c r="K25" s="288">
        <f>AR25</f>
        <v>1.477083719869387</v>
      </c>
      <c r="L25" s="288">
        <f>AS25</f>
        <v>1.4477671063593096</v>
      </c>
      <c r="AK25" s="289">
        <f>IFERROR('Valuation'!$D$43/(-PMT(D$21/12,'Assumptions'!$C$62*12,MAX(0,$C25*(1-'Assumptions'!$C$61)))*12),0)</f>
        <v>1.7092182499721431</v>
      </c>
      <c r="AL25" s="289">
        <f>IFERROR('Valuation'!$D$43/(-PMT(E$21/12,'Assumptions'!$C$62*12,MAX(0,$C25*(1-'Assumptions'!$C$61)))*12),0)</f>
        <v>1.672921316253387</v>
      </c>
      <c r="AM25" s="289">
        <f>IFERROR('Valuation'!$D$43/(-PMT(F$21/12,'Assumptions'!$C$62*12,MAX(0,$C25*(1-'Assumptions'!$C$61)))*12),0)</f>
        <v>1.6377326292279084</v>
      </c>
      <c r="AN25" s="289">
        <f>IFERROR('Valuation'!$D$43/(-PMT(G$21/12,'Assumptions'!$C$62*12,MAX(0,$C25*(1-'Assumptions'!$C$61)))*12),0)</f>
        <v>1.60361271650941</v>
      </c>
      <c r="AO25" s="289">
        <f>IFERROR('Valuation'!$D$43/(-PMT(H$21/12,'Assumptions'!$C$62*12,MAX(0,$C25*(1-'Assumptions'!$C$61)))*12),0)</f>
        <v>1.5705236389651513</v>
      </c>
      <c r="AP25" s="289">
        <f>IFERROR('Valuation'!$D$43/(-PMT(I$21/12,'Assumptions'!$C$62*12,MAX(0,$C25*(1-'Assumptions'!$C$61)))*12),0)</f>
        <v>1.5384289276795906</v>
      </c>
      <c r="AQ25" s="289">
        <f>IFERROR('Valuation'!$D$43/(-PMT(J$21/12,'Assumptions'!$C$62*12,MAX(0,$C25*(1-'Assumptions'!$C$61)))*12),0)</f>
        <v>1.5072935236177694</v>
      </c>
      <c r="AR25" s="289">
        <f>IFERROR('Valuation'!$D$43/(-PMT(K$21/12,'Assumptions'!$C$62*12,MAX(0,$C25*(1-'Assumptions'!$C$61)))*12),0)</f>
        <v>1.477083719869387</v>
      </c>
      <c r="AS25" s="289">
        <f>IFERROR('Valuation'!$D$43/(-PMT(L$21/12,'Assumptions'!$C$62*12,MAX(0,$C25*(1-'Assumptions'!$C$61)))*12),0)</f>
        <v>1.4477671063593096</v>
      </c>
    </row>
    <row r="26" ht="12.75" customHeight="1" spans="2:45" x14ac:dyDescent="0.25">
      <c r="B26" s="281"/>
      <c r="C26" s="282">
        <f>C25+$F$52</f>
        <v>1769.5965</v>
      </c>
      <c r="D26" s="288">
        <f>AK26</f>
        <v>1.6278269047353744</v>
      </c>
      <c r="E26" s="288">
        <f>AL26</f>
        <v>1.593258396431797</v>
      </c>
      <c r="F26" s="288">
        <f>AM26</f>
        <v>1.5597453611694365</v>
      </c>
      <c r="G26" s="288">
        <f>AN26</f>
        <v>1.527250206199438</v>
      </c>
      <c r="H26" s="288">
        <f>AO26</f>
        <v>1.49573679901443</v>
      </c>
      <c r="I26" s="288">
        <f>AP26</f>
        <v>1.4651704073138956</v>
      </c>
      <c r="J26" s="288">
        <f>AQ26</f>
        <v>1.4355176415407325</v>
      </c>
      <c r="K26" s="288">
        <f>AR26</f>
        <v>1.4067463998756067</v>
      </c>
      <c r="L26" s="288">
        <f>AS26</f>
        <v>1.3788258155802953</v>
      </c>
      <c r="AK26" s="289">
        <f>IFERROR('Valuation'!$D$43/(-PMT(D$21/12,'Assumptions'!$C$62*12,MAX(0,$C26*(1-'Assumptions'!$C$61)))*12),0)</f>
        <v>1.6278269047353744</v>
      </c>
      <c r="AL26" s="289">
        <f>IFERROR('Valuation'!$D$43/(-PMT(E$21/12,'Assumptions'!$C$62*12,MAX(0,$C26*(1-'Assumptions'!$C$61)))*12),0)</f>
        <v>1.593258396431797</v>
      </c>
      <c r="AM26" s="289">
        <f>IFERROR('Valuation'!$D$43/(-PMT(F$21/12,'Assumptions'!$C$62*12,MAX(0,$C26*(1-'Assumptions'!$C$61)))*12),0)</f>
        <v>1.5597453611694365</v>
      </c>
      <c r="AN26" s="289">
        <f>IFERROR('Valuation'!$D$43/(-PMT(G$21/12,'Assumptions'!$C$62*12,MAX(0,$C26*(1-'Assumptions'!$C$61)))*12),0)</f>
        <v>1.527250206199438</v>
      </c>
      <c r="AO26" s="289">
        <f>IFERROR('Valuation'!$D$43/(-PMT(H$21/12,'Assumptions'!$C$62*12,MAX(0,$C26*(1-'Assumptions'!$C$61)))*12),0)</f>
        <v>1.49573679901443</v>
      </c>
      <c r="AP26" s="289">
        <f>IFERROR('Valuation'!$D$43/(-PMT(I$21/12,'Assumptions'!$C$62*12,MAX(0,$C26*(1-'Assumptions'!$C$61)))*12),0)</f>
        <v>1.4651704073138956</v>
      </c>
      <c r="AQ26" s="289">
        <f>IFERROR('Valuation'!$D$43/(-PMT(J$21/12,'Assumptions'!$C$62*12,MAX(0,$C26*(1-'Assumptions'!$C$61)))*12),0)</f>
        <v>1.4355176415407325</v>
      </c>
      <c r="AR26" s="289">
        <f>IFERROR('Valuation'!$D$43/(-PMT(K$21/12,'Assumptions'!$C$62*12,MAX(0,$C26*(1-'Assumptions'!$C$61)))*12),0)</f>
        <v>1.4067463998756067</v>
      </c>
      <c r="AS26" s="289">
        <f>IFERROR('Valuation'!$D$43/(-PMT(L$21/12,'Assumptions'!$C$62*12,MAX(0,$C26*(1-'Assumptions'!$C$61)))*12),0)</f>
        <v>1.3788258155802953</v>
      </c>
    </row>
    <row r="27" ht="12.75" customHeight="1" spans="2:45" x14ac:dyDescent="0.25">
      <c r="B27" s="281"/>
      <c r="C27" s="282">
        <f>C26+$F$52</f>
        <v>1853.863</v>
      </c>
      <c r="D27" s="288">
        <f>AK27</f>
        <v>1.5538347727019484</v>
      </c>
      <c r="E27" s="288">
        <f>AL27</f>
        <v>1.5208375602303517</v>
      </c>
      <c r="F27" s="288">
        <f>AM27</f>
        <v>1.4888478447526439</v>
      </c>
      <c r="G27" s="288">
        <f>AN27</f>
        <v>1.4578297422812818</v>
      </c>
      <c r="H27" s="288">
        <f>AO27</f>
        <v>1.4277487626955923</v>
      </c>
      <c r="I27" s="288">
        <f>AP27</f>
        <v>1.3985717524359915</v>
      </c>
      <c r="J27" s="288">
        <f>AQ27</f>
        <v>1.3702668396525175</v>
      </c>
      <c r="K27" s="288">
        <f>AR27</f>
        <v>1.3428033816994427</v>
      </c>
      <c r="L27" s="288">
        <f>AS27</f>
        <v>1.3161519148721001</v>
      </c>
      <c r="AK27" s="289">
        <f>IFERROR('Valuation'!$D$43/(-PMT(D$21/12,'Assumptions'!$C$62*12,MAX(0,$C27*(1-'Assumptions'!$C$61)))*12),0)</f>
        <v>1.5538347727019484</v>
      </c>
      <c r="AL27" s="289">
        <f>IFERROR('Valuation'!$D$43/(-PMT(E$21/12,'Assumptions'!$C$62*12,MAX(0,$C27*(1-'Assumptions'!$C$61)))*12),0)</f>
        <v>1.5208375602303517</v>
      </c>
      <c r="AM27" s="289">
        <f>IFERROR('Valuation'!$D$43/(-PMT(F$21/12,'Assumptions'!$C$62*12,MAX(0,$C27*(1-'Assumptions'!$C$61)))*12),0)</f>
        <v>1.4888478447526439</v>
      </c>
      <c r="AN27" s="289">
        <f>IFERROR('Valuation'!$D$43/(-PMT(G$21/12,'Assumptions'!$C$62*12,MAX(0,$C27*(1-'Assumptions'!$C$61)))*12),0)</f>
        <v>1.4578297422812818</v>
      </c>
      <c r="AO27" s="289">
        <f>IFERROR('Valuation'!$D$43/(-PMT(H$21/12,'Assumptions'!$C$62*12,MAX(0,$C27*(1-'Assumptions'!$C$61)))*12),0)</f>
        <v>1.4277487626955923</v>
      </c>
      <c r="AP27" s="289">
        <f>IFERROR('Valuation'!$D$43/(-PMT(I$21/12,'Assumptions'!$C$62*12,MAX(0,$C27*(1-'Assumptions'!$C$61)))*12),0)</f>
        <v>1.3985717524359915</v>
      </c>
      <c r="AQ27" s="289">
        <f>IFERROR('Valuation'!$D$43/(-PMT(J$21/12,'Assumptions'!$C$62*12,MAX(0,$C27*(1-'Assumptions'!$C$61)))*12),0)</f>
        <v>1.3702668396525175</v>
      </c>
      <c r="AR27" s="289">
        <f>IFERROR('Valuation'!$D$43/(-PMT(K$21/12,'Assumptions'!$C$62*12,MAX(0,$C27*(1-'Assumptions'!$C$61)))*12),0)</f>
        <v>1.3428033816994427</v>
      </c>
      <c r="AS27" s="289">
        <f>IFERROR('Valuation'!$D$43/(-PMT(L$21/12,'Assumptions'!$C$62*12,MAX(0,$C27*(1-'Assumptions'!$C$61)))*12),0)</f>
        <v>1.3161519148721001</v>
      </c>
    </row>
    <row r="28" ht="12.75" customHeight="1" spans="2:45" x14ac:dyDescent="0.25">
      <c r="B28" s="281"/>
      <c r="C28" s="285">
        <f>C27+$F$52</f>
        <v>1938.1295</v>
      </c>
      <c r="D28" s="291">
        <f>AK28</f>
        <v>1.4862767391062115</v>
      </c>
      <c r="E28" s="291">
        <f>AL28</f>
        <v>1.454714188046423</v>
      </c>
      <c r="F28" s="291">
        <f>AM28</f>
        <v>1.4241153297633984</v>
      </c>
      <c r="G28" s="291">
        <f>AN28</f>
        <v>1.3944458404429654</v>
      </c>
      <c r="H28" s="291">
        <f>AO28</f>
        <v>1.3656727295349143</v>
      </c>
      <c r="I28" s="291">
        <f>AP28</f>
        <v>1.3377642849387743</v>
      </c>
      <c r="J28" s="291">
        <f>AQ28</f>
        <v>1.3106900205371907</v>
      </c>
      <c r="K28" s="291">
        <f>AR28</f>
        <v>1.28442062597338</v>
      </c>
      <c r="L28" s="291">
        <f>AS28</f>
        <v>1.2589279185733129</v>
      </c>
      <c r="AK28" s="289">
        <f>IFERROR('Valuation'!$D$43/(-PMT(D$21/12,'Assumptions'!$C$62*12,MAX(0,$C28*(1-'Assumptions'!$C$61)))*12),0)</f>
        <v>1.4862767391062115</v>
      </c>
      <c r="AL28" s="289">
        <f>IFERROR('Valuation'!$D$43/(-PMT(E$21/12,'Assumptions'!$C$62*12,MAX(0,$C28*(1-'Assumptions'!$C$61)))*12),0)</f>
        <v>1.454714188046423</v>
      </c>
      <c r="AM28" s="289">
        <f>IFERROR('Valuation'!$D$43/(-PMT(F$21/12,'Assumptions'!$C$62*12,MAX(0,$C28*(1-'Assumptions'!$C$61)))*12),0)</f>
        <v>1.4241153297633984</v>
      </c>
      <c r="AN28" s="289">
        <f>IFERROR('Valuation'!$D$43/(-PMT(G$21/12,'Assumptions'!$C$62*12,MAX(0,$C28*(1-'Assumptions'!$C$61)))*12),0)</f>
        <v>1.3944458404429654</v>
      </c>
      <c r="AO28" s="289">
        <f>IFERROR('Valuation'!$D$43/(-PMT(H$21/12,'Assumptions'!$C$62*12,MAX(0,$C28*(1-'Assumptions'!$C$61)))*12),0)</f>
        <v>1.3656727295349143</v>
      </c>
      <c r="AP28" s="289">
        <f>IFERROR('Valuation'!$D$43/(-PMT(I$21/12,'Assumptions'!$C$62*12,MAX(0,$C28*(1-'Assumptions'!$C$61)))*12),0)</f>
        <v>1.3377642849387743</v>
      </c>
      <c r="AQ28" s="289">
        <f>IFERROR('Valuation'!$D$43/(-PMT(J$21/12,'Assumptions'!$C$62*12,MAX(0,$C28*(1-'Assumptions'!$C$61)))*12),0)</f>
        <v>1.3106900205371907</v>
      </c>
      <c r="AR28" s="289">
        <f>IFERROR('Valuation'!$D$43/(-PMT(K$21/12,'Assumptions'!$C$62*12,MAX(0,$C28*(1-'Assumptions'!$C$61)))*12),0)</f>
        <v>1.28442062597338</v>
      </c>
      <c r="AS28" s="289">
        <f>IFERROR('Valuation'!$D$43/(-PMT(L$21/12,'Assumptions'!$C$62*12,MAX(0,$C28*(1-'Assumptions'!$C$61)))*12),0)</f>
        <v>1.2589279185733129</v>
      </c>
    </row>
    <row r="29" ht="36.5" customHeight="1" spans="2:12" x14ac:dyDescent="0.25">
      <c r="B29" s="60" t="s">
        <v>1160</v>
      </c>
      <c r="C29" s="60"/>
      <c r="D29" s="60"/>
      <c r="E29" s="60"/>
      <c r="F29" s="60"/>
      <c r="G29" s="60"/>
      <c r="H29" s="60"/>
      <c r="I29" s="60"/>
      <c r="J29" s="60"/>
      <c r="K29" s="60"/>
      <c r="L29" s="60"/>
    </row>
    <row r="30" ht="3.95" customHeight="1" x14ac:dyDescent="0.25"/>
    <row r="31" ht="15" customHeight="1" spans="2:2" x14ac:dyDescent="0.25">
      <c r="B31" s="279" t="s">
        <v>1161</v>
      </c>
    </row>
    <row r="32" ht="2.1" customHeight="1" x14ac:dyDescent="0.25"/>
    <row r="33" ht="12.75" customHeight="1" spans="2:12" x14ac:dyDescent="0.25">
      <c r="B33" s="13"/>
      <c r="C33" s="13"/>
      <c r="D33" s="36" t="s">
        <v>1162</v>
      </c>
      <c r="E33" s="36"/>
      <c r="F33" s="36"/>
      <c r="G33" s="36"/>
      <c r="H33" s="36"/>
      <c r="I33" s="36"/>
      <c r="J33" s="36"/>
      <c r="K33" s="36"/>
      <c r="L33" s="36"/>
    </row>
    <row r="34" ht="12.75" customHeight="1" spans="2:12" x14ac:dyDescent="0.25">
      <c r="B34" s="12"/>
      <c r="C34" s="12"/>
      <c r="D34" s="292">
        <f>E34-$F$56</f>
        <v>0.6000000000000001</v>
      </c>
      <c r="E34" s="292">
        <f>F34-$F$56</f>
        <v>0.65</v>
      </c>
      <c r="F34" s="292">
        <f>G34-$F$56</f>
        <v>0.7000000000000001</v>
      </c>
      <c r="G34" s="292">
        <f>H34-$F$56</f>
        <v>0.75</v>
      </c>
      <c r="H34" s="292">
        <f>$F$55</f>
        <v>0.8</v>
      </c>
      <c r="I34" s="292">
        <f>H34+$F$56</f>
        <v>0.8500000000000001</v>
      </c>
      <c r="J34" s="292">
        <f>I34+$F$56</f>
        <v>0.9</v>
      </c>
      <c r="K34" s="292">
        <f>J34+$F$56</f>
        <v>0.9500000000000001</v>
      </c>
      <c r="L34" s="292">
        <f>K34+$F$56</f>
        <v>1</v>
      </c>
    </row>
    <row r="35" ht="12.75" customHeight="1" spans="2:56" x14ac:dyDescent="0.25">
      <c r="B35" s="281" t="s">
        <v>1159</v>
      </c>
      <c r="C35" s="282">
        <f>C36-$F$52</f>
        <v>1432.5305</v>
      </c>
      <c r="D35" s="283">
        <f>ROUND(AV35,$F$58)</f>
        <v>419</v>
      </c>
      <c r="E35" s="283">
        <f>ROUND(AW35,$F$58)</f>
        <v>483</v>
      </c>
      <c r="F35" s="283">
        <f>ROUND(AX35,$F$58)</f>
        <v>548</v>
      </c>
      <c r="G35" s="283">
        <f>ROUND(AY35,$F$58)</f>
        <v>612</v>
      </c>
      <c r="H35" s="283">
        <f>ROUND(AZ35,$F$58)</f>
        <v>677</v>
      </c>
      <c r="I35" s="283">
        <f>ROUND(BA35,$F$58)</f>
        <v>741</v>
      </c>
      <c r="J35" s="283">
        <f>ROUND(BB35,$F$58)</f>
        <v>806</v>
      </c>
      <c r="K35" s="283">
        <f>ROUND(BC35,$F$58)</f>
        <v>870</v>
      </c>
      <c r="L35" s="283">
        <f>ROUND(BD35,$F$58)</f>
        <v>934</v>
      </c>
      <c r="AV35" s="204">
        <f>$C35*D$34*(1-'Assumptions'!$C$59)-$F$57</f>
        <v>418.7748033333335</v>
      </c>
      <c r="AW35" s="204">
        <f>$C35*E$34*(1-'Assumptions'!$C$59)-$F$57</f>
        <v>483.23867583333333</v>
      </c>
      <c r="AX35" s="204">
        <f>$C35*F$34*(1-'Assumptions'!$C$59)-$F$57</f>
        <v>547.7025483333334</v>
      </c>
      <c r="AY35" s="204">
        <f>$C35*G$34*(1-'Assumptions'!$C$59)-$F$57</f>
        <v>612.1664208333334</v>
      </c>
      <c r="AZ35" s="204">
        <f>$C35*H$34*(1-'Assumptions'!$C$59)-$F$57</f>
        <v>676.6302933333336</v>
      </c>
      <c r="BA35" s="204">
        <f>$C35*I$34*(1-'Assumptions'!$C$59)-$F$57</f>
        <v>741.0941658333334</v>
      </c>
      <c r="BB35" s="204">
        <f>$C35*J$34*(1-'Assumptions'!$C$59)-$F$57</f>
        <v>805.5580383333335</v>
      </c>
      <c r="BC35" s="204">
        <f>$C35*K$34*(1-'Assumptions'!$C$59)-$F$57</f>
        <v>870.0219108333335</v>
      </c>
      <c r="BD35" s="204">
        <f>$C35*L$34*(1-'Assumptions'!$C$59)-$F$57</f>
        <v>934.4857833333333</v>
      </c>
    </row>
    <row r="36" ht="12.75" customHeight="1" spans="2:56" x14ac:dyDescent="0.25">
      <c r="B36" s="281"/>
      <c r="C36" s="282">
        <f>C37-$F$52</f>
        <v>1516.797</v>
      </c>
      <c r="D36" s="283">
        <f>ROUND(AV36,$F$58)</f>
        <v>464</v>
      </c>
      <c r="E36" s="283">
        <f>ROUND(AW36,$F$58)</f>
        <v>533</v>
      </c>
      <c r="F36" s="283">
        <f>ROUND(AX36,$F$58)</f>
        <v>601</v>
      </c>
      <c r="G36" s="283">
        <f>ROUND(AY36,$F$58)</f>
        <v>669</v>
      </c>
      <c r="H36" s="283">
        <f>ROUND(AZ36,$F$58)</f>
        <v>737</v>
      </c>
      <c r="I36" s="283">
        <f>ROUND(BA36,$F$58)</f>
        <v>806</v>
      </c>
      <c r="J36" s="283">
        <f>ROUND(BB36,$F$58)</f>
        <v>874</v>
      </c>
      <c r="K36" s="283">
        <f>ROUND(BC36,$F$58)</f>
        <v>942</v>
      </c>
      <c r="L36" s="283">
        <f>ROUND(BD36,$F$58)</f>
        <v>1010</v>
      </c>
      <c r="AV36" s="204">
        <f>$C36*D$34*(1-'Assumptions'!$C$59)-$F$57</f>
        <v>464.27871333333354</v>
      </c>
      <c r="AW36" s="204">
        <f>$C36*E$34*(1-'Assumptions'!$C$59)-$F$57</f>
        <v>532.5345783333335</v>
      </c>
      <c r="AX36" s="204">
        <f>$C36*F$34*(1-'Assumptions'!$C$59)-$F$57</f>
        <v>600.7904433333334</v>
      </c>
      <c r="AY36" s="204">
        <f>$C36*G$34*(1-'Assumptions'!$C$59)-$F$57</f>
        <v>669.0463083333334</v>
      </c>
      <c r="AZ36" s="204">
        <f>$C36*H$34*(1-'Assumptions'!$C$59)-$F$57</f>
        <v>737.3021733333335</v>
      </c>
      <c r="BA36" s="204">
        <f>$C36*I$34*(1-'Assumptions'!$C$59)-$F$57</f>
        <v>805.5580383333337</v>
      </c>
      <c r="BB36" s="204">
        <f>$C36*J$34*(1-'Assumptions'!$C$59)-$F$57</f>
        <v>873.8139033333334</v>
      </c>
      <c r="BC36" s="204">
        <f>$C36*K$34*(1-'Assumptions'!$C$59)-$F$57</f>
        <v>942.0697683333334</v>
      </c>
      <c r="BD36" s="204">
        <f>$C36*L$34*(1-'Assumptions'!$C$59)-$F$57</f>
        <v>1010.3256333333334</v>
      </c>
    </row>
    <row r="37" ht="12.75" customHeight="1" spans="2:56" x14ac:dyDescent="0.25">
      <c r="B37" s="281"/>
      <c r="C37" s="282">
        <f>C38-$F$52</f>
        <v>1601.0635</v>
      </c>
      <c r="D37" s="283">
        <f>ROUND(AV37,$F$58)</f>
        <v>510</v>
      </c>
      <c r="E37" s="283">
        <f>ROUND(AW37,$F$58)</f>
        <v>582</v>
      </c>
      <c r="F37" s="283">
        <f>ROUND(AX37,$F$58)</f>
        <v>654</v>
      </c>
      <c r="G37" s="283">
        <f>ROUND(AY37,$F$58)</f>
        <v>726</v>
      </c>
      <c r="H37" s="283">
        <f>ROUND(AZ37,$F$58)</f>
        <v>798</v>
      </c>
      <c r="I37" s="283">
        <f>ROUND(BA37,$F$58)</f>
        <v>870</v>
      </c>
      <c r="J37" s="283">
        <f>ROUND(BB37,$F$58)</f>
        <v>942</v>
      </c>
      <c r="K37" s="283">
        <f>ROUND(BC37,$F$58)</f>
        <v>1014</v>
      </c>
      <c r="L37" s="283">
        <f>ROUND(BD37,$F$58)</f>
        <v>1086</v>
      </c>
      <c r="AV37" s="204">
        <f>$C37*D$34*(1-'Assumptions'!$C$59)-$F$57</f>
        <v>509.78262333333345</v>
      </c>
      <c r="AW37" s="204">
        <f>$C37*E$34*(1-'Assumptions'!$C$59)-$F$57</f>
        <v>581.8304808333335</v>
      </c>
      <c r="AX37" s="204">
        <f>$C37*F$34*(1-'Assumptions'!$C$59)-$F$57</f>
        <v>653.8783383333337</v>
      </c>
      <c r="AY37" s="204">
        <f>$C37*G$34*(1-'Assumptions'!$C$59)-$F$57</f>
        <v>725.9261958333334</v>
      </c>
      <c r="AZ37" s="204">
        <f>$C37*H$34*(1-'Assumptions'!$C$59)-$F$57</f>
        <v>797.9740533333334</v>
      </c>
      <c r="BA37" s="204">
        <f>$C37*I$34*(1-'Assumptions'!$C$59)-$F$57</f>
        <v>870.0219108333335</v>
      </c>
      <c r="BB37" s="204">
        <f>$C37*J$34*(1-'Assumptions'!$C$59)-$F$57</f>
        <v>942.0697683333334</v>
      </c>
      <c r="BC37" s="204">
        <f>$C37*K$34*(1-'Assumptions'!$C$59)-$F$57</f>
        <v>1014.1176258333336</v>
      </c>
      <c r="BD37" s="204">
        <f>$C37*L$34*(1-'Assumptions'!$C$59)-$F$57</f>
        <v>1086.1654833333334</v>
      </c>
    </row>
    <row r="38" ht="12.75" customHeight="1" spans="2:56" x14ac:dyDescent="0.25">
      <c r="B38" s="281"/>
      <c r="C38" s="282">
        <f>$F$51</f>
        <v>1685.33</v>
      </c>
      <c r="D38" s="283">
        <f>ROUND(AV38,$F$58)</f>
        <v>555</v>
      </c>
      <c r="E38" s="283">
        <f>ROUND(AW38,$F$58)</f>
        <v>631</v>
      </c>
      <c r="F38" s="283">
        <f>ROUND(AX38,$F$58)</f>
        <v>707</v>
      </c>
      <c r="G38" s="283">
        <f>ROUND(AY38,$F$58)</f>
        <v>783</v>
      </c>
      <c r="H38" s="284">
        <f>ROUND(AZ38,$F$58)</f>
        <v>859</v>
      </c>
      <c r="I38" s="283">
        <f>ROUND(BA38,$F$58)</f>
        <v>934</v>
      </c>
      <c r="J38" s="283">
        <f>ROUND(BB38,$F$58)</f>
        <v>1010</v>
      </c>
      <c r="K38" s="283">
        <f>ROUND(BC38,$F$58)</f>
        <v>1086</v>
      </c>
      <c r="L38" s="283">
        <f>ROUND(BD38,$F$58)</f>
        <v>1162</v>
      </c>
      <c r="AV38" s="204">
        <f>$C38*D$34*(1-'Assumptions'!$C$59)-$F$57</f>
        <v>555.2865333333334</v>
      </c>
      <c r="AW38" s="204">
        <f>$C38*E$34*(1-'Assumptions'!$C$59)-$F$57</f>
        <v>631.1263833333334</v>
      </c>
      <c r="AX38" s="204">
        <f>$C38*F$34*(1-'Assumptions'!$C$59)-$F$57</f>
        <v>706.9662333333335</v>
      </c>
      <c r="AY38" s="204">
        <f>$C38*G$34*(1-'Assumptions'!$C$59)-$F$57</f>
        <v>782.8060833333334</v>
      </c>
      <c r="AZ38" s="204">
        <f>$C38*H$34*(1-'Assumptions'!$C$59)-$F$57</f>
        <v>858.6459333333335</v>
      </c>
      <c r="BA38" s="204">
        <f>$C38*I$34*(1-'Assumptions'!$C$59)-$F$57</f>
        <v>934.4857833333335</v>
      </c>
      <c r="BB38" s="204">
        <f>$C38*J$34*(1-'Assumptions'!$C$59)-$F$57</f>
        <v>1010.3256333333334</v>
      </c>
      <c r="BC38" s="204">
        <f>$C38*K$34*(1-'Assumptions'!$C$59)-$F$57</f>
        <v>1086.1654833333334</v>
      </c>
      <c r="BD38" s="204">
        <f>$C38*L$34*(1-'Assumptions'!$C$59)-$F$57</f>
        <v>1162.0053333333333</v>
      </c>
    </row>
    <row r="39" ht="12.75" customHeight="1" spans="2:56" x14ac:dyDescent="0.25">
      <c r="B39" s="281"/>
      <c r="C39" s="282">
        <f>C38+$F$52</f>
        <v>1769.5965</v>
      </c>
      <c r="D39" s="283">
        <f>ROUND(AV39,$F$58)</f>
        <v>601</v>
      </c>
      <c r="E39" s="283">
        <f>ROUND(AW39,$F$58)</f>
        <v>680</v>
      </c>
      <c r="F39" s="283">
        <f>ROUND(AX39,$F$58)</f>
        <v>760</v>
      </c>
      <c r="G39" s="283">
        <f>ROUND(AY39,$F$58)</f>
        <v>840</v>
      </c>
      <c r="H39" s="283">
        <f>ROUND(AZ39,$F$58)</f>
        <v>919</v>
      </c>
      <c r="I39" s="283">
        <f>ROUND(BA39,$F$58)</f>
        <v>999</v>
      </c>
      <c r="J39" s="283">
        <f>ROUND(BB39,$F$58)</f>
        <v>1079</v>
      </c>
      <c r="K39" s="283">
        <f>ROUND(BC39,$F$58)</f>
        <v>1158</v>
      </c>
      <c r="L39" s="283">
        <f>ROUND(BD39,$F$58)</f>
        <v>1238</v>
      </c>
      <c r="AV39" s="204">
        <f>$C39*D$34*(1-'Assumptions'!$C$59)-$F$57</f>
        <v>600.7904433333334</v>
      </c>
      <c r="AW39" s="204">
        <f>$C39*E$34*(1-'Assumptions'!$C$59)-$F$57</f>
        <v>680.4222858333335</v>
      </c>
      <c r="AX39" s="204">
        <f>$C39*F$34*(1-'Assumptions'!$C$59)-$F$57</f>
        <v>760.0541283333336</v>
      </c>
      <c r="AY39" s="204">
        <f>$C39*G$34*(1-'Assumptions'!$C$59)-$F$57</f>
        <v>839.6859708333333</v>
      </c>
      <c r="AZ39" s="204">
        <f>$C39*H$34*(1-'Assumptions'!$C$59)-$F$57</f>
        <v>919.3178133333336</v>
      </c>
      <c r="BA39" s="204">
        <f>$C39*I$34*(1-'Assumptions'!$C$59)-$F$57</f>
        <v>998.9496558333336</v>
      </c>
      <c r="BB39" s="204">
        <f>$C39*J$34*(1-'Assumptions'!$C$59)-$F$57</f>
        <v>1078.5814983333332</v>
      </c>
      <c r="BC39" s="204">
        <f>$C39*K$34*(1-'Assumptions'!$C$59)-$F$57</f>
        <v>1158.2133408333334</v>
      </c>
      <c r="BD39" s="204">
        <f>$C39*L$34*(1-'Assumptions'!$C$59)-$F$57</f>
        <v>1237.8451833333334</v>
      </c>
    </row>
    <row r="40" ht="12.75" customHeight="1" spans="2:56" x14ac:dyDescent="0.25">
      <c r="B40" s="281"/>
      <c r="C40" s="282">
        <f>C39+$F$52</f>
        <v>1853.863</v>
      </c>
      <c r="D40" s="283">
        <f>ROUND(AV40,$F$58)</f>
        <v>646</v>
      </c>
      <c r="E40" s="283">
        <f>ROUND(AW40,$F$58)</f>
        <v>730</v>
      </c>
      <c r="F40" s="283">
        <f>ROUND(AX40,$F$58)</f>
        <v>813</v>
      </c>
      <c r="G40" s="283">
        <f>ROUND(AY40,$F$58)</f>
        <v>897</v>
      </c>
      <c r="H40" s="283">
        <f>ROUND(AZ40,$F$58)</f>
        <v>980</v>
      </c>
      <c r="I40" s="283">
        <f>ROUND(BA40,$F$58)</f>
        <v>1063</v>
      </c>
      <c r="J40" s="283">
        <f>ROUND(BB40,$F$58)</f>
        <v>1147</v>
      </c>
      <c r="K40" s="283">
        <f>ROUND(BC40,$F$58)</f>
        <v>1230</v>
      </c>
      <c r="L40" s="283">
        <f>ROUND(BD40,$F$58)</f>
        <v>1314</v>
      </c>
      <c r="AV40" s="204">
        <f>$C40*D$34*(1-'Assumptions'!$C$59)-$F$57</f>
        <v>646.2943533333337</v>
      </c>
      <c r="AW40" s="204">
        <f>$C40*E$34*(1-'Assumptions'!$C$59)-$F$57</f>
        <v>729.7181883333334</v>
      </c>
      <c r="AX40" s="204">
        <f>$C40*F$34*(1-'Assumptions'!$C$59)-$F$57</f>
        <v>813.1420233333336</v>
      </c>
      <c r="AY40" s="204">
        <f>$C40*G$34*(1-'Assumptions'!$C$59)-$F$57</f>
        <v>896.5658583333335</v>
      </c>
      <c r="AZ40" s="204">
        <f>$C40*H$34*(1-'Assumptions'!$C$59)-$F$57</f>
        <v>979.9896933333334</v>
      </c>
      <c r="BA40" s="204">
        <f>$C40*I$34*(1-'Assumptions'!$C$59)-$F$57</f>
        <v>1063.4135283333335</v>
      </c>
      <c r="BB40" s="204">
        <f>$C40*J$34*(1-'Assumptions'!$C$59)-$F$57</f>
        <v>1146.8373633333333</v>
      </c>
      <c r="BC40" s="204">
        <f>$C40*K$34*(1-'Assumptions'!$C$59)-$F$57</f>
        <v>1230.2611983333334</v>
      </c>
      <c r="BD40" s="204">
        <f>$C40*L$34*(1-'Assumptions'!$C$59)-$F$57</f>
        <v>1313.6850333333332</v>
      </c>
    </row>
    <row r="41" ht="12.75" customHeight="1" spans="2:56" x14ac:dyDescent="0.25">
      <c r="B41" s="281"/>
      <c r="C41" s="285">
        <f>C40+$F$52</f>
        <v>1938.1295</v>
      </c>
      <c r="D41" s="286">
        <f>ROUND(AV41,$F$58)</f>
        <v>692</v>
      </c>
      <c r="E41" s="286">
        <f>ROUND(AW41,$F$58)</f>
        <v>779</v>
      </c>
      <c r="F41" s="286">
        <f>ROUND(AX41,$F$58)</f>
        <v>866</v>
      </c>
      <c r="G41" s="286">
        <f>ROUND(AY41,$F$58)</f>
        <v>953</v>
      </c>
      <c r="H41" s="286">
        <f>ROUND(AZ41,$F$58)</f>
        <v>1041</v>
      </c>
      <c r="I41" s="286">
        <f>ROUND(BA41,$F$58)</f>
        <v>1128</v>
      </c>
      <c r="J41" s="286">
        <f>ROUND(BB41,$F$58)</f>
        <v>1215</v>
      </c>
      <c r="K41" s="286">
        <f>ROUND(BC41,$F$58)</f>
        <v>1302</v>
      </c>
      <c r="L41" s="286">
        <f>ROUND(BD41,$F$58)</f>
        <v>1390</v>
      </c>
      <c r="AV41" s="204">
        <f>$C41*D$34*(1-'Assumptions'!$C$59)-$F$57</f>
        <v>691.7982633333336</v>
      </c>
      <c r="AW41" s="204">
        <f>$C41*E$34*(1-'Assumptions'!$C$59)-$F$57</f>
        <v>779.0140908333334</v>
      </c>
      <c r="AX41" s="204">
        <f>$C41*F$34*(1-'Assumptions'!$C$59)-$F$57</f>
        <v>866.2299183333336</v>
      </c>
      <c r="AY41" s="204">
        <f>$C41*G$34*(1-'Assumptions'!$C$59)-$F$57</f>
        <v>953.4457458333335</v>
      </c>
      <c r="AZ41" s="204">
        <f>$C41*H$34*(1-'Assumptions'!$C$59)-$F$57</f>
        <v>1040.6615733333335</v>
      </c>
      <c r="BA41" s="204">
        <f>$C41*I$34*(1-'Assumptions'!$C$59)-$F$57</f>
        <v>1127.8774008333335</v>
      </c>
      <c r="BB41" s="204">
        <f>$C41*J$34*(1-'Assumptions'!$C$59)-$F$57</f>
        <v>1215.0932283333332</v>
      </c>
      <c r="BC41" s="204">
        <f>$C41*K$34*(1-'Assumptions'!$C$59)-$F$57</f>
        <v>1302.3090558333333</v>
      </c>
      <c r="BD41" s="204">
        <f>$C41*L$34*(1-'Assumptions'!$C$59)-$F$57</f>
        <v>1389.5248833333333</v>
      </c>
    </row>
    <row r="42" ht="25" customHeight="1" spans="2:12" x14ac:dyDescent="0.25">
      <c r="B42" s="60" t="s">
        <v>1163</v>
      </c>
      <c r="C42" s="60"/>
      <c r="D42" s="60"/>
      <c r="E42" s="60"/>
      <c r="F42" s="60"/>
      <c r="G42" s="60"/>
      <c r="H42" s="60"/>
      <c r="I42" s="60"/>
      <c r="J42" s="60"/>
      <c r="K42" s="60"/>
      <c r="L42" s="60"/>
    </row>
    <row r="43" ht="3.95" customHeight="1" x14ac:dyDescent="0.25"/>
    <row r="45" spans="2:12" x14ac:dyDescent="0.25">
      <c r="B45" s="37" t="s">
        <v>1164</v>
      </c>
      <c r="C45" s="37"/>
      <c r="D45" s="37"/>
      <c r="E45" s="37"/>
      <c r="F45" s="257" t="s">
        <v>142</v>
      </c>
      <c r="G45" s="293" t="s">
        <v>1165</v>
      </c>
      <c r="H45" s="37"/>
      <c r="I45" s="37"/>
      <c r="J45" s="37"/>
      <c r="K45" s="37"/>
      <c r="L45" s="37"/>
    </row>
    <row r="47" spans="2:7" x14ac:dyDescent="0.25">
      <c r="B47" s="164" t="s">
        <v>1166</v>
      </c>
      <c r="F47" s="269">
        <f>'Valuation'!$D$26</f>
        <v>561.775</v>
      </c>
      <c r="G47" s="294" t="s">
        <v>1167</v>
      </c>
    </row>
    <row r="48" spans="2:7" x14ac:dyDescent="0.25">
      <c r="B48" s="164" t="s">
        <v>1168</v>
      </c>
      <c r="F48" s="269">
        <f>$F$47*'Assumptions'!$C$78</f>
        <v>28.08875</v>
      </c>
      <c r="G48" s="294" t="s">
        <v>1169</v>
      </c>
    </row>
    <row r="49" spans="2:7" x14ac:dyDescent="0.25">
      <c r="B49" s="164" t="s">
        <v>1170</v>
      </c>
      <c r="F49" s="295">
        <f>'Assumptions'!$D$50</f>
        <v>3</v>
      </c>
      <c r="G49" s="294" t="s">
        <v>1171</v>
      </c>
    </row>
    <row r="50" spans="2:7" x14ac:dyDescent="0.25">
      <c r="B50" s="164" t="s">
        <v>1172</v>
      </c>
      <c r="F50" s="296">
        <f>'Assumptions'!$C$77</f>
        <v>0.25</v>
      </c>
      <c r="G50" s="294" t="s">
        <v>273</v>
      </c>
    </row>
    <row r="51" spans="2:7" x14ac:dyDescent="0.25">
      <c r="B51" s="164" t="s">
        <v>1173</v>
      </c>
      <c r="F51" s="269">
        <f>'Deal Structure'!$C$22</f>
        <v>1685.33</v>
      </c>
      <c r="G51" s="294" t="s">
        <v>1174</v>
      </c>
    </row>
    <row r="52" spans="2:7" x14ac:dyDescent="0.25">
      <c r="B52" s="164" t="s">
        <v>1175</v>
      </c>
      <c r="F52" s="269">
        <f>$F$51*'Assumptions'!$C$79</f>
        <v>84.2665</v>
      </c>
      <c r="G52" s="294" t="s">
        <v>1169</v>
      </c>
    </row>
    <row r="53" spans="2:7" x14ac:dyDescent="0.25">
      <c r="B53" s="164" t="s">
        <v>1176</v>
      </c>
      <c r="F53" s="297">
        <f>'Assumptions'!$C$63</f>
        <v>0.105</v>
      </c>
      <c r="G53" s="294" t="s">
        <v>1177</v>
      </c>
    </row>
    <row r="54" spans="2:7" x14ac:dyDescent="0.25">
      <c r="B54" s="164" t="s">
        <v>1178</v>
      </c>
      <c r="F54" s="297">
        <f>'Assumptions'!$C$80</f>
        <v>0.005</v>
      </c>
      <c r="G54" s="294" t="s">
        <v>273</v>
      </c>
    </row>
    <row r="55" spans="2:7" x14ac:dyDescent="0.25">
      <c r="B55" s="164" t="s">
        <v>1179</v>
      </c>
      <c r="F55" s="271">
        <f>'Assumptions'!$C$55</f>
        <v>0.8</v>
      </c>
      <c r="G55" s="294" t="s">
        <v>1177</v>
      </c>
    </row>
    <row r="56" spans="2:7" x14ac:dyDescent="0.25">
      <c r="B56" s="164" t="s">
        <v>1180</v>
      </c>
      <c r="F56" s="271">
        <f>'Assumptions'!$C$81</f>
        <v>0.05</v>
      </c>
      <c r="G56" s="294" t="s">
        <v>273</v>
      </c>
    </row>
    <row r="57" spans="2:7" x14ac:dyDescent="0.25">
      <c r="B57" s="164" t="s">
        <v>1181</v>
      </c>
      <c r="F57" s="269">
        <f>'Deal Structure'!$C$23-'Deal Structure'!$C$25-'Deal Structure'!$C$55</f>
        <v>354.79166666666674</v>
      </c>
      <c r="G57" s="294" t="s">
        <v>1182</v>
      </c>
    </row>
    <row r="58" spans="2:7" x14ac:dyDescent="0.25">
      <c r="B58" s="164" t="s">
        <v>1183</v>
      </c>
      <c r="F58" s="298">
        <f>'Assumptions'!$C$82</f>
        <v>0</v>
      </c>
      <c r="G58" s="294" t="s">
        <v>1184</v>
      </c>
    </row>
    <row r="59" spans="2:7" x14ac:dyDescent="0.25">
      <c r="B59" s="164" t="s">
        <v>1185</v>
      </c>
      <c r="F59" s="298">
        <f>'Assumptions'!$C$83</f>
        <v>5</v>
      </c>
      <c r="G59" s="294" t="s">
        <v>1186</v>
      </c>
    </row>
    <row r="60" spans="2:7" x14ac:dyDescent="0.25">
      <c r="B60" s="164" t="s">
        <v>1187</v>
      </c>
      <c r="F60" s="269">
        <f>'Valuation'!$C$28</f>
        <v>1263.295</v>
      </c>
      <c r="G60" s="294" t="s">
        <v>1188</v>
      </c>
    </row>
    <row r="61" spans="2:7" x14ac:dyDescent="0.25">
      <c r="B61" s="164" t="s">
        <v>1189</v>
      </c>
      <c r="F61" s="87">
        <f>IFERROR((MAX(Z9:AH15)-$F$60)/$F$59,0)</f>
        <v>264.174</v>
      </c>
      <c r="G61" s="294" t="s">
        <v>1190</v>
      </c>
    </row>
    <row r="62" spans="2:7" x14ac:dyDescent="0.25">
      <c r="B62" s="164" t="s">
        <v>1191</v>
      </c>
      <c r="F62" s="296">
        <f>'Assumptions'!$C$84</f>
        <v>1.25</v>
      </c>
      <c r="G62" s="294" t="s">
        <v>282</v>
      </c>
    </row>
    <row r="63" spans="2:7" x14ac:dyDescent="0.25">
      <c r="B63" s="299" t="s">
        <v>1192</v>
      </c>
      <c r="F63" s="130">
        <f>ROUND(AD12-'Valuation'!$D$28,6)</f>
        <v>0</v>
      </c>
      <c r="G63" s="294" t="s">
        <v>1193</v>
      </c>
    </row>
    <row r="64" spans="2:7" x14ac:dyDescent="0.25">
      <c r="B64" s="299" t="s">
        <v>1194</v>
      </c>
      <c r="F64" s="130">
        <f>ROUND(AO25-'Valuation'!$D$44,6)</f>
        <v>0</v>
      </c>
      <c r="G64" s="294" t="s">
        <v>1193</v>
      </c>
    </row>
    <row r="65" spans="2:7" x14ac:dyDescent="0.25">
      <c r="B65" s="299" t="s">
        <v>1195</v>
      </c>
      <c r="F65" s="130">
        <f>ROUND(AZ38-'Deal Structure'!$C$55,6)</f>
        <v>0</v>
      </c>
      <c r="G65" s="294" t="s">
        <v>1193</v>
      </c>
    </row>
  </sheetData>
  <mergeCells count="6">
    <mergeCell ref="B9:B15"/>
    <mergeCell ref="B16:L16"/>
    <mergeCell ref="B22:B28"/>
    <mergeCell ref="B29:L29"/>
    <mergeCell ref="B35:B41"/>
    <mergeCell ref="B42:L42"/>
  </mergeCells>
  <conditionalFormatting sqref="D9:L15">
    <cfRule type="expression" dxfId="51" priority="1">
      <formula>AND(D9&gt;=$F$60+(1-1)*$F$61,D9&lt;$F$60+1*$F$61)</formula>
    </cfRule>
  </conditionalFormatting>
  <conditionalFormatting sqref="D9:L15">
    <cfRule type="expression" dxfId="52" priority="2">
      <formula>AND(D9&gt;=$F$60+(2-1)*$F$61,D9&lt;$F$60+2*$F$61)</formula>
    </cfRule>
  </conditionalFormatting>
  <conditionalFormatting sqref="D9:L15">
    <cfRule type="expression" dxfId="53" priority="3">
      <formula>AND(D9&gt;=$F$60+(3-1)*$F$61,D9&lt;$F$60+3*$F$61)</formula>
    </cfRule>
  </conditionalFormatting>
  <conditionalFormatting sqref="D9:L15">
    <cfRule type="expression" dxfId="54" priority="4">
      <formula>AND(D9&gt;=$F$60+(4-1)*$F$61,D9&lt;$F$60+4*$F$61)</formula>
    </cfRule>
  </conditionalFormatting>
  <conditionalFormatting sqref="D9:L15">
    <cfRule type="expression" dxfId="55" priority="5">
      <formula>AND(D9&gt;=$F$60+(5-1)*$F$61,D9&lt;=$F$60+5*$F$61)</formula>
    </cfRule>
  </conditionalFormatting>
  <conditionalFormatting sqref="D22:L28">
    <cfRule type="expression" dxfId="56" priority="6">
      <formula>D22&gt;=$F$62</formula>
    </cfRule>
  </conditionalFormatting>
  <conditionalFormatting sqref="F63:F63">
    <cfRule type="expression" dxfId="57" priority="7">
      <formula>ROUND(F63,3)&lt;&gt;0</formula>
    </cfRule>
  </conditionalFormatting>
  <conditionalFormatting sqref="F64:F64">
    <cfRule type="expression" dxfId="58" priority="8">
      <formula>ROUND(F64,3)&lt;&gt;0</formula>
    </cfRule>
  </conditionalFormatting>
  <conditionalFormatting sqref="F65:F65">
    <cfRule type="expression" dxfId="59" priority="9">
      <formula>ROUND(F65,3)&lt;&gt;0</formula>
    </cfRule>
  </conditionalFormatting>
  <conditionalFormatting sqref="F47:F60 F62:F65 B63:B65">
    <cfRule type="expression" dxfId="60" priority="10">
      <formula>$L$3=1</formula>
    </cfRule>
  </conditionalFormatting>
  <printOptions horizontalCentered="1"/>
  <pageMargins left="0.5" right="0.5" top="0.6" bottom="0.7" header="0.3" footer="0.3"/>
  <pageSetup paperSize="1" orientation="portrait" fitToWidth="1" fitToHeight="0"/>
  <headerFooter>
    <oddHeader>&amp;RProject Ridgeline | As of 12/31/25</oddHeader>
    <oddFooter>&amp;LAMB Advisory Services | Strictly confidential&amp;C&amp;A&amp;RPage &amp;P of &amp;N</oddFooter>
  </headerFooter>
  <rowBreaks count="1" manualBreakCount="1">
    <brk id="44"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I85"/>
  <sheetViews>
    <sheetView workbookViewId="0" showGridLines="0" zoomScale="100"/>
  </sheetViews>
  <sheetFormatPr defaultRowHeight="12.75" outlineLevelRow="0" outlineLevelCol="0" x14ac:dyDescent="55" customHeight="1"/>
  <cols>
    <col min="1" max="1" width="1.7" customWidth="1"/>
    <col min="2" max="2" width="6" customWidth="1"/>
    <col min="3" max="3" width="49" customWidth="1"/>
    <col min="4" max="4" width="18" customWidth="1"/>
    <col min="5" max="5" width="12" customWidth="1"/>
    <col min="6" max="6" width="11" customWidth="1"/>
    <col min="8" max="8" width="48.5" customWidth="1"/>
    <col min="9" max="9" width="7" customWidth="1"/>
  </cols>
  <sheetData>
    <row r="2" ht="16.5" customHeight="1" spans="2:2" x14ac:dyDescent="0.25">
      <c r="B2" s="9">
        <f>Cover!B24</f>
      </c>
    </row>
    <row r="3" spans="2:9" x14ac:dyDescent="0.25">
      <c r="B3" s="10" t="s">
        <v>1196</v>
      </c>
      <c r="C3" s="11"/>
      <c r="D3" s="11"/>
      <c r="E3" s="11"/>
      <c r="F3" s="11"/>
      <c r="G3" s="11"/>
      <c r="H3" s="34" t="s">
        <v>80</v>
      </c>
      <c r="I3" s="35">
        <f>'Contents'!$I$18</f>
      </c>
    </row>
    <row r="5" spans="2:9" x14ac:dyDescent="0.25">
      <c r="B5" s="36" t="s">
        <v>1197</v>
      </c>
      <c r="C5" s="36"/>
      <c r="D5" s="36"/>
      <c r="E5" s="36"/>
      <c r="F5" s="36"/>
      <c r="G5" s="36"/>
      <c r="H5" s="36"/>
      <c r="I5" s="36"/>
    </row>
    <row r="6" spans="2:9" x14ac:dyDescent="0.25">
      <c r="B6" s="12" t="s">
        <v>772</v>
      </c>
      <c r="C6" s="13" t="s">
        <v>8</v>
      </c>
      <c r="D6" s="12" t="s">
        <v>5</v>
      </c>
      <c r="E6" s="12" t="s">
        <v>1198</v>
      </c>
      <c r="F6" s="12" t="s">
        <v>1199</v>
      </c>
      <c r="G6" s="12" t="s">
        <v>429</v>
      </c>
      <c r="H6" s="13" t="s">
        <v>891</v>
      </c>
      <c r="I6" s="12"/>
    </row>
    <row r="8" spans="2:9" x14ac:dyDescent="0.25">
      <c r="B8" s="37" t="s">
        <v>1200</v>
      </c>
      <c r="C8" s="37"/>
      <c r="D8" s="37"/>
      <c r="E8" s="37"/>
      <c r="F8" s="37"/>
      <c r="G8" s="37"/>
      <c r="H8" s="37"/>
      <c r="I8" s="37"/>
    </row>
    <row r="9" spans="2:8" x14ac:dyDescent="0.25">
      <c r="B9" s="17" t="s">
        <v>1201</v>
      </c>
      <c r="C9" s="16" t="s">
        <v>1202</v>
      </c>
      <c r="D9" s="16" t="s">
        <v>1203</v>
      </c>
      <c r="E9" s="300">
        <f>SQRT(SUMPRODUCT('Databook'!$BD$8:$BD$33,'Databook'!$BD$8:$BD$33)+SUMPRODUCT('Databook'!$BD$36:$BD$45,'Databook'!$BD$36:$BD$45)+SUMPRODUCT('Databook'!$BD$49:$BD$68,'Databook'!$BD$49:$BD$68)+SUMPRODUCT('Databook'!$BD$71:$BD$85,'Databook'!$BD$71:$BD$85))/1000</f>
        <v>0</v>
      </c>
      <c r="F9" s="301">
        <v>0.001</v>
      </c>
      <c r="G9" s="302" t="str">
        <f>IF(ISNUMBER(E9),IF(ABS(E9)&lt;=F9,"OK","CHECK"),IF(E9="pending","Pending","n.a."))</f>
        <v>OK</v>
      </c>
      <c r="H9" s="60" t="s">
        <v>11</v>
      </c>
    </row>
    <row r="10" spans="2:8" x14ac:dyDescent="0.25">
      <c r="B10" s="17" t="s">
        <v>1204</v>
      </c>
      <c r="C10" s="16" t="s">
        <v>1205</v>
      </c>
      <c r="D10" s="16" t="s">
        <v>1206</v>
      </c>
      <c r="E10" s="300">
        <f>SQRT(SUMPRODUCT('Monthly P&amp;L'!$Q$59:$AZ$59,'Monthly P&amp;L'!$Q$59:$AZ$59))</f>
        <v>0</v>
      </c>
      <c r="F10" s="301">
        <v>0.001</v>
      </c>
      <c r="G10" s="302" t="str">
        <f>IF(ISNUMBER(E10),IF(ABS(E10)&lt;=F10,"OK","CHECK"),IF(E10="pending","Pending","n.a."))</f>
        <v>OK</v>
      </c>
      <c r="H10" s="60" t="s">
        <v>11</v>
      </c>
    </row>
    <row r="11" spans="2:8" x14ac:dyDescent="0.25">
      <c r="B11" s="25" t="s">
        <v>1207</v>
      </c>
      <c r="C11" s="24" t="s">
        <v>1208</v>
      </c>
      <c r="D11" s="29" t="s">
        <v>1010</v>
      </c>
      <c r="E11" s="303">
        <f>SQRT(SUMPRODUCT('P&amp;L Summary'!$C$55:$O$55,'P&amp;L Summary'!$C$55:$O$55))</f>
        <v>0</v>
      </c>
      <c r="F11" s="304">
        <v>0.001</v>
      </c>
      <c r="G11" s="305" t="str">
        <f>IF(ISNUMBER(E11),IF(ABS(E11)&lt;=F11,"OK","CHECK"),IF(E11="pending","Pending","n.a."))</f>
        <v>OK</v>
      </c>
      <c r="H11" s="60" t="s">
        <v>1209</v>
      </c>
    </row>
    <row r="12" spans="2:8" x14ac:dyDescent="0.25">
      <c r="B12" s="17" t="s">
        <v>1210</v>
      </c>
      <c r="C12" s="16" t="s">
        <v>1211</v>
      </c>
      <c r="D12" s="16" t="s">
        <v>1010</v>
      </c>
      <c r="E12" s="300">
        <f>SQRT(SUMPRODUCT('P&amp;L Summary'!$C$54:$O$54,'P&amp;L Summary'!$C$54:$O$54))</f>
        <v>0</v>
      </c>
      <c r="F12" s="301">
        <v>0.001</v>
      </c>
      <c r="G12" s="302" t="str">
        <f>IF(ISNUMBER(E12),IF(ABS(E12)&lt;=F12,"OK","CHECK"),IF(E12="pending","Pending","n.a."))</f>
        <v>OK</v>
      </c>
      <c r="H12" s="60" t="s">
        <v>11</v>
      </c>
    </row>
    <row r="13" spans="2:8" x14ac:dyDescent="0.25">
      <c r="B13" s="17" t="s">
        <v>1212</v>
      </c>
      <c r="C13" s="16" t="s">
        <v>1213</v>
      </c>
      <c r="D13" s="16" t="s">
        <v>96</v>
      </c>
      <c r="E13" s="300">
        <f>SQRT(SUMPRODUCT('Adj. EBITDA'!$C$37:$O$37,'Adj. EBITDA'!$C$37:$O$37))</f>
        <v>0</v>
      </c>
      <c r="F13" s="301">
        <v>0.001</v>
      </c>
      <c r="G13" s="302" t="str">
        <f>IF(ISNUMBER(E13),IF(ABS(E13)&lt;=F13,"OK","CHECK"),IF(E13="pending","Pending","n.a."))</f>
        <v>OK</v>
      </c>
      <c r="H13" s="60" t="s">
        <v>11</v>
      </c>
    </row>
    <row r="14" spans="2:8" x14ac:dyDescent="0.25">
      <c r="B14" s="17" t="s">
        <v>1214</v>
      </c>
      <c r="C14" s="16" t="s">
        <v>1215</v>
      </c>
      <c r="D14" s="16" t="s">
        <v>96</v>
      </c>
      <c r="E14" s="300">
        <f>SQRT(SUMPRODUCT('Adj. EBITDA'!$C$38:$O$38,'Adj. EBITDA'!$C$38:$O$38))</f>
        <v>0</v>
      </c>
      <c r="F14" s="301">
        <v>0.001</v>
      </c>
      <c r="G14" s="302" t="str">
        <f>IF(ISNUMBER(E14),IF(ABS(E14)&lt;=F14,"OK","CHECK"),IF(E14="pending","Pending","n.a."))</f>
        <v>OK</v>
      </c>
      <c r="H14" s="60" t="s">
        <v>11</v>
      </c>
    </row>
    <row r="15" spans="2:8" x14ac:dyDescent="0.25">
      <c r="B15" s="17" t="s">
        <v>1216</v>
      </c>
      <c r="C15" s="16" t="s">
        <v>1217</v>
      </c>
      <c r="D15" s="16" t="s">
        <v>825</v>
      </c>
      <c r="E15" s="300">
        <f>SQRT(SUMPRODUCT('Balance Sheet'!$C$23:$E$23,'Balance Sheet'!$C$23:$E$23))</f>
        <v>0</v>
      </c>
      <c r="F15" s="301">
        <v>0.001</v>
      </c>
      <c r="G15" s="302" t="str">
        <f>IF(ISNUMBER(E15),IF(ABS(E15)&lt;=F15,"OK","CHECK"),IF(E15="pending","Pending","n.a."))</f>
        <v>OK</v>
      </c>
      <c r="H15" s="60" t="s">
        <v>11</v>
      </c>
    </row>
    <row r="16" spans="2:8" x14ac:dyDescent="0.25">
      <c r="B16" s="17" t="s">
        <v>1218</v>
      </c>
      <c r="C16" s="16" t="s">
        <v>1219</v>
      </c>
      <c r="D16" s="16" t="s">
        <v>859</v>
      </c>
      <c r="E16" s="300">
        <f>SQRT(SUMPRODUCT('NWC'!$C$29:$E$29,'NWC'!$C$29:$E$29))</f>
        <v>0</v>
      </c>
      <c r="F16" s="301">
        <v>0.001</v>
      </c>
      <c r="G16" s="302" t="str">
        <f>IF(ISNUMBER(E16),IF(ABS(E16)&lt;=F16,"OK","CHECK"),IF(E16="pending","Pending","n.a."))</f>
        <v>OK</v>
      </c>
      <c r="H16" s="60" t="s">
        <v>11</v>
      </c>
    </row>
    <row r="17" spans="2:8" x14ac:dyDescent="0.25">
      <c r="B17" s="17" t="s">
        <v>1220</v>
      </c>
      <c r="C17" s="16" t="s">
        <v>1221</v>
      </c>
      <c r="D17" s="16" t="s">
        <v>935</v>
      </c>
      <c r="E17" s="300">
        <f>SQRT(SUMPRODUCT('Cash Flow'!$C$25:$D$25,'Cash Flow'!$C$25:$D$25))</f>
        <v>0</v>
      </c>
      <c r="F17" s="301">
        <v>0.001</v>
      </c>
      <c r="G17" s="302" t="str">
        <f>IF(ISNUMBER(E17),IF(ABS(E17)&lt;=F17,"OK","CHECK"),IF(E17="pending","Pending","n.a."))</f>
        <v>OK</v>
      </c>
      <c r="H17" s="60" t="s">
        <v>11</v>
      </c>
    </row>
    <row r="18" spans="2:8" x14ac:dyDescent="0.25">
      <c r="B18" s="17" t="s">
        <v>1222</v>
      </c>
      <c r="C18" s="16" t="s">
        <v>1223</v>
      </c>
      <c r="D18" s="16" t="s">
        <v>969</v>
      </c>
      <c r="E18" s="300">
        <f>SQRT(SUMPRODUCT('Projections'!$C$42:$G$42,'Projections'!$C$42:$G$42))+SQRT(SUMPRODUCT('Projections'!$C$59:$G$59,'Projections'!$C$59:$G$59))</f>
        <v>4.656612873077393e-13</v>
      </c>
      <c r="F18" s="301">
        <v>0.001</v>
      </c>
      <c r="G18" s="302" t="str">
        <f>IF(ISNUMBER(E18),IF(ABS(E18)&lt;=F18,"OK","CHECK"),IF(E18="pending","Pending","n.a."))</f>
        <v>OK</v>
      </c>
      <c r="H18" s="60" t="s">
        <v>11</v>
      </c>
    </row>
    <row r="19" spans="2:9" x14ac:dyDescent="0.25">
      <c r="B19" s="37" t="s">
        <v>1224</v>
      </c>
      <c r="C19" s="37"/>
      <c r="D19" s="37"/>
      <c r="E19" s="37"/>
      <c r="F19" s="37"/>
      <c r="G19" s="37"/>
      <c r="H19" s="37"/>
      <c r="I19" s="37"/>
    </row>
    <row r="20" spans="2:8" x14ac:dyDescent="0.25">
      <c r="B20" s="17" t="s">
        <v>1225</v>
      </c>
      <c r="C20" s="16" t="s">
        <v>1226</v>
      </c>
      <c r="D20" s="16" t="s">
        <v>1174</v>
      </c>
      <c r="E20" s="300">
        <f>ABS('Deal Structure'!$C$45)</f>
        <v>0</v>
      </c>
      <c r="F20" s="301">
        <v>0.001</v>
      </c>
      <c r="G20" s="302" t="str">
        <f>IF(ISNUMBER(E20),IF(ABS(E20)&lt;=F20,"OK","CHECK"),IF(E20="pending","Pending","n.a."))</f>
        <v>OK</v>
      </c>
      <c r="H20" s="60" t="s">
        <v>11</v>
      </c>
    </row>
    <row r="21" spans="2:8" x14ac:dyDescent="0.25">
      <c r="B21" s="17" t="s">
        <v>1227</v>
      </c>
      <c r="C21" s="16" t="s">
        <v>1228</v>
      </c>
      <c r="D21" s="16" t="s">
        <v>1229</v>
      </c>
      <c r="E21" s="300">
        <f>'Customer Overview'!$C$23</f>
        <v>0</v>
      </c>
      <c r="F21" s="301">
        <v>0.02</v>
      </c>
      <c r="G21" s="302" t="str">
        <f>IF(ISNUMBER(E21),IF(ABS(E21)&lt;=F21,"OK","CHECK"),IF(E21="pending","Pending","n.a."))</f>
        <v>OK</v>
      </c>
      <c r="H21" s="60" t="s">
        <v>1230</v>
      </c>
    </row>
    <row r="22" spans="2:8" x14ac:dyDescent="0.25">
      <c r="B22" s="25" t="s">
        <v>1231</v>
      </c>
      <c r="C22" s="29" t="s">
        <v>1232</v>
      </c>
      <c r="D22" s="29" t="s">
        <v>1233</v>
      </c>
      <c r="E22" s="303">
        <f>'Headcount'!$C$40</f>
        <v>0</v>
      </c>
      <c r="F22" s="304">
        <v>0.05</v>
      </c>
      <c r="G22" s="305" t="str">
        <f>IF(ISNUMBER(E22),IF(ABS(E22)&lt;=F22,"OK","CHECK"),IF(E22="pending","Pending","n.a."))</f>
        <v>OK</v>
      </c>
      <c r="H22" s="60" t="s">
        <v>1234</v>
      </c>
    </row>
    <row r="23" spans="2:8" x14ac:dyDescent="0.25">
      <c r="B23" s="25" t="s">
        <v>1235</v>
      </c>
      <c r="C23" s="29" t="s">
        <v>1236</v>
      </c>
      <c r="D23" s="29" t="s">
        <v>1237</v>
      </c>
      <c r="E23" s="303">
        <f>'Proof of Cash'!$F$22</f>
        <v>-0.014999963825309172</v>
      </c>
      <c r="F23" s="304">
        <v>0.05</v>
      </c>
      <c r="G23" s="305" t="str">
        <f>IF(ISNUMBER(E23),IF(ABS(E23)&lt;=F23,"OK","CHECK"),IF(E23="pending","Pending","n.a."))</f>
        <v>OK</v>
      </c>
      <c r="H23" s="60" t="s">
        <v>1238</v>
      </c>
    </row>
    <row r="24" spans="2:8" x14ac:dyDescent="0.25">
      <c r="B24" s="17" t="s">
        <v>1239</v>
      </c>
      <c r="C24" s="16" t="s">
        <v>1240</v>
      </c>
      <c r="D24" s="16" t="s">
        <v>1197</v>
      </c>
      <c r="E24" s="306">
        <f>SUM(E57:E85)</f>
        <v>0</v>
      </c>
      <c r="F24" s="301">
        <v>0</v>
      </c>
      <c r="G24" s="302" t="str">
        <f>IF(ISNUMBER(E24),IF(ABS(E24)&lt;=F24,"OK","CHECK"),IF(E24="pending","Pending","n.a."))</f>
        <v>OK</v>
      </c>
      <c r="H24" s="60" t="s">
        <v>1241</v>
      </c>
    </row>
    <row r="25" spans="2:8" x14ac:dyDescent="0.25">
      <c r="B25" s="17" t="s">
        <v>1242</v>
      </c>
      <c r="C25" s="16" t="s">
        <v>1243</v>
      </c>
      <c r="D25" s="16" t="s">
        <v>1010</v>
      </c>
      <c r="E25" s="300">
        <f>IF(AND('P&amp;L Summary'!C6='Monthly P&amp;L'!C6,'P&amp;L Summary'!D6='Monthly P&amp;L'!D6,'P&amp;L Summary'!E6='Monthly P&amp;L'!E6,'P&amp;L Summary'!G6='Monthly P&amp;L'!G6,'P&amp;L Summary'!H6='Monthly P&amp;L'!H6,'P&amp;L Summary'!J6='Monthly P&amp;L'!J6,'P&amp;L Summary'!K6='Monthly P&amp;L'!K6,'P&amp;L Summary'!L6='Monthly P&amp;L'!L6),0,1)</f>
        <v>0</v>
      </c>
      <c r="F25" s="301">
        <v>0</v>
      </c>
      <c r="G25" s="302" t="str">
        <f>IF(ISNUMBER(E25),IF(ABS(E25)&lt;=F25,"OK","CHECK"),IF(E25="pending","Pending","n.a."))</f>
        <v>OK</v>
      </c>
      <c r="H25" s="60" t="s">
        <v>1244</v>
      </c>
    </row>
    <row r="26" spans="2:8" x14ac:dyDescent="0.25">
      <c r="B26" s="25" t="s">
        <v>1245</v>
      </c>
      <c r="C26" s="24" t="s">
        <v>1246</v>
      </c>
      <c r="D26" s="29" t="s">
        <v>1197</v>
      </c>
      <c r="E26" s="304">
        <v>0</v>
      </c>
      <c r="F26" s="304">
        <v>0</v>
      </c>
      <c r="G26" s="305" t="str">
        <f>IF(ISNUMBER(E26),IF(ABS(E26)&lt;=F26,"OK","CHECK"),IF(E26="pending","Pending","n.a."))</f>
        <v>OK</v>
      </c>
      <c r="H26" s="60" t="s">
        <v>1247</v>
      </c>
    </row>
    <row r="27" spans="2:8" x14ac:dyDescent="0.25">
      <c r="B27" s="17" t="s">
        <v>1248</v>
      </c>
      <c r="C27" s="16" t="s">
        <v>1249</v>
      </c>
      <c r="D27" s="16" t="s">
        <v>1197</v>
      </c>
      <c r="E27" s="301">
        <v>0</v>
      </c>
      <c r="F27" s="301">
        <v>0</v>
      </c>
      <c r="G27" s="302" t="str">
        <f>IF(ISNUMBER(E27),IF(ABS(E27)&lt;=F27,"OK","CHECK"),IF(E27="pending","Pending","n.a."))</f>
        <v>OK</v>
      </c>
      <c r="H27" s="60" t="s">
        <v>1250</v>
      </c>
    </row>
    <row r="28" spans="2:8" x14ac:dyDescent="0.25">
      <c r="B28" s="25" t="s">
        <v>1251</v>
      </c>
      <c r="C28" s="24" t="s">
        <v>1252</v>
      </c>
      <c r="D28" s="29" t="s">
        <v>1253</v>
      </c>
      <c r="E28" s="303">
        <f>ABS('Debt-Like Items'!$C$16-('NWC'!$H$19+IF(ISNUMBER('Balance Sheet'!$E$37),'Balance Sheet'!$E$37,0)))</f>
        <v>0</v>
      </c>
      <c r="F28" s="304">
        <v>0.001</v>
      </c>
      <c r="G28" s="305" t="str">
        <f>IF(ISNUMBER(E28),IF(ABS(E28)&lt;=F28,"OK","CHECK"),IF(E28="pending","Pending","n.a."))</f>
        <v>OK</v>
      </c>
      <c r="H28" s="60" t="s">
        <v>1254</v>
      </c>
    </row>
    <row r="29" spans="2:8" x14ac:dyDescent="0.25">
      <c r="B29" s="25" t="s">
        <v>1255</v>
      </c>
      <c r="C29" s="29" t="s">
        <v>1256</v>
      </c>
      <c r="D29" s="29" t="s">
        <v>859</v>
      </c>
      <c r="E29" s="234" t="s">
        <v>136</v>
      </c>
      <c r="F29" s="304">
        <v>0.001</v>
      </c>
      <c r="G29" s="305" t="str">
        <f>IF(ISNUMBER(E29),IF(ABS(E29)&lt;=F29,"OK","CHECK"),IF(E29="pending","Pending","n.a."))</f>
        <v>n.a.</v>
      </c>
      <c r="H29" s="60" t="s">
        <v>1257</v>
      </c>
    </row>
    <row r="30" spans="2:9" x14ac:dyDescent="0.25">
      <c r="B30" s="37" t="s">
        <v>1258</v>
      </c>
      <c r="C30" s="37"/>
      <c r="D30" s="37"/>
      <c r="E30" s="37"/>
      <c r="F30" s="37"/>
      <c r="G30" s="37"/>
      <c r="H30" s="37"/>
      <c r="I30" s="37"/>
    </row>
    <row r="31" spans="2:8" x14ac:dyDescent="0.25">
      <c r="B31" s="25" t="s">
        <v>1259</v>
      </c>
      <c r="C31" s="29" t="s">
        <v>1260</v>
      </c>
      <c r="D31" s="29" t="s">
        <v>1261</v>
      </c>
      <c r="E31" s="303">
        <f>SQRT(SUMPRODUCT('Revenue Charts'!$AP$48:$AP$56,'Revenue Charts'!$AP$48:$AP$56)+SUMPRODUCT('Expense Charts'!$AP$48:$AP$56,'Expense Charts'!$AP$48:$AP$56)+SUMPRODUCT('Retention Charts'!$AP$68:$AP$80,'Retention Charts'!$AP$68:$AP$80)+SUMPRODUCT('Headcount Charts'!$AP$87:$AP$102,'Headcount Charts'!$AP$87:$AP$102))</f>
        <v>5.684341886080802e-14</v>
      </c>
      <c r="F31" s="304">
        <v>0.000001</v>
      </c>
      <c r="G31" s="305" t="str">
        <f>IF(ISNUMBER(E31),IF(ABS(E31)&lt;=F31,"OK","CHECK"),IF(E31="pending","Pending","n.a."))</f>
        <v>OK</v>
      </c>
      <c r="H31" s="60" t="s">
        <v>1262</v>
      </c>
    </row>
    <row r="32" spans="2:8" x14ac:dyDescent="0.25">
      <c r="B32" s="17" t="s">
        <v>1263</v>
      </c>
      <c r="C32" s="16" t="s">
        <v>1264</v>
      </c>
      <c r="D32" s="16" t="s">
        <v>1261</v>
      </c>
      <c r="E32" s="301">
        <v>0</v>
      </c>
      <c r="F32" s="301">
        <v>0</v>
      </c>
      <c r="G32" s="302" t="str">
        <f>IF(ISNUMBER(E32),IF(ABS(E32)&lt;=F32,"OK","CHECK"),IF(E32="pending","Pending","n.a."))</f>
        <v>OK</v>
      </c>
      <c r="H32" s="60" t="s">
        <v>1265</v>
      </c>
    </row>
    <row r="33" spans="2:8" x14ac:dyDescent="0.25">
      <c r="B33" s="25" t="s">
        <v>1266</v>
      </c>
      <c r="C33" s="24" t="s">
        <v>1267</v>
      </c>
      <c r="D33" s="29" t="s">
        <v>1268</v>
      </c>
      <c r="E33" s="234" t="s">
        <v>136</v>
      </c>
      <c r="F33" s="304">
        <v>0.001</v>
      </c>
      <c r="G33" s="305" t="str">
        <f>IF(ISNUMBER(E33),IF(ABS(E33)&lt;=F33,"OK","CHECK"),IF(E33="pending","Pending","n.a."))</f>
        <v>n.a.</v>
      </c>
      <c r="H33" s="60" t="s">
        <v>1269</v>
      </c>
    </row>
    <row r="34" spans="2:8" x14ac:dyDescent="0.25">
      <c r="B34" s="17" t="s">
        <v>1270</v>
      </c>
      <c r="C34" s="16" t="s">
        <v>1271</v>
      </c>
      <c r="D34" s="16" t="s">
        <v>1268</v>
      </c>
      <c r="E34" s="233" t="s">
        <v>136</v>
      </c>
      <c r="F34" s="301">
        <v>0.001</v>
      </c>
      <c r="G34" s="302" t="str">
        <f>IF(ISNUMBER(E34),IF(ABS(E34)&lt;=F34,"OK","CHECK"),IF(E34="pending","Pending","n.a."))</f>
        <v>n.a.</v>
      </c>
      <c r="H34" s="60" t="s">
        <v>1269</v>
      </c>
    </row>
    <row r="35" spans="2:8" x14ac:dyDescent="0.25">
      <c r="B35" s="25" t="s">
        <v>1272</v>
      </c>
      <c r="C35" s="24" t="s">
        <v>1273</v>
      </c>
      <c r="D35" s="29" t="s">
        <v>1268</v>
      </c>
      <c r="E35" s="234" t="s">
        <v>136</v>
      </c>
      <c r="F35" s="304">
        <v>0.001</v>
      </c>
      <c r="G35" s="305" t="str">
        <f>IF(ISNUMBER(E35),IF(ABS(E35)&lt;=F35,"OK","CHECK"),IF(E35="pending","Pending","n.a."))</f>
        <v>n.a.</v>
      </c>
      <c r="H35" s="60" t="s">
        <v>1269</v>
      </c>
    </row>
    <row r="36" spans="2:8" x14ac:dyDescent="0.25">
      <c r="B36" s="17" t="s">
        <v>1274</v>
      </c>
      <c r="C36" s="16" t="s">
        <v>1275</v>
      </c>
      <c r="D36" s="16" t="s">
        <v>1268</v>
      </c>
      <c r="E36" s="233" t="s">
        <v>136</v>
      </c>
      <c r="F36" s="301">
        <v>0.001</v>
      </c>
      <c r="G36" s="302" t="str">
        <f>IF(ISNUMBER(E36),IF(ABS(E36)&lt;=F36,"OK","CHECK"),IF(E36="pending","Pending","n.a."))</f>
        <v>n.a.</v>
      </c>
      <c r="H36" s="60" t="s">
        <v>1269</v>
      </c>
    </row>
    <row r="37" spans="2:8" x14ac:dyDescent="0.25">
      <c r="B37" s="25" t="s">
        <v>1276</v>
      </c>
      <c r="C37" s="24" t="s">
        <v>1277</v>
      </c>
      <c r="D37" s="29" t="s">
        <v>1010</v>
      </c>
      <c r="E37" s="234" t="s">
        <v>136</v>
      </c>
      <c r="F37" s="304">
        <v>0.001</v>
      </c>
      <c r="G37" s="305" t="str">
        <f>IF(ISNUMBER(E37),IF(ABS(E37)&lt;=F37,"OK","CHECK"),IF(E37="pending","Pending","n.a."))</f>
        <v>n.a.</v>
      </c>
      <c r="H37" s="60" t="s">
        <v>1278</v>
      </c>
    </row>
    <row r="38" spans="2:8" x14ac:dyDescent="0.25">
      <c r="B38" s="17" t="s">
        <v>1279</v>
      </c>
      <c r="C38" s="16" t="s">
        <v>1280</v>
      </c>
      <c r="D38" s="16" t="s">
        <v>1006</v>
      </c>
      <c r="E38" s="300">
        <f>MIN(0,'Valuation'!$C$37:$E$37,'Deal Structure'!$C$40)</f>
        <v>0</v>
      </c>
      <c r="F38" s="301">
        <v>0</v>
      </c>
      <c r="G38" s="302" t="str">
        <f>IF(ISNUMBER(E38),IF(ABS(E38)&lt;=F38,"OK","CHECK"),IF(E38="pending","Pending","n.a."))</f>
        <v>OK</v>
      </c>
      <c r="H38" s="60" t="s">
        <v>1281</v>
      </c>
    </row>
    <row r="39" spans="2:8" x14ac:dyDescent="0.25">
      <c r="B39" s="25" t="s">
        <v>1282</v>
      </c>
      <c r="C39" s="24" t="s">
        <v>1283</v>
      </c>
      <c r="D39" s="29" t="s">
        <v>1177</v>
      </c>
      <c r="E39" s="303">
        <f>IF(AND(AND('Assumptions'!$C$88&lt;&gt;'Assumptions'!$D$88,OR('Assumptions'!$C$89&lt;&gt;'Assumptions'!$D$89,'Assumptions'!$C$90&lt;&gt;'Assumptions'!$D$90,'Assumptions'!$C$91&lt;&gt;'Assumptions'!$D$91,'Assumptions'!$C$92&lt;&gt;'Assumptions'!$D$92,'Assumptions'!$C$93&lt;&gt;'Assumptions'!$D$93)),AND('Assumptions'!$E$88&lt;&gt;'Assumptions'!$D$88,OR('Assumptions'!$E$89&lt;&gt;'Assumptions'!$D$89,'Assumptions'!$E$90&lt;&gt;'Assumptions'!$D$90,'Assumptions'!$E$91&lt;&gt;'Assumptions'!$D$91,'Assumptions'!$E$92&lt;&gt;'Assumptions'!$D$92,'Assumptions'!$E$93&lt;&gt;'Assumptions'!$D$93))),0,1)</f>
        <v>0</v>
      </c>
      <c r="F39" s="304">
        <v>0</v>
      </c>
      <c r="G39" s="305" t="str">
        <f>IF(ISNUMBER(E39),IF(ABS(E39)&lt;=F39,"OK","CHECK"),IF(E39="pending","Pending","n.a."))</f>
        <v>OK</v>
      </c>
      <c r="H39" s="60" t="s">
        <v>11</v>
      </c>
    </row>
    <row r="40" spans="2:8" x14ac:dyDescent="0.25">
      <c r="B40" s="17" t="s">
        <v>1284</v>
      </c>
      <c r="C40" s="16" t="s">
        <v>1285</v>
      </c>
      <c r="D40" s="16" t="s">
        <v>1286</v>
      </c>
      <c r="E40" s="300">
        <f>ABS('Sensitivities'!$F$63)+ABS('Sensitivities'!$F$64)+ABS('Sensitivities'!$F$65)</f>
        <v>1.1641532182693481e-10</v>
      </c>
      <c r="F40" s="301">
        <v>0.000001</v>
      </c>
      <c r="G40" s="302" t="str">
        <f>IF(ISNUMBER(E40),IF(ABS(E40)&lt;=F40,"OK","CHECK"),IF(E40="pending","Pending","n.a."))</f>
        <v>OK</v>
      </c>
      <c r="H40" s="60" t="s">
        <v>1287</v>
      </c>
    </row>
    <row r="41" spans="2:9" x14ac:dyDescent="0.25">
      <c r="B41" s="37" t="s">
        <v>1288</v>
      </c>
      <c r="C41" s="37"/>
      <c r="D41" s="37"/>
      <c r="E41" s="37"/>
      <c r="F41" s="37"/>
      <c r="G41" s="37"/>
      <c r="H41" s="37"/>
      <c r="I41" s="37"/>
    </row>
    <row r="42" spans="2:8" x14ac:dyDescent="0.25">
      <c r="B42" s="17" t="s">
        <v>1289</v>
      </c>
      <c r="C42" s="16" t="s">
        <v>1290</v>
      </c>
      <c r="D42" s="16" t="s">
        <v>1291</v>
      </c>
      <c r="E42" s="233" t="s">
        <v>136</v>
      </c>
      <c r="F42" s="301">
        <v>0.001</v>
      </c>
      <c r="G42" s="302" t="str">
        <f>IF(ISNUMBER(E42),IF(ABS(E42)&lt;=F42,"OK","CHECK"),IF(E42="pending","Pending","n.a."))</f>
        <v>n.a.</v>
      </c>
      <c r="H42" s="60" t="s">
        <v>1292</v>
      </c>
    </row>
    <row r="43" spans="2:8" x14ac:dyDescent="0.25">
      <c r="B43" s="25" t="s">
        <v>1293</v>
      </c>
      <c r="C43" s="24" t="s">
        <v>1294</v>
      </c>
      <c r="D43" s="29" t="s">
        <v>1291</v>
      </c>
      <c r="E43" s="234" t="s">
        <v>136</v>
      </c>
      <c r="F43" s="304">
        <v>0.001</v>
      </c>
      <c r="G43" s="305" t="str">
        <f>IF(ISNUMBER(E43),IF(ABS(E43)&lt;=F43,"OK","CHECK"),IF(E43="pending","Pending","n.a."))</f>
        <v>n.a.</v>
      </c>
      <c r="H43" s="60" t="s">
        <v>1292</v>
      </c>
    </row>
    <row r="44" spans="2:8" x14ac:dyDescent="0.25">
      <c r="B44" s="25" t="s">
        <v>1295</v>
      </c>
      <c r="C44" s="24" t="s">
        <v>1296</v>
      </c>
      <c r="D44" s="29" t="s">
        <v>1291</v>
      </c>
      <c r="E44" s="234" t="s">
        <v>136</v>
      </c>
      <c r="F44" s="304">
        <v>0.001</v>
      </c>
      <c r="G44" s="305" t="str">
        <f>IF(ISNUMBER(E44),IF(ABS(E44)&lt;=F44,"OK","CHECK"),IF(E44="pending","Pending","n.a."))</f>
        <v>n.a.</v>
      </c>
      <c r="H44" s="60" t="s">
        <v>1292</v>
      </c>
    </row>
    <row r="45" spans="2:8" x14ac:dyDescent="0.25">
      <c r="B45" s="25" t="s">
        <v>1297</v>
      </c>
      <c r="C45" s="24" t="s">
        <v>1298</v>
      </c>
      <c r="D45" s="29" t="s">
        <v>1299</v>
      </c>
      <c r="E45" s="303">
        <f>ABS('Revenue Detail'!$C$33)+ABS('Expense Detail'!$C$39)</f>
        <v>0</v>
      </c>
      <c r="F45" s="304">
        <v>0.001</v>
      </c>
      <c r="G45" s="305" t="str">
        <f>IF(ISNUMBER(E45),IF(ABS(E45)&lt;=F45,"OK","CHECK"),IF(E45="pending","Pending","n.a."))</f>
        <v>OK</v>
      </c>
      <c r="H45" s="60" t="s">
        <v>1300</v>
      </c>
    </row>
    <row r="46" spans="2:8" x14ac:dyDescent="0.25">
      <c r="B46" s="25" t="s">
        <v>1301</v>
      </c>
      <c r="C46" s="24" t="s">
        <v>1302</v>
      </c>
      <c r="D46" s="29" t="s">
        <v>1299</v>
      </c>
      <c r="E46" s="303">
        <f>ABS('Revenue Detail'!$C$34)+ABS('Expense Detail'!$C$40)</f>
        <v>0</v>
      </c>
      <c r="F46" s="304">
        <v>0</v>
      </c>
      <c r="G46" s="305" t="str">
        <f>IF(ISNUMBER(E46),IF(ABS(E46)&lt;=F46,"OK","CHECK"),IF(E46="pending","Pending","n.a."))</f>
        <v>OK</v>
      </c>
      <c r="H46" s="60" t="s">
        <v>1303</v>
      </c>
    </row>
    <row r="47" spans="2:8" x14ac:dyDescent="0.25">
      <c r="B47" s="25" t="s">
        <v>1304</v>
      </c>
      <c r="C47" s="24" t="s">
        <v>1305</v>
      </c>
      <c r="D47" s="29" t="s">
        <v>1174</v>
      </c>
      <c r="E47" s="234" t="s">
        <v>136</v>
      </c>
      <c r="F47" s="304">
        <v>0.001</v>
      </c>
      <c r="G47" s="305" t="str">
        <f>IF(ISNUMBER(E47),IF(ABS(E47)&lt;=F47,"OK","CHECK"),IF(E47="pending","Pending","n.a."))</f>
        <v>n.a.</v>
      </c>
      <c r="H47" s="60" t="s">
        <v>1306</v>
      </c>
    </row>
    <row r="48" spans="2:8" x14ac:dyDescent="0.25">
      <c r="B48" s="25" t="s">
        <v>1307</v>
      </c>
      <c r="C48" s="29" t="s">
        <v>1308</v>
      </c>
      <c r="D48" s="29" t="s">
        <v>1309</v>
      </c>
      <c r="E48" s="304">
        <v>0</v>
      </c>
      <c r="F48" s="304">
        <v>0</v>
      </c>
      <c r="G48" s="305" t="str">
        <f>IF(ISNUMBER(E48),IF(ABS(E48)&lt;=F48,"OK","CHECK"),IF(E48="pending","Pending","n.a."))</f>
        <v>OK</v>
      </c>
      <c r="H48" s="60" t="s">
        <v>1310</v>
      </c>
    </row>
    <row r="50" spans="3:5" x14ac:dyDescent="0.25">
      <c r="C50" s="18" t="s">
        <v>51</v>
      </c>
      <c r="E50" s="18" t="str">
        <f>IF(COUNTIF($G$8:$G$48,"CHECK")=0,IF(COUNTIF($G$8:$G$48,"Pending")=0,"All checks OK","All checks OK (render check pending)"),COUNTIF($G$8:$G$48,"CHECK")&amp;IF(COUNTIF($G$8:$G$48,"CHECK")=1," check failing"," checks failing"))</f>
        <v>All checks OK</v>
      </c>
    </row>
    <row r="52" ht="25" customHeight="1" spans="2:9" x14ac:dyDescent="0.25">
      <c r="B52" s="60" t="s">
        <v>1311</v>
      </c>
      <c r="C52" s="60"/>
      <c r="D52" s="60"/>
      <c r="E52" s="60"/>
      <c r="F52" s="60"/>
      <c r="G52" s="60"/>
      <c r="H52" s="60"/>
      <c r="I52" s="60"/>
    </row>
    <row r="57" spans="3:5" x14ac:dyDescent="0.25">
      <c r="C57" s="131" t="s">
        <v>1312</v>
      </c>
      <c r="E57" s="134">
        <f>SUMPRODUCT(--ISERROR('Summary'!$B$5:$J$65))</f>
        <v>0</v>
      </c>
    </row>
    <row r="58" spans="3:5" x14ac:dyDescent="0.25">
      <c r="C58" s="131" t="s">
        <v>1313</v>
      </c>
      <c r="E58" s="134">
        <f>SUMPRODUCT(--ISERROR('Assumptions'!$B$5:$I$123))</f>
        <v>0</v>
      </c>
    </row>
    <row r="59" spans="3:5" x14ac:dyDescent="0.25">
      <c r="C59" s="131" t="s">
        <v>1314</v>
      </c>
      <c r="E59" s="134">
        <f>SUMPRODUCT(--ISERROR('P&amp;L Summary'!$B$5:$Q$86))</f>
        <v>0</v>
      </c>
    </row>
    <row r="60" spans="3:5" x14ac:dyDescent="0.25">
      <c r="C60" s="131" t="s">
        <v>1315</v>
      </c>
      <c r="E60" s="134">
        <f>SUMPRODUCT(--ISERROR('Adj. EBITDA'!$B$5:$O$59))</f>
        <v>0</v>
      </c>
    </row>
    <row r="61" spans="3:5" x14ac:dyDescent="0.25">
      <c r="C61" s="131" t="s">
        <v>1316</v>
      </c>
      <c r="E61" s="134">
        <f>SUMPRODUCT(--ISERROR('Adjustments'!$B$5:$BH$58))</f>
        <v>0</v>
      </c>
    </row>
    <row r="62" spans="3:5" x14ac:dyDescent="0.25">
      <c r="C62" s="131" t="s">
        <v>1317</v>
      </c>
      <c r="E62" s="134">
        <f>SUMPRODUCT(--ISERROR('Revenue Detail'!$B$5:$AI$39))</f>
        <v>0</v>
      </c>
    </row>
    <row r="63" spans="3:5" x14ac:dyDescent="0.25">
      <c r="C63" s="131" t="s">
        <v>1318</v>
      </c>
      <c r="E63" s="134">
        <f>SUMPRODUCT(--ISERROR('Revenue Charts'!$B$5:$AP$56))</f>
        <v>0</v>
      </c>
    </row>
    <row r="64" spans="3:5" x14ac:dyDescent="0.25">
      <c r="C64" s="131" t="s">
        <v>1319</v>
      </c>
      <c r="E64" s="134">
        <f>SUMPRODUCT(--ISERROR('Expense Detail'!$B$5:$AI$45))</f>
        <v>0</v>
      </c>
    </row>
    <row r="65" spans="3:5" x14ac:dyDescent="0.25">
      <c r="C65" s="131" t="s">
        <v>1320</v>
      </c>
      <c r="E65" s="134">
        <f>SUMPRODUCT(--ISERROR('Expense Charts'!$B$5:$AP$56))</f>
        <v>0</v>
      </c>
    </row>
    <row r="66" spans="3:5" x14ac:dyDescent="0.25">
      <c r="C66" s="131" t="s">
        <v>1321</v>
      </c>
      <c r="E66" s="134">
        <f>SUMPRODUCT(--ISERROR('Customer Overview'!$B$5:$I$30))</f>
        <v>0</v>
      </c>
    </row>
    <row r="67" spans="3:5" x14ac:dyDescent="0.25">
      <c r="C67" s="131" t="s">
        <v>1322</v>
      </c>
      <c r="E67" s="134">
        <f>SUMPRODUCT(--ISERROR('Customer Retention'!$B$5:$AF$103))</f>
        <v>0</v>
      </c>
    </row>
    <row r="68" spans="3:5" x14ac:dyDescent="0.25">
      <c r="C68" s="131" t="s">
        <v>1323</v>
      </c>
      <c r="E68" s="134">
        <f>SUMPRODUCT(--ISERROR('Retention Charts'!$B$5:$AP$80))</f>
        <v>0</v>
      </c>
    </row>
    <row r="69" spans="3:5" x14ac:dyDescent="0.25">
      <c r="C69" s="131" t="s">
        <v>1324</v>
      </c>
      <c r="E69" s="134">
        <f>SUMPRODUCT(--ISERROR('Concentration'!$B$5:$I$36))</f>
        <v>0</v>
      </c>
    </row>
    <row r="70" spans="3:5" x14ac:dyDescent="0.25">
      <c r="C70" s="131" t="s">
        <v>1325</v>
      </c>
      <c r="E70" s="134">
        <f>SUMPRODUCT(--ISERROR('Cohorts'!$B$5:$F$36))</f>
        <v>0</v>
      </c>
    </row>
    <row r="71" spans="3:5" x14ac:dyDescent="0.25">
      <c r="C71" s="131" t="s">
        <v>1326</v>
      </c>
      <c r="E71" s="134">
        <f>SUMPRODUCT(--ISERROR('Headcount'!$B$5:$K$81))</f>
        <v>0</v>
      </c>
    </row>
    <row r="72" spans="3:5" x14ac:dyDescent="0.25">
      <c r="C72" s="131" t="s">
        <v>1327</v>
      </c>
      <c r="E72" s="134">
        <f>SUMPRODUCT(--ISERROR('Headcount Charts'!$B$5:$AP$102))</f>
        <v>0</v>
      </c>
    </row>
    <row r="73" spans="3:5" x14ac:dyDescent="0.25">
      <c r="C73" s="131" t="s">
        <v>1328</v>
      </c>
      <c r="E73" s="134">
        <f>SUMPRODUCT(--ISERROR('Balance Sheet'!$B$5:$G$39))</f>
        <v>0</v>
      </c>
    </row>
    <row r="74" spans="3:5" x14ac:dyDescent="0.25">
      <c r="C74" s="131" t="s">
        <v>1329</v>
      </c>
      <c r="E74" s="134">
        <f>SUMPRODUCT(--ISERROR('NWC'!$B$5:$M$34))</f>
        <v>0</v>
      </c>
    </row>
    <row r="75" spans="3:5" x14ac:dyDescent="0.25">
      <c r="C75" s="131" t="s">
        <v>1330</v>
      </c>
      <c r="E75" s="134">
        <f>SUMPRODUCT(--ISERROR('Debt-Like Items'!$B$5:$H$35))</f>
        <v>0</v>
      </c>
    </row>
    <row r="76" spans="3:5" x14ac:dyDescent="0.25">
      <c r="C76" s="131" t="s">
        <v>1331</v>
      </c>
      <c r="E76" s="134">
        <f>SUMPRODUCT(--ISERROR('Cash Flow'!$B$5:$F$29))</f>
        <v>0</v>
      </c>
    </row>
    <row r="77" spans="3:5" x14ac:dyDescent="0.25">
      <c r="C77" s="131" t="s">
        <v>1332</v>
      </c>
      <c r="E77" s="134">
        <f>SUMPRODUCT(--ISERROR('Proof of Cash'!$B$5:$H$25))</f>
        <v>0</v>
      </c>
    </row>
    <row r="78" spans="3:5" x14ac:dyDescent="0.25">
      <c r="C78" s="131" t="s">
        <v>1333</v>
      </c>
      <c r="E78" s="134">
        <f>SUMPRODUCT(--ISERROR('Projections'!$B$5:$K$61))</f>
        <v>0</v>
      </c>
    </row>
    <row r="79" spans="3:5" x14ac:dyDescent="0.25">
      <c r="C79" s="131" t="s">
        <v>1334</v>
      </c>
      <c r="E79" s="134">
        <f>SUMPRODUCT(--ISERROR('Opportunities'!$B$5:$K$15))</f>
        <v>0</v>
      </c>
    </row>
    <row r="80" spans="3:5" x14ac:dyDescent="0.25">
      <c r="C80" s="131" t="s">
        <v>1335</v>
      </c>
      <c r="E80" s="134">
        <f>SUMPRODUCT(--ISERROR('Valuation'!$B$5:$G$62))</f>
        <v>0</v>
      </c>
    </row>
    <row r="81" spans="3:5" x14ac:dyDescent="0.25">
      <c r="C81" s="131" t="s">
        <v>1336</v>
      </c>
      <c r="E81" s="134">
        <f>SUMPRODUCT(--ISERROR('Deal Structure'!$B$5:$I$82))</f>
        <v>0</v>
      </c>
    </row>
    <row r="82" spans="3:5" x14ac:dyDescent="0.25">
      <c r="C82" s="131" t="s">
        <v>1337</v>
      </c>
      <c r="E82" s="134">
        <f>SUMPRODUCT(--ISERROR('Sensitivities'!$B$5:$BD$65))</f>
        <v>0</v>
      </c>
    </row>
    <row r="83" spans="3:5" x14ac:dyDescent="0.25">
      <c r="C83" s="131" t="s">
        <v>1338</v>
      </c>
      <c r="E83" s="134">
        <f>SUMPRODUCT(--ISERROR('Monthly P&amp;L'!$B$5:$BB$62))</f>
        <v>0</v>
      </c>
    </row>
    <row r="84" spans="3:5" x14ac:dyDescent="0.25">
      <c r="C84" s="131" t="s">
        <v>1339</v>
      </c>
      <c r="E84" s="134">
        <f>SUMPRODUCT(--ISERROR('Databook'!$B$5:$BG$88))</f>
        <v>0</v>
      </c>
    </row>
    <row r="85" spans="3:5" x14ac:dyDescent="0.25">
      <c r="C85" s="131" t="s">
        <v>1340</v>
      </c>
      <c r="E85" s="134">
        <f>SUMPRODUCT(--ISERROR('Mapping'!$B$5:$H$58))</f>
        <v>0</v>
      </c>
    </row>
  </sheetData>
  <mergeCells count="1">
    <mergeCell ref="B52:I52"/>
  </mergeCells>
  <conditionalFormatting sqref="G8:G48">
    <cfRule type="expression" dxfId="61" priority="1">
      <formula>G8="CHECK"</formula>
    </cfRule>
  </conditionalFormatting>
  <conditionalFormatting sqref="B2 I3 E9:F18 E20:F23 F24 E25:F28 F29 E31:F32 F33:F37 E38:F40 F42:F44 E45:F46 F47 E48:F48">
    <cfRule type="expression" dxfId="62" priority="2">
      <formula>$I$3=1</formula>
    </cfRule>
  </conditionalFormatting>
  <printOptions horizontalCentered="1"/>
  <pageMargins left="0.5" right="0.5" top="0.6" bottom="0.7" header="0.3" footer="0.3"/>
  <pageSetup paperSize="1" orientation="landscape" fitToWidth="1" fitToHeight="0"/>
  <headerFooter>
    <oddHeader>&amp;RProject Ridgeline | As of 12/31/25</oddHeader>
    <oddFooter>&amp;LAMB Advisory Services | Strictly confidential&amp;C&amp;A&amp;RPage &amp;P of &amp;N</oddFooter>
  </headerFooter>
  <rowBreaks count="1" manualBreakCount="1">
    <brk id="40"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B0000"/>
    <outlinePr summaryBelow="0" summaryRight="0"/>
  </sheetPr>
  <dimension ref="A1:A1"/>
  <sheetViews>
    <sheetView workbookViewId="0" showGridLines="0" zoomScale="100"/>
  </sheetViews>
  <sheetFormatPr defaultRowHeight="12.75" outlineLevelRow="0" outlineLevelCol="0" x14ac:dyDescent="55" customHeight="1"/>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2:AZ62"/>
  <sheetViews>
    <sheetView workbookViewId="0" showGridLines="0" zoomScale="100">
      <pane xSplit="2" ySplit="6" topLeftCell="C7" activePane="bottomRight" state="frozen"/>
      <selection pane="bottomRight"/>
    </sheetView>
  </sheetViews>
  <sheetFormatPr defaultRowHeight="12.75" outlineLevelRow="0" outlineLevelCol="0" x14ac:dyDescent="55" customHeight="1"/>
  <cols>
    <col min="1" max="1" width="1.7" customWidth="1"/>
    <col min="2" max="2" width="45" customWidth="1"/>
    <col min="3" max="5" width="9.1" customWidth="1"/>
    <col min="6" max="6" width="0.9" customWidth="1"/>
    <col min="7" max="8" width="9.1" customWidth="1"/>
    <col min="9" max="9" width="0.9" customWidth="1"/>
    <col min="10" max="12" width="9.1" customWidth="1"/>
    <col min="13" max="13" width="0.9" customWidth="1"/>
    <col min="14" max="15" width="9.1" customWidth="1"/>
    <col min="16" max="16" width="0.9" customWidth="1"/>
    <col min="17" max="52" width="9.1" outlineLevel="1" collapsed="1" customWidth="1"/>
  </cols>
  <sheetData>
    <row r="2" ht="16.5" customHeight="1" spans="2:2" x14ac:dyDescent="0.25">
      <c r="B2" s="9">
        <f>Cover!B24</f>
      </c>
    </row>
    <row r="3" spans="2:52" x14ac:dyDescent="0.25">
      <c r="B3" s="10" t="s">
        <v>1341</v>
      </c>
      <c r="C3" s="11"/>
      <c r="D3" s="11"/>
      <c r="E3" s="11"/>
      <c r="F3" s="11"/>
      <c r="G3" s="11"/>
      <c r="H3" s="11"/>
      <c r="I3" s="11"/>
      <c r="J3" s="11"/>
      <c r="K3" s="11"/>
      <c r="L3" s="11"/>
      <c r="M3" s="11"/>
      <c r="N3" s="34" t="s">
        <v>80</v>
      </c>
      <c r="O3" s="35">
        <f>'Contents'!$I$18</f>
      </c>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row>
    <row r="5" spans="2:52" x14ac:dyDescent="0.25">
      <c r="B5" s="36"/>
      <c r="C5" s="36" t="s">
        <v>81</v>
      </c>
      <c r="D5" s="36"/>
      <c r="E5" s="36"/>
      <c r="G5" s="36" t="s">
        <v>327</v>
      </c>
      <c r="H5" s="36"/>
      <c r="J5" s="36" t="s">
        <v>82</v>
      </c>
      <c r="K5" s="36"/>
      <c r="L5" s="36" t="s">
        <v>83</v>
      </c>
      <c r="N5" s="36" t="s">
        <v>328</v>
      </c>
      <c r="O5" s="36"/>
      <c r="Q5" s="36" t="s">
        <v>1342</v>
      </c>
      <c r="R5" s="36"/>
      <c r="S5" s="36"/>
      <c r="T5" s="36"/>
      <c r="U5" s="36"/>
      <c r="V5" s="36"/>
      <c r="W5" s="36"/>
      <c r="X5" s="36"/>
      <c r="Y5" s="36"/>
      <c r="Z5" s="36"/>
      <c r="AA5" s="36"/>
      <c r="AB5" s="36"/>
      <c r="AC5" s="36" t="s">
        <v>1343</v>
      </c>
      <c r="AD5" s="36"/>
      <c r="AE5" s="36"/>
      <c r="AF5" s="36"/>
      <c r="AG5" s="36"/>
      <c r="AH5" s="36"/>
      <c r="AI5" s="36"/>
      <c r="AJ5" s="36"/>
      <c r="AK5" s="36"/>
      <c r="AL5" s="36"/>
      <c r="AM5" s="36"/>
      <c r="AN5" s="36"/>
      <c r="AO5" s="36" t="s">
        <v>1344</v>
      </c>
      <c r="AP5" s="36"/>
      <c r="AQ5" s="36"/>
      <c r="AR5" s="36"/>
      <c r="AS5" s="36"/>
      <c r="AT5" s="36"/>
      <c r="AU5" s="36"/>
      <c r="AV5" s="36"/>
      <c r="AW5" s="36"/>
      <c r="AX5" s="36"/>
      <c r="AY5" s="36"/>
      <c r="AZ5" s="36"/>
    </row>
    <row r="6" spans="2:52" x14ac:dyDescent="0.25">
      <c r="B6" s="13" t="s">
        <v>329</v>
      </c>
      <c r="C6" s="12" t="str">
        <f>"FY"&amp;YEAR(C$62)</f>
        <v>FY2023</v>
      </c>
      <c r="D6" s="12" t="str">
        <f>"FY"&amp;YEAR(D$62)</f>
        <v>FY2024</v>
      </c>
      <c r="E6" s="12" t="str">
        <f>"FY"&amp;YEAR(E$62)</f>
        <v>FY2025</v>
      </c>
      <c r="G6" s="12" t="str">
        <f>TEXT(G$62,"mmm-yy")</f>
        <v>Dec-24</v>
      </c>
      <c r="H6" s="12" t="str">
        <f>TEXT(H$62,"mmm-yy")</f>
        <v>Dec-25</v>
      </c>
      <c r="J6" s="12" t="str">
        <f>TEXT(J$62,"mmm-yy")</f>
        <v>Dec-24</v>
      </c>
      <c r="K6" s="12" t="str">
        <f>TEXT(K$62,"mmm-yy")</f>
        <v>Dec-25</v>
      </c>
      <c r="L6" s="12" t="str">
        <f>TEXT(L$62,"mmm-yy")</f>
        <v>Dec-25</v>
      </c>
      <c r="N6" s="12" t="s">
        <v>330</v>
      </c>
      <c r="O6" s="12" t="s">
        <v>331</v>
      </c>
      <c r="Q6" s="138">
        <f>'Assumptions'!$C$10</f>
        <v>44927</v>
      </c>
      <c r="R6" s="138">
        <f>EOMONTH(Q6,0)+1</f>
        <v>44958</v>
      </c>
      <c r="S6" s="138">
        <f>EOMONTH(R6,0)+1</f>
        <v>44986</v>
      </c>
      <c r="T6" s="138">
        <f>EOMONTH(S6,0)+1</f>
        <v>45017</v>
      </c>
      <c r="U6" s="138">
        <f>EOMONTH(T6,0)+1</f>
        <v>45047</v>
      </c>
      <c r="V6" s="138">
        <f>EOMONTH(U6,0)+1</f>
        <v>45078</v>
      </c>
      <c r="W6" s="138">
        <f>EOMONTH(V6,0)+1</f>
        <v>45108</v>
      </c>
      <c r="X6" s="138">
        <f>EOMONTH(W6,0)+1</f>
        <v>45139</v>
      </c>
      <c r="Y6" s="138">
        <f>EOMONTH(X6,0)+1</f>
        <v>45170</v>
      </c>
      <c r="Z6" s="138">
        <f>EOMONTH(Y6,0)+1</f>
        <v>45200</v>
      </c>
      <c r="AA6" s="138">
        <f>EOMONTH(Z6,0)+1</f>
        <v>45231</v>
      </c>
      <c r="AB6" s="138">
        <f>EOMONTH(AA6,0)+1</f>
        <v>45261</v>
      </c>
      <c r="AC6" s="138">
        <f>EOMONTH(AB6,0)+1</f>
        <v>45292</v>
      </c>
      <c r="AD6" s="138">
        <f>EOMONTH(AC6,0)+1</f>
        <v>45323</v>
      </c>
      <c r="AE6" s="138">
        <f>EOMONTH(AD6,0)+1</f>
        <v>45352</v>
      </c>
      <c r="AF6" s="138">
        <f>EOMONTH(AE6,0)+1</f>
        <v>45383</v>
      </c>
      <c r="AG6" s="138">
        <f>EOMONTH(AF6,0)+1</f>
        <v>45413</v>
      </c>
      <c r="AH6" s="138">
        <f>EOMONTH(AG6,0)+1</f>
        <v>45444</v>
      </c>
      <c r="AI6" s="138">
        <f>EOMONTH(AH6,0)+1</f>
        <v>45474</v>
      </c>
      <c r="AJ6" s="138">
        <f>EOMONTH(AI6,0)+1</f>
        <v>45505</v>
      </c>
      <c r="AK6" s="138">
        <f>EOMONTH(AJ6,0)+1</f>
        <v>45536</v>
      </c>
      <c r="AL6" s="138">
        <f>EOMONTH(AK6,0)+1</f>
        <v>45566</v>
      </c>
      <c r="AM6" s="138">
        <f>EOMONTH(AL6,0)+1</f>
        <v>45597</v>
      </c>
      <c r="AN6" s="138">
        <f>EOMONTH(AM6,0)+1</f>
        <v>45627</v>
      </c>
      <c r="AO6" s="138">
        <f>EOMONTH(AN6,0)+1</f>
        <v>45658</v>
      </c>
      <c r="AP6" s="138">
        <f>EOMONTH(AO6,0)+1</f>
        <v>45689</v>
      </c>
      <c r="AQ6" s="138">
        <f>EOMONTH(AP6,0)+1</f>
        <v>45717</v>
      </c>
      <c r="AR6" s="138">
        <f>EOMONTH(AQ6,0)+1</f>
        <v>45748</v>
      </c>
      <c r="AS6" s="138">
        <f>EOMONTH(AR6,0)+1</f>
        <v>45778</v>
      </c>
      <c r="AT6" s="138">
        <f>EOMONTH(AS6,0)+1</f>
        <v>45809</v>
      </c>
      <c r="AU6" s="138">
        <f>EOMONTH(AT6,0)+1</f>
        <v>45839</v>
      </c>
      <c r="AV6" s="138">
        <f>EOMONTH(AU6,0)+1</f>
        <v>45870</v>
      </c>
      <c r="AW6" s="138">
        <f>EOMONTH(AV6,0)+1</f>
        <v>45901</v>
      </c>
      <c r="AX6" s="138">
        <f>EOMONTH(AW6,0)+1</f>
        <v>45931</v>
      </c>
      <c r="AY6" s="138">
        <f>EOMONTH(AX6,0)+1</f>
        <v>45962</v>
      </c>
      <c r="AZ6" s="138">
        <f>EOMONTH(AY6,0)+1</f>
        <v>45992</v>
      </c>
    </row>
    <row r="8" spans="2:52" x14ac:dyDescent="0.25">
      <c r="B8" s="37" t="s">
        <v>333</v>
      </c>
      <c r="C8" s="37"/>
      <c r="D8" s="37"/>
      <c r="E8" s="37"/>
      <c r="G8" s="37"/>
      <c r="H8" s="37"/>
      <c r="J8" s="37"/>
      <c r="K8" s="37"/>
      <c r="L8" s="37"/>
      <c r="N8" s="37"/>
      <c r="O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row>
    <row r="9" spans="2:52" x14ac:dyDescent="0.25">
      <c r="B9" s="52" t="s">
        <v>334</v>
      </c>
      <c r="C9" s="38">
        <f>SUMIFS($Q9:$AZ9,$Q$6:$AZ$6,"&gt;="&amp;C$61,$Q$6:$AZ$6,"&lt;="&amp;C$62)</f>
        <v>1612.4</v>
      </c>
      <c r="D9" s="38">
        <f>SUMIFS($Q9:$AZ9,$Q$6:$AZ$6,"&gt;="&amp;D$61,$Q$6:$AZ$6,"&lt;="&amp;D$62)</f>
        <v>1788.9</v>
      </c>
      <c r="E9" s="38">
        <f>SUMIFS($Q9:$AZ9,$Q$6:$AZ$6,"&gt;="&amp;E$61,$Q$6:$AZ$6,"&lt;="&amp;E$62)</f>
        <v>1964.3</v>
      </c>
      <c r="G9" s="38">
        <f>SUMIFS($Q9:$AZ9,$Q$6:$AZ$6,"&gt;="&amp;G$61,$Q$6:$AZ$6,"&lt;="&amp;G$62)</f>
        <v>1788.9</v>
      </c>
      <c r="H9" s="38">
        <f>SUMIFS($Q9:$AZ9,$Q$6:$AZ$6,"&gt;="&amp;H$61,$Q$6:$AZ$6,"&lt;="&amp;H$62)</f>
        <v>1964.3</v>
      </c>
      <c r="J9" s="38">
        <f>SUMIFS($Q9:$AZ9,$Q$6:$AZ$6,"&gt;="&amp;J$61,$Q$6:$AZ$6,"&lt;="&amp;J$62)</f>
        <v>1788.9</v>
      </c>
      <c r="K9" s="38">
        <f>SUMIFS($Q9:$AZ9,$Q$6:$AZ$6,"&gt;="&amp;K$61,$Q$6:$AZ$6,"&lt;="&amp;K$62)</f>
        <v>1964.3</v>
      </c>
      <c r="L9" s="38">
        <f>SUMIFS($Q9:$AZ9,$Q$6:$AZ$6,"&gt;="&amp;L$61,$Q$6:$AZ$6,"&lt;="&amp;L$62)</f>
        <v>1964.3</v>
      </c>
      <c r="N9" s="38">
        <f>L9-K9</f>
        <v>0</v>
      </c>
      <c r="O9" s="115">
        <f>IFERROR(L9/K9-1,"n.a.")</f>
        <v>0</v>
      </c>
      <c r="Q9" s="39">
        <f>SUMIFS('Databook'!Q$8:Q$33,'Databook'!$B$8:$B$33,"Service Revenue - Residential")/1000</f>
        <v>120.432</v>
      </c>
      <c r="R9" s="39">
        <f>SUMIFS('Databook'!R$8:R$33,'Databook'!$B$8:$B$33,"Service Revenue - Residential")/1000</f>
        <v>108.895</v>
      </c>
      <c r="S9" s="39">
        <f>SUMIFS('Databook'!S$8:S$33,'Databook'!$B$8:$B$33,"Service Revenue - Residential")/1000</f>
        <v>103.563</v>
      </c>
      <c r="T9" s="39">
        <f>SUMIFS('Databook'!T$8:T$33,'Databook'!$B$8:$B$33,"Service Revenue - Residential")/1000</f>
        <v>111.176</v>
      </c>
      <c r="U9" s="39">
        <f>SUMIFS('Databook'!U$8:U$33,'Databook'!$B$8:$B$33,"Service Revenue - Residential")/1000</f>
        <v>132.136</v>
      </c>
      <c r="V9" s="39">
        <f>SUMIFS('Databook'!V$8:V$33,'Databook'!$B$8:$B$33,"Service Revenue - Residential")/1000</f>
        <v>160.174</v>
      </c>
      <c r="W9" s="39">
        <f>SUMIFS('Databook'!W$8:W$33,'Databook'!$B$8:$B$33,"Service Revenue - Residential")/1000</f>
        <v>175.265</v>
      </c>
      <c r="X9" s="39">
        <f>SUMIFS('Databook'!X$8:X$33,'Databook'!$B$8:$B$33,"Service Revenue - Residential")/1000</f>
        <v>163.393</v>
      </c>
      <c r="Y9" s="39">
        <f>SUMIFS('Databook'!Y$8:Y$33,'Databook'!$B$8:$B$33,"Service Revenue - Residential")/1000</f>
        <v>137.502</v>
      </c>
      <c r="Z9" s="39">
        <f>SUMIFS('Databook'!Z$8:Z$33,'Databook'!$B$8:$B$33,"Service Revenue - Residential")/1000</f>
        <v>118.017</v>
      </c>
      <c r="AA9" s="39">
        <f>SUMIFS('Databook'!AA$8:AA$33,'Databook'!$B$8:$B$33,"Service Revenue - Residential")/1000</f>
        <v>126.167</v>
      </c>
      <c r="AB9" s="39">
        <f>SUMIFS('Databook'!AB$8:AB$33,'Databook'!$B$8:$B$33,"Service Revenue - Residential")/1000</f>
        <v>155.68</v>
      </c>
      <c r="AC9" s="39">
        <f>SUMIFS('Databook'!AC$8:AC$33,'Databook'!$B$8:$B$33,"Service Revenue - Residential")/1000</f>
        <v>133.615</v>
      </c>
      <c r="AD9" s="39">
        <f>SUMIFS('Databook'!AD$8:AD$33,'Databook'!$B$8:$B$33,"Service Revenue - Residential")/1000</f>
        <v>120.815</v>
      </c>
      <c r="AE9" s="39">
        <f>SUMIFS('Databook'!AE$8:AE$33,'Databook'!$B$8:$B$33,"Service Revenue - Residential")/1000</f>
        <v>114.899</v>
      </c>
      <c r="AF9" s="39">
        <f>SUMIFS('Databook'!AF$8:AF$33,'Databook'!$B$8:$B$33,"Service Revenue - Residential")/1000</f>
        <v>123.345</v>
      </c>
      <c r="AG9" s="39">
        <f>SUMIFS('Databook'!AG$8:AG$33,'Databook'!$B$8:$B$33,"Service Revenue - Residential")/1000</f>
        <v>146.601</v>
      </c>
      <c r="AH9" s="39">
        <f>SUMIFS('Databook'!AH$8:AH$33,'Databook'!$B$8:$B$33,"Service Revenue - Residential")/1000</f>
        <v>177.707</v>
      </c>
      <c r="AI9" s="39">
        <f>SUMIFS('Databook'!AI$8:AI$33,'Databook'!$B$8:$B$33,"Service Revenue - Residential")/1000</f>
        <v>194.45</v>
      </c>
      <c r="AJ9" s="39">
        <f>SUMIFS('Databook'!AJ$8:AJ$33,'Databook'!$B$8:$B$33,"Service Revenue - Residential")/1000</f>
        <v>181.279</v>
      </c>
      <c r="AK9" s="39">
        <f>SUMIFS('Databook'!AK$8:AK$33,'Databook'!$B$8:$B$33,"Service Revenue - Residential")/1000</f>
        <v>152.554</v>
      </c>
      <c r="AL9" s="39">
        <f>SUMIFS('Databook'!AL$8:AL$33,'Databook'!$B$8:$B$33,"Service Revenue - Residential")/1000</f>
        <v>130.936</v>
      </c>
      <c r="AM9" s="39">
        <f>SUMIFS('Databook'!AM$8:AM$33,'Databook'!$B$8:$B$33,"Service Revenue - Residential")/1000</f>
        <v>139.978</v>
      </c>
      <c r="AN9" s="39">
        <f>SUMIFS('Databook'!AN$8:AN$33,'Databook'!$B$8:$B$33,"Service Revenue - Residential")/1000</f>
        <v>172.721</v>
      </c>
      <c r="AO9" s="39">
        <f>SUMIFS('Databook'!AO$8:AO$33,'Databook'!$B$8:$B$33,"Service Revenue - Residential")/1000</f>
        <v>146.716</v>
      </c>
      <c r="AP9" s="39">
        <f>SUMIFS('Databook'!AP$8:AP$33,'Databook'!$B$8:$B$33,"Service Revenue - Residential")/1000</f>
        <v>132.661</v>
      </c>
      <c r="AQ9" s="39">
        <f>SUMIFS('Databook'!AQ$8:AQ$33,'Databook'!$B$8:$B$33,"Service Revenue - Residential")/1000</f>
        <v>126.165</v>
      </c>
      <c r="AR9" s="39">
        <f>SUMIFS('Databook'!AR$8:AR$33,'Databook'!$B$8:$B$33,"Service Revenue - Residential")/1000</f>
        <v>135.439</v>
      </c>
      <c r="AS9" s="39">
        <f>SUMIFS('Databook'!AS$8:AS$33,'Databook'!$B$8:$B$33,"Service Revenue - Residential")/1000</f>
        <v>160.975</v>
      </c>
      <c r="AT9" s="39">
        <f>SUMIFS('Databook'!AT$8:AT$33,'Databook'!$B$8:$B$33,"Service Revenue - Residential")/1000</f>
        <v>195.131</v>
      </c>
      <c r="AU9" s="39">
        <f>SUMIFS('Databook'!AU$8:AU$33,'Databook'!$B$8:$B$33,"Service Revenue - Residential")/1000</f>
        <v>213.516</v>
      </c>
      <c r="AV9" s="39">
        <f>SUMIFS('Databook'!AV$8:AV$33,'Databook'!$B$8:$B$33,"Service Revenue - Residential")/1000</f>
        <v>199.053</v>
      </c>
      <c r="AW9" s="39">
        <f>SUMIFS('Databook'!AW$8:AW$33,'Databook'!$B$8:$B$33,"Service Revenue - Residential")/1000</f>
        <v>167.512</v>
      </c>
      <c r="AX9" s="39">
        <f>SUMIFS('Databook'!AX$8:AX$33,'Databook'!$B$8:$B$33,"Service Revenue - Residential")/1000</f>
        <v>143.774</v>
      </c>
      <c r="AY9" s="39">
        <f>SUMIFS('Databook'!AY$8:AY$33,'Databook'!$B$8:$B$33,"Service Revenue - Residential")/1000</f>
        <v>153.702</v>
      </c>
      <c r="AZ9" s="39">
        <f>SUMIFS('Databook'!AZ$8:AZ$33,'Databook'!$B$8:$B$33,"Service Revenue - Residential")/1000</f>
        <v>189.656</v>
      </c>
    </row>
    <row r="10" spans="2:52" x14ac:dyDescent="0.25">
      <c r="B10" s="52" t="s">
        <v>336</v>
      </c>
      <c r="C10" s="52">
        <f>SUMIFS($Q10:$AZ10,$Q$6:$AZ$6,"&gt;="&amp;C$61,$Q$6:$AZ$6,"&lt;="&amp;C$62)</f>
        <v>598.2</v>
      </c>
      <c r="D10" s="52">
        <f>SUMIFS($Q10:$AZ10,$Q$6:$AZ$6,"&gt;="&amp;D$61,$Q$6:$AZ$6,"&lt;="&amp;D$62)</f>
        <v>702.5</v>
      </c>
      <c r="E10" s="52">
        <f>SUMIFS($Q10:$AZ10,$Q$6:$AZ$6,"&gt;="&amp;E$61,$Q$6:$AZ$6,"&lt;="&amp;E$62)</f>
        <v>811.7</v>
      </c>
      <c r="G10" s="52">
        <f>SUMIFS($Q10:$AZ10,$Q$6:$AZ$6,"&gt;="&amp;G$61,$Q$6:$AZ$6,"&lt;="&amp;G$62)</f>
        <v>702.5</v>
      </c>
      <c r="H10" s="52">
        <f>SUMIFS($Q10:$AZ10,$Q$6:$AZ$6,"&gt;="&amp;H$61,$Q$6:$AZ$6,"&lt;="&amp;H$62)</f>
        <v>811.7</v>
      </c>
      <c r="J10" s="52">
        <f>SUMIFS($Q10:$AZ10,$Q$6:$AZ$6,"&gt;="&amp;J$61,$Q$6:$AZ$6,"&lt;="&amp;J$62)</f>
        <v>702.5</v>
      </c>
      <c r="K10" s="52">
        <f>SUMIFS($Q10:$AZ10,$Q$6:$AZ$6,"&gt;="&amp;K$61,$Q$6:$AZ$6,"&lt;="&amp;K$62)</f>
        <v>811.7</v>
      </c>
      <c r="L10" s="52">
        <f>SUMIFS($Q10:$AZ10,$Q$6:$AZ$6,"&gt;="&amp;L$61,$Q$6:$AZ$6,"&lt;="&amp;L$62)</f>
        <v>811.7</v>
      </c>
      <c r="N10" s="52">
        <f>L10-K10</f>
        <v>0</v>
      </c>
      <c r="O10" s="115">
        <f>IFERROR(L10/K10-1,"n.a.")</f>
        <v>0</v>
      </c>
      <c r="Q10" s="53">
        <f>SUMIFS('Databook'!Q$8:Q$33,'Databook'!$B$8:$B$33,"Service Revenue - Commercial")/1000</f>
        <v>44.712</v>
      </c>
      <c r="R10" s="53">
        <f>SUMIFS('Databook'!R$8:R$33,'Databook'!$B$8:$B$33,"Service Revenue - Commercial")/1000</f>
        <v>42.807</v>
      </c>
      <c r="S10" s="53">
        <f>SUMIFS('Databook'!S$8:S$33,'Databook'!$B$8:$B$33,"Service Revenue - Commercial")/1000</f>
        <v>43.255</v>
      </c>
      <c r="T10" s="53">
        <f>SUMIFS('Databook'!T$8:T$33,'Databook'!$B$8:$B$33,"Service Revenue - Commercial")/1000</f>
        <v>46.131</v>
      </c>
      <c r="U10" s="53">
        <f>SUMIFS('Databook'!U$8:U$33,'Databook'!$B$8:$B$33,"Service Revenue - Commercial")/1000</f>
        <v>49.057</v>
      </c>
      <c r="V10" s="53">
        <f>SUMIFS('Databook'!V$8:V$33,'Databook'!$B$8:$B$33,"Service Revenue - Commercial")/1000</f>
        <v>54.511</v>
      </c>
      <c r="W10" s="53">
        <f>SUMIFS('Databook'!W$8:W$33,'Databook'!$B$8:$B$33,"Service Revenue - Commercial")/1000</f>
        <v>57.561</v>
      </c>
      <c r="X10" s="53">
        <f>SUMIFS('Databook'!X$8:X$33,'Databook'!$B$8:$B$33,"Service Revenue - Commercial")/1000</f>
        <v>55.607</v>
      </c>
      <c r="Y10" s="53">
        <f>SUMIFS('Databook'!Y$8:Y$33,'Databook'!$B$8:$B$33,"Service Revenue - Commercial")/1000</f>
        <v>53.602</v>
      </c>
      <c r="Z10" s="53">
        <f>SUMIFS('Databook'!Z$8:Z$33,'Databook'!$B$8:$B$33,"Service Revenue - Commercial")/1000</f>
        <v>48.97</v>
      </c>
      <c r="AA10" s="53">
        <f>SUMIFS('Databook'!AA$8:AA$33,'Databook'!$B$8:$B$33,"Service Revenue - Commercial")/1000</f>
        <v>49.443</v>
      </c>
      <c r="AB10" s="53">
        <f>SUMIFS('Databook'!AB$8:AB$33,'Databook'!$B$8:$B$33,"Service Revenue - Commercial")/1000</f>
        <v>52.544</v>
      </c>
      <c r="AC10" s="53">
        <f>SUMIFS('Databook'!AC$8:AC$33,'Databook'!$B$8:$B$33,"Service Revenue - Commercial")/1000</f>
        <v>52.508</v>
      </c>
      <c r="AD10" s="53">
        <f>SUMIFS('Databook'!AD$8:AD$33,'Databook'!$B$8:$B$33,"Service Revenue - Commercial")/1000</f>
        <v>50.27</v>
      </c>
      <c r="AE10" s="53">
        <f>SUMIFS('Databook'!AE$8:AE$33,'Databook'!$B$8:$B$33,"Service Revenue - Commercial")/1000</f>
        <v>50.797</v>
      </c>
      <c r="AF10" s="53">
        <f>SUMIFS('Databook'!AF$8:AF$33,'Databook'!$B$8:$B$33,"Service Revenue - Commercial")/1000</f>
        <v>54.174</v>
      </c>
      <c r="AG10" s="53">
        <f>SUMIFS('Databook'!AG$8:AG$33,'Databook'!$B$8:$B$33,"Service Revenue - Commercial")/1000</f>
        <v>57.611</v>
      </c>
      <c r="AH10" s="53">
        <f>SUMIFS('Databook'!AH$8:AH$33,'Databook'!$B$8:$B$33,"Service Revenue - Commercial")/1000</f>
        <v>64.015</v>
      </c>
      <c r="AI10" s="53">
        <f>SUMIFS('Databook'!AI$8:AI$33,'Databook'!$B$8:$B$33,"Service Revenue - Commercial")/1000</f>
        <v>67.598</v>
      </c>
      <c r="AJ10" s="53">
        <f>SUMIFS('Databook'!AJ$8:AJ$33,'Databook'!$B$8:$B$33,"Service Revenue - Commercial")/1000</f>
        <v>65.302</v>
      </c>
      <c r="AK10" s="53">
        <f>SUMIFS('Databook'!AK$8:AK$33,'Databook'!$B$8:$B$33,"Service Revenue - Commercial")/1000</f>
        <v>62.948</v>
      </c>
      <c r="AL10" s="53">
        <f>SUMIFS('Databook'!AL$8:AL$33,'Databook'!$B$8:$B$33,"Service Revenue - Commercial")/1000</f>
        <v>57.508</v>
      </c>
      <c r="AM10" s="53">
        <f>SUMIFS('Databook'!AM$8:AM$33,'Databook'!$B$8:$B$33,"Service Revenue - Commercial")/1000</f>
        <v>58.064</v>
      </c>
      <c r="AN10" s="53">
        <f>SUMIFS('Databook'!AN$8:AN$33,'Databook'!$B$8:$B$33,"Service Revenue - Commercial")/1000</f>
        <v>61.705</v>
      </c>
      <c r="AO10" s="53">
        <f>SUMIFS('Databook'!AO$8:AO$33,'Databook'!$B$8:$B$33,"Service Revenue - Commercial")/1000</f>
        <v>60.67</v>
      </c>
      <c r="AP10" s="53">
        <f>SUMIFS('Databook'!AP$8:AP$33,'Databook'!$B$8:$B$33,"Service Revenue - Commercial")/1000</f>
        <v>58.085</v>
      </c>
      <c r="AQ10" s="53">
        <f>SUMIFS('Databook'!AQ$8:AQ$33,'Databook'!$B$8:$B$33,"Service Revenue - Commercial")/1000</f>
        <v>58.693</v>
      </c>
      <c r="AR10" s="53">
        <f>SUMIFS('Databook'!AR$8:AR$33,'Databook'!$B$8:$B$33,"Service Revenue - Commercial")/1000</f>
        <v>62.596</v>
      </c>
      <c r="AS10" s="53">
        <f>SUMIFS('Databook'!AS$8:AS$33,'Databook'!$B$8:$B$33,"Service Revenue - Commercial")/1000</f>
        <v>66.566</v>
      </c>
      <c r="AT10" s="53">
        <f>SUMIFS('Databook'!AT$8:AT$33,'Databook'!$B$8:$B$33,"Service Revenue - Commercial")/1000</f>
        <v>73.966</v>
      </c>
      <c r="AU10" s="53">
        <f>SUMIFS('Databook'!AU$8:AU$33,'Databook'!$B$8:$B$33,"Service Revenue - Commercial")/1000</f>
        <v>78.105</v>
      </c>
      <c r="AV10" s="53">
        <f>SUMIFS('Databook'!AV$8:AV$33,'Databook'!$B$8:$B$33,"Service Revenue - Commercial")/1000</f>
        <v>75.453</v>
      </c>
      <c r="AW10" s="53">
        <f>SUMIFS('Databook'!AW$8:AW$33,'Databook'!$B$8:$B$33,"Service Revenue - Commercial")/1000</f>
        <v>72.732</v>
      </c>
      <c r="AX10" s="53">
        <f>SUMIFS('Databook'!AX$8:AX$33,'Databook'!$B$8:$B$33,"Service Revenue - Commercial")/1000</f>
        <v>66.448</v>
      </c>
      <c r="AY10" s="53">
        <f>SUMIFS('Databook'!AY$8:AY$33,'Databook'!$B$8:$B$33,"Service Revenue - Commercial")/1000</f>
        <v>67.09</v>
      </c>
      <c r="AZ10" s="53">
        <f>SUMIFS('Databook'!AZ$8:AZ$33,'Databook'!$B$8:$B$33,"Service Revenue - Commercial")/1000</f>
        <v>71.296</v>
      </c>
    </row>
    <row r="11" spans="2:52" x14ac:dyDescent="0.25">
      <c r="B11" s="52" t="s">
        <v>338</v>
      </c>
      <c r="C11" s="52">
        <f>SUMIFS($Q11:$AZ11,$Q$6:$AZ$6,"&gt;="&amp;C$61,$Q$6:$AZ$6,"&lt;="&amp;C$62)</f>
        <v>214.6</v>
      </c>
      <c r="D11" s="52">
        <f>SUMIFS($Q11:$AZ11,$Q$6:$AZ$6,"&gt;="&amp;D$61,$Q$6:$AZ$6,"&lt;="&amp;D$62)</f>
        <v>248.3</v>
      </c>
      <c r="E11" s="52">
        <f>SUMIFS($Q11:$AZ11,$Q$6:$AZ$6,"&gt;="&amp;E$61,$Q$6:$AZ$6,"&lt;="&amp;E$62)</f>
        <v>289.4</v>
      </c>
      <c r="G11" s="52">
        <f>SUMIFS($Q11:$AZ11,$Q$6:$AZ$6,"&gt;="&amp;G$61,$Q$6:$AZ$6,"&lt;="&amp;G$62)</f>
        <v>248.3</v>
      </c>
      <c r="H11" s="52">
        <f>SUMIFS($Q11:$AZ11,$Q$6:$AZ$6,"&gt;="&amp;H$61,$Q$6:$AZ$6,"&lt;="&amp;H$62)</f>
        <v>289.4</v>
      </c>
      <c r="J11" s="52">
        <f>SUMIFS($Q11:$AZ11,$Q$6:$AZ$6,"&gt;="&amp;J$61,$Q$6:$AZ$6,"&lt;="&amp;J$62)</f>
        <v>248.3</v>
      </c>
      <c r="K11" s="52">
        <f>SUMIFS($Q11:$AZ11,$Q$6:$AZ$6,"&gt;="&amp;K$61,$Q$6:$AZ$6,"&lt;="&amp;K$62)</f>
        <v>289.4</v>
      </c>
      <c r="L11" s="52">
        <f>SUMIFS($Q11:$AZ11,$Q$6:$AZ$6,"&gt;="&amp;L$61,$Q$6:$AZ$6,"&lt;="&amp;L$62)</f>
        <v>289.4</v>
      </c>
      <c r="N11" s="52">
        <f>L11-K11</f>
        <v>0</v>
      </c>
      <c r="O11" s="115">
        <f>IFERROR(L11/K11-1,"n.a.")</f>
        <v>0</v>
      </c>
      <c r="Q11" s="53">
        <f>SUMIFS('Databook'!Q$8:Q$33,'Databook'!$B$8:$B$33,"Maintenance Agreements")/1000</f>
        <v>16.9</v>
      </c>
      <c r="R11" s="53">
        <f>SUMIFS('Databook'!R$8:R$33,'Databook'!$B$8:$B$33,"Maintenance Agreements")/1000</f>
        <v>17.079</v>
      </c>
      <c r="S11" s="53">
        <f>SUMIFS('Databook'!S$8:S$33,'Databook'!$B$8:$B$33,"Maintenance Agreements")/1000</f>
        <v>17.257</v>
      </c>
      <c r="T11" s="53">
        <f>SUMIFS('Databook'!T$8:T$33,'Databook'!$B$8:$B$33,"Maintenance Agreements")/1000</f>
        <v>17.436</v>
      </c>
      <c r="U11" s="53">
        <f>SUMIFS('Databook'!U$8:U$33,'Databook'!$B$8:$B$33,"Maintenance Agreements")/1000</f>
        <v>17.615</v>
      </c>
      <c r="V11" s="53">
        <f>SUMIFS('Databook'!V$8:V$33,'Databook'!$B$8:$B$33,"Maintenance Agreements")/1000</f>
        <v>17.794</v>
      </c>
      <c r="W11" s="53">
        <f>SUMIFS('Databook'!W$8:W$33,'Databook'!$B$8:$B$33,"Maintenance Agreements")/1000</f>
        <v>17.973</v>
      </c>
      <c r="X11" s="53">
        <f>SUMIFS('Databook'!X$8:X$33,'Databook'!$B$8:$B$33,"Maintenance Agreements")/1000</f>
        <v>18.152</v>
      </c>
      <c r="Y11" s="53">
        <f>SUMIFS('Databook'!Y$8:Y$33,'Databook'!$B$8:$B$33,"Maintenance Agreements")/1000</f>
        <v>18.33</v>
      </c>
      <c r="Z11" s="53">
        <f>SUMIFS('Databook'!Z$8:Z$33,'Databook'!$B$8:$B$33,"Maintenance Agreements")/1000</f>
        <v>18.509</v>
      </c>
      <c r="AA11" s="53">
        <f>SUMIFS('Databook'!AA$8:AA$33,'Databook'!$B$8:$B$33,"Maintenance Agreements")/1000</f>
        <v>18.688</v>
      </c>
      <c r="AB11" s="53">
        <f>SUMIFS('Databook'!AB$8:AB$33,'Databook'!$B$8:$B$33,"Maintenance Agreements")/1000</f>
        <v>18.867</v>
      </c>
      <c r="AC11" s="53">
        <f>SUMIFS('Databook'!AC$8:AC$33,'Databook'!$B$8:$B$33,"Maintenance Agreements")/1000</f>
        <v>19.554</v>
      </c>
      <c r="AD11" s="53">
        <f>SUMIFS('Databook'!AD$8:AD$33,'Databook'!$B$8:$B$33,"Maintenance Agreements")/1000</f>
        <v>19.761</v>
      </c>
      <c r="AE11" s="53">
        <f>SUMIFS('Databook'!AE$8:AE$33,'Databook'!$B$8:$B$33,"Maintenance Agreements")/1000</f>
        <v>19.967</v>
      </c>
      <c r="AF11" s="53">
        <f>SUMIFS('Databook'!AF$8:AF$33,'Databook'!$B$8:$B$33,"Maintenance Agreements")/1000</f>
        <v>20.174</v>
      </c>
      <c r="AG11" s="53">
        <f>SUMIFS('Databook'!AG$8:AG$33,'Databook'!$B$8:$B$33,"Maintenance Agreements")/1000</f>
        <v>20.381</v>
      </c>
      <c r="AH11" s="53">
        <f>SUMIFS('Databook'!AH$8:AH$33,'Databook'!$B$8:$B$33,"Maintenance Agreements")/1000</f>
        <v>20.588</v>
      </c>
      <c r="AI11" s="53">
        <f>SUMIFS('Databook'!AI$8:AI$33,'Databook'!$B$8:$B$33,"Maintenance Agreements")/1000</f>
        <v>20.795</v>
      </c>
      <c r="AJ11" s="53">
        <f>SUMIFS('Databook'!AJ$8:AJ$33,'Databook'!$B$8:$B$33,"Maintenance Agreements")/1000</f>
        <v>21.002</v>
      </c>
      <c r="AK11" s="53">
        <f>SUMIFS('Databook'!AK$8:AK$33,'Databook'!$B$8:$B$33,"Maintenance Agreements")/1000</f>
        <v>21.209</v>
      </c>
      <c r="AL11" s="53">
        <f>SUMIFS('Databook'!AL$8:AL$33,'Databook'!$B$8:$B$33,"Maintenance Agreements")/1000</f>
        <v>21.416</v>
      </c>
      <c r="AM11" s="53">
        <f>SUMIFS('Databook'!AM$8:AM$33,'Databook'!$B$8:$B$33,"Maintenance Agreements")/1000</f>
        <v>21.623</v>
      </c>
      <c r="AN11" s="53">
        <f>SUMIFS('Databook'!AN$8:AN$33,'Databook'!$B$8:$B$33,"Maintenance Agreements")/1000</f>
        <v>21.83</v>
      </c>
      <c r="AO11" s="53">
        <f>SUMIFS('Databook'!AO$8:AO$33,'Databook'!$B$8:$B$33,"Maintenance Agreements")/1000</f>
        <v>22.79</v>
      </c>
      <c r="AP11" s="53">
        <f>SUMIFS('Databook'!AP$8:AP$33,'Databook'!$B$8:$B$33,"Maintenance Agreements")/1000</f>
        <v>23.031</v>
      </c>
      <c r="AQ11" s="53">
        <f>SUMIFS('Databook'!AQ$8:AQ$33,'Databook'!$B$8:$B$33,"Maintenance Agreements")/1000</f>
        <v>23.273</v>
      </c>
      <c r="AR11" s="53">
        <f>SUMIFS('Databook'!AR$8:AR$33,'Databook'!$B$8:$B$33,"Maintenance Agreements")/1000</f>
        <v>23.514</v>
      </c>
      <c r="AS11" s="53">
        <f>SUMIFS('Databook'!AS$8:AS$33,'Databook'!$B$8:$B$33,"Maintenance Agreements")/1000</f>
        <v>23.755</v>
      </c>
      <c r="AT11" s="53">
        <f>SUMIFS('Databook'!AT$8:AT$33,'Databook'!$B$8:$B$33,"Maintenance Agreements")/1000</f>
        <v>23.996</v>
      </c>
      <c r="AU11" s="53">
        <f>SUMIFS('Databook'!AU$8:AU$33,'Databook'!$B$8:$B$33,"Maintenance Agreements")/1000</f>
        <v>24.237</v>
      </c>
      <c r="AV11" s="53">
        <f>SUMIFS('Databook'!AV$8:AV$33,'Databook'!$B$8:$B$33,"Maintenance Agreements")/1000</f>
        <v>24.478</v>
      </c>
      <c r="AW11" s="53">
        <f>SUMIFS('Databook'!AW$8:AW$33,'Databook'!$B$8:$B$33,"Maintenance Agreements")/1000</f>
        <v>24.72</v>
      </c>
      <c r="AX11" s="53">
        <f>SUMIFS('Databook'!AX$8:AX$33,'Databook'!$B$8:$B$33,"Maintenance Agreements")/1000</f>
        <v>24.961</v>
      </c>
      <c r="AY11" s="53">
        <f>SUMIFS('Databook'!AY$8:AY$33,'Databook'!$B$8:$B$33,"Maintenance Agreements")/1000</f>
        <v>25.202</v>
      </c>
      <c r="AZ11" s="53">
        <f>SUMIFS('Databook'!AZ$8:AZ$33,'Databook'!$B$8:$B$33,"Maintenance Agreements")/1000</f>
        <v>25.443</v>
      </c>
    </row>
    <row r="12" spans="2:52" x14ac:dyDescent="0.25">
      <c r="B12" s="52" t="s">
        <v>340</v>
      </c>
      <c r="C12" s="52">
        <f>SUMIFS($Q12:$AZ12,$Q$6:$AZ$6,"&gt;="&amp;C$61,$Q$6:$AZ$6,"&lt;="&amp;C$62)</f>
        <v>-18.4</v>
      </c>
      <c r="D12" s="52">
        <f>SUMIFS($Q12:$AZ12,$Q$6:$AZ$6,"&gt;="&amp;D$61,$Q$6:$AZ$6,"&lt;="&amp;D$62)</f>
        <v>-21.1</v>
      </c>
      <c r="E12" s="52">
        <f>SUMIFS($Q12:$AZ12,$Q$6:$AZ$6,"&gt;="&amp;E$61,$Q$6:$AZ$6,"&lt;="&amp;E$62)</f>
        <v>-24.6</v>
      </c>
      <c r="G12" s="52">
        <f>SUMIFS($Q12:$AZ12,$Q$6:$AZ$6,"&gt;="&amp;G$61,$Q$6:$AZ$6,"&lt;="&amp;G$62)</f>
        <v>-21.1</v>
      </c>
      <c r="H12" s="52">
        <f>SUMIFS($Q12:$AZ12,$Q$6:$AZ$6,"&gt;="&amp;H$61,$Q$6:$AZ$6,"&lt;="&amp;H$62)</f>
        <v>-24.6</v>
      </c>
      <c r="J12" s="52">
        <f>SUMIFS($Q12:$AZ12,$Q$6:$AZ$6,"&gt;="&amp;J$61,$Q$6:$AZ$6,"&lt;="&amp;J$62)</f>
        <v>-21.1</v>
      </c>
      <c r="K12" s="52">
        <f>SUMIFS($Q12:$AZ12,$Q$6:$AZ$6,"&gt;="&amp;K$61,$Q$6:$AZ$6,"&lt;="&amp;K$62)</f>
        <v>-24.6</v>
      </c>
      <c r="L12" s="52">
        <f>SUMIFS($Q12:$AZ12,$Q$6:$AZ$6,"&gt;="&amp;L$61,$Q$6:$AZ$6,"&lt;="&amp;L$62)</f>
        <v>-24.6</v>
      </c>
      <c r="N12" s="52">
        <f>L12-K12</f>
        <v>0</v>
      </c>
      <c r="O12" s="115">
        <f>IFERROR(L12/K12-1,"n.a.")</f>
        <v>0</v>
      </c>
      <c r="Q12" s="53">
        <f>SUMIFS('Databook'!Q$8:Q$33,'Databook'!$B$8:$B$33,"Discounts Given")/1000</f>
        <v>-1.374</v>
      </c>
      <c r="R12" s="53">
        <f>SUMIFS('Databook'!R$8:R$33,'Databook'!$B$8:$B$33,"Discounts Given")/1000</f>
        <v>-1.243</v>
      </c>
      <c r="S12" s="53">
        <f>SUMIFS('Databook'!S$8:S$33,'Databook'!$B$8:$B$33,"Discounts Given")/1000</f>
        <v>-1.182</v>
      </c>
      <c r="T12" s="53">
        <f>SUMIFS('Databook'!T$8:T$33,'Databook'!$B$8:$B$33,"Discounts Given")/1000</f>
        <v>-1.269</v>
      </c>
      <c r="U12" s="53">
        <f>SUMIFS('Databook'!U$8:U$33,'Databook'!$B$8:$B$33,"Discounts Given")/1000</f>
        <v>-1.508</v>
      </c>
      <c r="V12" s="53">
        <f>SUMIFS('Databook'!V$8:V$33,'Databook'!$B$8:$B$33,"Discounts Given")/1000</f>
        <v>-1.828</v>
      </c>
      <c r="W12" s="53">
        <f>SUMIFS('Databook'!W$8:W$33,'Databook'!$B$8:$B$33,"Discounts Given")/1000</f>
        <v>-2</v>
      </c>
      <c r="X12" s="53">
        <f>SUMIFS('Databook'!X$8:X$33,'Databook'!$B$8:$B$33,"Discounts Given")/1000</f>
        <v>-1.864</v>
      </c>
      <c r="Y12" s="53">
        <f>SUMIFS('Databook'!Y$8:Y$33,'Databook'!$B$8:$B$33,"Discounts Given")/1000</f>
        <v>-1.569</v>
      </c>
      <c r="Z12" s="53">
        <f>SUMIFS('Databook'!Z$8:Z$33,'Databook'!$B$8:$B$33,"Discounts Given")/1000</f>
        <v>-1.347</v>
      </c>
      <c r="AA12" s="53">
        <f>SUMIFS('Databook'!AA$8:AA$33,'Databook'!$B$8:$B$33,"Discounts Given")/1000</f>
        <v>-1.44</v>
      </c>
      <c r="AB12" s="53">
        <f>SUMIFS('Databook'!AB$8:AB$33,'Databook'!$B$8:$B$33,"Discounts Given")/1000</f>
        <v>-1.776</v>
      </c>
      <c r="AC12" s="53">
        <f>SUMIFS('Databook'!AC$8:AC$33,'Databook'!$B$8:$B$33,"Discounts Given")/1000</f>
        <v>-1.576</v>
      </c>
      <c r="AD12" s="53">
        <f>SUMIFS('Databook'!AD$8:AD$33,'Databook'!$B$8:$B$33,"Discounts Given")/1000</f>
        <v>-1.425</v>
      </c>
      <c r="AE12" s="53">
        <f>SUMIFS('Databook'!AE$8:AE$33,'Databook'!$B$8:$B$33,"Discounts Given")/1000</f>
        <v>-1.355</v>
      </c>
      <c r="AF12" s="53">
        <f>SUMIFS('Databook'!AF$8:AF$33,'Databook'!$B$8:$B$33,"Discounts Given")/1000</f>
        <v>-1.455</v>
      </c>
      <c r="AG12" s="53">
        <f>SUMIFS('Databook'!AG$8:AG$33,'Databook'!$B$8:$B$33,"Discounts Given")/1000</f>
        <v>-1.729</v>
      </c>
      <c r="AH12" s="53">
        <f>SUMIFS('Databook'!AH$8:AH$33,'Databook'!$B$8:$B$33,"Discounts Given")/1000</f>
        <v>-2.096</v>
      </c>
      <c r="AI12" s="53">
        <f>SUMIFS('Databook'!AI$8:AI$33,'Databook'!$B$8:$B$33,"Discounts Given")/1000</f>
        <v>-2.294</v>
      </c>
      <c r="AJ12" s="53">
        <f>SUMIFS('Databook'!AJ$8:AJ$33,'Databook'!$B$8:$B$33,"Discounts Given")/1000</f>
        <v>-2.138</v>
      </c>
      <c r="AK12" s="53">
        <f>SUMIFS('Databook'!AK$8:AK$33,'Databook'!$B$8:$B$33,"Discounts Given")/1000</f>
        <v>-1.799</v>
      </c>
      <c r="AL12" s="53">
        <f>SUMIFS('Databook'!AL$8:AL$33,'Databook'!$B$8:$B$33,"Discounts Given")/1000</f>
        <v>-1.545</v>
      </c>
      <c r="AM12" s="53">
        <f>SUMIFS('Databook'!AM$8:AM$33,'Databook'!$B$8:$B$33,"Discounts Given")/1000</f>
        <v>-1.651</v>
      </c>
      <c r="AN12" s="53">
        <f>SUMIFS('Databook'!AN$8:AN$33,'Databook'!$B$8:$B$33,"Discounts Given")/1000</f>
        <v>-2.037</v>
      </c>
      <c r="AO12" s="53">
        <f>SUMIFS('Databook'!AO$8:AO$33,'Databook'!$B$8:$B$33,"Discounts Given")/1000</f>
        <v>-1.837</v>
      </c>
      <c r="AP12" s="53">
        <f>SUMIFS('Databook'!AP$8:AP$33,'Databook'!$B$8:$B$33,"Discounts Given")/1000</f>
        <v>-1.661</v>
      </c>
      <c r="AQ12" s="53">
        <f>SUMIFS('Databook'!AQ$8:AQ$33,'Databook'!$B$8:$B$33,"Discounts Given")/1000</f>
        <v>-1.58</v>
      </c>
      <c r="AR12" s="53">
        <f>SUMIFS('Databook'!AR$8:AR$33,'Databook'!$B$8:$B$33,"Discounts Given")/1000</f>
        <v>-1.696</v>
      </c>
      <c r="AS12" s="53">
        <f>SUMIFS('Databook'!AS$8:AS$33,'Databook'!$B$8:$B$33,"Discounts Given")/1000</f>
        <v>-2.016</v>
      </c>
      <c r="AT12" s="53">
        <f>SUMIFS('Databook'!AT$8:AT$33,'Databook'!$B$8:$B$33,"Discounts Given")/1000</f>
        <v>-2.444</v>
      </c>
      <c r="AU12" s="53">
        <f>SUMIFS('Databook'!AU$8:AU$33,'Databook'!$B$8:$B$33,"Discounts Given")/1000</f>
        <v>-2.674</v>
      </c>
      <c r="AV12" s="53">
        <f>SUMIFS('Databook'!AV$8:AV$33,'Databook'!$B$8:$B$33,"Discounts Given")/1000</f>
        <v>-2.493</v>
      </c>
      <c r="AW12" s="53">
        <f>SUMIFS('Databook'!AW$8:AW$33,'Databook'!$B$8:$B$33,"Discounts Given")/1000</f>
        <v>-2.098</v>
      </c>
      <c r="AX12" s="53">
        <f>SUMIFS('Databook'!AX$8:AX$33,'Databook'!$B$8:$B$33,"Discounts Given")/1000</f>
        <v>-1.801</v>
      </c>
      <c r="AY12" s="53">
        <f>SUMIFS('Databook'!AY$8:AY$33,'Databook'!$B$8:$B$33,"Discounts Given")/1000</f>
        <v>-1.925</v>
      </c>
      <c r="AZ12" s="53">
        <f>SUMIFS('Databook'!AZ$8:AZ$33,'Databook'!$B$8:$B$33,"Discounts Given")/1000</f>
        <v>-2.375</v>
      </c>
    </row>
    <row r="13" ht="3.95" customHeight="1" x14ac:dyDescent="0.25"/>
    <row r="14" spans="2:52" x14ac:dyDescent="0.25">
      <c r="B14" s="116" t="s">
        <v>87</v>
      </c>
      <c r="C14" s="116">
        <f>SUMIFS($Q14:$AZ14,$Q$6:$AZ$6,"&gt;="&amp;C$61,$Q$6:$AZ$6,"&lt;="&amp;C$62)</f>
        <v>2406.8</v>
      </c>
      <c r="D14" s="116">
        <f>SUMIFS($Q14:$AZ14,$Q$6:$AZ$6,"&gt;="&amp;D$61,$Q$6:$AZ$6,"&lt;="&amp;D$62)</f>
        <v>2718.6</v>
      </c>
      <c r="E14" s="116">
        <f>SUMIFS($Q14:$AZ14,$Q$6:$AZ$6,"&gt;="&amp;E$61,$Q$6:$AZ$6,"&lt;="&amp;E$62)</f>
        <v>3040.8</v>
      </c>
      <c r="G14" s="116">
        <f>SUMIFS($Q14:$AZ14,$Q$6:$AZ$6,"&gt;="&amp;G$61,$Q$6:$AZ$6,"&lt;="&amp;G$62)</f>
        <v>2718.6</v>
      </c>
      <c r="H14" s="116">
        <f>SUMIFS($Q14:$AZ14,$Q$6:$AZ$6,"&gt;="&amp;H$61,$Q$6:$AZ$6,"&lt;="&amp;H$62)</f>
        <v>3040.8</v>
      </c>
      <c r="J14" s="116">
        <f>SUMIFS($Q14:$AZ14,$Q$6:$AZ$6,"&gt;="&amp;J$61,$Q$6:$AZ$6,"&lt;="&amp;J$62)</f>
        <v>2718.6</v>
      </c>
      <c r="K14" s="116">
        <f>SUMIFS($Q14:$AZ14,$Q$6:$AZ$6,"&gt;="&amp;K$61,$Q$6:$AZ$6,"&lt;="&amp;K$62)</f>
        <v>3040.8</v>
      </c>
      <c r="L14" s="116">
        <f>SUMIFS($Q14:$AZ14,$Q$6:$AZ$6,"&gt;="&amp;L$61,$Q$6:$AZ$6,"&lt;="&amp;L$62)</f>
        <v>3040.8</v>
      </c>
      <c r="N14" s="116">
        <f>L14-K14</f>
        <v>0</v>
      </c>
      <c r="O14" s="117">
        <f>IFERROR(L14/K14-1,"n.a.")</f>
        <v>0</v>
      </c>
      <c r="Q14" s="116">
        <f>SUM(Q9:Q12)</f>
        <v>180.67</v>
      </c>
      <c r="R14" s="116">
        <f>SUM(R9:R12)</f>
        <v>167.538</v>
      </c>
      <c r="S14" s="116">
        <f>SUM(S9:S12)</f>
        <v>162.893</v>
      </c>
      <c r="T14" s="116">
        <f>SUM(T9:T12)</f>
        <v>173.474</v>
      </c>
      <c r="U14" s="116">
        <f>SUM(U9:U12)</f>
        <v>197.3</v>
      </c>
      <c r="V14" s="116">
        <f>SUM(V9:V12)</f>
        <v>230.651</v>
      </c>
      <c r="W14" s="116">
        <f>SUM(W9:W12)</f>
        <v>248.799</v>
      </c>
      <c r="X14" s="116">
        <f>SUM(X9:X12)</f>
        <v>235.288</v>
      </c>
      <c r="Y14" s="116">
        <f>SUM(Y9:Y12)</f>
        <v>207.865</v>
      </c>
      <c r="Z14" s="116">
        <f>SUM(Z9:Z12)</f>
        <v>184.149</v>
      </c>
      <c r="AA14" s="116">
        <f>SUM(AA9:AA12)</f>
        <v>192.858</v>
      </c>
      <c r="AB14" s="116">
        <f>SUM(AB9:AB12)</f>
        <v>225.315</v>
      </c>
      <c r="AC14" s="116">
        <f>SUM(AC9:AC12)</f>
        <v>204.101</v>
      </c>
      <c r="AD14" s="116">
        <f>SUM(AD9:AD12)</f>
        <v>189.421</v>
      </c>
      <c r="AE14" s="116">
        <f>SUM(AE9:AE12)</f>
        <v>184.308</v>
      </c>
      <c r="AF14" s="116">
        <f>SUM(AF9:AF12)</f>
        <v>196.238</v>
      </c>
      <c r="AG14" s="116">
        <f>SUM(AG9:AG12)</f>
        <v>222.864</v>
      </c>
      <c r="AH14" s="116">
        <f>SUM(AH9:AH12)</f>
        <v>260.214</v>
      </c>
      <c r="AI14" s="116">
        <f>SUM(AI9:AI12)</f>
        <v>280.549</v>
      </c>
      <c r="AJ14" s="116">
        <f>SUM(AJ9:AJ12)</f>
        <v>265.445</v>
      </c>
      <c r="AK14" s="116">
        <f>SUM(AK9:AK12)</f>
        <v>234.912</v>
      </c>
      <c r="AL14" s="116">
        <f>SUM(AL9:AL12)</f>
        <v>208.315</v>
      </c>
      <c r="AM14" s="116">
        <f>SUM(AM9:AM12)</f>
        <v>218.014</v>
      </c>
      <c r="AN14" s="116">
        <f>SUM(AN9:AN12)</f>
        <v>254.219</v>
      </c>
      <c r="AO14" s="116">
        <f>SUM(AO9:AO12)</f>
        <v>228.339</v>
      </c>
      <c r="AP14" s="116">
        <f>SUM(AP9:AP12)</f>
        <v>212.116</v>
      </c>
      <c r="AQ14" s="116">
        <f>SUM(AQ9:AQ12)</f>
        <v>206.551</v>
      </c>
      <c r="AR14" s="116">
        <f>SUM(AR9:AR12)</f>
        <v>219.853</v>
      </c>
      <c r="AS14" s="116">
        <f>SUM(AS9:AS12)</f>
        <v>249.28</v>
      </c>
      <c r="AT14" s="116">
        <f>SUM(AT9:AT12)</f>
        <v>290.649</v>
      </c>
      <c r="AU14" s="116">
        <f>SUM(AU9:AU12)</f>
        <v>313.184</v>
      </c>
      <c r="AV14" s="116">
        <f>SUM(AV9:AV12)</f>
        <v>296.491</v>
      </c>
      <c r="AW14" s="116">
        <f>SUM(AW9:AW12)</f>
        <v>262.866</v>
      </c>
      <c r="AX14" s="116">
        <f>SUM(AX9:AX12)</f>
        <v>233.382</v>
      </c>
      <c r="AY14" s="116">
        <f>SUM(AY9:AY12)</f>
        <v>244.069</v>
      </c>
      <c r="AZ14" s="116">
        <f>SUM(AZ9:AZ12)</f>
        <v>284.02</v>
      </c>
    </row>
    <row r="15" spans="2:52" x14ac:dyDescent="0.25">
      <c r="B15" s="40" t="s">
        <v>88</v>
      </c>
      <c r="C15" s="118" t="s">
        <v>136</v>
      </c>
      <c r="D15" s="115">
        <f>IFERROR(D14/C14-1,"n.a.")</f>
        <v>0.12954960943992022</v>
      </c>
      <c r="E15" s="115">
        <f>IFERROR(E14/D14-1,"n.a.")</f>
        <v>0.11851688369013469</v>
      </c>
      <c r="G15" s="115">
        <f>IFERROR(G14/SUMIFS($Q14:$AZ14,$Q$6:$AZ$6,"&gt;="&amp;(EOMONTH(G$61,-13)+1),$Q$6:$AZ$6,"&lt;="&amp;EOMONTH(G$62,-12))-1,"n.a.")</f>
        <v>0.12954960943992022</v>
      </c>
      <c r="H15" s="115">
        <f>IFERROR(H14/G14-1,"n.a.")</f>
        <v>0.11851688369013469</v>
      </c>
      <c r="J15" s="115">
        <f>IFERROR(J14/SUMIFS($Q14:$AZ14,$Q$6:$AZ$6,"&gt;="&amp;(EOMONTH(J$61,-13)+1),$Q$6:$AZ$6,"&lt;="&amp;EOMONTH(J$62,-12))-1,"n.a.")</f>
        <v>0.12954960943992022</v>
      </c>
      <c r="K15" s="115">
        <f>IFERROR(K14/J14-1,"n.a.")</f>
        <v>0.11851688369013469</v>
      </c>
      <c r="L15" s="118" t="s">
        <v>136</v>
      </c>
      <c r="Q15" s="118" t="s">
        <v>136</v>
      </c>
      <c r="R15" s="115">
        <f>IFERROR(R14/Q14-1,"n.a.")</f>
        <v>-0.0726850058117009</v>
      </c>
      <c r="S15" s="115">
        <f>IFERROR(S14/R14-1,"n.a.")</f>
        <v>-0.027725053420716517</v>
      </c>
      <c r="T15" s="115">
        <f>IFERROR(T14/S14-1,"n.a.")</f>
        <v>0.06495675075049268</v>
      </c>
      <c r="U15" s="115">
        <f>IFERROR(U14/T14-1,"n.a.")</f>
        <v>0.13734623055904627</v>
      </c>
      <c r="V15" s="115">
        <f>IFERROR(V14/U14-1,"n.a.")</f>
        <v>0.16903699949315754</v>
      </c>
      <c r="W15" s="115">
        <f>IFERROR(W14/V14-1,"n.a.")</f>
        <v>0.07868164456256421</v>
      </c>
      <c r="X15" s="115">
        <f>IFERROR(X14/W14-1,"n.a.")</f>
        <v>-0.05430488064662642</v>
      </c>
      <c r="Y15" s="115">
        <f>IFERROR(Y14/X14-1,"n.a.")</f>
        <v>-0.11655078032028832</v>
      </c>
      <c r="Z15" s="115">
        <f>IFERROR(Z14/Y14-1,"n.a.")</f>
        <v>-0.11409328169725541</v>
      </c>
      <c r="AA15" s="115">
        <f>IFERROR(AA14/Z14-1,"n.a.")</f>
        <v>0.04729322450841433</v>
      </c>
      <c r="AB15" s="115">
        <f>IFERROR(AB14/AA14-1,"n.a.")</f>
        <v>0.16829480757863302</v>
      </c>
      <c r="AC15" s="115">
        <f>IFERROR(AC14/AB14-1,"n.a.")</f>
        <v>-0.09415263076137848</v>
      </c>
      <c r="AD15" s="115">
        <f>IFERROR(AD14/AC14-1,"n.a.")</f>
        <v>-0.0719251743009588</v>
      </c>
      <c r="AE15" s="115">
        <f>IFERROR(AE14/AD14-1,"n.a.")</f>
        <v>-0.026992783271126197</v>
      </c>
      <c r="AF15" s="115">
        <f>IFERROR(AF14/AE14-1,"n.a.")</f>
        <v>0.06472860646309431</v>
      </c>
      <c r="AG15" s="115">
        <f>IFERROR(AG14/AF14-1,"n.a.")</f>
        <v>0.13568218184041836</v>
      </c>
      <c r="AH15" s="115">
        <f>IFERROR(AH14/AG14-1,"n.a.")</f>
        <v>0.1675909972000862</v>
      </c>
      <c r="AI15" s="115">
        <f>IFERROR(AI14/AH14-1,"n.a.")</f>
        <v>0.0781472172903841</v>
      </c>
      <c r="AJ15" s="115">
        <f>IFERROR(AJ14/AI14-1,"n.a.")</f>
        <v>-0.05383729758437916</v>
      </c>
      <c r="AK15" s="115">
        <f>IFERROR(AK14/AJ14-1,"n.a.")</f>
        <v>-0.11502571154099717</v>
      </c>
      <c r="AL15" s="115">
        <f>IFERROR(AL14/AK14-1,"n.a.")</f>
        <v>-0.11322112110066751</v>
      </c>
      <c r="AM15" s="115">
        <f>IFERROR(AM14/AL14-1,"n.a.")</f>
        <v>0.046559297218155216</v>
      </c>
      <c r="AN15" s="115">
        <f>IFERROR(AN14/AM14-1,"n.a.")</f>
        <v>0.16606731677782172</v>
      </c>
      <c r="AO15" s="115">
        <f>IFERROR(AO14/AN14-1,"n.a.")</f>
        <v>-0.10180198962312026</v>
      </c>
      <c r="AP15" s="115">
        <f>IFERROR(AP14/AO14-1,"n.a.")</f>
        <v>-0.07104787180464134</v>
      </c>
      <c r="AQ15" s="115">
        <f>IFERROR(AQ14/AP14-1,"n.a.")</f>
        <v>-0.026235644647268463</v>
      </c>
      <c r="AR15" s="115">
        <f>IFERROR(AR14/AQ14-1,"n.a.")</f>
        <v>0.06440055966807234</v>
      </c>
      <c r="AS15" s="115">
        <f>IFERROR(AS14/AR14-1,"n.a.")</f>
        <v>0.13384852606059505</v>
      </c>
      <c r="AT15" s="115">
        <f>IFERROR(AT14/AS14-1,"n.a.")</f>
        <v>0.16595394736842106</v>
      </c>
      <c r="AU15" s="115">
        <f>IFERROR(AU14/AT14-1,"n.a.")</f>
        <v>0.07753338218951389</v>
      </c>
      <c r="AV15" s="115">
        <f>IFERROR(AV14/AU14-1,"n.a.")</f>
        <v>-0.05330093491366095</v>
      </c>
      <c r="AW15" s="115">
        <f>IFERROR(AW14/AV14-1,"n.a.")</f>
        <v>-0.11340985055195607</v>
      </c>
      <c r="AX15" s="115">
        <f>IFERROR(AX14/AW14-1,"n.a.")</f>
        <v>-0.11216361187829538</v>
      </c>
      <c r="AY15" s="115">
        <f>IFERROR(AY14/AX14-1,"n.a.")</f>
        <v>0.045791877694080885</v>
      </c>
      <c r="AZ15" s="115">
        <f>IFERROR(AZ14/AY14-1,"n.a.")</f>
        <v>0.1636873179305851</v>
      </c>
    </row>
    <row r="16" spans="2:52" x14ac:dyDescent="0.25">
      <c r="B16" s="52" t="s">
        <v>344</v>
      </c>
      <c r="C16" s="52">
        <f>SUMIFS($Q16:$AZ16,$Q$6:$AZ$6,"&gt;="&amp;C$61,$Q$6:$AZ$6,"&lt;="&amp;C$62)</f>
        <v>938.8</v>
      </c>
      <c r="D16" s="52">
        <f>SUMIFS($Q16:$AZ16,$Q$6:$AZ$6,"&gt;="&amp;D$61,$Q$6:$AZ$6,"&lt;="&amp;D$62)</f>
        <v>1047.9</v>
      </c>
      <c r="E16" s="52">
        <f>SUMIFS($Q16:$AZ16,$Q$6:$AZ$6,"&gt;="&amp;E$61,$Q$6:$AZ$6,"&lt;="&amp;E$62)</f>
        <v>1158.9</v>
      </c>
      <c r="G16" s="52">
        <f>SUMIFS($Q16:$AZ16,$Q$6:$AZ$6,"&gt;="&amp;G$61,$Q$6:$AZ$6,"&lt;="&amp;G$62)</f>
        <v>1047.9</v>
      </c>
      <c r="H16" s="52">
        <f>SUMIFS($Q16:$AZ16,$Q$6:$AZ$6,"&gt;="&amp;H$61,$Q$6:$AZ$6,"&lt;="&amp;H$62)</f>
        <v>1158.9</v>
      </c>
      <c r="J16" s="52">
        <f>SUMIFS($Q16:$AZ16,$Q$6:$AZ$6,"&gt;="&amp;J$61,$Q$6:$AZ$6,"&lt;="&amp;J$62)</f>
        <v>1047.9</v>
      </c>
      <c r="K16" s="52">
        <f>SUMIFS($Q16:$AZ16,$Q$6:$AZ$6,"&gt;="&amp;K$61,$Q$6:$AZ$6,"&lt;="&amp;K$62)</f>
        <v>1158.9</v>
      </c>
      <c r="L16" s="52">
        <f>SUMIFS($Q16:$AZ16,$Q$6:$AZ$6,"&gt;="&amp;L$61,$Q$6:$AZ$6,"&lt;="&amp;L$62)</f>
        <v>1158.9</v>
      </c>
      <c r="N16" s="52">
        <f>L16-K16</f>
        <v>0</v>
      </c>
      <c r="O16" s="115">
        <f>IFERROR(L16/K16-1,"n.a.")</f>
        <v>0</v>
      </c>
      <c r="Q16" s="53">
        <f>SUMIFS('Databook'!Q$8:Q$33,'Databook'!$D$8:$D$33,"cogs")/1000</f>
        <v>70.125</v>
      </c>
      <c r="R16" s="53">
        <f>SUMIFS('Databook'!R$8:R$33,'Databook'!$D$8:$D$33,"cogs")/1000</f>
        <v>63.791</v>
      </c>
      <c r="S16" s="53">
        <f>SUMIFS('Databook'!S$8:S$33,'Databook'!$D$8:$D$33,"cogs")/1000</f>
        <v>61.078</v>
      </c>
      <c r="T16" s="53">
        <f>SUMIFS('Databook'!T$8:T$33,'Databook'!$D$8:$D$33,"cogs")/1000</f>
        <v>65.519</v>
      </c>
      <c r="U16" s="53">
        <f>SUMIFS('Databook'!U$8:U$33,'Databook'!$D$8:$D$33,"cogs")/1000</f>
        <v>76.94</v>
      </c>
      <c r="V16" s="53">
        <f>SUMIFS('Databook'!V$8:V$33,'Databook'!$D$8:$D$33,"cogs")/1000</f>
        <v>92.466</v>
      </c>
      <c r="W16" s="53">
        <f>SUMIFS('Databook'!W$8:W$33,'Databook'!$D$8:$D$33,"cogs")/1000</f>
        <v>100.843</v>
      </c>
      <c r="X16" s="53">
        <f>SUMIFS('Databook'!X$8:X$33,'Databook'!$D$8:$D$33,"cogs")/1000</f>
        <v>94.325</v>
      </c>
      <c r="Y16" s="53">
        <f>SUMIFS('Databook'!Y$8:Y$33,'Databook'!$D$8:$D$33,"cogs")/1000</f>
        <v>80.477</v>
      </c>
      <c r="Z16" s="53">
        <f>SUMIFS('Databook'!Z$8:Z$33,'Databook'!$D$8:$D$33,"cogs")/1000</f>
        <v>69.551</v>
      </c>
      <c r="AA16" s="53">
        <f>SUMIFS('Databook'!AA$8:AA$33,'Databook'!$D$8:$D$33,"cogs")/1000</f>
        <v>73.884</v>
      </c>
      <c r="AB16" s="53">
        <f>SUMIFS('Databook'!AB$8:AB$33,'Databook'!$D$8:$D$33,"cogs")/1000</f>
        <v>89.801</v>
      </c>
      <c r="AC16" s="53">
        <f>SUMIFS('Databook'!AC$8:AC$33,'Databook'!$D$8:$D$33,"cogs")/1000</f>
        <v>78.275</v>
      </c>
      <c r="AD16" s="53">
        <f>SUMIFS('Databook'!AD$8:AD$33,'Databook'!$D$8:$D$33,"cogs")/1000</f>
        <v>71.209</v>
      </c>
      <c r="AE16" s="53">
        <f>SUMIFS('Databook'!AE$8:AE$33,'Databook'!$D$8:$D$33,"cogs")/1000</f>
        <v>68.184</v>
      </c>
      <c r="AF16" s="53">
        <f>SUMIFS('Databook'!AF$8:AF$33,'Databook'!$D$8:$D$33,"cogs")/1000</f>
        <v>73.141</v>
      </c>
      <c r="AG16" s="53">
        <f>SUMIFS('Databook'!AG$8:AG$33,'Databook'!$D$8:$D$33,"cogs")/1000</f>
        <v>85.882</v>
      </c>
      <c r="AH16" s="53">
        <f>SUMIFS('Databook'!AH$8:AH$33,'Databook'!$D$8:$D$33,"cogs")/1000</f>
        <v>103.204</v>
      </c>
      <c r="AI16" s="53">
        <f>SUMIFS('Databook'!AI$8:AI$33,'Databook'!$D$8:$D$33,"cogs")/1000</f>
        <v>112.55</v>
      </c>
      <c r="AJ16" s="53">
        <f>SUMIFS('Databook'!AJ$8:AJ$33,'Databook'!$D$8:$D$33,"cogs")/1000</f>
        <v>105.278</v>
      </c>
      <c r="AK16" s="53">
        <f>SUMIFS('Databook'!AK$8:AK$33,'Databook'!$D$8:$D$33,"cogs")/1000</f>
        <v>89.833</v>
      </c>
      <c r="AL16" s="53">
        <f>SUMIFS('Databook'!AL$8:AL$33,'Databook'!$D$8:$D$33,"cogs")/1000</f>
        <v>77.641</v>
      </c>
      <c r="AM16" s="53">
        <f>SUMIFS('Databook'!AM$8:AM$33,'Databook'!$D$8:$D$33,"cogs")/1000</f>
        <v>82.474</v>
      </c>
      <c r="AN16" s="53">
        <f>SUMIFS('Databook'!AN$8:AN$33,'Databook'!$D$8:$D$33,"cogs")/1000</f>
        <v>100.229</v>
      </c>
      <c r="AO16" s="53">
        <f>SUMIFS('Databook'!AO$8:AO$33,'Databook'!$D$8:$D$33,"cogs")/1000</f>
        <v>86.566</v>
      </c>
      <c r="AP16" s="53">
        <f>SUMIFS('Databook'!AP$8:AP$33,'Databook'!$D$8:$D$33,"cogs")/1000</f>
        <v>78.744</v>
      </c>
      <c r="AQ16" s="53">
        <f>SUMIFS('Databook'!AQ$8:AQ$33,'Databook'!$D$8:$D$33,"cogs")/1000</f>
        <v>75.391</v>
      </c>
      <c r="AR16" s="53">
        <f>SUMIFS('Databook'!AR$8:AR$33,'Databook'!$D$8:$D$33,"cogs")/1000</f>
        <v>80.873</v>
      </c>
      <c r="AS16" s="53">
        <f>SUMIFS('Databook'!AS$8:AS$33,'Databook'!$D$8:$D$33,"cogs")/1000</f>
        <v>94.979</v>
      </c>
      <c r="AT16" s="53">
        <f>SUMIFS('Databook'!AT$8:AT$33,'Databook'!$D$8:$D$33,"cogs")/1000</f>
        <v>114.152</v>
      </c>
      <c r="AU16" s="53">
        <f>SUMIFS('Databook'!AU$8:AU$33,'Databook'!$D$8:$D$33,"cogs")/1000</f>
        <v>124.494</v>
      </c>
      <c r="AV16" s="53">
        <f>SUMIFS('Databook'!AV$8:AV$33,'Databook'!$D$8:$D$33,"cogs")/1000</f>
        <v>116.447</v>
      </c>
      <c r="AW16" s="53">
        <f>SUMIFS('Databook'!AW$8:AW$33,'Databook'!$D$8:$D$33,"cogs")/1000</f>
        <v>99.34</v>
      </c>
      <c r="AX16" s="53">
        <f>SUMIFS('Databook'!AX$8:AX$33,'Databook'!$D$8:$D$33,"cogs")/1000</f>
        <v>85.849</v>
      </c>
      <c r="AY16" s="53">
        <f>SUMIFS('Databook'!AY$8:AY$33,'Databook'!$D$8:$D$33,"cogs")/1000</f>
        <v>91.203</v>
      </c>
      <c r="AZ16" s="53">
        <f>SUMIFS('Databook'!AZ$8:AZ$33,'Databook'!$D$8:$D$33,"cogs")/1000</f>
        <v>110.862</v>
      </c>
    </row>
    <row r="17" ht="3.95" customHeight="1" x14ac:dyDescent="0.25"/>
    <row r="18" spans="2:52" x14ac:dyDescent="0.25">
      <c r="B18" s="42" t="s">
        <v>89</v>
      </c>
      <c r="C18" s="119">
        <f>SUMIFS($Q18:$AZ18,$Q$6:$AZ$6,"&gt;="&amp;C$61,$Q$6:$AZ$6,"&lt;="&amp;C$62)</f>
        <v>1468</v>
      </c>
      <c r="D18" s="120">
        <f>SUMIFS($Q18:$AZ18,$Q$6:$AZ$6,"&gt;="&amp;D$61,$Q$6:$AZ$6,"&lt;="&amp;D$62)</f>
        <v>1670.7</v>
      </c>
      <c r="E18" s="121">
        <f>SUMIFS($Q18:$AZ18,$Q$6:$AZ$6,"&gt;="&amp;E$61,$Q$6:$AZ$6,"&lt;="&amp;E$62)</f>
        <v>1881.9</v>
      </c>
      <c r="G18" s="119">
        <f>SUMIFS($Q18:$AZ18,$Q$6:$AZ$6,"&gt;="&amp;G$61,$Q$6:$AZ$6,"&lt;="&amp;G$62)</f>
        <v>1670.7</v>
      </c>
      <c r="H18" s="121">
        <f>SUMIFS($Q18:$AZ18,$Q$6:$AZ$6,"&gt;="&amp;H$61,$Q$6:$AZ$6,"&lt;="&amp;H$62)</f>
        <v>1881.9</v>
      </c>
      <c r="J18" s="119">
        <f>SUMIFS($Q18:$AZ18,$Q$6:$AZ$6,"&gt;="&amp;J$61,$Q$6:$AZ$6,"&lt;="&amp;J$62)</f>
        <v>1670.7</v>
      </c>
      <c r="K18" s="121">
        <f>SUMIFS($Q18:$AZ18,$Q$6:$AZ$6,"&gt;="&amp;K$61,$Q$6:$AZ$6,"&lt;="&amp;K$62)</f>
        <v>1881.9</v>
      </c>
      <c r="L18" s="42">
        <f>SUMIFS($Q18:$AZ18,$Q$6:$AZ$6,"&gt;="&amp;L$61,$Q$6:$AZ$6,"&lt;="&amp;L$62)</f>
        <v>1881.9</v>
      </c>
      <c r="N18" s="119">
        <f>L18-K18</f>
        <v>0</v>
      </c>
      <c r="O18" s="122">
        <f>IFERROR(L18/K18-1,"n.a.")</f>
        <v>0</v>
      </c>
      <c r="Q18" s="119">
        <f>Q14-Q16</f>
        <v>110.545</v>
      </c>
      <c r="R18" s="120">
        <f>R14-R16</f>
        <v>103.747</v>
      </c>
      <c r="S18" s="120">
        <f>S14-S16</f>
        <v>101.815</v>
      </c>
      <c r="T18" s="120">
        <f>T14-T16</f>
        <v>107.955</v>
      </c>
      <c r="U18" s="120">
        <f>U14-U16</f>
        <v>120.36</v>
      </c>
      <c r="V18" s="120">
        <f>V14-V16</f>
        <v>138.185</v>
      </c>
      <c r="W18" s="120">
        <f>W14-W16</f>
        <v>147.956</v>
      </c>
      <c r="X18" s="120">
        <f>X14-X16</f>
        <v>140.963</v>
      </c>
      <c r="Y18" s="120">
        <f>Y14-Y16</f>
        <v>127.388</v>
      </c>
      <c r="Z18" s="120">
        <f>Z14-Z16</f>
        <v>114.598</v>
      </c>
      <c r="AA18" s="120">
        <f>AA14-AA16</f>
        <v>118.974</v>
      </c>
      <c r="AB18" s="120">
        <f>AB14-AB16</f>
        <v>135.514</v>
      </c>
      <c r="AC18" s="120">
        <f>AC14-AC16</f>
        <v>125.826</v>
      </c>
      <c r="AD18" s="120">
        <f>AD14-AD16</f>
        <v>118.212</v>
      </c>
      <c r="AE18" s="120">
        <f>AE14-AE16</f>
        <v>116.124</v>
      </c>
      <c r="AF18" s="120">
        <f>AF14-AF16</f>
        <v>123.097</v>
      </c>
      <c r="AG18" s="120">
        <f>AG14-AG16</f>
        <v>136.982</v>
      </c>
      <c r="AH18" s="120">
        <f>AH14-AH16</f>
        <v>157.01</v>
      </c>
      <c r="AI18" s="120">
        <f>AI14-AI16</f>
        <v>167.999</v>
      </c>
      <c r="AJ18" s="120">
        <f>AJ14-AJ16</f>
        <v>160.167</v>
      </c>
      <c r="AK18" s="120">
        <f>AK14-AK16</f>
        <v>145.079</v>
      </c>
      <c r="AL18" s="120">
        <f>AL14-AL16</f>
        <v>130.674</v>
      </c>
      <c r="AM18" s="120">
        <f>AM14-AM16</f>
        <v>135.54</v>
      </c>
      <c r="AN18" s="120">
        <f>AN14-AN16</f>
        <v>153.99</v>
      </c>
      <c r="AO18" s="120">
        <f>AO14-AO16</f>
        <v>141.773</v>
      </c>
      <c r="AP18" s="120">
        <f>AP14-AP16</f>
        <v>133.372</v>
      </c>
      <c r="AQ18" s="120">
        <f>AQ14-AQ16</f>
        <v>131.16</v>
      </c>
      <c r="AR18" s="120">
        <f>AR14-AR16</f>
        <v>138.98</v>
      </c>
      <c r="AS18" s="120">
        <f>AS14-AS16</f>
        <v>154.301</v>
      </c>
      <c r="AT18" s="120">
        <f>AT14-AT16</f>
        <v>176.497</v>
      </c>
      <c r="AU18" s="120">
        <f>AU14-AU16</f>
        <v>188.69</v>
      </c>
      <c r="AV18" s="120">
        <f>AV14-AV16</f>
        <v>180.044</v>
      </c>
      <c r="AW18" s="120">
        <f>AW14-AW16</f>
        <v>163.526</v>
      </c>
      <c r="AX18" s="120">
        <f>AX14-AX16</f>
        <v>147.533</v>
      </c>
      <c r="AY18" s="120">
        <f>AY14-AY16</f>
        <v>152.866</v>
      </c>
      <c r="AZ18" s="121">
        <f>AZ14-AZ16</f>
        <v>173.158</v>
      </c>
    </row>
    <row r="19" spans="2:52" x14ac:dyDescent="0.25">
      <c r="B19" s="47" t="s">
        <v>90</v>
      </c>
      <c r="C19" s="123">
        <f>IFERROR(C18/C14,"n.m.")</f>
        <v>0.6099385075619079</v>
      </c>
      <c r="D19" s="124">
        <f>IFERROR(D18/D14,"n.m.")</f>
        <v>0.6145442507172809</v>
      </c>
      <c r="E19" s="125">
        <f>IFERROR(E18/E14,"n.m.")</f>
        <v>0.6188831886345698</v>
      </c>
      <c r="G19" s="123">
        <f>IFERROR(G18/G14,"n.m.")</f>
        <v>0.6145442507172809</v>
      </c>
      <c r="H19" s="125">
        <f>IFERROR(H18/H14,"n.m.")</f>
        <v>0.6188831886345698</v>
      </c>
      <c r="J19" s="123">
        <f>IFERROR(J18/J14,"n.m.")</f>
        <v>0.6145442507172809</v>
      </c>
      <c r="K19" s="125">
        <f>IFERROR(K18/K14,"n.m.")</f>
        <v>0.6188831886345698</v>
      </c>
      <c r="L19" s="126">
        <f>IFERROR(L18/L14,"n.m.")</f>
        <v>0.6188831886345698</v>
      </c>
      <c r="N19" s="127"/>
      <c r="O19" s="128"/>
      <c r="Q19" s="123">
        <f>IFERROR(Q18/Q14,"n.m.")</f>
        <v>0.6118614047711297</v>
      </c>
      <c r="R19" s="124">
        <f>IFERROR(R18/R14,"n.m.")</f>
        <v>0.6192445892872065</v>
      </c>
      <c r="S19" s="124">
        <f>IFERROR(S18/S14,"n.m.")</f>
        <v>0.6250422056196399</v>
      </c>
      <c r="T19" s="124">
        <f>IFERROR(T18/T14,"n.m.")</f>
        <v>0.6223122773441553</v>
      </c>
      <c r="U19" s="124">
        <f>IFERROR(U18/U14,"n.m.")</f>
        <v>0.6100354789660416</v>
      </c>
      <c r="V19" s="124">
        <f>IFERROR(V18/V14,"n.m.")</f>
        <v>0.5991086099778453</v>
      </c>
      <c r="W19" s="124">
        <f>IFERROR(W18/W14,"n.m.")</f>
        <v>0.5946808467879694</v>
      </c>
      <c r="X19" s="124">
        <f>IFERROR(X18/X14,"n.m.")</f>
        <v>0.5991083268164973</v>
      </c>
      <c r="Y19" s="124">
        <f>IFERROR(Y18/Y14,"n.m.")</f>
        <v>0.6128400644649171</v>
      </c>
      <c r="Z19" s="124">
        <f>IFERROR(Z18/Z14,"n.m.")</f>
        <v>0.6223112805391287</v>
      </c>
      <c r="AA19" s="124">
        <f>IFERROR(AA18/AA14,"n.m.")</f>
        <v>0.6168994804467536</v>
      </c>
      <c r="AB19" s="124">
        <f>IFERROR(AB18/AB14,"n.m.")</f>
        <v>0.6014424250493753</v>
      </c>
      <c r="AC19" s="124">
        <f>IFERROR(AC18/AC14,"n.m.")</f>
        <v>0.6164888952038452</v>
      </c>
      <c r="AD19" s="124">
        <f>IFERROR(AD18/AD14,"n.m.")</f>
        <v>0.6240701928508454</v>
      </c>
      <c r="AE19" s="124">
        <f>IFERROR(AE18/AE14,"n.m.")</f>
        <v>0.630054039976561</v>
      </c>
      <c r="AF19" s="124">
        <f>IFERROR(AF18/AF14,"n.m.")</f>
        <v>0.6272842161049338</v>
      </c>
      <c r="AG19" s="124">
        <f>IFERROR(AG18/AG14,"n.m.")</f>
        <v>0.6146439083925623</v>
      </c>
      <c r="AH19" s="124">
        <f>IFERROR(AH18/AH14,"n.m.")</f>
        <v>0.6033879806620704</v>
      </c>
      <c r="AI19" s="124">
        <f>IFERROR(AI18/AI14,"n.m.")</f>
        <v>0.5988223091153417</v>
      </c>
      <c r="AJ19" s="124">
        <f>IFERROR(AJ18/AJ14,"n.m.")</f>
        <v>0.6033905328787508</v>
      </c>
      <c r="AK19" s="124">
        <f>IFERROR(AK18/AK14,"n.m.")</f>
        <v>0.6175887140716524</v>
      </c>
      <c r="AL19" s="124">
        <f>IFERROR(AL18/AL14,"n.m.")</f>
        <v>0.6272904015553369</v>
      </c>
      <c r="AM19" s="124">
        <f>IFERROR(AM18/AM14,"n.m.")</f>
        <v>0.6217031933729027</v>
      </c>
      <c r="AN19" s="124">
        <f>IFERROR(AN18/AN14,"n.m.")</f>
        <v>0.6057375727227312</v>
      </c>
      <c r="AO19" s="124">
        <f>IFERROR(AO18/AO14,"n.m.")</f>
        <v>0.6208882407297921</v>
      </c>
      <c r="AP19" s="124">
        <f>IFERROR(AP18/AP14,"n.m.")</f>
        <v>0.6287691640423164</v>
      </c>
      <c r="AQ19" s="124">
        <f>IFERROR(AQ18/AQ14,"n.m.")</f>
        <v>0.6350005567632208</v>
      </c>
      <c r="AR19" s="124">
        <f>IFERROR(AR18/AR14,"n.m.")</f>
        <v>0.632149663638886</v>
      </c>
      <c r="AS19" s="124">
        <f>IFERROR(AS18/AS14,"n.m.")</f>
        <v>0.6189866816431322</v>
      </c>
      <c r="AT19" s="124">
        <f>IFERROR(AT18/AT14,"n.m.")</f>
        <v>0.6072513581674116</v>
      </c>
      <c r="AU19" s="124">
        <f>IFERROR(AU18/AU14,"n.m.")</f>
        <v>0.6024892714825789</v>
      </c>
      <c r="AV19" s="124">
        <f>IFERROR(AV18/AV14,"n.m.")</f>
        <v>0.6072494611978104</v>
      </c>
      <c r="AW19" s="124">
        <f>IFERROR(AW18/AW14,"n.m.")</f>
        <v>0.6220888209201646</v>
      </c>
      <c r="AX19" s="124">
        <f>IFERROR(AX18/AX14,"n.m.")</f>
        <v>0.6321524367774721</v>
      </c>
      <c r="AY19" s="124">
        <f>IFERROR(AY18/AY14,"n.m.")</f>
        <v>0.6263228841024464</v>
      </c>
      <c r="AZ19" s="125">
        <f>IFERROR(AZ18/AZ14,"n.m.")</f>
        <v>0.6096683332159707</v>
      </c>
    </row>
    <row r="20" ht="3.95" customHeight="1" x14ac:dyDescent="0.25"/>
    <row r="21" spans="2:52" x14ac:dyDescent="0.25">
      <c r="B21" s="37" t="s">
        <v>348</v>
      </c>
      <c r="C21" s="37"/>
      <c r="D21" s="37"/>
      <c r="E21" s="37"/>
      <c r="G21" s="37"/>
      <c r="H21" s="37"/>
      <c r="J21" s="37"/>
      <c r="K21" s="37"/>
      <c r="L21" s="37"/>
      <c r="N21" s="37"/>
      <c r="O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row>
    <row r="22" spans="2:52" x14ac:dyDescent="0.25">
      <c r="B22" s="52" t="s">
        <v>349</v>
      </c>
      <c r="C22" s="38">
        <f>SUMIFS($Q22:$AZ22,$Q$6:$AZ$6,"&gt;="&amp;C$61,$Q$6:$AZ$6,"&lt;="&amp;C$62)</f>
        <v>730.6</v>
      </c>
      <c r="D22" s="38">
        <f>SUMIFS($Q22:$AZ22,$Q$6:$AZ$6,"&gt;="&amp;D$61,$Q$6:$AZ$6,"&lt;="&amp;D$62)</f>
        <v>818.1</v>
      </c>
      <c r="E22" s="38">
        <f>SUMIFS($Q22:$AZ22,$Q$6:$AZ$6,"&gt;="&amp;E$61,$Q$6:$AZ$6,"&lt;="&amp;E$62)</f>
        <v>904.7</v>
      </c>
      <c r="G22" s="38">
        <f>SUMIFS($Q22:$AZ22,$Q$6:$AZ$6,"&gt;="&amp;G$61,$Q$6:$AZ$6,"&lt;="&amp;G$62)</f>
        <v>818.1</v>
      </c>
      <c r="H22" s="38">
        <f>SUMIFS($Q22:$AZ22,$Q$6:$AZ$6,"&gt;="&amp;H$61,$Q$6:$AZ$6,"&lt;="&amp;H$62)</f>
        <v>904.7</v>
      </c>
      <c r="J22" s="38">
        <f>SUMIFS($Q22:$AZ22,$Q$6:$AZ$6,"&gt;="&amp;J$61,$Q$6:$AZ$6,"&lt;="&amp;J$62)</f>
        <v>818.1</v>
      </c>
      <c r="K22" s="38">
        <f>SUMIFS($Q22:$AZ22,$Q$6:$AZ$6,"&gt;="&amp;K$61,$Q$6:$AZ$6,"&lt;="&amp;K$62)</f>
        <v>904.7</v>
      </c>
      <c r="L22" s="38">
        <f>SUMIFS($Q22:$AZ22,$Q$6:$AZ$6,"&gt;="&amp;L$61,$Q$6:$AZ$6,"&lt;="&amp;L$62)</f>
        <v>904.7</v>
      </c>
      <c r="N22" s="38">
        <f>L22-K22</f>
        <v>0</v>
      </c>
      <c r="O22" s="115">
        <f>IFERROR(L22/K22-1,"n.a.")</f>
        <v>0</v>
      </c>
      <c r="Q22" s="39">
        <f>SUMIFS('Databook'!Q$8:Q$33,'Databook'!$D$8:$D$33,"payroll")/1000</f>
        <v>57.076</v>
      </c>
      <c r="R22" s="39">
        <f>SUMIFS('Databook'!R$8:R$33,'Databook'!$D$8:$D$33,"payroll")/1000</f>
        <v>56.124</v>
      </c>
      <c r="S22" s="39">
        <f>SUMIFS('Databook'!S$8:S$33,'Databook'!$D$8:$D$33,"payroll")/1000</f>
        <v>58.504</v>
      </c>
      <c r="T22" s="39">
        <f>SUMIFS('Databook'!T$8:T$33,'Databook'!$D$8:$D$33,"payroll")/1000</f>
        <v>59.932</v>
      </c>
      <c r="U22" s="39">
        <f>SUMIFS('Databook'!U$8:U$33,'Databook'!$D$8:$D$33,"payroll")/1000</f>
        <v>61.836</v>
      </c>
      <c r="V22" s="39">
        <f>SUMIFS('Databook'!V$8:V$33,'Databook'!$D$8:$D$33,"payroll")/1000</f>
        <v>65.643</v>
      </c>
      <c r="W22" s="39">
        <f>SUMIFS('Databook'!W$8:W$33,'Databook'!$D$8:$D$33,"payroll")/1000</f>
        <v>68.022</v>
      </c>
      <c r="X22" s="39">
        <f>SUMIFS('Databook'!X$8:X$33,'Databook'!$D$8:$D$33,"payroll")/1000</f>
        <v>65.643</v>
      </c>
      <c r="Y22" s="39">
        <f>SUMIFS('Databook'!Y$8:Y$33,'Databook'!$D$8:$D$33,"payroll")/1000</f>
        <v>61.835</v>
      </c>
      <c r="Z22" s="39">
        <f>SUMIFS('Databook'!Z$8:Z$33,'Databook'!$D$8:$D$33,"payroll")/1000</f>
        <v>58.979</v>
      </c>
      <c r="AA22" s="39">
        <f>SUMIFS('Databook'!AA$8:AA$33,'Databook'!$D$8:$D$33,"payroll")/1000</f>
        <v>58.027</v>
      </c>
      <c r="AB22" s="39">
        <f>SUMIFS('Databook'!AB$8:AB$33,'Databook'!$D$8:$D$33,"payroll")/1000</f>
        <v>58.979</v>
      </c>
      <c r="AC22" s="39">
        <f>SUMIFS('Databook'!AC$8:AC$33,'Databook'!$D$8:$D$33,"payroll")/1000</f>
        <v>63.864</v>
      </c>
      <c r="AD22" s="39">
        <f>SUMIFS('Databook'!AD$8:AD$33,'Databook'!$D$8:$D$33,"payroll")/1000</f>
        <v>62.787</v>
      </c>
      <c r="AE22" s="39">
        <f>SUMIFS('Databook'!AE$8:AE$33,'Databook'!$D$8:$D$33,"payroll")/1000</f>
        <v>65.482</v>
      </c>
      <c r="AF22" s="39">
        <f>SUMIFS('Databook'!AF$8:AF$33,'Databook'!$D$8:$D$33,"payroll")/1000</f>
        <v>67.098</v>
      </c>
      <c r="AG22" s="39">
        <f>SUMIFS('Databook'!AG$8:AG$33,'Databook'!$D$8:$D$33,"payroll")/1000</f>
        <v>69.252</v>
      </c>
      <c r="AH22" s="39">
        <f>SUMIFS('Databook'!AH$8:AH$33,'Databook'!$D$8:$D$33,"payroll")/1000</f>
        <v>73.564</v>
      </c>
      <c r="AI22" s="39">
        <f>SUMIFS('Databook'!AI$8:AI$33,'Databook'!$D$8:$D$33,"payroll")/1000</f>
        <v>76.258</v>
      </c>
      <c r="AJ22" s="39">
        <f>SUMIFS('Databook'!AJ$8:AJ$33,'Databook'!$D$8:$D$33,"payroll")/1000</f>
        <v>73.564</v>
      </c>
      <c r="AK22" s="39">
        <f>SUMIFS('Databook'!AK$8:AK$33,'Databook'!$D$8:$D$33,"payroll")/1000</f>
        <v>69.252</v>
      </c>
      <c r="AL22" s="39">
        <f>SUMIFS('Databook'!AL$8:AL$33,'Databook'!$D$8:$D$33,"payroll")/1000</f>
        <v>66.019</v>
      </c>
      <c r="AM22" s="39">
        <f>SUMIFS('Databook'!AM$8:AM$33,'Databook'!$D$8:$D$33,"payroll")/1000</f>
        <v>64.941</v>
      </c>
      <c r="AN22" s="39">
        <f>SUMIFS('Databook'!AN$8:AN$33,'Databook'!$D$8:$D$33,"payroll")/1000</f>
        <v>66.019</v>
      </c>
      <c r="AO22" s="39">
        <f>SUMIFS('Databook'!AO$8:AO$33,'Databook'!$D$8:$D$33,"payroll")/1000</f>
        <v>70.584</v>
      </c>
      <c r="AP22" s="39">
        <f>SUMIFS('Databook'!AP$8:AP$33,'Databook'!$D$8:$D$33,"payroll")/1000</f>
        <v>69.383</v>
      </c>
      <c r="AQ22" s="39">
        <f>SUMIFS('Databook'!AQ$8:AQ$33,'Databook'!$D$8:$D$33,"payroll")/1000</f>
        <v>72.387</v>
      </c>
      <c r="AR22" s="39">
        <f>SUMIFS('Databook'!AR$8:AR$33,'Databook'!$D$8:$D$33,"payroll")/1000</f>
        <v>74.191</v>
      </c>
      <c r="AS22" s="39">
        <f>SUMIFS('Databook'!AS$8:AS$33,'Databook'!$D$8:$D$33,"payroll")/1000</f>
        <v>76.595</v>
      </c>
      <c r="AT22" s="39">
        <f>SUMIFS('Databook'!AT$8:AT$33,'Databook'!$D$8:$D$33,"payroll")/1000</f>
        <v>81.402</v>
      </c>
      <c r="AU22" s="39">
        <f>SUMIFS('Databook'!AU$8:AU$33,'Databook'!$D$8:$D$33,"payroll")/1000</f>
        <v>84.407</v>
      </c>
      <c r="AV22" s="39">
        <f>SUMIFS('Databook'!AV$8:AV$33,'Databook'!$D$8:$D$33,"payroll")/1000</f>
        <v>81.401</v>
      </c>
      <c r="AW22" s="39">
        <f>SUMIFS('Databook'!AW$8:AW$33,'Databook'!$D$8:$D$33,"payroll")/1000</f>
        <v>76.592</v>
      </c>
      <c r="AX22" s="39">
        <f>SUMIFS('Databook'!AX$8:AX$33,'Databook'!$D$8:$D$33,"payroll")/1000</f>
        <v>72.987</v>
      </c>
      <c r="AY22" s="39">
        <f>SUMIFS('Databook'!AY$8:AY$33,'Databook'!$D$8:$D$33,"payroll")/1000</f>
        <v>71.784</v>
      </c>
      <c r="AZ22" s="39">
        <f>SUMIFS('Databook'!AZ$8:AZ$33,'Databook'!$D$8:$D$33,"payroll")/1000</f>
        <v>72.987</v>
      </c>
    </row>
    <row r="23" spans="2:52" x14ac:dyDescent="0.25">
      <c r="B23" s="52" t="s">
        <v>351</v>
      </c>
      <c r="C23" s="52">
        <f>SUMIFS($Q23:$AZ23,$Q$6:$AZ$6,"&gt;="&amp;C$61,$Q$6:$AZ$6,"&lt;="&amp;C$62)</f>
        <v>180</v>
      </c>
      <c r="D23" s="52">
        <f>SUMIFS($Q23:$AZ23,$Q$6:$AZ$6,"&gt;="&amp;D$61,$Q$6:$AZ$6,"&lt;="&amp;D$62)</f>
        <v>190</v>
      </c>
      <c r="E23" s="52">
        <f>SUMIFS($Q23:$AZ23,$Q$6:$AZ$6,"&gt;="&amp;E$61,$Q$6:$AZ$6,"&lt;="&amp;E$62)</f>
        <v>200</v>
      </c>
      <c r="G23" s="52">
        <f>SUMIFS($Q23:$AZ23,$Q$6:$AZ$6,"&gt;="&amp;G$61,$Q$6:$AZ$6,"&lt;="&amp;G$62)</f>
        <v>190</v>
      </c>
      <c r="H23" s="52">
        <f>SUMIFS($Q23:$AZ23,$Q$6:$AZ$6,"&gt;="&amp;H$61,$Q$6:$AZ$6,"&lt;="&amp;H$62)</f>
        <v>200</v>
      </c>
      <c r="J23" s="52">
        <f>SUMIFS($Q23:$AZ23,$Q$6:$AZ$6,"&gt;="&amp;J$61,$Q$6:$AZ$6,"&lt;="&amp;J$62)</f>
        <v>190</v>
      </c>
      <c r="K23" s="52">
        <f>SUMIFS($Q23:$AZ23,$Q$6:$AZ$6,"&gt;="&amp;K$61,$Q$6:$AZ$6,"&lt;="&amp;K$62)</f>
        <v>200</v>
      </c>
      <c r="L23" s="52">
        <f>SUMIFS($Q23:$AZ23,$Q$6:$AZ$6,"&gt;="&amp;L$61,$Q$6:$AZ$6,"&lt;="&amp;L$62)</f>
        <v>200</v>
      </c>
      <c r="N23" s="52">
        <f>L23-K23</f>
        <v>0</v>
      </c>
      <c r="O23" s="115">
        <f>IFERROR(L23/K23-1,"n.a.")</f>
        <v>0</v>
      </c>
      <c r="Q23" s="53">
        <f>SUMIFS('Databook'!Q$8:Q$33,'Databook'!$D$8:$D$33,"owner_comp")/1000</f>
        <v>15</v>
      </c>
      <c r="R23" s="53">
        <f>SUMIFS('Databook'!R$8:R$33,'Databook'!$D$8:$D$33,"owner_comp")/1000</f>
        <v>15</v>
      </c>
      <c r="S23" s="53">
        <f>SUMIFS('Databook'!S$8:S$33,'Databook'!$D$8:$D$33,"owner_comp")/1000</f>
        <v>15</v>
      </c>
      <c r="T23" s="53">
        <f>SUMIFS('Databook'!T$8:T$33,'Databook'!$D$8:$D$33,"owner_comp")/1000</f>
        <v>15</v>
      </c>
      <c r="U23" s="53">
        <f>SUMIFS('Databook'!U$8:U$33,'Databook'!$D$8:$D$33,"owner_comp")/1000</f>
        <v>15</v>
      </c>
      <c r="V23" s="53">
        <f>SUMIFS('Databook'!V$8:V$33,'Databook'!$D$8:$D$33,"owner_comp")/1000</f>
        <v>15</v>
      </c>
      <c r="W23" s="53">
        <f>SUMIFS('Databook'!W$8:W$33,'Databook'!$D$8:$D$33,"owner_comp")/1000</f>
        <v>15</v>
      </c>
      <c r="X23" s="53">
        <f>SUMIFS('Databook'!X$8:X$33,'Databook'!$D$8:$D$33,"owner_comp")/1000</f>
        <v>15</v>
      </c>
      <c r="Y23" s="53">
        <f>SUMIFS('Databook'!Y$8:Y$33,'Databook'!$D$8:$D$33,"owner_comp")/1000</f>
        <v>15</v>
      </c>
      <c r="Z23" s="53">
        <f>SUMIFS('Databook'!Z$8:Z$33,'Databook'!$D$8:$D$33,"owner_comp")/1000</f>
        <v>15</v>
      </c>
      <c r="AA23" s="53">
        <f>SUMIFS('Databook'!AA$8:AA$33,'Databook'!$D$8:$D$33,"owner_comp")/1000</f>
        <v>15</v>
      </c>
      <c r="AB23" s="53">
        <f>SUMIFS('Databook'!AB$8:AB$33,'Databook'!$D$8:$D$33,"owner_comp")/1000</f>
        <v>15</v>
      </c>
      <c r="AC23" s="53">
        <f>SUMIFS('Databook'!AC$8:AC$33,'Databook'!$D$8:$D$33,"owner_comp")/1000</f>
        <v>15.834</v>
      </c>
      <c r="AD23" s="53">
        <f>SUMIFS('Databook'!AD$8:AD$33,'Databook'!$D$8:$D$33,"owner_comp")/1000</f>
        <v>15.834</v>
      </c>
      <c r="AE23" s="53">
        <f>SUMIFS('Databook'!AE$8:AE$33,'Databook'!$D$8:$D$33,"owner_comp")/1000</f>
        <v>15.834</v>
      </c>
      <c r="AF23" s="53">
        <f>SUMIFS('Databook'!AF$8:AF$33,'Databook'!$D$8:$D$33,"owner_comp")/1000</f>
        <v>15.834</v>
      </c>
      <c r="AG23" s="53">
        <f>SUMIFS('Databook'!AG$8:AG$33,'Databook'!$D$8:$D$33,"owner_comp")/1000</f>
        <v>15.833</v>
      </c>
      <c r="AH23" s="53">
        <f>SUMIFS('Databook'!AH$8:AH$33,'Databook'!$D$8:$D$33,"owner_comp")/1000</f>
        <v>15.833</v>
      </c>
      <c r="AI23" s="53">
        <f>SUMIFS('Databook'!AI$8:AI$33,'Databook'!$D$8:$D$33,"owner_comp")/1000</f>
        <v>15.833</v>
      </c>
      <c r="AJ23" s="53">
        <f>SUMIFS('Databook'!AJ$8:AJ$33,'Databook'!$D$8:$D$33,"owner_comp")/1000</f>
        <v>15.833</v>
      </c>
      <c r="AK23" s="53">
        <f>SUMIFS('Databook'!AK$8:AK$33,'Databook'!$D$8:$D$33,"owner_comp")/1000</f>
        <v>15.833</v>
      </c>
      <c r="AL23" s="53">
        <f>SUMIFS('Databook'!AL$8:AL$33,'Databook'!$D$8:$D$33,"owner_comp")/1000</f>
        <v>15.833</v>
      </c>
      <c r="AM23" s="53">
        <f>SUMIFS('Databook'!AM$8:AM$33,'Databook'!$D$8:$D$33,"owner_comp")/1000</f>
        <v>15.833</v>
      </c>
      <c r="AN23" s="53">
        <f>SUMIFS('Databook'!AN$8:AN$33,'Databook'!$D$8:$D$33,"owner_comp")/1000</f>
        <v>15.833</v>
      </c>
      <c r="AO23" s="53">
        <f>SUMIFS('Databook'!AO$8:AO$33,'Databook'!$D$8:$D$33,"owner_comp")/1000</f>
        <v>16.667</v>
      </c>
      <c r="AP23" s="53">
        <f>SUMIFS('Databook'!AP$8:AP$33,'Databook'!$D$8:$D$33,"owner_comp")/1000</f>
        <v>16.667</v>
      </c>
      <c r="AQ23" s="53">
        <f>SUMIFS('Databook'!AQ$8:AQ$33,'Databook'!$D$8:$D$33,"owner_comp")/1000</f>
        <v>16.667</v>
      </c>
      <c r="AR23" s="53">
        <f>SUMIFS('Databook'!AR$8:AR$33,'Databook'!$D$8:$D$33,"owner_comp")/1000</f>
        <v>16.667</v>
      </c>
      <c r="AS23" s="53">
        <f>SUMIFS('Databook'!AS$8:AS$33,'Databook'!$D$8:$D$33,"owner_comp")/1000</f>
        <v>16.667</v>
      </c>
      <c r="AT23" s="53">
        <f>SUMIFS('Databook'!AT$8:AT$33,'Databook'!$D$8:$D$33,"owner_comp")/1000</f>
        <v>16.667</v>
      </c>
      <c r="AU23" s="53">
        <f>SUMIFS('Databook'!AU$8:AU$33,'Databook'!$D$8:$D$33,"owner_comp")/1000</f>
        <v>16.667</v>
      </c>
      <c r="AV23" s="53">
        <f>SUMIFS('Databook'!AV$8:AV$33,'Databook'!$D$8:$D$33,"owner_comp")/1000</f>
        <v>16.667</v>
      </c>
      <c r="AW23" s="53">
        <f>SUMIFS('Databook'!AW$8:AW$33,'Databook'!$D$8:$D$33,"owner_comp")/1000</f>
        <v>16.666</v>
      </c>
      <c r="AX23" s="53">
        <f>SUMIFS('Databook'!AX$8:AX$33,'Databook'!$D$8:$D$33,"owner_comp")/1000</f>
        <v>16.666</v>
      </c>
      <c r="AY23" s="53">
        <f>SUMIFS('Databook'!AY$8:AY$33,'Databook'!$D$8:$D$33,"owner_comp")/1000</f>
        <v>16.666</v>
      </c>
      <c r="AZ23" s="53">
        <f>SUMIFS('Databook'!AZ$8:AZ$33,'Databook'!$D$8:$D$33,"owner_comp")/1000</f>
        <v>16.666</v>
      </c>
    </row>
    <row r="24" spans="2:52" x14ac:dyDescent="0.25">
      <c r="B24" s="52" t="s">
        <v>353</v>
      </c>
      <c r="C24" s="52">
        <f>SUMIFS($Q24:$AZ24,$Q$6:$AZ$6,"&gt;="&amp;C$61,$Q$6:$AZ$6,"&lt;="&amp;C$62)</f>
        <v>72</v>
      </c>
      <c r="D24" s="52">
        <f>SUMIFS($Q24:$AZ24,$Q$6:$AZ$6,"&gt;="&amp;D$61,$Q$6:$AZ$6,"&lt;="&amp;D$62)</f>
        <v>74.16</v>
      </c>
      <c r="E24" s="52">
        <f>SUMIFS($Q24:$AZ24,$Q$6:$AZ$6,"&gt;="&amp;E$61,$Q$6:$AZ$6,"&lt;="&amp;E$62)</f>
        <v>76.385</v>
      </c>
      <c r="G24" s="52">
        <f>SUMIFS($Q24:$AZ24,$Q$6:$AZ$6,"&gt;="&amp;G$61,$Q$6:$AZ$6,"&lt;="&amp;G$62)</f>
        <v>74.16</v>
      </c>
      <c r="H24" s="52">
        <f>SUMIFS($Q24:$AZ24,$Q$6:$AZ$6,"&gt;="&amp;H$61,$Q$6:$AZ$6,"&lt;="&amp;H$62)</f>
        <v>76.385</v>
      </c>
      <c r="J24" s="52">
        <f>SUMIFS($Q24:$AZ24,$Q$6:$AZ$6,"&gt;="&amp;J$61,$Q$6:$AZ$6,"&lt;="&amp;J$62)</f>
        <v>74.16</v>
      </c>
      <c r="K24" s="52">
        <f>SUMIFS($Q24:$AZ24,$Q$6:$AZ$6,"&gt;="&amp;K$61,$Q$6:$AZ$6,"&lt;="&amp;K$62)</f>
        <v>76.385</v>
      </c>
      <c r="L24" s="52">
        <f>SUMIFS($Q24:$AZ24,$Q$6:$AZ$6,"&gt;="&amp;L$61,$Q$6:$AZ$6,"&lt;="&amp;L$62)</f>
        <v>76.385</v>
      </c>
      <c r="N24" s="52">
        <f>L24-K24</f>
        <v>0</v>
      </c>
      <c r="O24" s="115">
        <f>IFERROR(L24/K24-1,"n.a.")</f>
        <v>0</v>
      </c>
      <c r="Q24" s="53">
        <f>SUMIFS('Databook'!Q$8:Q$33,'Databook'!$D$8:$D$33,"rent")/1000</f>
        <v>6</v>
      </c>
      <c r="R24" s="53">
        <f>SUMIFS('Databook'!R$8:R$33,'Databook'!$D$8:$D$33,"rent")/1000</f>
        <v>6</v>
      </c>
      <c r="S24" s="53">
        <f>SUMIFS('Databook'!S$8:S$33,'Databook'!$D$8:$D$33,"rent")/1000</f>
        <v>6</v>
      </c>
      <c r="T24" s="53">
        <f>SUMIFS('Databook'!T$8:T$33,'Databook'!$D$8:$D$33,"rent")/1000</f>
        <v>6</v>
      </c>
      <c r="U24" s="53">
        <f>SUMIFS('Databook'!U$8:U$33,'Databook'!$D$8:$D$33,"rent")/1000</f>
        <v>6</v>
      </c>
      <c r="V24" s="53">
        <f>SUMIFS('Databook'!V$8:V$33,'Databook'!$D$8:$D$33,"rent")/1000</f>
        <v>6</v>
      </c>
      <c r="W24" s="53">
        <f>SUMIFS('Databook'!W$8:W$33,'Databook'!$D$8:$D$33,"rent")/1000</f>
        <v>6</v>
      </c>
      <c r="X24" s="53">
        <f>SUMIFS('Databook'!X$8:X$33,'Databook'!$D$8:$D$33,"rent")/1000</f>
        <v>6</v>
      </c>
      <c r="Y24" s="53">
        <f>SUMIFS('Databook'!Y$8:Y$33,'Databook'!$D$8:$D$33,"rent")/1000</f>
        <v>6</v>
      </c>
      <c r="Z24" s="53">
        <f>SUMIFS('Databook'!Z$8:Z$33,'Databook'!$D$8:$D$33,"rent")/1000</f>
        <v>6</v>
      </c>
      <c r="AA24" s="53">
        <f>SUMIFS('Databook'!AA$8:AA$33,'Databook'!$D$8:$D$33,"rent")/1000</f>
        <v>6</v>
      </c>
      <c r="AB24" s="53">
        <f>SUMIFS('Databook'!AB$8:AB$33,'Databook'!$D$8:$D$33,"rent")/1000</f>
        <v>6</v>
      </c>
      <c r="AC24" s="53">
        <f>SUMIFS('Databook'!AC$8:AC$33,'Databook'!$D$8:$D$33,"rent")/1000</f>
        <v>6.18</v>
      </c>
      <c r="AD24" s="53">
        <f>SUMIFS('Databook'!AD$8:AD$33,'Databook'!$D$8:$D$33,"rent")/1000</f>
        <v>6.18</v>
      </c>
      <c r="AE24" s="53">
        <f>SUMIFS('Databook'!AE$8:AE$33,'Databook'!$D$8:$D$33,"rent")/1000</f>
        <v>6.18</v>
      </c>
      <c r="AF24" s="53">
        <f>SUMIFS('Databook'!AF$8:AF$33,'Databook'!$D$8:$D$33,"rent")/1000</f>
        <v>6.18</v>
      </c>
      <c r="AG24" s="53">
        <f>SUMIFS('Databook'!AG$8:AG$33,'Databook'!$D$8:$D$33,"rent")/1000</f>
        <v>6.18</v>
      </c>
      <c r="AH24" s="53">
        <f>SUMIFS('Databook'!AH$8:AH$33,'Databook'!$D$8:$D$33,"rent")/1000</f>
        <v>6.18</v>
      </c>
      <c r="AI24" s="53">
        <f>SUMIFS('Databook'!AI$8:AI$33,'Databook'!$D$8:$D$33,"rent")/1000</f>
        <v>6.18</v>
      </c>
      <c r="AJ24" s="53">
        <f>SUMIFS('Databook'!AJ$8:AJ$33,'Databook'!$D$8:$D$33,"rent")/1000</f>
        <v>6.18</v>
      </c>
      <c r="AK24" s="53">
        <f>SUMIFS('Databook'!AK$8:AK$33,'Databook'!$D$8:$D$33,"rent")/1000</f>
        <v>6.18</v>
      </c>
      <c r="AL24" s="53">
        <f>SUMIFS('Databook'!AL$8:AL$33,'Databook'!$D$8:$D$33,"rent")/1000</f>
        <v>6.18</v>
      </c>
      <c r="AM24" s="53">
        <f>SUMIFS('Databook'!AM$8:AM$33,'Databook'!$D$8:$D$33,"rent")/1000</f>
        <v>6.18</v>
      </c>
      <c r="AN24" s="53">
        <f>SUMIFS('Databook'!AN$8:AN$33,'Databook'!$D$8:$D$33,"rent")/1000</f>
        <v>6.18</v>
      </c>
      <c r="AO24" s="53">
        <f>SUMIFS('Databook'!AO$8:AO$33,'Databook'!$D$8:$D$33,"rent")/1000</f>
        <v>6.366</v>
      </c>
      <c r="AP24" s="53">
        <f>SUMIFS('Databook'!AP$8:AP$33,'Databook'!$D$8:$D$33,"rent")/1000</f>
        <v>6.366</v>
      </c>
      <c r="AQ24" s="53">
        <f>SUMIFS('Databook'!AQ$8:AQ$33,'Databook'!$D$8:$D$33,"rent")/1000</f>
        <v>6.366</v>
      </c>
      <c r="AR24" s="53">
        <f>SUMIFS('Databook'!AR$8:AR$33,'Databook'!$D$8:$D$33,"rent")/1000</f>
        <v>6.366</v>
      </c>
      <c r="AS24" s="53">
        <f>SUMIFS('Databook'!AS$8:AS$33,'Databook'!$D$8:$D$33,"rent")/1000</f>
        <v>6.366</v>
      </c>
      <c r="AT24" s="53">
        <f>SUMIFS('Databook'!AT$8:AT$33,'Databook'!$D$8:$D$33,"rent")/1000</f>
        <v>6.365</v>
      </c>
      <c r="AU24" s="53">
        <f>SUMIFS('Databook'!AU$8:AU$33,'Databook'!$D$8:$D$33,"rent")/1000</f>
        <v>6.365</v>
      </c>
      <c r="AV24" s="53">
        <f>SUMIFS('Databook'!AV$8:AV$33,'Databook'!$D$8:$D$33,"rent")/1000</f>
        <v>6.365</v>
      </c>
      <c r="AW24" s="53">
        <f>SUMIFS('Databook'!AW$8:AW$33,'Databook'!$D$8:$D$33,"rent")/1000</f>
        <v>6.365</v>
      </c>
      <c r="AX24" s="53">
        <f>SUMIFS('Databook'!AX$8:AX$33,'Databook'!$D$8:$D$33,"rent")/1000</f>
        <v>6.365</v>
      </c>
      <c r="AY24" s="53">
        <f>SUMIFS('Databook'!AY$8:AY$33,'Databook'!$D$8:$D$33,"rent")/1000</f>
        <v>6.365</v>
      </c>
      <c r="AZ24" s="53">
        <f>SUMIFS('Databook'!AZ$8:AZ$33,'Databook'!$D$8:$D$33,"rent")/1000</f>
        <v>6.365</v>
      </c>
    </row>
    <row r="25" spans="2:52" x14ac:dyDescent="0.25">
      <c r="B25" s="52" t="s">
        <v>355</v>
      </c>
      <c r="C25" s="52">
        <f>SUMIFS($Q25:$AZ25,$Q$6:$AZ$6,"&gt;="&amp;C$61,$Q$6:$AZ$6,"&lt;="&amp;C$62)</f>
        <v>64.8</v>
      </c>
      <c r="D25" s="52">
        <f>SUMIFS($Q25:$AZ25,$Q$6:$AZ$6,"&gt;="&amp;D$61,$Q$6:$AZ$6,"&lt;="&amp;D$62)</f>
        <v>71.2</v>
      </c>
      <c r="E25" s="52">
        <f>SUMIFS($Q25:$AZ25,$Q$6:$AZ$6,"&gt;="&amp;E$61,$Q$6:$AZ$6,"&lt;="&amp;E$62)</f>
        <v>79.6</v>
      </c>
      <c r="G25" s="52">
        <f>SUMIFS($Q25:$AZ25,$Q$6:$AZ$6,"&gt;="&amp;G$61,$Q$6:$AZ$6,"&lt;="&amp;G$62)</f>
        <v>71.2</v>
      </c>
      <c r="H25" s="52">
        <f>SUMIFS($Q25:$AZ25,$Q$6:$AZ$6,"&gt;="&amp;H$61,$Q$6:$AZ$6,"&lt;="&amp;H$62)</f>
        <v>79.6</v>
      </c>
      <c r="J25" s="52">
        <f>SUMIFS($Q25:$AZ25,$Q$6:$AZ$6,"&gt;="&amp;J$61,$Q$6:$AZ$6,"&lt;="&amp;J$62)</f>
        <v>71.2</v>
      </c>
      <c r="K25" s="52">
        <f>SUMIFS($Q25:$AZ25,$Q$6:$AZ$6,"&gt;="&amp;K$61,$Q$6:$AZ$6,"&lt;="&amp;K$62)</f>
        <v>79.6</v>
      </c>
      <c r="L25" s="52">
        <f>SUMIFS($Q25:$AZ25,$Q$6:$AZ$6,"&gt;="&amp;L$61,$Q$6:$AZ$6,"&lt;="&amp;L$62)</f>
        <v>79.6</v>
      </c>
      <c r="N25" s="52">
        <f>L25-K25</f>
        <v>0</v>
      </c>
      <c r="O25" s="115">
        <f>IFERROR(L25/K25-1,"n.a.")</f>
        <v>0</v>
      </c>
      <c r="Q25" s="53">
        <f>SUMIFS('Databook'!Q$8:Q$33,'Databook'!$D$8:$D$33,"marketing")/1000</f>
        <v>4.32</v>
      </c>
      <c r="R25" s="53">
        <f>SUMIFS('Databook'!R$8:R$33,'Databook'!$D$8:$D$33,"marketing")/1000</f>
        <v>4.86</v>
      </c>
      <c r="S25" s="53">
        <f>SUMIFS('Databook'!S$8:S$33,'Databook'!$D$8:$D$33,"marketing")/1000</f>
        <v>6.48</v>
      </c>
      <c r="T25" s="53">
        <f>SUMIFS('Databook'!T$8:T$33,'Databook'!$D$8:$D$33,"marketing")/1000</f>
        <v>7.02</v>
      </c>
      <c r="U25" s="53">
        <f>SUMIFS('Databook'!U$8:U$33,'Databook'!$D$8:$D$33,"marketing")/1000</f>
        <v>6.48</v>
      </c>
      <c r="V25" s="53">
        <f>SUMIFS('Databook'!V$8:V$33,'Databook'!$D$8:$D$33,"marketing")/1000</f>
        <v>5.4</v>
      </c>
      <c r="W25" s="53">
        <f>SUMIFS('Databook'!W$8:W$33,'Databook'!$D$8:$D$33,"marketing")/1000</f>
        <v>4.86</v>
      </c>
      <c r="X25" s="53">
        <f>SUMIFS('Databook'!X$8:X$33,'Databook'!$D$8:$D$33,"marketing")/1000</f>
        <v>4.86</v>
      </c>
      <c r="Y25" s="53">
        <f>SUMIFS('Databook'!Y$8:Y$33,'Databook'!$D$8:$D$33,"marketing")/1000</f>
        <v>5.94</v>
      </c>
      <c r="Z25" s="53">
        <f>SUMIFS('Databook'!Z$8:Z$33,'Databook'!$D$8:$D$33,"marketing")/1000</f>
        <v>6.48</v>
      </c>
      <c r="AA25" s="53">
        <f>SUMIFS('Databook'!AA$8:AA$33,'Databook'!$D$8:$D$33,"marketing")/1000</f>
        <v>4.32</v>
      </c>
      <c r="AB25" s="53">
        <f>SUMIFS('Databook'!AB$8:AB$33,'Databook'!$D$8:$D$33,"marketing")/1000</f>
        <v>3.78</v>
      </c>
      <c r="AC25" s="53">
        <f>SUMIFS('Databook'!AC$8:AC$33,'Databook'!$D$8:$D$33,"marketing")/1000</f>
        <v>4.747</v>
      </c>
      <c r="AD25" s="53">
        <f>SUMIFS('Databook'!AD$8:AD$33,'Databook'!$D$8:$D$33,"marketing")/1000</f>
        <v>5.34</v>
      </c>
      <c r="AE25" s="53">
        <f>SUMIFS('Databook'!AE$8:AE$33,'Databook'!$D$8:$D$33,"marketing")/1000</f>
        <v>7.12</v>
      </c>
      <c r="AF25" s="53">
        <f>SUMIFS('Databook'!AF$8:AF$33,'Databook'!$D$8:$D$33,"marketing")/1000</f>
        <v>7.713</v>
      </c>
      <c r="AG25" s="53">
        <f>SUMIFS('Databook'!AG$8:AG$33,'Databook'!$D$8:$D$33,"marketing")/1000</f>
        <v>7.12</v>
      </c>
      <c r="AH25" s="53">
        <f>SUMIFS('Databook'!AH$8:AH$33,'Databook'!$D$8:$D$33,"marketing")/1000</f>
        <v>5.933</v>
      </c>
      <c r="AI25" s="53">
        <f>SUMIFS('Databook'!AI$8:AI$33,'Databook'!$D$8:$D$33,"marketing")/1000</f>
        <v>5.34</v>
      </c>
      <c r="AJ25" s="53">
        <f>SUMIFS('Databook'!AJ$8:AJ$33,'Databook'!$D$8:$D$33,"marketing")/1000</f>
        <v>5.34</v>
      </c>
      <c r="AK25" s="53">
        <f>SUMIFS('Databook'!AK$8:AK$33,'Databook'!$D$8:$D$33,"marketing")/1000</f>
        <v>6.527</v>
      </c>
      <c r="AL25" s="53">
        <f>SUMIFS('Databook'!AL$8:AL$33,'Databook'!$D$8:$D$33,"marketing")/1000</f>
        <v>7.12</v>
      </c>
      <c r="AM25" s="53">
        <f>SUMIFS('Databook'!AM$8:AM$33,'Databook'!$D$8:$D$33,"marketing")/1000</f>
        <v>4.747</v>
      </c>
      <c r="AN25" s="53">
        <f>SUMIFS('Databook'!AN$8:AN$33,'Databook'!$D$8:$D$33,"marketing")/1000</f>
        <v>4.153</v>
      </c>
      <c r="AO25" s="53">
        <f>SUMIFS('Databook'!AO$8:AO$33,'Databook'!$D$8:$D$33,"marketing")/1000</f>
        <v>5.307</v>
      </c>
      <c r="AP25" s="53">
        <f>SUMIFS('Databook'!AP$8:AP$33,'Databook'!$D$8:$D$33,"marketing")/1000</f>
        <v>5.97</v>
      </c>
      <c r="AQ25" s="53">
        <f>SUMIFS('Databook'!AQ$8:AQ$33,'Databook'!$D$8:$D$33,"marketing")/1000</f>
        <v>7.96</v>
      </c>
      <c r="AR25" s="53">
        <f>SUMIFS('Databook'!AR$8:AR$33,'Databook'!$D$8:$D$33,"marketing")/1000</f>
        <v>8.623</v>
      </c>
      <c r="AS25" s="53">
        <f>SUMIFS('Databook'!AS$8:AS$33,'Databook'!$D$8:$D$33,"marketing")/1000</f>
        <v>7.96</v>
      </c>
      <c r="AT25" s="53">
        <f>SUMIFS('Databook'!AT$8:AT$33,'Databook'!$D$8:$D$33,"marketing")/1000</f>
        <v>6.633</v>
      </c>
      <c r="AU25" s="53">
        <f>SUMIFS('Databook'!AU$8:AU$33,'Databook'!$D$8:$D$33,"marketing")/1000</f>
        <v>5.97</v>
      </c>
      <c r="AV25" s="53">
        <f>SUMIFS('Databook'!AV$8:AV$33,'Databook'!$D$8:$D$33,"marketing")/1000</f>
        <v>5.97</v>
      </c>
      <c r="AW25" s="53">
        <f>SUMIFS('Databook'!AW$8:AW$33,'Databook'!$D$8:$D$33,"marketing")/1000</f>
        <v>7.297</v>
      </c>
      <c r="AX25" s="53">
        <f>SUMIFS('Databook'!AX$8:AX$33,'Databook'!$D$8:$D$33,"marketing")/1000</f>
        <v>7.96</v>
      </c>
      <c r="AY25" s="53">
        <f>SUMIFS('Databook'!AY$8:AY$33,'Databook'!$D$8:$D$33,"marketing")/1000</f>
        <v>5.307</v>
      </c>
      <c r="AZ25" s="53">
        <f>SUMIFS('Databook'!AZ$8:AZ$33,'Databook'!$D$8:$D$33,"marketing")/1000</f>
        <v>4.643</v>
      </c>
    </row>
    <row r="26" spans="2:52" x14ac:dyDescent="0.25">
      <c r="B26" s="52" t="s">
        <v>357</v>
      </c>
      <c r="C26" s="52">
        <f>SUMIFS($Q26:$AZ26,$Q$6:$AZ$6,"&gt;="&amp;C$61,$Q$6:$AZ$6,"&lt;="&amp;C$62)</f>
        <v>263.6</v>
      </c>
      <c r="D26" s="52">
        <f>SUMIFS($Q26:$AZ26,$Q$6:$AZ$6,"&gt;="&amp;D$61,$Q$6:$AZ$6,"&lt;="&amp;D$62)</f>
        <v>305</v>
      </c>
      <c r="E26" s="52">
        <f>SUMIFS($Q26:$AZ26,$Q$6:$AZ$6,"&gt;="&amp;E$61,$Q$6:$AZ$6,"&lt;="&amp;E$62)</f>
        <v>304.8</v>
      </c>
      <c r="G26" s="52">
        <f>SUMIFS($Q26:$AZ26,$Q$6:$AZ$6,"&gt;="&amp;G$61,$Q$6:$AZ$6,"&lt;="&amp;G$62)</f>
        <v>305</v>
      </c>
      <c r="H26" s="52">
        <f>SUMIFS($Q26:$AZ26,$Q$6:$AZ$6,"&gt;="&amp;H$61,$Q$6:$AZ$6,"&lt;="&amp;H$62)</f>
        <v>304.8</v>
      </c>
      <c r="J26" s="52">
        <f>SUMIFS($Q26:$AZ26,$Q$6:$AZ$6,"&gt;="&amp;J$61,$Q$6:$AZ$6,"&lt;="&amp;J$62)</f>
        <v>305</v>
      </c>
      <c r="K26" s="52">
        <f>SUMIFS($Q26:$AZ26,$Q$6:$AZ$6,"&gt;="&amp;K$61,$Q$6:$AZ$6,"&lt;="&amp;K$62)</f>
        <v>304.8</v>
      </c>
      <c r="L26" s="52">
        <f>SUMIFS($Q26:$AZ26,$Q$6:$AZ$6,"&gt;="&amp;L$61,$Q$6:$AZ$6,"&lt;="&amp;L$62)</f>
        <v>304.8</v>
      </c>
      <c r="N26" s="52">
        <f>L26-K26</f>
        <v>0</v>
      </c>
      <c r="O26" s="115">
        <f>IFERROR(L26/K26-1,"n.a.")</f>
        <v>0</v>
      </c>
      <c r="Q26" s="53">
        <f>SUMIFS('Databook'!Q$8:Q$33,'Databook'!$D$8:$D$33,"other_opex")/1000</f>
        <v>21.163</v>
      </c>
      <c r="R26" s="53">
        <f>SUMIFS('Databook'!R$8:R$33,'Databook'!$D$8:$D$33,"other_opex")/1000</f>
        <v>20.666</v>
      </c>
      <c r="S26" s="53">
        <f>SUMIFS('Databook'!S$8:S$33,'Databook'!$D$8:$D$33,"other_opex")/1000</f>
        <v>21.175</v>
      </c>
      <c r="T26" s="53">
        <f>SUMIFS('Databook'!T$8:T$33,'Databook'!$D$8:$D$33,"other_opex")/1000</f>
        <v>21.612</v>
      </c>
      <c r="U26" s="53">
        <f>SUMIFS('Databook'!U$8:U$33,'Databook'!$D$8:$D$33,"other_opex")/1000</f>
        <v>21.712</v>
      </c>
      <c r="V26" s="53">
        <f>SUMIFS('Databook'!V$8:V$33,'Databook'!$D$8:$D$33,"other_opex")/1000</f>
        <v>22.93</v>
      </c>
      <c r="W26" s="53">
        <f>SUMIFS('Databook'!W$8:W$33,'Databook'!$D$8:$D$33,"other_opex")/1000</f>
        <v>23.737</v>
      </c>
      <c r="X26" s="53">
        <f>SUMIFS('Databook'!X$8:X$33,'Databook'!$D$8:$D$33,"other_opex")/1000</f>
        <v>22.945</v>
      </c>
      <c r="Y26" s="53">
        <f>SUMIFS('Databook'!Y$8:Y$33,'Databook'!$D$8:$D$33,"other_opex")/1000</f>
        <v>21.871</v>
      </c>
      <c r="Z26" s="53">
        <f>SUMIFS('Databook'!Z$8:Z$33,'Databook'!$D$8:$D$33,"other_opex")/1000</f>
        <v>21.213</v>
      </c>
      <c r="AA26" s="53">
        <f>SUMIFS('Databook'!AA$8:AA$33,'Databook'!$D$8:$D$33,"other_opex")/1000</f>
        <v>21.1</v>
      </c>
      <c r="AB26" s="53">
        <f>SUMIFS('Databook'!AB$8:AB$33,'Databook'!$D$8:$D$33,"other_opex")/1000</f>
        <v>23.476</v>
      </c>
      <c r="AC26" s="53">
        <f>SUMIFS('Databook'!AC$8:AC$33,'Databook'!$D$8:$D$33,"other_opex")/1000</f>
        <v>22.527</v>
      </c>
      <c r="AD26" s="53">
        <f>SUMIFS('Databook'!AD$8:AD$33,'Databook'!$D$8:$D$33,"other_opex")/1000</f>
        <v>21.996</v>
      </c>
      <c r="AE26" s="53">
        <f>SUMIFS('Databook'!AE$8:AE$33,'Databook'!$D$8:$D$33,"other_opex")/1000</f>
        <v>22.545</v>
      </c>
      <c r="AF26" s="53">
        <f>SUMIFS('Databook'!AF$8:AF$33,'Databook'!$D$8:$D$33,"other_opex")/1000</f>
        <v>23.013</v>
      </c>
      <c r="AG26" s="53">
        <f>SUMIFS('Databook'!AG$8:AG$33,'Databook'!$D$8:$D$33,"other_opex")/1000</f>
        <v>23.121</v>
      </c>
      <c r="AH26" s="53">
        <f>SUMIFS('Databook'!AH$8:AH$33,'Databook'!$D$8:$D$33,"other_opex")/1000</f>
        <v>36.417</v>
      </c>
      <c r="AI26" s="53">
        <f>SUMIFS('Databook'!AI$8:AI$33,'Databook'!$D$8:$D$33,"other_opex")/1000</f>
        <v>37.275</v>
      </c>
      <c r="AJ26" s="53">
        <f>SUMIFS('Databook'!AJ$8:AJ$33,'Databook'!$D$8:$D$33,"other_opex")/1000</f>
        <v>24.431</v>
      </c>
      <c r="AK26" s="53">
        <f>SUMIFS('Databook'!AK$8:AK$33,'Databook'!$D$8:$D$33,"other_opex")/1000</f>
        <v>23.29</v>
      </c>
      <c r="AL26" s="53">
        <f>SUMIFS('Databook'!AL$8:AL$33,'Databook'!$D$8:$D$33,"other_opex")/1000</f>
        <v>22.587</v>
      </c>
      <c r="AM26" s="53">
        <f>SUMIFS('Databook'!AM$8:AM$33,'Databook'!$D$8:$D$33,"other_opex")/1000</f>
        <v>22.493</v>
      </c>
      <c r="AN26" s="53">
        <f>SUMIFS('Databook'!AN$8:AN$33,'Databook'!$D$8:$D$33,"other_opex")/1000</f>
        <v>25.305</v>
      </c>
      <c r="AO26" s="53">
        <f>SUMIFS('Databook'!AO$8:AO$33,'Databook'!$D$8:$D$33,"other_opex")/1000</f>
        <v>24.404</v>
      </c>
      <c r="AP26" s="53">
        <f>SUMIFS('Databook'!AP$8:AP$33,'Databook'!$D$8:$D$33,"other_opex")/1000</f>
        <v>23.832</v>
      </c>
      <c r="AQ26" s="53">
        <f>SUMIFS('Databook'!AQ$8:AQ$33,'Databook'!$D$8:$D$33,"other_opex")/1000</f>
        <v>24.423</v>
      </c>
      <c r="AR26" s="53">
        <f>SUMIFS('Databook'!AR$8:AR$33,'Databook'!$D$8:$D$33,"other_opex")/1000</f>
        <v>24.934</v>
      </c>
      <c r="AS26" s="53">
        <f>SUMIFS('Databook'!AS$8:AS$33,'Databook'!$D$8:$D$33,"other_opex")/1000</f>
        <v>25.039</v>
      </c>
      <c r="AT26" s="53">
        <f>SUMIFS('Databook'!AT$8:AT$33,'Databook'!$D$8:$D$33,"other_opex")/1000</f>
        <v>26.42</v>
      </c>
      <c r="AU26" s="53">
        <f>SUMIFS('Databook'!AU$8:AU$33,'Databook'!$D$8:$D$33,"other_opex")/1000</f>
        <v>27.336</v>
      </c>
      <c r="AV26" s="53">
        <f>SUMIFS('Databook'!AV$8:AV$33,'Databook'!$D$8:$D$33,"other_opex")/1000</f>
        <v>26.43</v>
      </c>
      <c r="AW26" s="53">
        <f>SUMIFS('Databook'!AW$8:AW$33,'Databook'!$D$8:$D$33,"other_opex")/1000</f>
        <v>25.222</v>
      </c>
      <c r="AX26" s="53">
        <f>SUMIFS('Databook'!AX$8:AX$33,'Databook'!$D$8:$D$33,"other_opex")/1000</f>
        <v>24.477</v>
      </c>
      <c r="AY26" s="53">
        <f>SUMIFS('Databook'!AY$8:AY$33,'Databook'!$D$8:$D$33,"other_opex")/1000</f>
        <v>24.413</v>
      </c>
      <c r="AZ26" s="53">
        <f>SUMIFS('Databook'!AZ$8:AZ$33,'Databook'!$D$8:$D$33,"other_opex")/1000</f>
        <v>27.87</v>
      </c>
    </row>
    <row r="27" ht="3.95" customHeight="1" x14ac:dyDescent="0.25"/>
    <row r="28" spans="2:52" x14ac:dyDescent="0.25">
      <c r="B28" s="116" t="s">
        <v>359</v>
      </c>
      <c r="C28" s="116">
        <f>SUMIFS($Q28:$AZ28,$Q$6:$AZ$6,"&gt;="&amp;C$61,$Q$6:$AZ$6,"&lt;="&amp;C$62)</f>
        <v>1311</v>
      </c>
      <c r="D28" s="116">
        <f>SUMIFS($Q28:$AZ28,$Q$6:$AZ$6,"&gt;="&amp;D$61,$Q$6:$AZ$6,"&lt;="&amp;D$62)</f>
        <v>1458.46</v>
      </c>
      <c r="E28" s="116">
        <f>SUMIFS($Q28:$AZ28,$Q$6:$AZ$6,"&gt;="&amp;E$61,$Q$6:$AZ$6,"&lt;="&amp;E$62)</f>
        <v>1565.485</v>
      </c>
      <c r="G28" s="116">
        <f>SUMIFS($Q28:$AZ28,$Q$6:$AZ$6,"&gt;="&amp;G$61,$Q$6:$AZ$6,"&lt;="&amp;G$62)</f>
        <v>1458.46</v>
      </c>
      <c r="H28" s="116">
        <f>SUMIFS($Q28:$AZ28,$Q$6:$AZ$6,"&gt;="&amp;H$61,$Q$6:$AZ$6,"&lt;="&amp;H$62)</f>
        <v>1565.485</v>
      </c>
      <c r="J28" s="116">
        <f>SUMIFS($Q28:$AZ28,$Q$6:$AZ$6,"&gt;="&amp;J$61,$Q$6:$AZ$6,"&lt;="&amp;J$62)</f>
        <v>1458.46</v>
      </c>
      <c r="K28" s="116">
        <f>SUMIFS($Q28:$AZ28,$Q$6:$AZ$6,"&gt;="&amp;K$61,$Q$6:$AZ$6,"&lt;="&amp;K$62)</f>
        <v>1565.485</v>
      </c>
      <c r="L28" s="116">
        <f>SUMIFS($Q28:$AZ28,$Q$6:$AZ$6,"&gt;="&amp;L$61,$Q$6:$AZ$6,"&lt;="&amp;L$62)</f>
        <v>1565.485</v>
      </c>
      <c r="N28" s="116">
        <f>L28-K28</f>
        <v>0</v>
      </c>
      <c r="O28" s="117">
        <f>IFERROR(L28/K28-1,"n.a.")</f>
        <v>0</v>
      </c>
      <c r="Q28" s="116">
        <f>SUM(Q22:Q26)</f>
        <v>103.559</v>
      </c>
      <c r="R28" s="116">
        <f>SUM(R22:R26)</f>
        <v>102.65</v>
      </c>
      <c r="S28" s="116">
        <f>SUM(S22:S26)</f>
        <v>107.159</v>
      </c>
      <c r="T28" s="116">
        <f>SUM(T22:T26)</f>
        <v>109.564</v>
      </c>
      <c r="U28" s="116">
        <f>SUM(U22:U26)</f>
        <v>111.028</v>
      </c>
      <c r="V28" s="116">
        <f>SUM(V22:V26)</f>
        <v>114.973</v>
      </c>
      <c r="W28" s="116">
        <f>SUM(W22:W26)</f>
        <v>117.619</v>
      </c>
      <c r="X28" s="116">
        <f>SUM(X22:X26)</f>
        <v>114.448</v>
      </c>
      <c r="Y28" s="116">
        <f>SUM(Y22:Y26)</f>
        <v>110.646</v>
      </c>
      <c r="Z28" s="116">
        <f>SUM(Z22:Z26)</f>
        <v>107.672</v>
      </c>
      <c r="AA28" s="116">
        <f>SUM(AA22:AA26)</f>
        <v>104.447</v>
      </c>
      <c r="AB28" s="116">
        <f>SUM(AB22:AB26)</f>
        <v>107.235</v>
      </c>
      <c r="AC28" s="116">
        <f>SUM(AC22:AC26)</f>
        <v>113.152</v>
      </c>
      <c r="AD28" s="116">
        <f>SUM(AD22:AD26)</f>
        <v>112.137</v>
      </c>
      <c r="AE28" s="116">
        <f>SUM(AE22:AE26)</f>
        <v>117.161</v>
      </c>
      <c r="AF28" s="116">
        <f>SUM(AF22:AF26)</f>
        <v>119.838</v>
      </c>
      <c r="AG28" s="116">
        <f>SUM(AG22:AG26)</f>
        <v>121.506</v>
      </c>
      <c r="AH28" s="116">
        <f>SUM(AH22:AH26)</f>
        <v>137.927</v>
      </c>
      <c r="AI28" s="116">
        <f>SUM(AI22:AI26)</f>
        <v>140.886</v>
      </c>
      <c r="AJ28" s="116">
        <f>SUM(AJ22:AJ26)</f>
        <v>125.348</v>
      </c>
      <c r="AK28" s="116">
        <f>SUM(AK22:AK26)</f>
        <v>121.082</v>
      </c>
      <c r="AL28" s="116">
        <f>SUM(AL22:AL26)</f>
        <v>117.739</v>
      </c>
      <c r="AM28" s="116">
        <f>SUM(AM22:AM26)</f>
        <v>114.194</v>
      </c>
      <c r="AN28" s="116">
        <f>SUM(AN22:AN26)</f>
        <v>117.49</v>
      </c>
      <c r="AO28" s="116">
        <f>SUM(AO22:AO26)</f>
        <v>123.328</v>
      </c>
      <c r="AP28" s="116">
        <f>SUM(AP22:AP26)</f>
        <v>122.218</v>
      </c>
      <c r="AQ28" s="116">
        <f>SUM(AQ22:AQ26)</f>
        <v>127.803</v>
      </c>
      <c r="AR28" s="116">
        <f>SUM(AR22:AR26)</f>
        <v>130.781</v>
      </c>
      <c r="AS28" s="116">
        <f>SUM(AS22:AS26)</f>
        <v>132.627</v>
      </c>
      <c r="AT28" s="116">
        <f>SUM(AT22:AT26)</f>
        <v>137.487</v>
      </c>
      <c r="AU28" s="116">
        <f>SUM(AU22:AU26)</f>
        <v>140.745</v>
      </c>
      <c r="AV28" s="116">
        <f>SUM(AV22:AV26)</f>
        <v>136.833</v>
      </c>
      <c r="AW28" s="116">
        <f>SUM(AW22:AW26)</f>
        <v>132.142</v>
      </c>
      <c r="AX28" s="116">
        <f>SUM(AX22:AX26)</f>
        <v>128.455</v>
      </c>
      <c r="AY28" s="116">
        <f>SUM(AY22:AY26)</f>
        <v>124.535</v>
      </c>
      <c r="AZ28" s="116">
        <f>SUM(AZ22:AZ26)</f>
        <v>128.531</v>
      </c>
    </row>
    <row r="29" spans="2:52" x14ac:dyDescent="0.25">
      <c r="B29" s="52" t="s">
        <v>361</v>
      </c>
      <c r="C29" s="52">
        <f>SUMIFS($Q29:$AZ29,$Q$6:$AZ$6,"&gt;="&amp;C$61,$Q$6:$AZ$6,"&lt;="&amp;C$62)</f>
        <v>1.2</v>
      </c>
      <c r="D29" s="52">
        <f>SUMIFS($Q29:$AZ29,$Q$6:$AZ$6,"&gt;="&amp;D$61,$Q$6:$AZ$6,"&lt;="&amp;D$62)</f>
        <v>2.4</v>
      </c>
      <c r="E29" s="52">
        <f>SUMIFS($Q29:$AZ29,$Q$6:$AZ$6,"&gt;="&amp;E$61,$Q$6:$AZ$6,"&lt;="&amp;E$62)</f>
        <v>3.1</v>
      </c>
      <c r="G29" s="52">
        <f>SUMIFS($Q29:$AZ29,$Q$6:$AZ$6,"&gt;="&amp;G$61,$Q$6:$AZ$6,"&lt;="&amp;G$62)</f>
        <v>2.4</v>
      </c>
      <c r="H29" s="52">
        <f>SUMIFS($Q29:$AZ29,$Q$6:$AZ$6,"&gt;="&amp;H$61,$Q$6:$AZ$6,"&lt;="&amp;H$62)</f>
        <v>3.1</v>
      </c>
      <c r="J29" s="52">
        <f>SUMIFS($Q29:$AZ29,$Q$6:$AZ$6,"&gt;="&amp;J$61,$Q$6:$AZ$6,"&lt;="&amp;J$62)</f>
        <v>2.4</v>
      </c>
      <c r="K29" s="52">
        <f>SUMIFS($Q29:$AZ29,$Q$6:$AZ$6,"&gt;="&amp;K$61,$Q$6:$AZ$6,"&lt;="&amp;K$62)</f>
        <v>3.1</v>
      </c>
      <c r="L29" s="52">
        <f>SUMIFS($Q29:$AZ29,$Q$6:$AZ$6,"&gt;="&amp;L$61,$Q$6:$AZ$6,"&lt;="&amp;L$62)</f>
        <v>3.1</v>
      </c>
      <c r="N29" s="52">
        <f>L29-K29</f>
        <v>0</v>
      </c>
      <c r="O29" s="115">
        <f>IFERROR(L29/K29-1,"n.a.")</f>
        <v>0</v>
      </c>
      <c r="Q29" s="53">
        <f>SUMIFS('Databook'!Q$8:Q$33,'Databook'!$D$8:$D$33,"other_income")/1000</f>
        <v>0.1</v>
      </c>
      <c r="R29" s="53">
        <f>SUMIFS('Databook'!R$8:R$33,'Databook'!$D$8:$D$33,"other_income")/1000</f>
        <v>0.1</v>
      </c>
      <c r="S29" s="53">
        <f>SUMIFS('Databook'!S$8:S$33,'Databook'!$D$8:$D$33,"other_income")/1000</f>
        <v>0.1</v>
      </c>
      <c r="T29" s="53">
        <f>SUMIFS('Databook'!T$8:T$33,'Databook'!$D$8:$D$33,"other_income")/1000</f>
        <v>0.1</v>
      </c>
      <c r="U29" s="53">
        <f>SUMIFS('Databook'!U$8:U$33,'Databook'!$D$8:$D$33,"other_income")/1000</f>
        <v>0.1</v>
      </c>
      <c r="V29" s="53">
        <f>SUMIFS('Databook'!V$8:V$33,'Databook'!$D$8:$D$33,"other_income")/1000</f>
        <v>0.1</v>
      </c>
      <c r="W29" s="53">
        <f>SUMIFS('Databook'!W$8:W$33,'Databook'!$D$8:$D$33,"other_income")/1000</f>
        <v>0.1</v>
      </c>
      <c r="X29" s="53">
        <f>SUMIFS('Databook'!X$8:X$33,'Databook'!$D$8:$D$33,"other_income")/1000</f>
        <v>0.1</v>
      </c>
      <c r="Y29" s="53">
        <f>SUMIFS('Databook'!Y$8:Y$33,'Databook'!$D$8:$D$33,"other_income")/1000</f>
        <v>0.1</v>
      </c>
      <c r="Z29" s="53">
        <f>SUMIFS('Databook'!Z$8:Z$33,'Databook'!$D$8:$D$33,"other_income")/1000</f>
        <v>0.1</v>
      </c>
      <c r="AA29" s="53">
        <f>SUMIFS('Databook'!AA$8:AA$33,'Databook'!$D$8:$D$33,"other_income")/1000</f>
        <v>0.1</v>
      </c>
      <c r="AB29" s="53">
        <f>SUMIFS('Databook'!AB$8:AB$33,'Databook'!$D$8:$D$33,"other_income")/1000</f>
        <v>0.1</v>
      </c>
      <c r="AC29" s="53">
        <f>SUMIFS('Databook'!AC$8:AC$33,'Databook'!$D$8:$D$33,"other_income")/1000</f>
        <v>0.2</v>
      </c>
      <c r="AD29" s="53">
        <f>SUMIFS('Databook'!AD$8:AD$33,'Databook'!$D$8:$D$33,"other_income")/1000</f>
        <v>0.2</v>
      </c>
      <c r="AE29" s="53">
        <f>SUMIFS('Databook'!AE$8:AE$33,'Databook'!$D$8:$D$33,"other_income")/1000</f>
        <v>0.2</v>
      </c>
      <c r="AF29" s="53">
        <f>SUMIFS('Databook'!AF$8:AF$33,'Databook'!$D$8:$D$33,"other_income")/1000</f>
        <v>0.2</v>
      </c>
      <c r="AG29" s="53">
        <f>SUMIFS('Databook'!AG$8:AG$33,'Databook'!$D$8:$D$33,"other_income")/1000</f>
        <v>0.2</v>
      </c>
      <c r="AH29" s="53">
        <f>SUMIFS('Databook'!AH$8:AH$33,'Databook'!$D$8:$D$33,"other_income")/1000</f>
        <v>0.2</v>
      </c>
      <c r="AI29" s="53">
        <f>SUMIFS('Databook'!AI$8:AI$33,'Databook'!$D$8:$D$33,"other_income")/1000</f>
        <v>0.2</v>
      </c>
      <c r="AJ29" s="53">
        <f>SUMIFS('Databook'!AJ$8:AJ$33,'Databook'!$D$8:$D$33,"other_income")/1000</f>
        <v>0.2</v>
      </c>
      <c r="AK29" s="53">
        <f>SUMIFS('Databook'!AK$8:AK$33,'Databook'!$D$8:$D$33,"other_income")/1000</f>
        <v>0.2</v>
      </c>
      <c r="AL29" s="53">
        <f>SUMIFS('Databook'!AL$8:AL$33,'Databook'!$D$8:$D$33,"other_income")/1000</f>
        <v>0.2</v>
      </c>
      <c r="AM29" s="53">
        <f>SUMIFS('Databook'!AM$8:AM$33,'Databook'!$D$8:$D$33,"other_income")/1000</f>
        <v>0.2</v>
      </c>
      <c r="AN29" s="53">
        <f>SUMIFS('Databook'!AN$8:AN$33,'Databook'!$D$8:$D$33,"other_income")/1000</f>
        <v>0.2</v>
      </c>
      <c r="AO29" s="53">
        <f>SUMIFS('Databook'!AO$8:AO$33,'Databook'!$D$8:$D$33,"other_income")/1000</f>
        <v>0.259</v>
      </c>
      <c r="AP29" s="53">
        <f>SUMIFS('Databook'!AP$8:AP$33,'Databook'!$D$8:$D$33,"other_income")/1000</f>
        <v>0.259</v>
      </c>
      <c r="AQ29" s="53">
        <f>SUMIFS('Databook'!AQ$8:AQ$33,'Databook'!$D$8:$D$33,"other_income")/1000</f>
        <v>0.259</v>
      </c>
      <c r="AR29" s="53">
        <f>SUMIFS('Databook'!AR$8:AR$33,'Databook'!$D$8:$D$33,"other_income")/1000</f>
        <v>0.259</v>
      </c>
      <c r="AS29" s="53">
        <f>SUMIFS('Databook'!AS$8:AS$33,'Databook'!$D$8:$D$33,"other_income")/1000</f>
        <v>0.258</v>
      </c>
      <c r="AT29" s="53">
        <f>SUMIFS('Databook'!AT$8:AT$33,'Databook'!$D$8:$D$33,"other_income")/1000</f>
        <v>0.258</v>
      </c>
      <c r="AU29" s="53">
        <f>SUMIFS('Databook'!AU$8:AU$33,'Databook'!$D$8:$D$33,"other_income")/1000</f>
        <v>0.258</v>
      </c>
      <c r="AV29" s="53">
        <f>SUMIFS('Databook'!AV$8:AV$33,'Databook'!$D$8:$D$33,"other_income")/1000</f>
        <v>0.258</v>
      </c>
      <c r="AW29" s="53">
        <f>SUMIFS('Databook'!AW$8:AW$33,'Databook'!$D$8:$D$33,"other_income")/1000</f>
        <v>0.258</v>
      </c>
      <c r="AX29" s="53">
        <f>SUMIFS('Databook'!AX$8:AX$33,'Databook'!$D$8:$D$33,"other_income")/1000</f>
        <v>0.258</v>
      </c>
      <c r="AY29" s="53">
        <f>SUMIFS('Databook'!AY$8:AY$33,'Databook'!$D$8:$D$33,"other_income")/1000</f>
        <v>0.258</v>
      </c>
      <c r="AZ29" s="53">
        <f>SUMIFS('Databook'!AZ$8:AZ$33,'Databook'!$D$8:$D$33,"other_income")/1000</f>
        <v>0.258</v>
      </c>
    </row>
    <row r="30" spans="2:52" x14ac:dyDescent="0.25">
      <c r="B30" s="52" t="s">
        <v>363</v>
      </c>
      <c r="C30" s="52">
        <f>SUMIFS($Q30:$AZ30,$Q$6:$AZ$6,"&gt;="&amp;C$61,$Q$6:$AZ$6,"&lt;="&amp;C$62)</f>
        <v>0</v>
      </c>
      <c r="D30" s="52">
        <f>SUMIFS($Q30:$AZ30,$Q$6:$AZ$6,"&gt;="&amp;D$61,$Q$6:$AZ$6,"&lt;="&amp;D$62)</f>
        <v>0</v>
      </c>
      <c r="E30" s="52">
        <f>SUMIFS($Q30:$AZ30,$Q$6:$AZ$6,"&gt;="&amp;E$61,$Q$6:$AZ$6,"&lt;="&amp;E$62)</f>
        <v>0</v>
      </c>
      <c r="G30" s="52">
        <f>SUMIFS($Q30:$AZ30,$Q$6:$AZ$6,"&gt;="&amp;G$61,$Q$6:$AZ$6,"&lt;="&amp;G$62)</f>
        <v>0</v>
      </c>
      <c r="H30" s="52">
        <f>SUMIFS($Q30:$AZ30,$Q$6:$AZ$6,"&gt;="&amp;H$61,$Q$6:$AZ$6,"&lt;="&amp;H$62)</f>
        <v>0</v>
      </c>
      <c r="J30" s="52">
        <f>SUMIFS($Q30:$AZ30,$Q$6:$AZ$6,"&gt;="&amp;J$61,$Q$6:$AZ$6,"&lt;="&amp;J$62)</f>
        <v>0</v>
      </c>
      <c r="K30" s="52">
        <f>SUMIFS($Q30:$AZ30,$Q$6:$AZ$6,"&gt;="&amp;K$61,$Q$6:$AZ$6,"&lt;="&amp;K$62)</f>
        <v>0</v>
      </c>
      <c r="L30" s="52">
        <f>SUMIFS($Q30:$AZ30,$Q$6:$AZ$6,"&gt;="&amp;L$61,$Q$6:$AZ$6,"&lt;="&amp;L$62)</f>
        <v>0</v>
      </c>
      <c r="N30" s="52">
        <f>L30-K30</f>
        <v>0</v>
      </c>
      <c r="O30" s="115" t="str">
        <f>IFERROR(L30/K30-1,"n.a.")</f>
        <v>n.a.</v>
      </c>
      <c r="Q30" s="53">
        <f>SUMIFS('Databook'!Q$8:Q$33,'Databook'!$D$8:$D$33,"other_expense")/1000</f>
        <v>0</v>
      </c>
      <c r="R30" s="53">
        <f>SUMIFS('Databook'!R$8:R$33,'Databook'!$D$8:$D$33,"other_expense")/1000</f>
        <v>0</v>
      </c>
      <c r="S30" s="53">
        <f>SUMIFS('Databook'!S$8:S$33,'Databook'!$D$8:$D$33,"other_expense")/1000</f>
        <v>0</v>
      </c>
      <c r="T30" s="53">
        <f>SUMIFS('Databook'!T$8:T$33,'Databook'!$D$8:$D$33,"other_expense")/1000</f>
        <v>0</v>
      </c>
      <c r="U30" s="53">
        <f>SUMIFS('Databook'!U$8:U$33,'Databook'!$D$8:$D$33,"other_expense")/1000</f>
        <v>0</v>
      </c>
      <c r="V30" s="53">
        <f>SUMIFS('Databook'!V$8:V$33,'Databook'!$D$8:$D$33,"other_expense")/1000</f>
        <v>0</v>
      </c>
      <c r="W30" s="53">
        <f>SUMIFS('Databook'!W$8:W$33,'Databook'!$D$8:$D$33,"other_expense")/1000</f>
        <v>0</v>
      </c>
      <c r="X30" s="53">
        <f>SUMIFS('Databook'!X$8:X$33,'Databook'!$D$8:$D$33,"other_expense")/1000</f>
        <v>0</v>
      </c>
      <c r="Y30" s="53">
        <f>SUMIFS('Databook'!Y$8:Y$33,'Databook'!$D$8:$D$33,"other_expense")/1000</f>
        <v>0</v>
      </c>
      <c r="Z30" s="53">
        <f>SUMIFS('Databook'!Z$8:Z$33,'Databook'!$D$8:$D$33,"other_expense")/1000</f>
        <v>0</v>
      </c>
      <c r="AA30" s="53">
        <f>SUMIFS('Databook'!AA$8:AA$33,'Databook'!$D$8:$D$33,"other_expense")/1000</f>
        <v>0</v>
      </c>
      <c r="AB30" s="53">
        <f>SUMIFS('Databook'!AB$8:AB$33,'Databook'!$D$8:$D$33,"other_expense")/1000</f>
        <v>0</v>
      </c>
      <c r="AC30" s="53">
        <f>SUMIFS('Databook'!AC$8:AC$33,'Databook'!$D$8:$D$33,"other_expense")/1000</f>
        <v>0</v>
      </c>
      <c r="AD30" s="53">
        <f>SUMIFS('Databook'!AD$8:AD$33,'Databook'!$D$8:$D$33,"other_expense")/1000</f>
        <v>0</v>
      </c>
      <c r="AE30" s="53">
        <f>SUMIFS('Databook'!AE$8:AE$33,'Databook'!$D$8:$D$33,"other_expense")/1000</f>
        <v>0</v>
      </c>
      <c r="AF30" s="53">
        <f>SUMIFS('Databook'!AF$8:AF$33,'Databook'!$D$8:$D$33,"other_expense")/1000</f>
        <v>0</v>
      </c>
      <c r="AG30" s="53">
        <f>SUMIFS('Databook'!AG$8:AG$33,'Databook'!$D$8:$D$33,"other_expense")/1000</f>
        <v>0</v>
      </c>
      <c r="AH30" s="53">
        <f>SUMIFS('Databook'!AH$8:AH$33,'Databook'!$D$8:$D$33,"other_expense")/1000</f>
        <v>0</v>
      </c>
      <c r="AI30" s="53">
        <f>SUMIFS('Databook'!AI$8:AI$33,'Databook'!$D$8:$D$33,"other_expense")/1000</f>
        <v>0</v>
      </c>
      <c r="AJ30" s="53">
        <f>SUMIFS('Databook'!AJ$8:AJ$33,'Databook'!$D$8:$D$33,"other_expense")/1000</f>
        <v>0</v>
      </c>
      <c r="AK30" s="53">
        <f>SUMIFS('Databook'!AK$8:AK$33,'Databook'!$D$8:$D$33,"other_expense")/1000</f>
        <v>0</v>
      </c>
      <c r="AL30" s="53">
        <f>SUMIFS('Databook'!AL$8:AL$33,'Databook'!$D$8:$D$33,"other_expense")/1000</f>
        <v>0</v>
      </c>
      <c r="AM30" s="53">
        <f>SUMIFS('Databook'!AM$8:AM$33,'Databook'!$D$8:$D$33,"other_expense")/1000</f>
        <v>0</v>
      </c>
      <c r="AN30" s="53">
        <f>SUMIFS('Databook'!AN$8:AN$33,'Databook'!$D$8:$D$33,"other_expense")/1000</f>
        <v>0</v>
      </c>
      <c r="AO30" s="53">
        <f>SUMIFS('Databook'!AO$8:AO$33,'Databook'!$D$8:$D$33,"other_expense")/1000</f>
        <v>0</v>
      </c>
      <c r="AP30" s="53">
        <f>SUMIFS('Databook'!AP$8:AP$33,'Databook'!$D$8:$D$33,"other_expense")/1000</f>
        <v>0</v>
      </c>
      <c r="AQ30" s="53">
        <f>SUMIFS('Databook'!AQ$8:AQ$33,'Databook'!$D$8:$D$33,"other_expense")/1000</f>
        <v>0</v>
      </c>
      <c r="AR30" s="53">
        <f>SUMIFS('Databook'!AR$8:AR$33,'Databook'!$D$8:$D$33,"other_expense")/1000</f>
        <v>0</v>
      </c>
      <c r="AS30" s="53">
        <f>SUMIFS('Databook'!AS$8:AS$33,'Databook'!$D$8:$D$33,"other_expense")/1000</f>
        <v>0</v>
      </c>
      <c r="AT30" s="53">
        <f>SUMIFS('Databook'!AT$8:AT$33,'Databook'!$D$8:$D$33,"other_expense")/1000</f>
        <v>0</v>
      </c>
      <c r="AU30" s="53">
        <f>SUMIFS('Databook'!AU$8:AU$33,'Databook'!$D$8:$D$33,"other_expense")/1000</f>
        <v>0</v>
      </c>
      <c r="AV30" s="53">
        <f>SUMIFS('Databook'!AV$8:AV$33,'Databook'!$D$8:$D$33,"other_expense")/1000</f>
        <v>0</v>
      </c>
      <c r="AW30" s="53">
        <f>SUMIFS('Databook'!AW$8:AW$33,'Databook'!$D$8:$D$33,"other_expense")/1000</f>
        <v>0</v>
      </c>
      <c r="AX30" s="53">
        <f>SUMIFS('Databook'!AX$8:AX$33,'Databook'!$D$8:$D$33,"other_expense")/1000</f>
        <v>0</v>
      </c>
      <c r="AY30" s="53">
        <f>SUMIFS('Databook'!AY$8:AY$33,'Databook'!$D$8:$D$33,"other_expense")/1000</f>
        <v>0</v>
      </c>
      <c r="AZ30" s="53">
        <f>SUMIFS('Databook'!AZ$8:AZ$33,'Databook'!$D$8:$D$33,"other_expense")/1000</f>
        <v>0</v>
      </c>
    </row>
    <row r="31" ht="3.95" customHeight="1" x14ac:dyDescent="0.25"/>
    <row r="32" spans="2:52" x14ac:dyDescent="0.25">
      <c r="B32" s="42" t="s">
        <v>91</v>
      </c>
      <c r="C32" s="119">
        <f>SUMIFS($Q32:$AZ32,$Q$6:$AZ$6,"&gt;="&amp;C$61,$Q$6:$AZ$6,"&lt;="&amp;C$62)</f>
        <v>158.2</v>
      </c>
      <c r="D32" s="120">
        <f>SUMIFS($Q32:$AZ32,$Q$6:$AZ$6,"&gt;="&amp;D$61,$Q$6:$AZ$6,"&lt;="&amp;D$62)</f>
        <v>214.64</v>
      </c>
      <c r="E32" s="121">
        <f>SUMIFS($Q32:$AZ32,$Q$6:$AZ$6,"&gt;="&amp;E$61,$Q$6:$AZ$6,"&lt;="&amp;E$62)</f>
        <v>319.515</v>
      </c>
      <c r="G32" s="119">
        <f>SUMIFS($Q32:$AZ32,$Q$6:$AZ$6,"&gt;="&amp;G$61,$Q$6:$AZ$6,"&lt;="&amp;G$62)</f>
        <v>214.64</v>
      </c>
      <c r="H32" s="121">
        <f>SUMIFS($Q32:$AZ32,$Q$6:$AZ$6,"&gt;="&amp;H$61,$Q$6:$AZ$6,"&lt;="&amp;H$62)</f>
        <v>319.515</v>
      </c>
      <c r="J32" s="119">
        <f>SUMIFS($Q32:$AZ32,$Q$6:$AZ$6,"&gt;="&amp;J$61,$Q$6:$AZ$6,"&lt;="&amp;J$62)</f>
        <v>214.64</v>
      </c>
      <c r="K32" s="121">
        <f>SUMIFS($Q32:$AZ32,$Q$6:$AZ$6,"&gt;="&amp;K$61,$Q$6:$AZ$6,"&lt;="&amp;K$62)</f>
        <v>319.515</v>
      </c>
      <c r="L32" s="42">
        <f>SUMIFS($Q32:$AZ32,$Q$6:$AZ$6,"&gt;="&amp;L$61,$Q$6:$AZ$6,"&lt;="&amp;L$62)</f>
        <v>319.515</v>
      </c>
      <c r="N32" s="119">
        <f>L32-K32</f>
        <v>0</v>
      </c>
      <c r="O32" s="122">
        <f>IFERROR(L32/K32-1,"n.a.")</f>
        <v>0</v>
      </c>
      <c r="Q32" s="119">
        <f>Q18-Q28+Q29-Q30</f>
        <v>7.086</v>
      </c>
      <c r="R32" s="120">
        <f>R18-R28+R29-R30</f>
        <v>1.197</v>
      </c>
      <c r="S32" s="120">
        <f>S18-S28+S29-S30</f>
        <v>-5.244</v>
      </c>
      <c r="T32" s="120">
        <f>T18-T28+T29-T30</f>
        <v>-1.509</v>
      </c>
      <c r="U32" s="120">
        <f>U18-U28+U29-U30</f>
        <v>9.432</v>
      </c>
      <c r="V32" s="120">
        <f>V18-V28+V29-V30</f>
        <v>23.312</v>
      </c>
      <c r="W32" s="120">
        <f>W18-W28+W29-W30</f>
        <v>30.437</v>
      </c>
      <c r="X32" s="120">
        <f>X18-X28+X29-X30</f>
        <v>26.615</v>
      </c>
      <c r="Y32" s="120">
        <f>Y18-Y28+Y29-Y30</f>
        <v>16.842</v>
      </c>
      <c r="Z32" s="120">
        <f>Z18-Z28+Z29-Z30</f>
        <v>7.026</v>
      </c>
      <c r="AA32" s="120">
        <f>AA18-AA28+AA29-AA30</f>
        <v>14.627</v>
      </c>
      <c r="AB32" s="120">
        <f>AB18-AB28+AB29-AB30</f>
        <v>28.379</v>
      </c>
      <c r="AC32" s="120">
        <f>AC18-AC28+AC29-AC30</f>
        <v>12.874</v>
      </c>
      <c r="AD32" s="120">
        <f>AD18-AD28+AD29-AD30</f>
        <v>6.275</v>
      </c>
      <c r="AE32" s="120">
        <f>AE18-AE28+AE29-AE30</f>
        <v>-0.837</v>
      </c>
      <c r="AF32" s="120">
        <f>AF18-AF28+AF29-AF30</f>
        <v>3.459</v>
      </c>
      <c r="AG32" s="120">
        <f>AG18-AG28+AG29-AG30</f>
        <v>15.676</v>
      </c>
      <c r="AH32" s="120">
        <f>AH18-AH28+AH29-AH30</f>
        <v>19.283</v>
      </c>
      <c r="AI32" s="120">
        <f>AI18-AI28+AI29-AI30</f>
        <v>27.313</v>
      </c>
      <c r="AJ32" s="120">
        <f>AJ18-AJ28+AJ29-AJ30</f>
        <v>35.019</v>
      </c>
      <c r="AK32" s="120">
        <f>AK18-AK28+AK29-AK30</f>
        <v>24.197</v>
      </c>
      <c r="AL32" s="120">
        <f>AL18-AL28+AL29-AL30</f>
        <v>13.135</v>
      </c>
      <c r="AM32" s="120">
        <f>AM18-AM28+AM29-AM30</f>
        <v>21.546</v>
      </c>
      <c r="AN32" s="120">
        <f>AN18-AN28+AN29-AN30</f>
        <v>36.7</v>
      </c>
      <c r="AO32" s="120">
        <f>AO18-AO28+AO29-AO30</f>
        <v>18.704</v>
      </c>
      <c r="AP32" s="120">
        <f>AP18-AP28+AP29-AP30</f>
        <v>11.413</v>
      </c>
      <c r="AQ32" s="120">
        <f>AQ18-AQ28+AQ29-AQ30</f>
        <v>3.616</v>
      </c>
      <c r="AR32" s="120">
        <f>AR18-AR28+AR29-AR30</f>
        <v>8.458</v>
      </c>
      <c r="AS32" s="120">
        <f>AS18-AS28+AS29-AS30</f>
        <v>21.932</v>
      </c>
      <c r="AT32" s="120">
        <f>AT18-AT28+AT29-AT30</f>
        <v>39.268</v>
      </c>
      <c r="AU32" s="120">
        <f>AU18-AU28+AU29-AU30</f>
        <v>48.203</v>
      </c>
      <c r="AV32" s="120">
        <f>AV18-AV28+AV29-AV30</f>
        <v>43.469</v>
      </c>
      <c r="AW32" s="120">
        <f>AW18-AW28+AW29-AW30</f>
        <v>31.642</v>
      </c>
      <c r="AX32" s="120">
        <f>AX18-AX28+AX29-AX30</f>
        <v>19.336</v>
      </c>
      <c r="AY32" s="120">
        <f>AY18-AY28+AY29-AY30</f>
        <v>28.589</v>
      </c>
      <c r="AZ32" s="121">
        <f>AZ18-AZ28+AZ29-AZ30</f>
        <v>44.885</v>
      </c>
    </row>
    <row r="33" spans="2:52" x14ac:dyDescent="0.25">
      <c r="B33" s="47" t="s">
        <v>90</v>
      </c>
      <c r="C33" s="123">
        <f>IFERROR(C32/C14,"n.m.")</f>
        <v>0.06573043044706664</v>
      </c>
      <c r="D33" s="124">
        <f>IFERROR(D32/D14,"n.m.")</f>
        <v>0.07895240197160303</v>
      </c>
      <c r="E33" s="125">
        <f>IFERROR(E32/E14,"n.m.")</f>
        <v>0.10507596685082873</v>
      </c>
      <c r="G33" s="123">
        <f>IFERROR(G32/G14,"n.m.")</f>
        <v>0.07895240197160303</v>
      </c>
      <c r="H33" s="125">
        <f>IFERROR(H32/H14,"n.m.")</f>
        <v>0.10507596685082873</v>
      </c>
      <c r="J33" s="123">
        <f>IFERROR(J32/J14,"n.m.")</f>
        <v>0.07895240197160303</v>
      </c>
      <c r="K33" s="125">
        <f>IFERROR(K32/K14,"n.m.")</f>
        <v>0.10507596685082873</v>
      </c>
      <c r="L33" s="126">
        <f>IFERROR(L32/L14,"n.m.")</f>
        <v>0.10507596685082873</v>
      </c>
      <c r="N33" s="127"/>
      <c r="O33" s="128"/>
      <c r="Q33" s="123">
        <f>IFERROR(Q32/Q14,"n.m.")</f>
        <v>0.039220678585265956</v>
      </c>
      <c r="R33" s="124">
        <f>IFERROR(R32/R14,"n.m.")</f>
        <v>0.007144647781398847</v>
      </c>
      <c r="S33" s="124">
        <f>IFERROR(S32/S14,"n.m.")</f>
        <v>-0.032192911911500185</v>
      </c>
      <c r="T33" s="124">
        <f>IFERROR(T32/T14,"n.m.")</f>
        <v>-0.008698709893125194</v>
      </c>
      <c r="U33" s="124">
        <f>IFERROR(U32/U14,"n.m.")</f>
        <v>0.047805372529143436</v>
      </c>
      <c r="V33" s="124">
        <f>IFERROR(V32/V14,"n.m.")</f>
        <v>0.10107044842641047</v>
      </c>
      <c r="W33" s="124">
        <f>IFERROR(W32/W14,"n.m.")</f>
        <v>0.12233570070619255</v>
      </c>
      <c r="X33" s="124">
        <f>IFERROR(X32/X14,"n.m.")</f>
        <v>0.11311669103396688</v>
      </c>
      <c r="Y33" s="124">
        <f>IFERROR(Y32/Y14,"n.m.")</f>
        <v>0.08102374137060112</v>
      </c>
      <c r="Z33" s="124">
        <f>IFERROR(Z32/Z14,"n.m.")</f>
        <v>0.03815388625515208</v>
      </c>
      <c r="AA33" s="124">
        <f>IFERROR(AA32/AA14,"n.m.")</f>
        <v>0.07584336662207428</v>
      </c>
      <c r="AB33" s="124">
        <f>IFERROR(AB32/AB14,"n.m.")</f>
        <v>0.12595255531145286</v>
      </c>
      <c r="AC33" s="124">
        <f>IFERROR(AC32/AC14,"n.m.")</f>
        <v>0.06307661402932861</v>
      </c>
      <c r="AD33" s="124">
        <f>IFERROR(AD32/AD14,"n.m.")</f>
        <v>0.03312726677612303</v>
      </c>
      <c r="AE33" s="124">
        <f>IFERROR(AE32/AE14,"n.m.")</f>
        <v>-0.004541311283286672</v>
      </c>
      <c r="AF33" s="124">
        <f>IFERROR(AF32/AF14,"n.m.")</f>
        <v>0.017626555509126673</v>
      </c>
      <c r="AG33" s="124">
        <f>IFERROR(AG32/AG14,"n.m.")</f>
        <v>0.07033886136836816</v>
      </c>
      <c r="AH33" s="124">
        <f>IFERROR(AH32/AH14,"n.m.")</f>
        <v>0.07410439100125281</v>
      </c>
      <c r="AI33" s="124">
        <f>IFERROR(AI32/AI14,"n.m.")</f>
        <v>0.09735554216910415</v>
      </c>
      <c r="AJ33" s="124">
        <f>IFERROR(AJ32/AJ14,"n.m.")</f>
        <v>0.13192563431219273</v>
      </c>
      <c r="AK33" s="124">
        <f>IFERROR(AK32/AK14,"n.m.")</f>
        <v>0.10300452935567361</v>
      </c>
      <c r="AL33" s="124">
        <f>IFERROR(AL32/AL14,"n.m.")</f>
        <v>0.06305354871228668</v>
      </c>
      <c r="AM33" s="124">
        <f>IFERROR(AM32/AM14,"n.m.")</f>
        <v>0.0988285155999156</v>
      </c>
      <c r="AN33" s="124">
        <f>IFERROR(AN32/AN14,"n.m.")</f>
        <v>0.14436371789677405</v>
      </c>
      <c r="AO33" s="124">
        <f>IFERROR(AO32/AO14,"n.m.")</f>
        <v>0.0819132955824454</v>
      </c>
      <c r="AP33" s="124">
        <f>IFERROR(AP32/AP14,"n.m.")</f>
        <v>0.05380546493428124</v>
      </c>
      <c r="AQ33" s="124">
        <f>IFERROR(AQ32/AQ14,"n.m.")</f>
        <v>0.017506572226713982</v>
      </c>
      <c r="AR33" s="124">
        <f>IFERROR(AR32/AR14,"n.m.")</f>
        <v>0.03847116027527484</v>
      </c>
      <c r="AS33" s="124">
        <f>IFERROR(AS32/AS14,"n.m.")</f>
        <v>0.08798138639281129</v>
      </c>
      <c r="AT33" s="124">
        <f>IFERROR(AT32/AT14,"n.m.")</f>
        <v>0.1351045419044965</v>
      </c>
      <c r="AU33" s="124">
        <f>IFERROR(AU32/AU14,"n.m.")</f>
        <v>0.15391271584755287</v>
      </c>
      <c r="AV33" s="124">
        <f>IFERROR(AV32/AV14,"n.m.")</f>
        <v>0.14661153289644543</v>
      </c>
      <c r="AW33" s="124">
        <f>IFERROR(AW32/AW14,"n.m.")</f>
        <v>0.1203731178623329</v>
      </c>
      <c r="AX33" s="124">
        <f>IFERROR(AX32/AX14,"n.m.")</f>
        <v>0.08285129101644514</v>
      </c>
      <c r="AY33" s="124">
        <f>IFERROR(AY32/AY14,"n.m.")</f>
        <v>0.1171349085709369</v>
      </c>
      <c r="AZ33" s="125">
        <f>IFERROR(AZ32/AZ14,"n.m.")</f>
        <v>0.1580346454475037</v>
      </c>
    </row>
    <row r="34" ht="3.95" customHeight="1" x14ac:dyDescent="0.25"/>
    <row r="35" spans="2:52" x14ac:dyDescent="0.25">
      <c r="B35" s="52" t="s">
        <v>365</v>
      </c>
      <c r="C35" s="38">
        <f>SUMIFS($Q35:$AZ35,$Q$6:$AZ$6,"&gt;="&amp;C$61,$Q$6:$AZ$6,"&lt;="&amp;C$62)</f>
        <v>61.2</v>
      </c>
      <c r="D35" s="38">
        <f>SUMIFS($Q35:$AZ35,$Q$6:$AZ$6,"&gt;="&amp;D$61,$Q$6:$AZ$6,"&lt;="&amp;D$62)</f>
        <v>66.8</v>
      </c>
      <c r="E35" s="38">
        <f>SUMIFS($Q35:$AZ35,$Q$6:$AZ$6,"&gt;="&amp;E$61,$Q$6:$AZ$6,"&lt;="&amp;E$62)</f>
        <v>72.4</v>
      </c>
      <c r="G35" s="38">
        <f>SUMIFS($Q35:$AZ35,$Q$6:$AZ$6,"&gt;="&amp;G$61,$Q$6:$AZ$6,"&lt;="&amp;G$62)</f>
        <v>66.8</v>
      </c>
      <c r="H35" s="38">
        <f>SUMIFS($Q35:$AZ35,$Q$6:$AZ$6,"&gt;="&amp;H$61,$Q$6:$AZ$6,"&lt;="&amp;H$62)</f>
        <v>72.4</v>
      </c>
      <c r="J35" s="38">
        <f>SUMIFS($Q35:$AZ35,$Q$6:$AZ$6,"&gt;="&amp;J$61,$Q$6:$AZ$6,"&lt;="&amp;J$62)</f>
        <v>66.8</v>
      </c>
      <c r="K35" s="38">
        <f>SUMIFS($Q35:$AZ35,$Q$6:$AZ$6,"&gt;="&amp;K$61,$Q$6:$AZ$6,"&lt;="&amp;K$62)</f>
        <v>72.4</v>
      </c>
      <c r="L35" s="38">
        <f>SUMIFS($Q35:$AZ35,$Q$6:$AZ$6,"&gt;="&amp;L$61,$Q$6:$AZ$6,"&lt;="&amp;L$62)</f>
        <v>72.4</v>
      </c>
      <c r="N35" s="38">
        <f>L35-K35</f>
        <v>0</v>
      </c>
      <c r="O35" s="115">
        <f>IFERROR(L35/K35-1,"n.a.")</f>
        <v>0</v>
      </c>
      <c r="Q35" s="39">
        <f>SUMIFS('Databook'!Q$8:Q$33,'Databook'!$D$8:$D$33,"depreciation_amortization")/1000</f>
        <v>5.1</v>
      </c>
      <c r="R35" s="39">
        <f>SUMIFS('Databook'!R$8:R$33,'Databook'!$D$8:$D$33,"depreciation_amortization")/1000</f>
        <v>5.1</v>
      </c>
      <c r="S35" s="39">
        <f>SUMIFS('Databook'!S$8:S$33,'Databook'!$D$8:$D$33,"depreciation_amortization")/1000</f>
        <v>5.1</v>
      </c>
      <c r="T35" s="39">
        <f>SUMIFS('Databook'!T$8:T$33,'Databook'!$D$8:$D$33,"depreciation_amortization")/1000</f>
        <v>5.1</v>
      </c>
      <c r="U35" s="39">
        <f>SUMIFS('Databook'!U$8:U$33,'Databook'!$D$8:$D$33,"depreciation_amortization")/1000</f>
        <v>5.1</v>
      </c>
      <c r="V35" s="39">
        <f>SUMIFS('Databook'!V$8:V$33,'Databook'!$D$8:$D$33,"depreciation_amortization")/1000</f>
        <v>5.1</v>
      </c>
      <c r="W35" s="39">
        <f>SUMIFS('Databook'!W$8:W$33,'Databook'!$D$8:$D$33,"depreciation_amortization")/1000</f>
        <v>5.1</v>
      </c>
      <c r="X35" s="39">
        <f>SUMIFS('Databook'!X$8:X$33,'Databook'!$D$8:$D$33,"depreciation_amortization")/1000</f>
        <v>5.1</v>
      </c>
      <c r="Y35" s="39">
        <f>SUMIFS('Databook'!Y$8:Y$33,'Databook'!$D$8:$D$33,"depreciation_amortization")/1000</f>
        <v>5.1</v>
      </c>
      <c r="Z35" s="39">
        <f>SUMIFS('Databook'!Z$8:Z$33,'Databook'!$D$8:$D$33,"depreciation_amortization")/1000</f>
        <v>5.1</v>
      </c>
      <c r="AA35" s="39">
        <f>SUMIFS('Databook'!AA$8:AA$33,'Databook'!$D$8:$D$33,"depreciation_amortization")/1000</f>
        <v>5.1</v>
      </c>
      <c r="AB35" s="39">
        <f>SUMIFS('Databook'!AB$8:AB$33,'Databook'!$D$8:$D$33,"depreciation_amortization")/1000</f>
        <v>5.1</v>
      </c>
      <c r="AC35" s="39">
        <f>SUMIFS('Databook'!AC$8:AC$33,'Databook'!$D$8:$D$33,"depreciation_amortization")/1000</f>
        <v>5.567</v>
      </c>
      <c r="AD35" s="39">
        <f>SUMIFS('Databook'!AD$8:AD$33,'Databook'!$D$8:$D$33,"depreciation_amortization")/1000</f>
        <v>5.567</v>
      </c>
      <c r="AE35" s="39">
        <f>SUMIFS('Databook'!AE$8:AE$33,'Databook'!$D$8:$D$33,"depreciation_amortization")/1000</f>
        <v>5.567</v>
      </c>
      <c r="AF35" s="39">
        <f>SUMIFS('Databook'!AF$8:AF$33,'Databook'!$D$8:$D$33,"depreciation_amortization")/1000</f>
        <v>5.567</v>
      </c>
      <c r="AG35" s="39">
        <f>SUMIFS('Databook'!AG$8:AG$33,'Databook'!$D$8:$D$33,"depreciation_amortization")/1000</f>
        <v>5.567</v>
      </c>
      <c r="AH35" s="39">
        <f>SUMIFS('Databook'!AH$8:AH$33,'Databook'!$D$8:$D$33,"depreciation_amortization")/1000</f>
        <v>5.567</v>
      </c>
      <c r="AI35" s="39">
        <f>SUMIFS('Databook'!AI$8:AI$33,'Databook'!$D$8:$D$33,"depreciation_amortization")/1000</f>
        <v>5.567</v>
      </c>
      <c r="AJ35" s="39">
        <f>SUMIFS('Databook'!AJ$8:AJ$33,'Databook'!$D$8:$D$33,"depreciation_amortization")/1000</f>
        <v>5.567</v>
      </c>
      <c r="AK35" s="39">
        <f>SUMIFS('Databook'!AK$8:AK$33,'Databook'!$D$8:$D$33,"depreciation_amortization")/1000</f>
        <v>5.566</v>
      </c>
      <c r="AL35" s="39">
        <f>SUMIFS('Databook'!AL$8:AL$33,'Databook'!$D$8:$D$33,"depreciation_amortization")/1000</f>
        <v>5.566</v>
      </c>
      <c r="AM35" s="39">
        <f>SUMIFS('Databook'!AM$8:AM$33,'Databook'!$D$8:$D$33,"depreciation_amortization")/1000</f>
        <v>5.566</v>
      </c>
      <c r="AN35" s="39">
        <f>SUMIFS('Databook'!AN$8:AN$33,'Databook'!$D$8:$D$33,"depreciation_amortization")/1000</f>
        <v>5.566</v>
      </c>
      <c r="AO35" s="39">
        <f>SUMIFS('Databook'!AO$8:AO$33,'Databook'!$D$8:$D$33,"depreciation_amortization")/1000</f>
        <v>6.034</v>
      </c>
      <c r="AP35" s="39">
        <f>SUMIFS('Databook'!AP$8:AP$33,'Databook'!$D$8:$D$33,"depreciation_amortization")/1000</f>
        <v>6.034</v>
      </c>
      <c r="AQ35" s="39">
        <f>SUMIFS('Databook'!AQ$8:AQ$33,'Databook'!$D$8:$D$33,"depreciation_amortization")/1000</f>
        <v>6.034</v>
      </c>
      <c r="AR35" s="39">
        <f>SUMIFS('Databook'!AR$8:AR$33,'Databook'!$D$8:$D$33,"depreciation_amortization")/1000</f>
        <v>6.034</v>
      </c>
      <c r="AS35" s="39">
        <f>SUMIFS('Databook'!AS$8:AS$33,'Databook'!$D$8:$D$33,"depreciation_amortization")/1000</f>
        <v>6.033</v>
      </c>
      <c r="AT35" s="39">
        <f>SUMIFS('Databook'!AT$8:AT$33,'Databook'!$D$8:$D$33,"depreciation_amortization")/1000</f>
        <v>6.033</v>
      </c>
      <c r="AU35" s="39">
        <f>SUMIFS('Databook'!AU$8:AU$33,'Databook'!$D$8:$D$33,"depreciation_amortization")/1000</f>
        <v>6.033</v>
      </c>
      <c r="AV35" s="39">
        <f>SUMIFS('Databook'!AV$8:AV$33,'Databook'!$D$8:$D$33,"depreciation_amortization")/1000</f>
        <v>6.033</v>
      </c>
      <c r="AW35" s="39">
        <f>SUMIFS('Databook'!AW$8:AW$33,'Databook'!$D$8:$D$33,"depreciation_amortization")/1000</f>
        <v>6.033</v>
      </c>
      <c r="AX35" s="39">
        <f>SUMIFS('Databook'!AX$8:AX$33,'Databook'!$D$8:$D$33,"depreciation_amortization")/1000</f>
        <v>6.033</v>
      </c>
      <c r="AY35" s="39">
        <f>SUMIFS('Databook'!AY$8:AY$33,'Databook'!$D$8:$D$33,"depreciation_amortization")/1000</f>
        <v>6.033</v>
      </c>
      <c r="AZ35" s="39">
        <f>SUMIFS('Databook'!AZ$8:AZ$33,'Databook'!$D$8:$D$33,"depreciation_amortization")/1000</f>
        <v>6.033</v>
      </c>
    </row>
    <row r="36" ht="3.95" customHeight="1" x14ac:dyDescent="0.25"/>
    <row r="37" spans="2:52" x14ac:dyDescent="0.25">
      <c r="B37" s="116" t="s">
        <v>367</v>
      </c>
      <c r="C37" s="116">
        <f>SUMIFS($Q37:$AZ37,$Q$6:$AZ$6,"&gt;="&amp;C$61,$Q$6:$AZ$6,"&lt;="&amp;C$62)</f>
        <v>97</v>
      </c>
      <c r="D37" s="116">
        <f>SUMIFS($Q37:$AZ37,$Q$6:$AZ$6,"&gt;="&amp;D$61,$Q$6:$AZ$6,"&lt;="&amp;D$62)</f>
        <v>147.84</v>
      </c>
      <c r="E37" s="116">
        <f>SUMIFS($Q37:$AZ37,$Q$6:$AZ$6,"&gt;="&amp;E$61,$Q$6:$AZ$6,"&lt;="&amp;E$62)</f>
        <v>247.115</v>
      </c>
      <c r="G37" s="116">
        <f>SUMIFS($Q37:$AZ37,$Q$6:$AZ$6,"&gt;="&amp;G$61,$Q$6:$AZ$6,"&lt;="&amp;G$62)</f>
        <v>147.84</v>
      </c>
      <c r="H37" s="116">
        <f>SUMIFS($Q37:$AZ37,$Q$6:$AZ$6,"&gt;="&amp;H$61,$Q$6:$AZ$6,"&lt;="&amp;H$62)</f>
        <v>247.115</v>
      </c>
      <c r="J37" s="116">
        <f>SUMIFS($Q37:$AZ37,$Q$6:$AZ$6,"&gt;="&amp;J$61,$Q$6:$AZ$6,"&lt;="&amp;J$62)</f>
        <v>147.84</v>
      </c>
      <c r="K37" s="116">
        <f>SUMIFS($Q37:$AZ37,$Q$6:$AZ$6,"&gt;="&amp;K$61,$Q$6:$AZ$6,"&lt;="&amp;K$62)</f>
        <v>247.115</v>
      </c>
      <c r="L37" s="116">
        <f>SUMIFS($Q37:$AZ37,$Q$6:$AZ$6,"&gt;="&amp;L$61,$Q$6:$AZ$6,"&lt;="&amp;L$62)</f>
        <v>247.115</v>
      </c>
      <c r="N37" s="116">
        <f>L37-K37</f>
        <v>0</v>
      </c>
      <c r="O37" s="117">
        <f>IFERROR(L37/K37-1,"n.a.")</f>
        <v>0</v>
      </c>
      <c r="Q37" s="116">
        <f>Q32-Q35</f>
        <v>1.986</v>
      </c>
      <c r="R37" s="116">
        <f>R32-R35</f>
        <v>-3.903</v>
      </c>
      <c r="S37" s="116">
        <f>S32-S35</f>
        <v>-10.344</v>
      </c>
      <c r="T37" s="116">
        <f>T32-T35</f>
        <v>-6.609</v>
      </c>
      <c r="U37" s="116">
        <f>U32-U35</f>
        <v>4.332</v>
      </c>
      <c r="V37" s="116">
        <f>V32-V35</f>
        <v>18.212</v>
      </c>
      <c r="W37" s="116">
        <f>W32-W35</f>
        <v>25.337</v>
      </c>
      <c r="X37" s="116">
        <f>X32-X35</f>
        <v>21.515</v>
      </c>
      <c r="Y37" s="116">
        <f>Y32-Y35</f>
        <v>11.742</v>
      </c>
      <c r="Z37" s="116">
        <f>Z32-Z35</f>
        <v>1.926</v>
      </c>
      <c r="AA37" s="116">
        <f>AA32-AA35</f>
        <v>9.527</v>
      </c>
      <c r="AB37" s="116">
        <f>AB32-AB35</f>
        <v>23.279</v>
      </c>
      <c r="AC37" s="116">
        <f>AC32-AC35</f>
        <v>7.307</v>
      </c>
      <c r="AD37" s="116">
        <f>AD32-AD35</f>
        <v>0.708</v>
      </c>
      <c r="AE37" s="116">
        <f>AE32-AE35</f>
        <v>-6.404</v>
      </c>
      <c r="AF37" s="116">
        <f>AF32-AF35</f>
        <v>-2.108</v>
      </c>
      <c r="AG37" s="116">
        <f>AG32-AG35</f>
        <v>10.109</v>
      </c>
      <c r="AH37" s="116">
        <f>AH32-AH35</f>
        <v>13.716</v>
      </c>
      <c r="AI37" s="116">
        <f>AI32-AI35</f>
        <v>21.746</v>
      </c>
      <c r="AJ37" s="116">
        <f>AJ32-AJ35</f>
        <v>29.452</v>
      </c>
      <c r="AK37" s="116">
        <f>AK32-AK35</f>
        <v>18.631</v>
      </c>
      <c r="AL37" s="116">
        <f>AL32-AL35</f>
        <v>7.569</v>
      </c>
      <c r="AM37" s="116">
        <f>AM32-AM35</f>
        <v>15.98</v>
      </c>
      <c r="AN37" s="116">
        <f>AN32-AN35</f>
        <v>31.134</v>
      </c>
      <c r="AO37" s="116">
        <f>AO32-AO35</f>
        <v>12.67</v>
      </c>
      <c r="AP37" s="116">
        <f>AP32-AP35</f>
        <v>5.379</v>
      </c>
      <c r="AQ37" s="116">
        <f>AQ32-AQ35</f>
        <v>-2.418</v>
      </c>
      <c r="AR37" s="116">
        <f>AR32-AR35</f>
        <v>2.424</v>
      </c>
      <c r="AS37" s="116">
        <f>AS32-AS35</f>
        <v>15.899</v>
      </c>
      <c r="AT37" s="116">
        <f>AT32-AT35</f>
        <v>33.235</v>
      </c>
      <c r="AU37" s="116">
        <f>AU32-AU35</f>
        <v>42.17</v>
      </c>
      <c r="AV37" s="116">
        <f>AV32-AV35</f>
        <v>37.436</v>
      </c>
      <c r="AW37" s="116">
        <f>AW32-AW35</f>
        <v>25.609</v>
      </c>
      <c r="AX37" s="116">
        <f>AX32-AX35</f>
        <v>13.303</v>
      </c>
      <c r="AY37" s="116">
        <f>AY32-AY35</f>
        <v>22.556</v>
      </c>
      <c r="AZ37" s="116">
        <f>AZ32-AZ35</f>
        <v>38.852</v>
      </c>
    </row>
    <row r="38" spans="2:52" x14ac:dyDescent="0.25">
      <c r="B38" s="52" t="s">
        <v>369</v>
      </c>
      <c r="C38" s="52">
        <f>SUMIFS($Q38:$AZ38,$Q$6:$AZ$6,"&gt;="&amp;C$61,$Q$6:$AZ$6,"&lt;="&amp;C$62)</f>
        <v>22.4</v>
      </c>
      <c r="D38" s="52">
        <f>SUMIFS($Q38:$AZ38,$Q$6:$AZ$6,"&gt;="&amp;D$61,$Q$6:$AZ$6,"&lt;="&amp;D$62)</f>
        <v>18.6</v>
      </c>
      <c r="E38" s="52">
        <f>SUMIFS($Q38:$AZ38,$Q$6:$AZ$6,"&gt;="&amp;E$61,$Q$6:$AZ$6,"&lt;="&amp;E$62)</f>
        <v>14.3</v>
      </c>
      <c r="G38" s="52">
        <f>SUMIFS($Q38:$AZ38,$Q$6:$AZ$6,"&gt;="&amp;G$61,$Q$6:$AZ$6,"&lt;="&amp;G$62)</f>
        <v>18.6</v>
      </c>
      <c r="H38" s="52">
        <f>SUMIFS($Q38:$AZ38,$Q$6:$AZ$6,"&gt;="&amp;H$61,$Q$6:$AZ$6,"&lt;="&amp;H$62)</f>
        <v>14.3</v>
      </c>
      <c r="J38" s="52">
        <f>SUMIFS($Q38:$AZ38,$Q$6:$AZ$6,"&gt;="&amp;J$61,$Q$6:$AZ$6,"&lt;="&amp;J$62)</f>
        <v>18.6</v>
      </c>
      <c r="K38" s="52">
        <f>SUMIFS($Q38:$AZ38,$Q$6:$AZ$6,"&gt;="&amp;K$61,$Q$6:$AZ$6,"&lt;="&amp;K$62)</f>
        <v>14.3</v>
      </c>
      <c r="L38" s="52">
        <f>SUMIFS($Q38:$AZ38,$Q$6:$AZ$6,"&gt;="&amp;L$61,$Q$6:$AZ$6,"&lt;="&amp;L$62)</f>
        <v>14.3</v>
      </c>
      <c r="N38" s="52">
        <f>L38-K38</f>
        <v>0</v>
      </c>
      <c r="O38" s="115">
        <f>IFERROR(L38/K38-1,"n.a.")</f>
        <v>0</v>
      </c>
      <c r="Q38" s="53">
        <f>SUMIFS('Databook'!Q$8:Q$33,'Databook'!$D$8:$D$33,"interest_expense")/1000</f>
        <v>2.074</v>
      </c>
      <c r="R38" s="53">
        <f>SUMIFS('Databook'!R$8:R$33,'Databook'!$D$8:$D$33,"interest_expense")/1000</f>
        <v>2.036</v>
      </c>
      <c r="S38" s="53">
        <f>SUMIFS('Databook'!S$8:S$33,'Databook'!$D$8:$D$33,"interest_expense")/1000</f>
        <v>1.999</v>
      </c>
      <c r="T38" s="53">
        <f>SUMIFS('Databook'!T$8:T$33,'Databook'!$D$8:$D$33,"interest_expense")/1000</f>
        <v>1.961</v>
      </c>
      <c r="U38" s="53">
        <f>SUMIFS('Databook'!U$8:U$33,'Databook'!$D$8:$D$33,"interest_expense")/1000</f>
        <v>1.923</v>
      </c>
      <c r="V38" s="53">
        <f>SUMIFS('Databook'!V$8:V$33,'Databook'!$D$8:$D$33,"interest_expense")/1000</f>
        <v>1.886</v>
      </c>
      <c r="W38" s="53">
        <f>SUMIFS('Databook'!W$8:W$33,'Databook'!$D$8:$D$33,"interest_expense")/1000</f>
        <v>1.848</v>
      </c>
      <c r="X38" s="53">
        <f>SUMIFS('Databook'!X$8:X$33,'Databook'!$D$8:$D$33,"interest_expense")/1000</f>
        <v>1.81</v>
      </c>
      <c r="Y38" s="53">
        <f>SUMIFS('Databook'!Y$8:Y$33,'Databook'!$D$8:$D$33,"interest_expense")/1000</f>
        <v>1.772</v>
      </c>
      <c r="Z38" s="53">
        <f>SUMIFS('Databook'!Z$8:Z$33,'Databook'!$D$8:$D$33,"interest_expense")/1000</f>
        <v>1.735</v>
      </c>
      <c r="AA38" s="53">
        <f>SUMIFS('Databook'!AA$8:AA$33,'Databook'!$D$8:$D$33,"interest_expense")/1000</f>
        <v>1.697</v>
      </c>
      <c r="AB38" s="53">
        <f>SUMIFS('Databook'!AB$8:AB$33,'Databook'!$D$8:$D$33,"interest_expense")/1000</f>
        <v>1.659</v>
      </c>
      <c r="AC38" s="53">
        <f>SUMIFS('Databook'!AC$8:AC$33,'Databook'!$D$8:$D$33,"interest_expense")/1000</f>
        <v>1.722</v>
      </c>
      <c r="AD38" s="53">
        <f>SUMIFS('Databook'!AD$8:AD$33,'Databook'!$D$8:$D$33,"interest_expense")/1000</f>
        <v>1.691</v>
      </c>
      <c r="AE38" s="53">
        <f>SUMIFS('Databook'!AE$8:AE$33,'Databook'!$D$8:$D$33,"interest_expense")/1000</f>
        <v>1.66</v>
      </c>
      <c r="AF38" s="53">
        <f>SUMIFS('Databook'!AF$8:AF$33,'Databook'!$D$8:$D$33,"interest_expense")/1000</f>
        <v>1.628</v>
      </c>
      <c r="AG38" s="53">
        <f>SUMIFS('Databook'!AG$8:AG$33,'Databook'!$D$8:$D$33,"interest_expense")/1000</f>
        <v>1.597</v>
      </c>
      <c r="AH38" s="53">
        <f>SUMIFS('Databook'!AH$8:AH$33,'Databook'!$D$8:$D$33,"interest_expense")/1000</f>
        <v>1.566</v>
      </c>
      <c r="AI38" s="53">
        <f>SUMIFS('Databook'!AI$8:AI$33,'Databook'!$D$8:$D$33,"interest_expense")/1000</f>
        <v>1.534</v>
      </c>
      <c r="AJ38" s="53">
        <f>SUMIFS('Databook'!AJ$8:AJ$33,'Databook'!$D$8:$D$33,"interest_expense")/1000</f>
        <v>1.503</v>
      </c>
      <c r="AK38" s="53">
        <f>SUMIFS('Databook'!AK$8:AK$33,'Databook'!$D$8:$D$33,"interest_expense")/1000</f>
        <v>1.472</v>
      </c>
      <c r="AL38" s="53">
        <f>SUMIFS('Databook'!AL$8:AL$33,'Databook'!$D$8:$D$33,"interest_expense")/1000</f>
        <v>1.44</v>
      </c>
      <c r="AM38" s="53">
        <f>SUMIFS('Databook'!AM$8:AM$33,'Databook'!$D$8:$D$33,"interest_expense")/1000</f>
        <v>1.409</v>
      </c>
      <c r="AN38" s="53">
        <f>SUMIFS('Databook'!AN$8:AN$33,'Databook'!$D$8:$D$33,"interest_expense")/1000</f>
        <v>1.378</v>
      </c>
      <c r="AO38" s="53">
        <f>SUMIFS('Databook'!AO$8:AO$33,'Databook'!$D$8:$D$33,"interest_expense")/1000</f>
        <v>1.324</v>
      </c>
      <c r="AP38" s="53">
        <f>SUMIFS('Databook'!AP$8:AP$33,'Databook'!$D$8:$D$33,"interest_expense")/1000</f>
        <v>1.3</v>
      </c>
      <c r="AQ38" s="53">
        <f>SUMIFS('Databook'!AQ$8:AQ$33,'Databook'!$D$8:$D$33,"interest_expense")/1000</f>
        <v>1.276</v>
      </c>
      <c r="AR38" s="53">
        <f>SUMIFS('Databook'!AR$8:AR$33,'Databook'!$D$8:$D$33,"interest_expense")/1000</f>
        <v>1.252</v>
      </c>
      <c r="AS38" s="53">
        <f>SUMIFS('Databook'!AS$8:AS$33,'Databook'!$D$8:$D$33,"interest_expense")/1000</f>
        <v>1.228</v>
      </c>
      <c r="AT38" s="53">
        <f>SUMIFS('Databook'!AT$8:AT$33,'Databook'!$D$8:$D$33,"interest_expense")/1000</f>
        <v>1.204</v>
      </c>
      <c r="AU38" s="53">
        <f>SUMIFS('Databook'!AU$8:AU$33,'Databook'!$D$8:$D$33,"interest_expense")/1000</f>
        <v>1.18</v>
      </c>
      <c r="AV38" s="53">
        <f>SUMIFS('Databook'!AV$8:AV$33,'Databook'!$D$8:$D$33,"interest_expense")/1000</f>
        <v>1.156</v>
      </c>
      <c r="AW38" s="53">
        <f>SUMIFS('Databook'!AW$8:AW$33,'Databook'!$D$8:$D$33,"interest_expense")/1000</f>
        <v>1.131</v>
      </c>
      <c r="AX38" s="53">
        <f>SUMIFS('Databook'!AX$8:AX$33,'Databook'!$D$8:$D$33,"interest_expense")/1000</f>
        <v>1.107</v>
      </c>
      <c r="AY38" s="53">
        <f>SUMIFS('Databook'!AY$8:AY$33,'Databook'!$D$8:$D$33,"interest_expense")/1000</f>
        <v>1.083</v>
      </c>
      <c r="AZ38" s="53">
        <f>SUMIFS('Databook'!AZ$8:AZ$33,'Databook'!$D$8:$D$33,"interest_expense")/1000</f>
        <v>1.059</v>
      </c>
    </row>
    <row r="39" ht="3.95" customHeight="1" x14ac:dyDescent="0.25"/>
    <row r="40" spans="2:52" x14ac:dyDescent="0.25">
      <c r="B40" s="116" t="s">
        <v>371</v>
      </c>
      <c r="C40" s="116">
        <f>SUMIFS($Q40:$AZ40,$Q$6:$AZ$6,"&gt;="&amp;C$61,$Q$6:$AZ$6,"&lt;="&amp;C$62)</f>
        <v>74.6</v>
      </c>
      <c r="D40" s="116">
        <f>SUMIFS($Q40:$AZ40,$Q$6:$AZ$6,"&gt;="&amp;D$61,$Q$6:$AZ$6,"&lt;="&amp;D$62)</f>
        <v>129.24</v>
      </c>
      <c r="E40" s="116">
        <f>SUMIFS($Q40:$AZ40,$Q$6:$AZ$6,"&gt;="&amp;E$61,$Q$6:$AZ$6,"&lt;="&amp;E$62)</f>
        <v>232.815</v>
      </c>
      <c r="G40" s="116">
        <f>SUMIFS($Q40:$AZ40,$Q$6:$AZ$6,"&gt;="&amp;G$61,$Q$6:$AZ$6,"&lt;="&amp;G$62)</f>
        <v>129.24</v>
      </c>
      <c r="H40" s="116">
        <f>SUMIFS($Q40:$AZ40,$Q$6:$AZ$6,"&gt;="&amp;H$61,$Q$6:$AZ$6,"&lt;="&amp;H$62)</f>
        <v>232.815</v>
      </c>
      <c r="J40" s="116">
        <f>SUMIFS($Q40:$AZ40,$Q$6:$AZ$6,"&gt;="&amp;J$61,$Q$6:$AZ$6,"&lt;="&amp;J$62)</f>
        <v>129.24</v>
      </c>
      <c r="K40" s="116">
        <f>SUMIFS($Q40:$AZ40,$Q$6:$AZ$6,"&gt;="&amp;K$61,$Q$6:$AZ$6,"&lt;="&amp;K$62)</f>
        <v>232.815</v>
      </c>
      <c r="L40" s="116">
        <f>SUMIFS($Q40:$AZ40,$Q$6:$AZ$6,"&gt;="&amp;L$61,$Q$6:$AZ$6,"&lt;="&amp;L$62)</f>
        <v>232.815</v>
      </c>
      <c r="N40" s="116">
        <f>L40-K40</f>
        <v>0</v>
      </c>
      <c r="O40" s="117">
        <f>IFERROR(L40/K40-1,"n.a.")</f>
        <v>0</v>
      </c>
      <c r="Q40" s="116">
        <f>Q37-Q38</f>
        <v>-0.088</v>
      </c>
      <c r="R40" s="116">
        <f>R37-R38</f>
        <v>-5.939</v>
      </c>
      <c r="S40" s="116">
        <f>S37-S38</f>
        <v>-12.343</v>
      </c>
      <c r="T40" s="116">
        <f>T37-T38</f>
        <v>-8.57</v>
      </c>
      <c r="U40" s="116">
        <f>U37-U38</f>
        <v>2.409</v>
      </c>
      <c r="V40" s="116">
        <f>V37-V38</f>
        <v>16.326</v>
      </c>
      <c r="W40" s="116">
        <f>W37-W38</f>
        <v>23.489</v>
      </c>
      <c r="X40" s="116">
        <f>X37-X38</f>
        <v>19.705</v>
      </c>
      <c r="Y40" s="116">
        <f>Y37-Y38</f>
        <v>9.97</v>
      </c>
      <c r="Z40" s="116">
        <f>Z37-Z38</f>
        <v>0.191</v>
      </c>
      <c r="AA40" s="116">
        <f>AA37-AA38</f>
        <v>7.83</v>
      </c>
      <c r="AB40" s="116">
        <f>AB37-AB38</f>
        <v>21.62</v>
      </c>
      <c r="AC40" s="116">
        <f>AC37-AC38</f>
        <v>5.585</v>
      </c>
      <c r="AD40" s="116">
        <f>AD37-AD38</f>
        <v>-0.983</v>
      </c>
      <c r="AE40" s="116">
        <f>AE37-AE38</f>
        <v>-8.064</v>
      </c>
      <c r="AF40" s="116">
        <f>AF37-AF38</f>
        <v>-3.736</v>
      </c>
      <c r="AG40" s="116">
        <f>AG37-AG38</f>
        <v>8.512</v>
      </c>
      <c r="AH40" s="116">
        <f>AH37-AH38</f>
        <v>12.15</v>
      </c>
      <c r="AI40" s="116">
        <f>AI37-AI38</f>
        <v>20.212</v>
      </c>
      <c r="AJ40" s="116">
        <f>AJ37-AJ38</f>
        <v>27.949</v>
      </c>
      <c r="AK40" s="116">
        <f>AK37-AK38</f>
        <v>17.159</v>
      </c>
      <c r="AL40" s="116">
        <f>AL37-AL38</f>
        <v>6.129</v>
      </c>
      <c r="AM40" s="116">
        <f>AM37-AM38</f>
        <v>14.571</v>
      </c>
      <c r="AN40" s="116">
        <f>AN37-AN38</f>
        <v>29.756</v>
      </c>
      <c r="AO40" s="116">
        <f>AO37-AO38</f>
        <v>11.346</v>
      </c>
      <c r="AP40" s="116">
        <f>AP37-AP38</f>
        <v>4.079</v>
      </c>
      <c r="AQ40" s="116">
        <f>AQ37-AQ38</f>
        <v>-3.694</v>
      </c>
      <c r="AR40" s="116">
        <f>AR37-AR38</f>
        <v>1.172</v>
      </c>
      <c r="AS40" s="116">
        <f>AS37-AS38</f>
        <v>14.671</v>
      </c>
      <c r="AT40" s="116">
        <f>AT37-AT38</f>
        <v>32.031</v>
      </c>
      <c r="AU40" s="116">
        <f>AU37-AU38</f>
        <v>40.99</v>
      </c>
      <c r="AV40" s="116">
        <f>AV37-AV38</f>
        <v>36.28</v>
      </c>
      <c r="AW40" s="116">
        <f>AW37-AW38</f>
        <v>24.478</v>
      </c>
      <c r="AX40" s="116">
        <f>AX37-AX38</f>
        <v>12.196</v>
      </c>
      <c r="AY40" s="116">
        <f>AY37-AY38</f>
        <v>21.473</v>
      </c>
      <c r="AZ40" s="116">
        <f>AZ37-AZ38</f>
        <v>37.793</v>
      </c>
    </row>
    <row r="41" spans="2:52" x14ac:dyDescent="0.25">
      <c r="B41" s="52" t="s">
        <v>373</v>
      </c>
      <c r="C41" s="52">
        <f>SUMIFS($Q41:$AZ41,$Q$6:$AZ$6,"&gt;="&amp;C$61,$Q$6:$AZ$6,"&lt;="&amp;C$62)</f>
        <v>0</v>
      </c>
      <c r="D41" s="52">
        <f>SUMIFS($Q41:$AZ41,$Q$6:$AZ$6,"&gt;="&amp;D$61,$Q$6:$AZ$6,"&lt;="&amp;D$62)</f>
        <v>0</v>
      </c>
      <c r="E41" s="52">
        <f>SUMIFS($Q41:$AZ41,$Q$6:$AZ$6,"&gt;="&amp;E$61,$Q$6:$AZ$6,"&lt;="&amp;E$62)</f>
        <v>0</v>
      </c>
      <c r="G41" s="52">
        <f>SUMIFS($Q41:$AZ41,$Q$6:$AZ$6,"&gt;="&amp;G$61,$Q$6:$AZ$6,"&lt;="&amp;G$62)</f>
        <v>0</v>
      </c>
      <c r="H41" s="52">
        <f>SUMIFS($Q41:$AZ41,$Q$6:$AZ$6,"&gt;="&amp;H$61,$Q$6:$AZ$6,"&lt;="&amp;H$62)</f>
        <v>0</v>
      </c>
      <c r="J41" s="52">
        <f>SUMIFS($Q41:$AZ41,$Q$6:$AZ$6,"&gt;="&amp;J$61,$Q$6:$AZ$6,"&lt;="&amp;J$62)</f>
        <v>0</v>
      </c>
      <c r="K41" s="52">
        <f>SUMIFS($Q41:$AZ41,$Q$6:$AZ$6,"&gt;="&amp;K$61,$Q$6:$AZ$6,"&lt;="&amp;K$62)</f>
        <v>0</v>
      </c>
      <c r="L41" s="52">
        <f>SUMIFS($Q41:$AZ41,$Q$6:$AZ$6,"&gt;="&amp;L$61,$Q$6:$AZ$6,"&lt;="&amp;L$62)</f>
        <v>0</v>
      </c>
      <c r="N41" s="52">
        <f>L41-K41</f>
        <v>0</v>
      </c>
      <c r="O41" s="115" t="str">
        <f>IFERROR(L41/K41-1,"n.a.")</f>
        <v>n.a.</v>
      </c>
      <c r="Q41" s="53">
        <f>SUMIFS('Databook'!Q$8:Q$33,'Databook'!$D$8:$D$33,"income_tax")/1000</f>
        <v>0</v>
      </c>
      <c r="R41" s="53">
        <f>SUMIFS('Databook'!R$8:R$33,'Databook'!$D$8:$D$33,"income_tax")/1000</f>
        <v>0</v>
      </c>
      <c r="S41" s="53">
        <f>SUMIFS('Databook'!S$8:S$33,'Databook'!$D$8:$D$33,"income_tax")/1000</f>
        <v>0</v>
      </c>
      <c r="T41" s="53">
        <f>SUMIFS('Databook'!T$8:T$33,'Databook'!$D$8:$D$33,"income_tax")/1000</f>
        <v>0</v>
      </c>
      <c r="U41" s="53">
        <f>SUMIFS('Databook'!U$8:U$33,'Databook'!$D$8:$D$33,"income_tax")/1000</f>
        <v>0</v>
      </c>
      <c r="V41" s="53">
        <f>SUMIFS('Databook'!V$8:V$33,'Databook'!$D$8:$D$33,"income_tax")/1000</f>
        <v>0</v>
      </c>
      <c r="W41" s="53">
        <f>SUMIFS('Databook'!W$8:W$33,'Databook'!$D$8:$D$33,"income_tax")/1000</f>
        <v>0</v>
      </c>
      <c r="X41" s="53">
        <f>SUMIFS('Databook'!X$8:X$33,'Databook'!$D$8:$D$33,"income_tax")/1000</f>
        <v>0</v>
      </c>
      <c r="Y41" s="53">
        <f>SUMIFS('Databook'!Y$8:Y$33,'Databook'!$D$8:$D$33,"income_tax")/1000</f>
        <v>0</v>
      </c>
      <c r="Z41" s="53">
        <f>SUMIFS('Databook'!Z$8:Z$33,'Databook'!$D$8:$D$33,"income_tax")/1000</f>
        <v>0</v>
      </c>
      <c r="AA41" s="53">
        <f>SUMIFS('Databook'!AA$8:AA$33,'Databook'!$D$8:$D$33,"income_tax")/1000</f>
        <v>0</v>
      </c>
      <c r="AB41" s="53">
        <f>SUMIFS('Databook'!AB$8:AB$33,'Databook'!$D$8:$D$33,"income_tax")/1000</f>
        <v>0</v>
      </c>
      <c r="AC41" s="53">
        <f>SUMIFS('Databook'!AC$8:AC$33,'Databook'!$D$8:$D$33,"income_tax")/1000</f>
        <v>0</v>
      </c>
      <c r="AD41" s="53">
        <f>SUMIFS('Databook'!AD$8:AD$33,'Databook'!$D$8:$D$33,"income_tax")/1000</f>
        <v>0</v>
      </c>
      <c r="AE41" s="53">
        <f>SUMIFS('Databook'!AE$8:AE$33,'Databook'!$D$8:$D$33,"income_tax")/1000</f>
        <v>0</v>
      </c>
      <c r="AF41" s="53">
        <f>SUMIFS('Databook'!AF$8:AF$33,'Databook'!$D$8:$D$33,"income_tax")/1000</f>
        <v>0</v>
      </c>
      <c r="AG41" s="53">
        <f>SUMIFS('Databook'!AG$8:AG$33,'Databook'!$D$8:$D$33,"income_tax")/1000</f>
        <v>0</v>
      </c>
      <c r="AH41" s="53">
        <f>SUMIFS('Databook'!AH$8:AH$33,'Databook'!$D$8:$D$33,"income_tax")/1000</f>
        <v>0</v>
      </c>
      <c r="AI41" s="53">
        <f>SUMIFS('Databook'!AI$8:AI$33,'Databook'!$D$8:$D$33,"income_tax")/1000</f>
        <v>0</v>
      </c>
      <c r="AJ41" s="53">
        <f>SUMIFS('Databook'!AJ$8:AJ$33,'Databook'!$D$8:$D$33,"income_tax")/1000</f>
        <v>0</v>
      </c>
      <c r="AK41" s="53">
        <f>SUMIFS('Databook'!AK$8:AK$33,'Databook'!$D$8:$D$33,"income_tax")/1000</f>
        <v>0</v>
      </c>
      <c r="AL41" s="53">
        <f>SUMIFS('Databook'!AL$8:AL$33,'Databook'!$D$8:$D$33,"income_tax")/1000</f>
        <v>0</v>
      </c>
      <c r="AM41" s="53">
        <f>SUMIFS('Databook'!AM$8:AM$33,'Databook'!$D$8:$D$33,"income_tax")/1000</f>
        <v>0</v>
      </c>
      <c r="AN41" s="53">
        <f>SUMIFS('Databook'!AN$8:AN$33,'Databook'!$D$8:$D$33,"income_tax")/1000</f>
        <v>0</v>
      </c>
      <c r="AO41" s="53">
        <f>SUMIFS('Databook'!AO$8:AO$33,'Databook'!$D$8:$D$33,"income_tax")/1000</f>
        <v>0</v>
      </c>
      <c r="AP41" s="53">
        <f>SUMIFS('Databook'!AP$8:AP$33,'Databook'!$D$8:$D$33,"income_tax")/1000</f>
        <v>0</v>
      </c>
      <c r="AQ41" s="53">
        <f>SUMIFS('Databook'!AQ$8:AQ$33,'Databook'!$D$8:$D$33,"income_tax")/1000</f>
        <v>0</v>
      </c>
      <c r="AR41" s="53">
        <f>SUMIFS('Databook'!AR$8:AR$33,'Databook'!$D$8:$D$33,"income_tax")/1000</f>
        <v>0</v>
      </c>
      <c r="AS41" s="53">
        <f>SUMIFS('Databook'!AS$8:AS$33,'Databook'!$D$8:$D$33,"income_tax")/1000</f>
        <v>0</v>
      </c>
      <c r="AT41" s="53">
        <f>SUMIFS('Databook'!AT$8:AT$33,'Databook'!$D$8:$D$33,"income_tax")/1000</f>
        <v>0</v>
      </c>
      <c r="AU41" s="53">
        <f>SUMIFS('Databook'!AU$8:AU$33,'Databook'!$D$8:$D$33,"income_tax")/1000</f>
        <v>0</v>
      </c>
      <c r="AV41" s="53">
        <f>SUMIFS('Databook'!AV$8:AV$33,'Databook'!$D$8:$D$33,"income_tax")/1000</f>
        <v>0</v>
      </c>
      <c r="AW41" s="53">
        <f>SUMIFS('Databook'!AW$8:AW$33,'Databook'!$D$8:$D$33,"income_tax")/1000</f>
        <v>0</v>
      </c>
      <c r="AX41" s="53">
        <f>SUMIFS('Databook'!AX$8:AX$33,'Databook'!$D$8:$D$33,"income_tax")/1000</f>
        <v>0</v>
      </c>
      <c r="AY41" s="53">
        <f>SUMIFS('Databook'!AY$8:AY$33,'Databook'!$D$8:$D$33,"income_tax")/1000</f>
        <v>0</v>
      </c>
      <c r="AZ41" s="53">
        <f>SUMIFS('Databook'!AZ$8:AZ$33,'Databook'!$D$8:$D$33,"income_tax")/1000</f>
        <v>0</v>
      </c>
    </row>
    <row r="42" ht="3.95" customHeight="1" x14ac:dyDescent="0.25"/>
    <row r="43" spans="2:52" x14ac:dyDescent="0.25">
      <c r="B43" s="42" t="s">
        <v>92</v>
      </c>
      <c r="C43" s="119">
        <f>SUMIFS($Q43:$AZ43,$Q$6:$AZ$6,"&gt;="&amp;C$61,$Q$6:$AZ$6,"&lt;="&amp;C$62)</f>
        <v>74.6</v>
      </c>
      <c r="D43" s="120">
        <f>SUMIFS($Q43:$AZ43,$Q$6:$AZ$6,"&gt;="&amp;D$61,$Q$6:$AZ$6,"&lt;="&amp;D$62)</f>
        <v>129.24</v>
      </c>
      <c r="E43" s="121">
        <f>SUMIFS($Q43:$AZ43,$Q$6:$AZ$6,"&gt;="&amp;E$61,$Q$6:$AZ$6,"&lt;="&amp;E$62)</f>
        <v>232.815</v>
      </c>
      <c r="G43" s="119">
        <f>SUMIFS($Q43:$AZ43,$Q$6:$AZ$6,"&gt;="&amp;G$61,$Q$6:$AZ$6,"&lt;="&amp;G$62)</f>
        <v>129.24</v>
      </c>
      <c r="H43" s="121">
        <f>SUMIFS($Q43:$AZ43,$Q$6:$AZ$6,"&gt;="&amp;H$61,$Q$6:$AZ$6,"&lt;="&amp;H$62)</f>
        <v>232.815</v>
      </c>
      <c r="J43" s="119">
        <f>SUMIFS($Q43:$AZ43,$Q$6:$AZ$6,"&gt;="&amp;J$61,$Q$6:$AZ$6,"&lt;="&amp;J$62)</f>
        <v>129.24</v>
      </c>
      <c r="K43" s="121">
        <f>SUMIFS($Q43:$AZ43,$Q$6:$AZ$6,"&gt;="&amp;K$61,$Q$6:$AZ$6,"&lt;="&amp;K$62)</f>
        <v>232.815</v>
      </c>
      <c r="L43" s="42">
        <f>SUMIFS($Q43:$AZ43,$Q$6:$AZ$6,"&gt;="&amp;L$61,$Q$6:$AZ$6,"&lt;="&amp;L$62)</f>
        <v>232.815</v>
      </c>
      <c r="N43" s="119">
        <f>L43-K43</f>
        <v>0</v>
      </c>
      <c r="O43" s="122">
        <f>IFERROR(L43/K43-1,"n.a.")</f>
        <v>0</v>
      </c>
      <c r="Q43" s="119">
        <f>Q40-Q41</f>
        <v>-0.088</v>
      </c>
      <c r="R43" s="120">
        <f>R40-R41</f>
        <v>-5.939</v>
      </c>
      <c r="S43" s="120">
        <f>S40-S41</f>
        <v>-12.343</v>
      </c>
      <c r="T43" s="120">
        <f>T40-T41</f>
        <v>-8.57</v>
      </c>
      <c r="U43" s="120">
        <f>U40-U41</f>
        <v>2.409</v>
      </c>
      <c r="V43" s="120">
        <f>V40-V41</f>
        <v>16.326</v>
      </c>
      <c r="W43" s="120">
        <f>W40-W41</f>
        <v>23.489</v>
      </c>
      <c r="X43" s="120">
        <f>X40-X41</f>
        <v>19.705</v>
      </c>
      <c r="Y43" s="120">
        <f>Y40-Y41</f>
        <v>9.97</v>
      </c>
      <c r="Z43" s="120">
        <f>Z40-Z41</f>
        <v>0.191</v>
      </c>
      <c r="AA43" s="120">
        <f>AA40-AA41</f>
        <v>7.83</v>
      </c>
      <c r="AB43" s="120">
        <f>AB40-AB41</f>
        <v>21.62</v>
      </c>
      <c r="AC43" s="120">
        <f>AC40-AC41</f>
        <v>5.585</v>
      </c>
      <c r="AD43" s="120">
        <f>AD40-AD41</f>
        <v>-0.983</v>
      </c>
      <c r="AE43" s="120">
        <f>AE40-AE41</f>
        <v>-8.064</v>
      </c>
      <c r="AF43" s="120">
        <f>AF40-AF41</f>
        <v>-3.736</v>
      </c>
      <c r="AG43" s="120">
        <f>AG40-AG41</f>
        <v>8.512</v>
      </c>
      <c r="AH43" s="120">
        <f>AH40-AH41</f>
        <v>12.15</v>
      </c>
      <c r="AI43" s="120">
        <f>AI40-AI41</f>
        <v>20.212</v>
      </c>
      <c r="AJ43" s="120">
        <f>AJ40-AJ41</f>
        <v>27.949</v>
      </c>
      <c r="AK43" s="120">
        <f>AK40-AK41</f>
        <v>17.159</v>
      </c>
      <c r="AL43" s="120">
        <f>AL40-AL41</f>
        <v>6.129</v>
      </c>
      <c r="AM43" s="120">
        <f>AM40-AM41</f>
        <v>14.571</v>
      </c>
      <c r="AN43" s="120">
        <f>AN40-AN41</f>
        <v>29.756</v>
      </c>
      <c r="AO43" s="120">
        <f>AO40-AO41</f>
        <v>11.346</v>
      </c>
      <c r="AP43" s="120">
        <f>AP40-AP41</f>
        <v>4.079</v>
      </c>
      <c r="AQ43" s="120">
        <f>AQ40-AQ41</f>
        <v>-3.694</v>
      </c>
      <c r="AR43" s="120">
        <f>AR40-AR41</f>
        <v>1.172</v>
      </c>
      <c r="AS43" s="120">
        <f>AS40-AS41</f>
        <v>14.671</v>
      </c>
      <c r="AT43" s="120">
        <f>AT40-AT41</f>
        <v>32.031</v>
      </c>
      <c r="AU43" s="120">
        <f>AU40-AU41</f>
        <v>40.99</v>
      </c>
      <c r="AV43" s="120">
        <f>AV40-AV41</f>
        <v>36.28</v>
      </c>
      <c r="AW43" s="120">
        <f>AW40-AW41</f>
        <v>24.478</v>
      </c>
      <c r="AX43" s="120">
        <f>AX40-AX41</f>
        <v>12.196</v>
      </c>
      <c r="AY43" s="120">
        <f>AY40-AY41</f>
        <v>21.473</v>
      </c>
      <c r="AZ43" s="121">
        <f>AZ40-AZ41</f>
        <v>37.793</v>
      </c>
    </row>
    <row r="44" spans="2:52" x14ac:dyDescent="0.25">
      <c r="B44" s="47" t="s">
        <v>90</v>
      </c>
      <c r="C44" s="123">
        <f>IFERROR(C43/C14,"n.m.")</f>
        <v>0.030995512713977064</v>
      </c>
      <c r="D44" s="124">
        <f>IFERROR(D43/D14,"n.m.")</f>
        <v>0.047539174575148974</v>
      </c>
      <c r="E44" s="125">
        <f>IFERROR(E43/E14,"n.m.")</f>
        <v>0.07656373322809787</v>
      </c>
      <c r="G44" s="123">
        <f>IFERROR(G43/G14,"n.m.")</f>
        <v>0.047539174575148974</v>
      </c>
      <c r="H44" s="125">
        <f>IFERROR(H43/H14,"n.m.")</f>
        <v>0.07656373322809787</v>
      </c>
      <c r="J44" s="123">
        <f>IFERROR(J43/J14,"n.m.")</f>
        <v>0.047539174575148974</v>
      </c>
      <c r="K44" s="125">
        <f>IFERROR(K43/K14,"n.m.")</f>
        <v>0.07656373322809787</v>
      </c>
      <c r="L44" s="126">
        <f>IFERROR(L43/L14,"n.m.")</f>
        <v>0.07656373322809787</v>
      </c>
      <c r="N44" s="127"/>
      <c r="O44" s="128"/>
      <c r="Q44" s="123">
        <f>IFERROR(Q43/Q14,"n.m.")</f>
        <v>-0.0004870758842087784</v>
      </c>
      <c r="R44" s="124">
        <f>IFERROR(R43/R14,"n.m.")</f>
        <v>-0.035448674330599624</v>
      </c>
      <c r="S44" s="124">
        <f>IFERROR(S43/S14,"n.m.")</f>
        <v>-0.07577366737674425</v>
      </c>
      <c r="T44" s="124">
        <f>IFERROR(T43/T14,"n.m.")</f>
        <v>-0.049402215894024465</v>
      </c>
      <c r="U44" s="124">
        <f>IFERROR(U43/U14,"n.m.")</f>
        <v>0.012209832742017233</v>
      </c>
      <c r="V44" s="124">
        <f>IFERROR(V43/V14,"n.m.")</f>
        <v>0.07078226411331405</v>
      </c>
      <c r="W44" s="124">
        <f>IFERROR(W43/W14,"n.m.")</f>
        <v>0.09440954344671804</v>
      </c>
      <c r="X44" s="124">
        <f>IFERROR(X43/X14,"n.m.")</f>
        <v>0.08374842745911394</v>
      </c>
      <c r="Y44" s="124">
        <f>IFERROR(Y43/Y14,"n.m.")</f>
        <v>0.04796382267336974</v>
      </c>
      <c r="Z44" s="124">
        <f>IFERROR(Z43/Z14,"n.m.")</f>
        <v>0.0010372035688491384</v>
      </c>
      <c r="AA44" s="124">
        <f>IFERROR(AA43/AA14,"n.m.")</f>
        <v>0.040599819556357525</v>
      </c>
      <c r="AB44" s="124">
        <f>IFERROR(AB43/AB14,"n.m.")</f>
        <v>0.09595455251536737</v>
      </c>
      <c r="AC44" s="124">
        <f>IFERROR(AC43/AC14,"n.m.")</f>
        <v>0.027363903165589586</v>
      </c>
      <c r="AD44" s="124">
        <f>IFERROR(AD43/AD14,"n.m.")</f>
        <v>-0.005189498524450826</v>
      </c>
      <c r="AE44" s="124">
        <f>IFERROR(AE43/AE14,"n.m.")</f>
        <v>-0.043752848492740415</v>
      </c>
      <c r="AF44" s="124">
        <f>IFERROR(AF43/AF14,"n.m.")</f>
        <v>-0.019038106788695358</v>
      </c>
      <c r="AG44" s="124">
        <f>IFERROR(AG43/AG14,"n.m.")</f>
        <v>0.03819369660420705</v>
      </c>
      <c r="AH44" s="124">
        <f>IFERROR(AH43/AH14,"n.m.")</f>
        <v>0.0466923378450045</v>
      </c>
      <c r="AI44" s="124">
        <f>IFERROR(AI43/AI14,"n.m.")</f>
        <v>0.07204445569223202</v>
      </c>
      <c r="AJ44" s="124">
        <f>IFERROR(AJ43/AJ14,"n.m.")</f>
        <v>0.1052911149202283</v>
      </c>
      <c r="AK44" s="124">
        <f>IFERROR(AK43/AK14,"n.m.")</f>
        <v>0.07304437406347909</v>
      </c>
      <c r="AL44" s="124">
        <f>IFERROR(AL43/AL14,"n.m.")</f>
        <v>0.029421789117442334</v>
      </c>
      <c r="AM44" s="124">
        <f>IFERROR(AM43/AM14,"n.m.")</f>
        <v>0.06683515737521444</v>
      </c>
      <c r="AN44" s="124">
        <f>IFERROR(AN43/AN14,"n.m.")</f>
        <v>0.11704868636883947</v>
      </c>
      <c r="AO44" s="124">
        <f>IFERROR(AO43/AO14,"n.m.")</f>
        <v>0.04968927778434696</v>
      </c>
      <c r="AP44" s="124">
        <f>IFERROR(AP43/AP14,"n.m.")</f>
        <v>0.01923004393822248</v>
      </c>
      <c r="AQ44" s="124">
        <f>IFERROR(AQ43/AQ14,"n.m.")</f>
        <v>-0.017884202932931817</v>
      </c>
      <c r="AR44" s="124">
        <f>IFERROR(AR43/AR14,"n.m.")</f>
        <v>0.005330834694091052</v>
      </c>
      <c r="AS44" s="124">
        <f>IFERROR(AS43/AS14,"n.m.")</f>
        <v>0.058853498074454426</v>
      </c>
      <c r="AT44" s="124">
        <f>IFERROR(AT43/AT14,"n.m.")</f>
        <v>0.11020509274072851</v>
      </c>
      <c r="AU44" s="124">
        <f>IFERROR(AU43/AU14,"n.m.")</f>
        <v>0.13088152651476448</v>
      </c>
      <c r="AV44" s="124">
        <f>IFERROR(AV43/AV14,"n.m.")</f>
        <v>0.12236459116802871</v>
      </c>
      <c r="AW44" s="124">
        <f>IFERROR(AW43/AW14,"n.m.")</f>
        <v>0.09311968835832705</v>
      </c>
      <c r="AX44" s="124">
        <f>IFERROR(AX43/AX14,"n.m.")</f>
        <v>0.05225767197127456</v>
      </c>
      <c r="AY44" s="124">
        <f>IFERROR(AY43/AY14,"n.m.")</f>
        <v>0.0879792189913508</v>
      </c>
      <c r="AZ44" s="125">
        <f>IFERROR(AZ43/AZ14,"n.m.")</f>
        <v>0.13306457291740018</v>
      </c>
    </row>
    <row r="45" ht="3.95" customHeight="1" x14ac:dyDescent="0.25"/>
    <row r="46" spans="2:52" x14ac:dyDescent="0.25">
      <c r="B46" s="37" t="s">
        <v>1345</v>
      </c>
      <c r="C46" s="37"/>
      <c r="D46" s="37"/>
      <c r="E46" s="37"/>
      <c r="G46" s="37"/>
      <c r="H46" s="37"/>
      <c r="J46" s="37"/>
      <c r="K46" s="37"/>
      <c r="L46" s="37"/>
      <c r="N46" s="37"/>
      <c r="O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7"/>
      <c r="AY46" s="37"/>
      <c r="AZ46" s="37"/>
    </row>
    <row r="47" spans="2:52" x14ac:dyDescent="0.25">
      <c r="B47" s="52" t="s">
        <v>1346</v>
      </c>
      <c r="C47" s="38">
        <f>SUMIFS($Q47:$AZ47,$Q$6:$AZ$6,"&gt;="&amp;C$61,$Q$6:$AZ$6,"&lt;="&amp;C$62)</f>
        <v>83.6</v>
      </c>
      <c r="D47" s="38">
        <f>SUMIFS($Q47:$AZ47,$Q$6:$AZ$6,"&gt;="&amp;D$61,$Q$6:$AZ$6,"&lt;="&amp;D$62)</f>
        <v>85.4</v>
      </c>
      <c r="E47" s="38">
        <f>SUMIFS($Q47:$AZ47,$Q$6:$AZ$6,"&gt;="&amp;E$61,$Q$6:$AZ$6,"&lt;="&amp;E$62)</f>
        <v>86.7</v>
      </c>
      <c r="G47" s="38">
        <f>SUMIFS($Q47:$AZ47,$Q$6:$AZ$6,"&gt;="&amp;G$61,$Q$6:$AZ$6,"&lt;="&amp;G$62)</f>
        <v>85.4</v>
      </c>
      <c r="H47" s="38">
        <f>SUMIFS($Q47:$AZ47,$Q$6:$AZ$6,"&gt;="&amp;H$61,$Q$6:$AZ$6,"&lt;="&amp;H$62)</f>
        <v>86.7</v>
      </c>
      <c r="J47" s="38">
        <f>SUMIFS($Q47:$AZ47,$Q$6:$AZ$6,"&gt;="&amp;J$61,$Q$6:$AZ$6,"&lt;="&amp;J$62)</f>
        <v>85.4</v>
      </c>
      <c r="K47" s="38">
        <f>SUMIFS($Q47:$AZ47,$Q$6:$AZ$6,"&gt;="&amp;K$61,$Q$6:$AZ$6,"&lt;="&amp;K$62)</f>
        <v>86.7</v>
      </c>
      <c r="L47" s="38">
        <f>SUMIFS($Q47:$AZ47,$Q$6:$AZ$6,"&gt;="&amp;L$61,$Q$6:$AZ$6,"&lt;="&amp;L$62)</f>
        <v>86.7</v>
      </c>
      <c r="N47" s="38">
        <f>L47-K47</f>
        <v>0</v>
      </c>
      <c r="O47" s="115">
        <f>IFERROR(L47/K47-1,"n.a.")</f>
        <v>0</v>
      </c>
      <c r="Q47" s="39">
        <f>INDEX('Adjustments'!$Y$48:$BH$48,MATCH(Q$6,'Adjustments'!$Y$6:$BH$6,0))</f>
        <v>7.174</v>
      </c>
      <c r="R47" s="39">
        <f>INDEX('Adjustments'!$Y$48:$BH$48,MATCH(R$6,'Adjustments'!$Y$6:$BH$6,0))</f>
        <v>7.136</v>
      </c>
      <c r="S47" s="39">
        <f>INDEX('Adjustments'!$Y$48:$BH$48,MATCH(S$6,'Adjustments'!$Y$6:$BH$6,0))</f>
        <v>7.099</v>
      </c>
      <c r="T47" s="39">
        <f>INDEX('Adjustments'!$Y$48:$BH$48,MATCH(T$6,'Adjustments'!$Y$6:$BH$6,0))</f>
        <v>7.061</v>
      </c>
      <c r="U47" s="39">
        <f>INDEX('Adjustments'!$Y$48:$BH$48,MATCH(U$6,'Adjustments'!$Y$6:$BH$6,0))</f>
        <v>7.023</v>
      </c>
      <c r="V47" s="39">
        <f>INDEX('Adjustments'!$Y$48:$BH$48,MATCH(V$6,'Adjustments'!$Y$6:$BH$6,0))</f>
        <v>6.986</v>
      </c>
      <c r="W47" s="39">
        <f>INDEX('Adjustments'!$Y$48:$BH$48,MATCH(W$6,'Adjustments'!$Y$6:$BH$6,0))</f>
        <v>6.948</v>
      </c>
      <c r="X47" s="39">
        <f>INDEX('Adjustments'!$Y$48:$BH$48,MATCH(X$6,'Adjustments'!$Y$6:$BH$6,0))</f>
        <v>6.91</v>
      </c>
      <c r="Y47" s="39">
        <f>INDEX('Adjustments'!$Y$48:$BH$48,MATCH(Y$6,'Adjustments'!$Y$6:$BH$6,0))</f>
        <v>6.872</v>
      </c>
      <c r="Z47" s="39">
        <f>INDEX('Adjustments'!$Y$48:$BH$48,MATCH(Z$6,'Adjustments'!$Y$6:$BH$6,0))</f>
        <v>6.835</v>
      </c>
      <c r="AA47" s="39">
        <f>INDEX('Adjustments'!$Y$48:$BH$48,MATCH(AA$6,'Adjustments'!$Y$6:$BH$6,0))</f>
        <v>6.797</v>
      </c>
      <c r="AB47" s="39">
        <f>INDEX('Adjustments'!$Y$48:$BH$48,MATCH(AB$6,'Adjustments'!$Y$6:$BH$6,0))</f>
        <v>6.759</v>
      </c>
      <c r="AC47" s="39">
        <f>INDEX('Adjustments'!$Y$48:$BH$48,MATCH(AC$6,'Adjustments'!$Y$6:$BH$6,0))</f>
        <v>7.289</v>
      </c>
      <c r="AD47" s="39">
        <f>INDEX('Adjustments'!$Y$48:$BH$48,MATCH(AD$6,'Adjustments'!$Y$6:$BH$6,0))</f>
        <v>7.258</v>
      </c>
      <c r="AE47" s="39">
        <f>INDEX('Adjustments'!$Y$48:$BH$48,MATCH(AE$6,'Adjustments'!$Y$6:$BH$6,0))</f>
        <v>7.227</v>
      </c>
      <c r="AF47" s="39">
        <f>INDEX('Adjustments'!$Y$48:$BH$48,MATCH(AF$6,'Adjustments'!$Y$6:$BH$6,0))</f>
        <v>7.195</v>
      </c>
      <c r="AG47" s="39">
        <f>INDEX('Adjustments'!$Y$48:$BH$48,MATCH(AG$6,'Adjustments'!$Y$6:$BH$6,0))</f>
        <v>7.164</v>
      </c>
      <c r="AH47" s="39">
        <f>INDEX('Adjustments'!$Y$48:$BH$48,MATCH(AH$6,'Adjustments'!$Y$6:$BH$6,0))</f>
        <v>7.133</v>
      </c>
      <c r="AI47" s="39">
        <f>INDEX('Adjustments'!$Y$48:$BH$48,MATCH(AI$6,'Adjustments'!$Y$6:$BH$6,0))</f>
        <v>7.101</v>
      </c>
      <c r="AJ47" s="39">
        <f>INDEX('Adjustments'!$Y$48:$BH$48,MATCH(AJ$6,'Adjustments'!$Y$6:$BH$6,0))</f>
        <v>7.07</v>
      </c>
      <c r="AK47" s="39">
        <f>INDEX('Adjustments'!$Y$48:$BH$48,MATCH(AK$6,'Adjustments'!$Y$6:$BH$6,0))</f>
        <v>7.038</v>
      </c>
      <c r="AL47" s="39">
        <f>INDEX('Adjustments'!$Y$48:$BH$48,MATCH(AL$6,'Adjustments'!$Y$6:$BH$6,0))</f>
        <v>7.006</v>
      </c>
      <c r="AM47" s="39">
        <f>INDEX('Adjustments'!$Y$48:$BH$48,MATCH(AM$6,'Adjustments'!$Y$6:$BH$6,0))</f>
        <v>6.975</v>
      </c>
      <c r="AN47" s="39">
        <f>INDEX('Adjustments'!$Y$48:$BH$48,MATCH(AN$6,'Adjustments'!$Y$6:$BH$6,0))</f>
        <v>6.944</v>
      </c>
      <c r="AO47" s="39">
        <f>INDEX('Adjustments'!$Y$48:$BH$48,MATCH(AO$6,'Adjustments'!$Y$6:$BH$6,0))</f>
        <v>7.358</v>
      </c>
      <c r="AP47" s="39">
        <f>INDEX('Adjustments'!$Y$48:$BH$48,MATCH(AP$6,'Adjustments'!$Y$6:$BH$6,0))</f>
        <v>7.334</v>
      </c>
      <c r="AQ47" s="39">
        <f>INDEX('Adjustments'!$Y$48:$BH$48,MATCH(AQ$6,'Adjustments'!$Y$6:$BH$6,0))</f>
        <v>7.31</v>
      </c>
      <c r="AR47" s="39">
        <f>INDEX('Adjustments'!$Y$48:$BH$48,MATCH(AR$6,'Adjustments'!$Y$6:$BH$6,0))</f>
        <v>7.286</v>
      </c>
      <c r="AS47" s="39">
        <f>INDEX('Adjustments'!$Y$48:$BH$48,MATCH(AS$6,'Adjustments'!$Y$6:$BH$6,0))</f>
        <v>7.261</v>
      </c>
      <c r="AT47" s="39">
        <f>INDEX('Adjustments'!$Y$48:$BH$48,MATCH(AT$6,'Adjustments'!$Y$6:$BH$6,0))</f>
        <v>7.237</v>
      </c>
      <c r="AU47" s="39">
        <f>INDEX('Adjustments'!$Y$48:$BH$48,MATCH(AU$6,'Adjustments'!$Y$6:$BH$6,0))</f>
        <v>7.213</v>
      </c>
      <c r="AV47" s="39">
        <f>INDEX('Adjustments'!$Y$48:$BH$48,MATCH(AV$6,'Adjustments'!$Y$6:$BH$6,0))</f>
        <v>7.189</v>
      </c>
      <c r="AW47" s="39">
        <f>INDEX('Adjustments'!$Y$48:$BH$48,MATCH(AW$6,'Adjustments'!$Y$6:$BH$6,0))</f>
        <v>7.164</v>
      </c>
      <c r="AX47" s="39">
        <f>INDEX('Adjustments'!$Y$48:$BH$48,MATCH(AX$6,'Adjustments'!$Y$6:$BH$6,0))</f>
        <v>7.14</v>
      </c>
      <c r="AY47" s="39">
        <f>INDEX('Adjustments'!$Y$48:$BH$48,MATCH(AY$6,'Adjustments'!$Y$6:$BH$6,0))</f>
        <v>7.116</v>
      </c>
      <c r="AZ47" s="39">
        <f>INDEX('Adjustments'!$Y$48:$BH$48,MATCH(AZ$6,'Adjustments'!$Y$6:$BH$6,0))</f>
        <v>7.092</v>
      </c>
    </row>
    <row r="48" spans="2:52" x14ac:dyDescent="0.25">
      <c r="B48" s="52" t="s">
        <v>1347</v>
      </c>
      <c r="C48" s="52">
        <f>SUMIFS($Q48:$AZ48,$Q$6:$AZ$6,"&gt;="&amp;C$61,$Q$6:$AZ$6,"&lt;="&amp;C$62)</f>
        <v>19.8</v>
      </c>
      <c r="D48" s="52">
        <f>SUMIFS($Q48:$AZ48,$Q$6:$AZ$6,"&gt;="&amp;D$61,$Q$6:$AZ$6,"&lt;="&amp;D$62)</f>
        <v>44.6</v>
      </c>
      <c r="E48" s="52">
        <f>SUMIFS($Q48:$AZ48,$Q$6:$AZ$6,"&gt;="&amp;E$61,$Q$6:$AZ$6,"&lt;="&amp;E$62)</f>
        <v>28.4</v>
      </c>
      <c r="G48" s="52">
        <f>SUMIFS($Q48:$AZ48,$Q$6:$AZ$6,"&gt;="&amp;G$61,$Q$6:$AZ$6,"&lt;="&amp;G$62)</f>
        <v>44.6</v>
      </c>
      <c r="H48" s="52">
        <f>SUMIFS($Q48:$AZ48,$Q$6:$AZ$6,"&gt;="&amp;H$61,$Q$6:$AZ$6,"&lt;="&amp;H$62)</f>
        <v>28.4</v>
      </c>
      <c r="J48" s="52">
        <f>SUMIFS($Q48:$AZ48,$Q$6:$AZ$6,"&gt;="&amp;J$61,$Q$6:$AZ$6,"&lt;="&amp;J$62)</f>
        <v>44.6</v>
      </c>
      <c r="K48" s="52">
        <f>SUMIFS($Q48:$AZ48,$Q$6:$AZ$6,"&gt;="&amp;K$61,$Q$6:$AZ$6,"&lt;="&amp;K$62)</f>
        <v>28.4</v>
      </c>
      <c r="L48" s="52">
        <f>SUMIFS($Q48:$AZ48,$Q$6:$AZ$6,"&gt;="&amp;L$61,$Q$6:$AZ$6,"&lt;="&amp;L$62)</f>
        <v>28.4</v>
      </c>
      <c r="N48" s="52">
        <f>L48-K48</f>
        <v>0</v>
      </c>
      <c r="O48" s="115">
        <f>IFERROR(L48/K48-1,"n.a.")</f>
        <v>0</v>
      </c>
      <c r="Q48" s="53">
        <f>INDEX('Adjustments'!$Y$49:$BH$49,MATCH(Q$6,'Adjustments'!$Y$6:$BH$6,0))</f>
        <v>1.335606334841629</v>
      </c>
      <c r="R48" s="53">
        <f>INDEX('Adjustments'!$Y$49:$BH$49,MATCH(R$6,'Adjustments'!$Y$6:$BH$6,0))</f>
        <v>1.309</v>
      </c>
      <c r="S48" s="53">
        <f>INDEX('Adjustments'!$Y$49:$BH$49,MATCH(S$6,'Adjustments'!$Y$6:$BH$6,0))</f>
        <v>1.375606334841629</v>
      </c>
      <c r="T48" s="53">
        <f>INDEX('Adjustments'!$Y$49:$BH$49,MATCH(T$6,'Adjustments'!$Y$6:$BH$6,0))</f>
        <v>1.414606334841629</v>
      </c>
      <c r="U48" s="53">
        <f>INDEX('Adjustments'!$Y$49:$BH$49,MATCH(U$6,'Adjustments'!$Y$6:$BH$6,0))</f>
        <v>1.468</v>
      </c>
      <c r="V48" s="53">
        <f>INDEX('Adjustments'!$Y$49:$BH$49,MATCH(V$6,'Adjustments'!$Y$6:$BH$6,0))</f>
        <v>1.5747873303167421</v>
      </c>
      <c r="W48" s="53">
        <f>INDEX('Adjustments'!$Y$49:$BH$49,MATCH(W$6,'Adjustments'!$Y$6:$BH$6,0))</f>
        <v>1.6413936651583712</v>
      </c>
      <c r="X48" s="53">
        <f>INDEX('Adjustments'!$Y$49:$BH$49,MATCH(X$6,'Adjustments'!$Y$6:$BH$6,0))</f>
        <v>1.574606334841629</v>
      </c>
      <c r="Y48" s="53">
        <f>INDEX('Adjustments'!$Y$49:$BH$49,MATCH(Y$6,'Adjustments'!$Y$6:$BH$6,0))</f>
        <v>1.468</v>
      </c>
      <c r="Z48" s="53">
        <f>INDEX('Adjustments'!$Y$49:$BH$49,MATCH(Z$6,'Adjustments'!$Y$6:$BH$6,0))</f>
        <v>1.388</v>
      </c>
      <c r="AA48" s="53">
        <f>INDEX('Adjustments'!$Y$49:$BH$49,MATCH(AA$6,'Adjustments'!$Y$6:$BH$6,0))</f>
        <v>1.570393665158371</v>
      </c>
      <c r="AB48" s="53">
        <f>INDEX('Adjustments'!$Y$49:$BH$49,MATCH(AB$6,'Adjustments'!$Y$6:$BH$6,0))</f>
        <v>3.68</v>
      </c>
      <c r="AC48" s="53">
        <f>INDEX('Adjustments'!$Y$49:$BH$49,MATCH(AC$6,'Adjustments'!$Y$6:$BH$6,0))</f>
        <v>1.3532734952481522</v>
      </c>
      <c r="AD48" s="53">
        <f>INDEX('Adjustments'!$Y$49:$BH$49,MATCH(AD$6,'Adjustments'!$Y$6:$BH$6,0))</f>
        <v>1.3249102428722281</v>
      </c>
      <c r="AE48" s="53">
        <f>INDEX('Adjustments'!$Y$49:$BH$49,MATCH(AE$6,'Adjustments'!$Y$6:$BH$6,0))</f>
        <v>1.395818373812038</v>
      </c>
      <c r="AF48" s="53">
        <f>INDEX('Adjustments'!$Y$49:$BH$49,MATCH(AF$6,'Adjustments'!$Y$6:$BH$6,0))</f>
        <v>1.438363252375924</v>
      </c>
      <c r="AG48" s="53">
        <f>INDEX('Adjustments'!$Y$49:$BH$49,MATCH(AG$6,'Adjustments'!$Y$6:$BH$6,0))</f>
        <v>1.495089757127772</v>
      </c>
      <c r="AH48" s="53">
        <f>INDEX('Adjustments'!$Y$49:$BH$49,MATCH(AH$6,'Adjustments'!$Y$6:$BH$6,0))</f>
        <v>13.608363252375923</v>
      </c>
      <c r="AI48" s="53">
        <f>INDEX('Adjustments'!$Y$49:$BH$49,MATCH(AI$6,'Adjustments'!$Y$6:$BH$6,0))</f>
        <v>13.67909186906019</v>
      </c>
      <c r="AJ48" s="53">
        <f>INDEX('Adjustments'!$Y$49:$BH$49,MATCH(AJ$6,'Adjustments'!$Y$6:$BH$6,0))</f>
        <v>1.6083632523759241</v>
      </c>
      <c r="AK48" s="53">
        <f>INDEX('Adjustments'!$Y$49:$BH$49,MATCH(AK$6,'Adjustments'!$Y$6:$BH$6,0))</f>
        <v>1.495089757127772</v>
      </c>
      <c r="AL48" s="53">
        <f>INDEX('Adjustments'!$Y$49:$BH$49,MATCH(AL$6,'Adjustments'!$Y$6:$BH$6,0))</f>
        <v>1.41</v>
      </c>
      <c r="AM48" s="53">
        <f>INDEX('Adjustments'!$Y$49:$BH$49,MATCH(AM$6,'Adjustments'!$Y$6:$BH$6,0))</f>
        <v>1.6316367476240758</v>
      </c>
      <c r="AN48" s="53">
        <f>INDEX('Adjustments'!$Y$49:$BH$49,MATCH(AN$6,'Adjustments'!$Y$6:$BH$6,0))</f>
        <v>4.16</v>
      </c>
      <c r="AO48" s="53">
        <f>INDEX('Adjustments'!$Y$49:$BH$49,MATCH(AO$6,'Adjustments'!$Y$6:$BH$6,0))</f>
        <v>1.9340592885375494</v>
      </c>
      <c r="AP48" s="53">
        <f>INDEX('Adjustments'!$Y$49:$BH$49,MATCH(AP$6,'Adjustments'!$Y$6:$BH$6,0))</f>
        <v>1.904</v>
      </c>
      <c r="AQ48" s="53">
        <f>INDEX('Adjustments'!$Y$49:$BH$49,MATCH(AQ$6,'Adjustments'!$Y$6:$BH$6,0))</f>
        <v>1.978881422924901</v>
      </c>
      <c r="AR48" s="53">
        <f>INDEX('Adjustments'!$Y$49:$BH$49,MATCH(AR$6,'Adjustments'!$Y$6:$BH$6,0))</f>
        <v>2.0240592885375497</v>
      </c>
      <c r="AS48" s="53">
        <f>INDEX('Adjustments'!$Y$49:$BH$49,MATCH(AS$6,'Adjustments'!$Y$6:$BH$6,0))</f>
        <v>2.085</v>
      </c>
      <c r="AT48" s="53">
        <f>INDEX('Adjustments'!$Y$49:$BH$49,MATCH(AT$6,'Adjustments'!$Y$6:$BH$6,0))</f>
        <v>2.2040592885375494</v>
      </c>
      <c r="AU48" s="53">
        <f>INDEX('Adjustments'!$Y$49:$BH$49,MATCH(AU$6,'Adjustments'!$Y$6:$BH$6,0))</f>
        <v>2.2789407114624507</v>
      </c>
      <c r="AV48" s="53">
        <f>INDEX('Adjustments'!$Y$49:$BH$49,MATCH(AV$6,'Adjustments'!$Y$6:$BH$6,0))</f>
        <v>2.2040592885375494</v>
      </c>
      <c r="AW48" s="53">
        <f>INDEX('Adjustments'!$Y$49:$BH$49,MATCH(AW$6,'Adjustments'!$Y$6:$BH$6,0))</f>
        <v>2.084</v>
      </c>
      <c r="AX48" s="53">
        <f>INDEX('Adjustments'!$Y$49:$BH$49,MATCH(AX$6,'Adjustments'!$Y$6:$BH$6,0))</f>
        <v>1.994</v>
      </c>
      <c r="AY48" s="53">
        <f>INDEX('Adjustments'!$Y$49:$BH$49,MATCH(AY$6,'Adjustments'!$Y$6:$BH$6,0))</f>
        <v>2.2769407114624505</v>
      </c>
      <c r="AZ48" s="53">
        <f>INDEX('Adjustments'!$Y$49:$BH$49,MATCH(AZ$6,'Adjustments'!$Y$6:$BH$6,0))</f>
        <v>5.432</v>
      </c>
    </row>
    <row r="49" spans="2:52" x14ac:dyDescent="0.25">
      <c r="B49" s="52" t="s">
        <v>1348</v>
      </c>
      <c r="C49" s="52">
        <f>SUMIFS($Q49:$AZ49,$Q$6:$AZ$6,"&gt;="&amp;C$61,$Q$6:$AZ$6,"&lt;="&amp;C$62)</f>
        <v>192.584</v>
      </c>
      <c r="D49" s="52">
        <f>SUMIFS($Q49:$AZ49,$Q$6:$AZ$6,"&gt;="&amp;D$61,$Q$6:$AZ$6,"&lt;="&amp;D$62)</f>
        <v>203.25</v>
      </c>
      <c r="E49" s="52">
        <f>SUMIFS($Q49:$AZ49,$Q$6:$AZ$6,"&gt;="&amp;E$61,$Q$6:$AZ$6,"&lt;="&amp;E$62)</f>
        <v>213.86</v>
      </c>
      <c r="G49" s="52">
        <f>SUMIFS($Q49:$AZ49,$Q$6:$AZ$6,"&gt;="&amp;G$61,$Q$6:$AZ$6,"&lt;="&amp;G$62)</f>
        <v>203.25</v>
      </c>
      <c r="H49" s="52">
        <f>SUMIFS($Q49:$AZ49,$Q$6:$AZ$6,"&gt;="&amp;H$61,$Q$6:$AZ$6,"&lt;="&amp;H$62)</f>
        <v>213.86</v>
      </c>
      <c r="J49" s="52">
        <f>SUMIFS($Q49:$AZ49,$Q$6:$AZ$6,"&gt;="&amp;J$61,$Q$6:$AZ$6,"&lt;="&amp;J$62)</f>
        <v>203.25</v>
      </c>
      <c r="K49" s="52">
        <f>SUMIFS($Q49:$AZ49,$Q$6:$AZ$6,"&gt;="&amp;K$61,$Q$6:$AZ$6,"&lt;="&amp;K$62)</f>
        <v>213.86</v>
      </c>
      <c r="L49" s="52">
        <f>SUMIFS($Q49:$AZ49,$Q$6:$AZ$6,"&gt;="&amp;L$61,$Q$6:$AZ$6,"&lt;="&amp;L$62)</f>
        <v>213.86</v>
      </c>
      <c r="N49" s="52">
        <f>L49-K49</f>
        <v>0</v>
      </c>
      <c r="O49" s="115">
        <f>IFERROR(L49/K49-1,"n.a.")</f>
        <v>0</v>
      </c>
      <c r="Q49" s="53">
        <f>INDEX('Adjustments'!$Y$50:$BH$50,MATCH(Q$6,'Adjustments'!$Y$6:$BH$6,0))</f>
        <v>16.048666666666666</v>
      </c>
      <c r="R49" s="53">
        <f>INDEX('Adjustments'!$Y$50:$BH$50,MATCH(R$6,'Adjustments'!$Y$6:$BH$6,0))</f>
        <v>16.048666666666666</v>
      </c>
      <c r="S49" s="53">
        <f>INDEX('Adjustments'!$Y$50:$BH$50,MATCH(S$6,'Adjustments'!$Y$6:$BH$6,0))</f>
        <v>16.048666666666666</v>
      </c>
      <c r="T49" s="53">
        <f>INDEX('Adjustments'!$Y$50:$BH$50,MATCH(T$6,'Adjustments'!$Y$6:$BH$6,0))</f>
        <v>16.048666666666666</v>
      </c>
      <c r="U49" s="53">
        <f>INDEX('Adjustments'!$Y$50:$BH$50,MATCH(U$6,'Adjustments'!$Y$6:$BH$6,0))</f>
        <v>16.048666666666666</v>
      </c>
      <c r="V49" s="53">
        <f>INDEX('Adjustments'!$Y$50:$BH$50,MATCH(V$6,'Adjustments'!$Y$6:$BH$6,0))</f>
        <v>16.048666666666666</v>
      </c>
      <c r="W49" s="53">
        <f>INDEX('Adjustments'!$Y$50:$BH$50,MATCH(W$6,'Adjustments'!$Y$6:$BH$6,0))</f>
        <v>16.048666666666666</v>
      </c>
      <c r="X49" s="53">
        <f>INDEX('Adjustments'!$Y$50:$BH$50,MATCH(X$6,'Adjustments'!$Y$6:$BH$6,0))</f>
        <v>16.048666666666666</v>
      </c>
      <c r="Y49" s="53">
        <f>INDEX('Adjustments'!$Y$50:$BH$50,MATCH(Y$6,'Adjustments'!$Y$6:$BH$6,0))</f>
        <v>16.048666666666666</v>
      </c>
      <c r="Z49" s="53">
        <f>INDEX('Adjustments'!$Y$50:$BH$50,MATCH(Z$6,'Adjustments'!$Y$6:$BH$6,0))</f>
        <v>16.048666666666666</v>
      </c>
      <c r="AA49" s="53">
        <f>INDEX('Adjustments'!$Y$50:$BH$50,MATCH(AA$6,'Adjustments'!$Y$6:$BH$6,0))</f>
        <v>16.048666666666666</v>
      </c>
      <c r="AB49" s="53">
        <f>INDEX('Adjustments'!$Y$50:$BH$50,MATCH(AB$6,'Adjustments'!$Y$6:$BH$6,0))</f>
        <v>16.048666666666666</v>
      </c>
      <c r="AC49" s="53">
        <f>INDEX('Adjustments'!$Y$50:$BH$50,MATCH(AC$6,'Adjustments'!$Y$6:$BH$6,0))</f>
        <v>16.938213157894737</v>
      </c>
      <c r="AD49" s="53">
        <f>INDEX('Adjustments'!$Y$50:$BH$50,MATCH(AD$6,'Adjustments'!$Y$6:$BH$6,0))</f>
        <v>16.938213157894737</v>
      </c>
      <c r="AE49" s="53">
        <f>INDEX('Adjustments'!$Y$50:$BH$50,MATCH(AE$6,'Adjustments'!$Y$6:$BH$6,0))</f>
        <v>16.938213157894737</v>
      </c>
      <c r="AF49" s="53">
        <f>INDEX('Adjustments'!$Y$50:$BH$50,MATCH(AF$6,'Adjustments'!$Y$6:$BH$6,0))</f>
        <v>16.938213157894737</v>
      </c>
      <c r="AG49" s="53">
        <f>INDEX('Adjustments'!$Y$50:$BH$50,MATCH(AG$6,'Adjustments'!$Y$6:$BH$6,0))</f>
        <v>16.93714342105263</v>
      </c>
      <c r="AH49" s="53">
        <f>INDEX('Adjustments'!$Y$50:$BH$50,MATCH(AH$6,'Adjustments'!$Y$6:$BH$6,0))</f>
        <v>16.93714342105263</v>
      </c>
      <c r="AI49" s="53">
        <f>INDEX('Adjustments'!$Y$50:$BH$50,MATCH(AI$6,'Adjustments'!$Y$6:$BH$6,0))</f>
        <v>16.93714342105263</v>
      </c>
      <c r="AJ49" s="53">
        <f>INDEX('Adjustments'!$Y$50:$BH$50,MATCH(AJ$6,'Adjustments'!$Y$6:$BH$6,0))</f>
        <v>16.93714342105263</v>
      </c>
      <c r="AK49" s="53">
        <f>INDEX('Adjustments'!$Y$50:$BH$50,MATCH(AK$6,'Adjustments'!$Y$6:$BH$6,0))</f>
        <v>16.93714342105263</v>
      </c>
      <c r="AL49" s="53">
        <f>INDEX('Adjustments'!$Y$50:$BH$50,MATCH(AL$6,'Adjustments'!$Y$6:$BH$6,0))</f>
        <v>16.93714342105263</v>
      </c>
      <c r="AM49" s="53">
        <f>INDEX('Adjustments'!$Y$50:$BH$50,MATCH(AM$6,'Adjustments'!$Y$6:$BH$6,0))</f>
        <v>16.93714342105263</v>
      </c>
      <c r="AN49" s="53">
        <f>INDEX('Adjustments'!$Y$50:$BH$50,MATCH(AN$6,'Adjustments'!$Y$6:$BH$6,0))</f>
        <v>16.93714342105263</v>
      </c>
      <c r="AO49" s="53">
        <f>INDEX('Adjustments'!$Y$50:$BH$50,MATCH(AO$6,'Adjustments'!$Y$6:$BH$6,0))</f>
        <v>17.8220231</v>
      </c>
      <c r="AP49" s="53">
        <f>INDEX('Adjustments'!$Y$50:$BH$50,MATCH(AP$6,'Adjustments'!$Y$6:$BH$6,0))</f>
        <v>17.8220231</v>
      </c>
      <c r="AQ49" s="53">
        <f>INDEX('Adjustments'!$Y$50:$BH$50,MATCH(AQ$6,'Adjustments'!$Y$6:$BH$6,0))</f>
        <v>17.8220231</v>
      </c>
      <c r="AR49" s="53">
        <f>INDEX('Adjustments'!$Y$50:$BH$50,MATCH(AR$6,'Adjustments'!$Y$6:$BH$6,0))</f>
        <v>17.8220231</v>
      </c>
      <c r="AS49" s="53">
        <f>INDEX('Adjustments'!$Y$50:$BH$50,MATCH(AS$6,'Adjustments'!$Y$6:$BH$6,0))</f>
        <v>17.8220231</v>
      </c>
      <c r="AT49" s="53">
        <f>INDEX('Adjustments'!$Y$50:$BH$50,MATCH(AT$6,'Adjustments'!$Y$6:$BH$6,0))</f>
        <v>17.8220231</v>
      </c>
      <c r="AU49" s="53">
        <f>INDEX('Adjustments'!$Y$50:$BH$50,MATCH(AU$6,'Adjustments'!$Y$6:$BH$6,0))</f>
        <v>17.8220231</v>
      </c>
      <c r="AV49" s="53">
        <f>INDEX('Adjustments'!$Y$50:$BH$50,MATCH(AV$6,'Adjustments'!$Y$6:$BH$6,0))</f>
        <v>17.8220231</v>
      </c>
      <c r="AW49" s="53">
        <f>INDEX('Adjustments'!$Y$50:$BH$50,MATCH(AW$6,'Adjustments'!$Y$6:$BH$6,0))</f>
        <v>17.820953799999998</v>
      </c>
      <c r="AX49" s="53">
        <f>INDEX('Adjustments'!$Y$50:$BH$50,MATCH(AX$6,'Adjustments'!$Y$6:$BH$6,0))</f>
        <v>17.820953799999998</v>
      </c>
      <c r="AY49" s="53">
        <f>INDEX('Adjustments'!$Y$50:$BH$50,MATCH(AY$6,'Adjustments'!$Y$6:$BH$6,0))</f>
        <v>17.820953799999998</v>
      </c>
      <c r="AZ49" s="53">
        <f>INDEX('Adjustments'!$Y$50:$BH$50,MATCH(AZ$6,'Adjustments'!$Y$6:$BH$6,0))</f>
        <v>17.820953799999998</v>
      </c>
    </row>
    <row r="50" ht="3.95" customHeight="1" x14ac:dyDescent="0.25"/>
    <row r="51" spans="2:52" x14ac:dyDescent="0.25">
      <c r="B51" s="197" t="s">
        <v>95</v>
      </c>
      <c r="C51" s="170">
        <f>SUMIFS($Q51:$AZ51,$Q$6:$AZ$6,"&gt;="&amp;C$61,$Q$6:$AZ$6,"&lt;="&amp;C$62)</f>
        <v>370.584</v>
      </c>
      <c r="D51" s="200">
        <f>SUMIFS($Q51:$AZ51,$Q$6:$AZ$6,"&gt;="&amp;D$61,$Q$6:$AZ$6,"&lt;="&amp;D$62)</f>
        <v>462.49</v>
      </c>
      <c r="E51" s="212">
        <f>SUMIFS($Q51:$AZ51,$Q$6:$AZ$6,"&gt;="&amp;E$61,$Q$6:$AZ$6,"&lt;="&amp;E$62)</f>
        <v>561.775</v>
      </c>
      <c r="G51" s="170">
        <f>SUMIFS($Q51:$AZ51,$Q$6:$AZ$6,"&gt;="&amp;G$61,$Q$6:$AZ$6,"&lt;="&amp;G$62)</f>
        <v>462.49</v>
      </c>
      <c r="H51" s="212">
        <f>SUMIFS($Q51:$AZ51,$Q$6:$AZ$6,"&gt;="&amp;H$61,$Q$6:$AZ$6,"&lt;="&amp;H$62)</f>
        <v>561.775</v>
      </c>
      <c r="J51" s="170">
        <f>SUMIFS($Q51:$AZ51,$Q$6:$AZ$6,"&gt;="&amp;J$61,$Q$6:$AZ$6,"&lt;="&amp;J$62)</f>
        <v>462.49</v>
      </c>
      <c r="K51" s="212">
        <f>SUMIFS($Q51:$AZ51,$Q$6:$AZ$6,"&gt;="&amp;K$61,$Q$6:$AZ$6,"&lt;="&amp;K$62)</f>
        <v>561.775</v>
      </c>
      <c r="L51" s="197">
        <f>SUMIFS($Q51:$AZ51,$Q$6:$AZ$6,"&gt;="&amp;L$61,$Q$6:$AZ$6,"&lt;="&amp;L$62)</f>
        <v>561.775</v>
      </c>
      <c r="N51" s="170">
        <f>L51-K51</f>
        <v>0</v>
      </c>
      <c r="O51" s="171">
        <f>IFERROR(L51/K51-1,"n.a.")</f>
        <v>0</v>
      </c>
      <c r="Q51" s="170">
        <f>Q43+Q47+Q48+Q49</f>
        <v>24.470273001508293</v>
      </c>
      <c r="R51" s="200">
        <f>R43+R47+R48+R49</f>
        <v>18.554666666666666</v>
      </c>
      <c r="S51" s="200">
        <f>S43+S47+S48+S49</f>
        <v>12.180273001508295</v>
      </c>
      <c r="T51" s="200">
        <f>T43+T47+T48+T49</f>
        <v>15.954273001508295</v>
      </c>
      <c r="U51" s="200">
        <f>U43+U47+U48+U49</f>
        <v>26.948666666666664</v>
      </c>
      <c r="V51" s="200">
        <f>V43+V47+V48+V49</f>
        <v>40.935453996983405</v>
      </c>
      <c r="W51" s="200">
        <f>W43+W47+W48+W49</f>
        <v>48.127060331825035</v>
      </c>
      <c r="X51" s="200">
        <f>X43+X47+X48+X49</f>
        <v>44.23827300150829</v>
      </c>
      <c r="Y51" s="200">
        <f>Y43+Y47+Y48+Y49</f>
        <v>34.358666666666664</v>
      </c>
      <c r="Z51" s="200">
        <f>Z43+Z47+Z48+Z49</f>
        <v>24.462666666666664</v>
      </c>
      <c r="AA51" s="200">
        <f>AA43+AA47+AA48+AA49</f>
        <v>32.246060331825035</v>
      </c>
      <c r="AB51" s="200">
        <f>AB43+AB47+AB48+AB49</f>
        <v>48.10766666666667</v>
      </c>
      <c r="AC51" s="200">
        <f>AC43+AC47+AC48+AC49</f>
        <v>31.16548665314289</v>
      </c>
      <c r="AD51" s="200">
        <f>AD43+AD47+AD48+AD49</f>
        <v>24.538123400766967</v>
      </c>
      <c r="AE51" s="200">
        <f>AE43+AE47+AE48+AE49</f>
        <v>17.497031531706774</v>
      </c>
      <c r="AF51" s="200">
        <f>AF43+AF47+AF48+AF49</f>
        <v>21.83557641027066</v>
      </c>
      <c r="AG51" s="200">
        <f>AG43+AG47+AG48+AG49</f>
        <v>34.108233178180406</v>
      </c>
      <c r="AH51" s="200">
        <f>AH43+AH47+AH48+AH49</f>
        <v>49.82850667342855</v>
      </c>
      <c r="AI51" s="200">
        <f>AI43+AI47+AI48+AI49</f>
        <v>57.92923529011282</v>
      </c>
      <c r="AJ51" s="200">
        <f>AJ43+AJ47+AJ48+AJ49</f>
        <v>53.56450667342855</v>
      </c>
      <c r="AK51" s="200">
        <f>AK43+AK47+AK48+AK49</f>
        <v>42.6292331781804</v>
      </c>
      <c r="AL51" s="200">
        <f>AL43+AL47+AL48+AL49</f>
        <v>31.48214342105263</v>
      </c>
      <c r="AM51" s="200">
        <f>AM43+AM47+AM48+AM49</f>
        <v>40.1147801686767</v>
      </c>
      <c r="AN51" s="200">
        <f>AN43+AN47+AN48+AN49</f>
        <v>57.79714342105264</v>
      </c>
      <c r="AO51" s="200">
        <f>AO43+AO47+AO48+AO49</f>
        <v>38.46008238853754</v>
      </c>
      <c r="AP51" s="200">
        <f>AP43+AP47+AP48+AP49</f>
        <v>31.1390231</v>
      </c>
      <c r="AQ51" s="200">
        <f>AQ43+AQ47+AQ48+AQ49</f>
        <v>23.4169045229249</v>
      </c>
      <c r="AR51" s="200">
        <f>AR43+AR47+AR48+AR49</f>
        <v>28.30408238853755</v>
      </c>
      <c r="AS51" s="200">
        <f>AS43+AS47+AS48+AS49</f>
        <v>41.8390231</v>
      </c>
      <c r="AT51" s="200">
        <f>AT43+AT47+AT48+AT49</f>
        <v>59.294082388537554</v>
      </c>
      <c r="AU51" s="200">
        <f>AU43+AU47+AU48+AU49</f>
        <v>68.30396381146245</v>
      </c>
      <c r="AV51" s="200">
        <f>AV43+AV47+AV48+AV49</f>
        <v>63.49508238853755</v>
      </c>
      <c r="AW51" s="200">
        <f>AW43+AW47+AW48+AW49</f>
        <v>51.546953800000004</v>
      </c>
      <c r="AX51" s="200">
        <f>AX43+AX47+AX48+AX49</f>
        <v>39.1509538</v>
      </c>
      <c r="AY51" s="200">
        <f>AY43+AY47+AY48+AY49</f>
        <v>48.68689451146245</v>
      </c>
      <c r="AZ51" s="212">
        <f>AZ43+AZ47+AZ48+AZ49</f>
        <v>68.1379538</v>
      </c>
    </row>
    <row r="52" spans="2:52" x14ac:dyDescent="0.25">
      <c r="B52" s="52" t="s">
        <v>1349</v>
      </c>
      <c r="C52" s="52">
        <f>SUMIFS($Q52:$AZ52,$Q$6:$AZ$6,"&gt;="&amp;C$61,$Q$6:$AZ$6,"&lt;="&amp;C$62)</f>
        <v>-109.24999999999999</v>
      </c>
      <c r="D52" s="52">
        <f>SUMIFS($Q52:$AZ52,$Q$6:$AZ$6,"&gt;="&amp;D$61,$Q$6:$AZ$6,"&lt;="&amp;D$62)</f>
        <v>-109.24999999999999</v>
      </c>
      <c r="E52" s="52">
        <f>SUMIFS($Q52:$AZ52,$Q$6:$AZ$6,"&gt;="&amp;E$61,$Q$6:$AZ$6,"&lt;="&amp;E$62)</f>
        <v>-109.24999999999999</v>
      </c>
      <c r="G52" s="52">
        <f>SUMIFS($Q52:$AZ52,$Q$6:$AZ$6,"&gt;="&amp;G$61,$Q$6:$AZ$6,"&lt;="&amp;G$62)</f>
        <v>-109.25000000000001</v>
      </c>
      <c r="H52" s="52">
        <f>SUMIFS($Q52:$AZ52,$Q$6:$AZ$6,"&gt;="&amp;H$61,$Q$6:$AZ$6,"&lt;="&amp;H$62)</f>
        <v>-109.25000000000001</v>
      </c>
      <c r="J52" s="52">
        <f>SUMIFS($Q52:$AZ52,$Q$6:$AZ$6,"&gt;="&amp;J$61,$Q$6:$AZ$6,"&lt;="&amp;J$62)</f>
        <v>-109.25000000000001</v>
      </c>
      <c r="K52" s="52">
        <f>SUMIFS($Q52:$AZ52,$Q$6:$AZ$6,"&gt;="&amp;K$61,$Q$6:$AZ$6,"&lt;="&amp;K$62)</f>
        <v>-109.25000000000001</v>
      </c>
      <c r="L52" s="52">
        <f>SUMIFS($Q52:$AZ52,$Q$6:$AZ$6,"&gt;="&amp;L$61,$Q$6:$AZ$6,"&lt;="&amp;L$62)</f>
        <v>-109.25000000000001</v>
      </c>
      <c r="N52" s="52">
        <f>L52-K52</f>
        <v>0</v>
      </c>
      <c r="O52" s="115">
        <f>IFERROR(L52/K52-1,"n.a.")</f>
        <v>0</v>
      </c>
      <c r="Q52" s="53">
        <f>INDEX('Adjustments'!$Y$51:$BH$51,MATCH(Q$6,'Adjustments'!$Y$6:$BH$6,0))</f>
        <v>-9.104166666666666</v>
      </c>
      <c r="R52" s="53">
        <f>INDEX('Adjustments'!$Y$51:$BH$51,MATCH(R$6,'Adjustments'!$Y$6:$BH$6,0))</f>
        <v>-9.104166666666666</v>
      </c>
      <c r="S52" s="53">
        <f>INDEX('Adjustments'!$Y$51:$BH$51,MATCH(S$6,'Adjustments'!$Y$6:$BH$6,0))</f>
        <v>-9.104166666666666</v>
      </c>
      <c r="T52" s="53">
        <f>INDEX('Adjustments'!$Y$51:$BH$51,MATCH(T$6,'Adjustments'!$Y$6:$BH$6,0))</f>
        <v>-9.104166666666666</v>
      </c>
      <c r="U52" s="53">
        <f>INDEX('Adjustments'!$Y$51:$BH$51,MATCH(U$6,'Adjustments'!$Y$6:$BH$6,0))</f>
        <v>-9.104166666666666</v>
      </c>
      <c r="V52" s="53">
        <f>INDEX('Adjustments'!$Y$51:$BH$51,MATCH(V$6,'Adjustments'!$Y$6:$BH$6,0))</f>
        <v>-9.104166666666666</v>
      </c>
      <c r="W52" s="53">
        <f>INDEX('Adjustments'!$Y$51:$BH$51,MATCH(W$6,'Adjustments'!$Y$6:$BH$6,0))</f>
        <v>-9.104166666666666</v>
      </c>
      <c r="X52" s="53">
        <f>INDEX('Adjustments'!$Y$51:$BH$51,MATCH(X$6,'Adjustments'!$Y$6:$BH$6,0))</f>
        <v>-9.104166666666666</v>
      </c>
      <c r="Y52" s="53">
        <f>INDEX('Adjustments'!$Y$51:$BH$51,MATCH(Y$6,'Adjustments'!$Y$6:$BH$6,0))</f>
        <v>-9.104166666666666</v>
      </c>
      <c r="Z52" s="53">
        <f>INDEX('Adjustments'!$Y$51:$BH$51,MATCH(Z$6,'Adjustments'!$Y$6:$BH$6,0))</f>
        <v>-9.104166666666666</v>
      </c>
      <c r="AA52" s="53">
        <f>INDEX('Adjustments'!$Y$51:$BH$51,MATCH(AA$6,'Adjustments'!$Y$6:$BH$6,0))</f>
        <v>-9.104166666666666</v>
      </c>
      <c r="AB52" s="53">
        <f>INDEX('Adjustments'!$Y$51:$BH$51,MATCH(AB$6,'Adjustments'!$Y$6:$BH$6,0))</f>
        <v>-9.104166666666666</v>
      </c>
      <c r="AC52" s="53">
        <f>INDEX('Adjustments'!$Y$51:$BH$51,MATCH(AC$6,'Adjustments'!$Y$6:$BH$6,0))</f>
        <v>-9.104166666666666</v>
      </c>
      <c r="AD52" s="53">
        <f>INDEX('Adjustments'!$Y$51:$BH$51,MATCH(AD$6,'Adjustments'!$Y$6:$BH$6,0))</f>
        <v>-9.104166666666666</v>
      </c>
      <c r="AE52" s="53">
        <f>INDEX('Adjustments'!$Y$51:$BH$51,MATCH(AE$6,'Adjustments'!$Y$6:$BH$6,0))</f>
        <v>-9.104166666666666</v>
      </c>
      <c r="AF52" s="53">
        <f>INDEX('Adjustments'!$Y$51:$BH$51,MATCH(AF$6,'Adjustments'!$Y$6:$BH$6,0))</f>
        <v>-9.104166666666666</v>
      </c>
      <c r="AG52" s="53">
        <f>INDEX('Adjustments'!$Y$51:$BH$51,MATCH(AG$6,'Adjustments'!$Y$6:$BH$6,0))</f>
        <v>-9.104166666666666</v>
      </c>
      <c r="AH52" s="53">
        <f>INDEX('Adjustments'!$Y$51:$BH$51,MATCH(AH$6,'Adjustments'!$Y$6:$BH$6,0))</f>
        <v>-9.104166666666666</v>
      </c>
      <c r="AI52" s="53">
        <f>INDEX('Adjustments'!$Y$51:$BH$51,MATCH(AI$6,'Adjustments'!$Y$6:$BH$6,0))</f>
        <v>-9.104166666666666</v>
      </c>
      <c r="AJ52" s="53">
        <f>INDEX('Adjustments'!$Y$51:$BH$51,MATCH(AJ$6,'Adjustments'!$Y$6:$BH$6,0))</f>
        <v>-9.104166666666666</v>
      </c>
      <c r="AK52" s="53">
        <f>INDEX('Adjustments'!$Y$51:$BH$51,MATCH(AK$6,'Adjustments'!$Y$6:$BH$6,0))</f>
        <v>-9.104166666666666</v>
      </c>
      <c r="AL52" s="53">
        <f>INDEX('Adjustments'!$Y$51:$BH$51,MATCH(AL$6,'Adjustments'!$Y$6:$BH$6,0))</f>
        <v>-9.104166666666666</v>
      </c>
      <c r="AM52" s="53">
        <f>INDEX('Adjustments'!$Y$51:$BH$51,MATCH(AM$6,'Adjustments'!$Y$6:$BH$6,0))</f>
        <v>-9.104166666666666</v>
      </c>
      <c r="AN52" s="53">
        <f>INDEX('Adjustments'!$Y$51:$BH$51,MATCH(AN$6,'Adjustments'!$Y$6:$BH$6,0))</f>
        <v>-9.104166666666666</v>
      </c>
      <c r="AO52" s="53">
        <f>INDEX('Adjustments'!$Y$51:$BH$51,MATCH(AO$6,'Adjustments'!$Y$6:$BH$6,0))</f>
        <v>-9.104166666666666</v>
      </c>
      <c r="AP52" s="53">
        <f>INDEX('Adjustments'!$Y$51:$BH$51,MATCH(AP$6,'Adjustments'!$Y$6:$BH$6,0))</f>
        <v>-9.104166666666666</v>
      </c>
      <c r="AQ52" s="53">
        <f>INDEX('Adjustments'!$Y$51:$BH$51,MATCH(AQ$6,'Adjustments'!$Y$6:$BH$6,0))</f>
        <v>-9.104166666666666</v>
      </c>
      <c r="AR52" s="53">
        <f>INDEX('Adjustments'!$Y$51:$BH$51,MATCH(AR$6,'Adjustments'!$Y$6:$BH$6,0))</f>
        <v>-9.104166666666666</v>
      </c>
      <c r="AS52" s="53">
        <f>INDEX('Adjustments'!$Y$51:$BH$51,MATCH(AS$6,'Adjustments'!$Y$6:$BH$6,0))</f>
        <v>-9.104166666666666</v>
      </c>
      <c r="AT52" s="53">
        <f>INDEX('Adjustments'!$Y$51:$BH$51,MATCH(AT$6,'Adjustments'!$Y$6:$BH$6,0))</f>
        <v>-9.104166666666666</v>
      </c>
      <c r="AU52" s="53">
        <f>INDEX('Adjustments'!$Y$51:$BH$51,MATCH(AU$6,'Adjustments'!$Y$6:$BH$6,0))</f>
        <v>-9.104166666666666</v>
      </c>
      <c r="AV52" s="53">
        <f>INDEX('Adjustments'!$Y$51:$BH$51,MATCH(AV$6,'Adjustments'!$Y$6:$BH$6,0))</f>
        <v>-9.104166666666666</v>
      </c>
      <c r="AW52" s="53">
        <f>INDEX('Adjustments'!$Y$51:$BH$51,MATCH(AW$6,'Adjustments'!$Y$6:$BH$6,0))</f>
        <v>-9.104166666666666</v>
      </c>
      <c r="AX52" s="53">
        <f>INDEX('Adjustments'!$Y$51:$BH$51,MATCH(AX$6,'Adjustments'!$Y$6:$BH$6,0))</f>
        <v>-9.104166666666666</v>
      </c>
      <c r="AY52" s="53">
        <f>INDEX('Adjustments'!$Y$51:$BH$51,MATCH(AY$6,'Adjustments'!$Y$6:$BH$6,0))</f>
        <v>-9.104166666666666</v>
      </c>
      <c r="AZ52" s="53">
        <f>INDEX('Adjustments'!$Y$51:$BH$51,MATCH(AZ$6,'Adjustments'!$Y$6:$BH$6,0))</f>
        <v>-9.104166666666666</v>
      </c>
    </row>
    <row r="53" spans="2:52" x14ac:dyDescent="0.25">
      <c r="B53" s="52" t="s">
        <v>1350</v>
      </c>
      <c r="C53" s="52">
        <f>SUMIFS($Q53:$AZ53,$Q$6:$AZ$6,"&gt;="&amp;C$61,$Q$6:$AZ$6,"&lt;="&amp;C$62)</f>
        <v>-66.8</v>
      </c>
      <c r="D53" s="52">
        <f>SUMIFS($Q53:$AZ53,$Q$6:$AZ$6,"&gt;="&amp;D$61,$Q$6:$AZ$6,"&lt;="&amp;D$62)</f>
        <v>-66.8</v>
      </c>
      <c r="E53" s="52">
        <f>SUMIFS($Q53:$AZ53,$Q$6:$AZ$6,"&gt;="&amp;E$61,$Q$6:$AZ$6,"&lt;="&amp;E$62)</f>
        <v>-66.8</v>
      </c>
      <c r="G53" s="52">
        <f>SUMIFS($Q53:$AZ53,$Q$6:$AZ$6,"&gt;="&amp;G$61,$Q$6:$AZ$6,"&lt;="&amp;G$62)</f>
        <v>-66.79999999999998</v>
      </c>
      <c r="H53" s="52">
        <f>SUMIFS($Q53:$AZ53,$Q$6:$AZ$6,"&gt;="&amp;H$61,$Q$6:$AZ$6,"&lt;="&amp;H$62)</f>
        <v>-66.79999999999998</v>
      </c>
      <c r="J53" s="52">
        <f>SUMIFS($Q53:$AZ53,$Q$6:$AZ$6,"&gt;="&amp;J$61,$Q$6:$AZ$6,"&lt;="&amp;J$62)</f>
        <v>-66.79999999999998</v>
      </c>
      <c r="K53" s="52">
        <f>SUMIFS($Q53:$AZ53,$Q$6:$AZ$6,"&gt;="&amp;K$61,$Q$6:$AZ$6,"&lt;="&amp;K$62)</f>
        <v>-66.79999999999998</v>
      </c>
      <c r="L53" s="52">
        <f>SUMIFS($Q53:$AZ53,$Q$6:$AZ$6,"&gt;="&amp;L$61,$Q$6:$AZ$6,"&lt;="&amp;L$62)</f>
        <v>-66.79999999999998</v>
      </c>
      <c r="N53" s="52">
        <f>L53-K53</f>
        <v>0</v>
      </c>
      <c r="O53" s="115">
        <f>IFERROR(L53/K53-1,"n.a.")</f>
        <v>0</v>
      </c>
      <c r="Q53" s="53">
        <f>INDEX('Adjustments'!$Y$52:$BH$52,MATCH(Q$6,'Adjustments'!$Y$6:$BH$6,0))</f>
        <v>-5.566666666666667</v>
      </c>
      <c r="R53" s="53">
        <f>INDEX('Adjustments'!$Y$52:$BH$52,MATCH(R$6,'Adjustments'!$Y$6:$BH$6,0))</f>
        <v>-5.566666666666667</v>
      </c>
      <c r="S53" s="53">
        <f>INDEX('Adjustments'!$Y$52:$BH$52,MATCH(S$6,'Adjustments'!$Y$6:$BH$6,0))</f>
        <v>-5.566666666666667</v>
      </c>
      <c r="T53" s="53">
        <f>INDEX('Adjustments'!$Y$52:$BH$52,MATCH(T$6,'Adjustments'!$Y$6:$BH$6,0))</f>
        <v>-5.566666666666667</v>
      </c>
      <c r="U53" s="53">
        <f>INDEX('Adjustments'!$Y$52:$BH$52,MATCH(U$6,'Adjustments'!$Y$6:$BH$6,0))</f>
        <v>-5.566666666666667</v>
      </c>
      <c r="V53" s="53">
        <f>INDEX('Adjustments'!$Y$52:$BH$52,MATCH(V$6,'Adjustments'!$Y$6:$BH$6,0))</f>
        <v>-5.566666666666667</v>
      </c>
      <c r="W53" s="53">
        <f>INDEX('Adjustments'!$Y$52:$BH$52,MATCH(W$6,'Adjustments'!$Y$6:$BH$6,0))</f>
        <v>-5.566666666666667</v>
      </c>
      <c r="X53" s="53">
        <f>INDEX('Adjustments'!$Y$52:$BH$52,MATCH(X$6,'Adjustments'!$Y$6:$BH$6,0))</f>
        <v>-5.566666666666667</v>
      </c>
      <c r="Y53" s="53">
        <f>INDEX('Adjustments'!$Y$52:$BH$52,MATCH(Y$6,'Adjustments'!$Y$6:$BH$6,0))</f>
        <v>-5.566666666666667</v>
      </c>
      <c r="Z53" s="53">
        <f>INDEX('Adjustments'!$Y$52:$BH$52,MATCH(Z$6,'Adjustments'!$Y$6:$BH$6,0))</f>
        <v>-5.566666666666667</v>
      </c>
      <c r="AA53" s="53">
        <f>INDEX('Adjustments'!$Y$52:$BH$52,MATCH(AA$6,'Adjustments'!$Y$6:$BH$6,0))</f>
        <v>-5.566666666666667</v>
      </c>
      <c r="AB53" s="53">
        <f>INDEX('Adjustments'!$Y$52:$BH$52,MATCH(AB$6,'Adjustments'!$Y$6:$BH$6,0))</f>
        <v>-5.566666666666667</v>
      </c>
      <c r="AC53" s="53">
        <f>INDEX('Adjustments'!$Y$52:$BH$52,MATCH(AC$6,'Adjustments'!$Y$6:$BH$6,0))</f>
        <v>-5.566666666666667</v>
      </c>
      <c r="AD53" s="53">
        <f>INDEX('Adjustments'!$Y$52:$BH$52,MATCH(AD$6,'Adjustments'!$Y$6:$BH$6,0))</f>
        <v>-5.566666666666667</v>
      </c>
      <c r="AE53" s="53">
        <f>INDEX('Adjustments'!$Y$52:$BH$52,MATCH(AE$6,'Adjustments'!$Y$6:$BH$6,0))</f>
        <v>-5.566666666666667</v>
      </c>
      <c r="AF53" s="53">
        <f>INDEX('Adjustments'!$Y$52:$BH$52,MATCH(AF$6,'Adjustments'!$Y$6:$BH$6,0))</f>
        <v>-5.566666666666667</v>
      </c>
      <c r="AG53" s="53">
        <f>INDEX('Adjustments'!$Y$52:$BH$52,MATCH(AG$6,'Adjustments'!$Y$6:$BH$6,0))</f>
        <v>-5.566666666666667</v>
      </c>
      <c r="AH53" s="53">
        <f>INDEX('Adjustments'!$Y$52:$BH$52,MATCH(AH$6,'Adjustments'!$Y$6:$BH$6,0))</f>
        <v>-5.566666666666667</v>
      </c>
      <c r="AI53" s="53">
        <f>INDEX('Adjustments'!$Y$52:$BH$52,MATCH(AI$6,'Adjustments'!$Y$6:$BH$6,0))</f>
        <v>-5.566666666666667</v>
      </c>
      <c r="AJ53" s="53">
        <f>INDEX('Adjustments'!$Y$52:$BH$52,MATCH(AJ$6,'Adjustments'!$Y$6:$BH$6,0))</f>
        <v>-5.566666666666667</v>
      </c>
      <c r="AK53" s="53">
        <f>INDEX('Adjustments'!$Y$52:$BH$52,MATCH(AK$6,'Adjustments'!$Y$6:$BH$6,0))</f>
        <v>-5.566666666666667</v>
      </c>
      <c r="AL53" s="53">
        <f>INDEX('Adjustments'!$Y$52:$BH$52,MATCH(AL$6,'Adjustments'!$Y$6:$BH$6,0))</f>
        <v>-5.566666666666667</v>
      </c>
      <c r="AM53" s="53">
        <f>INDEX('Adjustments'!$Y$52:$BH$52,MATCH(AM$6,'Adjustments'!$Y$6:$BH$6,0))</f>
        <v>-5.566666666666667</v>
      </c>
      <c r="AN53" s="53">
        <f>INDEX('Adjustments'!$Y$52:$BH$52,MATCH(AN$6,'Adjustments'!$Y$6:$BH$6,0))</f>
        <v>-5.566666666666667</v>
      </c>
      <c r="AO53" s="53">
        <f>INDEX('Adjustments'!$Y$52:$BH$52,MATCH(AO$6,'Adjustments'!$Y$6:$BH$6,0))</f>
        <v>-5.566666666666667</v>
      </c>
      <c r="AP53" s="53">
        <f>INDEX('Adjustments'!$Y$52:$BH$52,MATCH(AP$6,'Adjustments'!$Y$6:$BH$6,0))</f>
        <v>-5.566666666666667</v>
      </c>
      <c r="AQ53" s="53">
        <f>INDEX('Adjustments'!$Y$52:$BH$52,MATCH(AQ$6,'Adjustments'!$Y$6:$BH$6,0))</f>
        <v>-5.566666666666667</v>
      </c>
      <c r="AR53" s="53">
        <f>INDEX('Adjustments'!$Y$52:$BH$52,MATCH(AR$6,'Adjustments'!$Y$6:$BH$6,0))</f>
        <v>-5.566666666666667</v>
      </c>
      <c r="AS53" s="53">
        <f>INDEX('Adjustments'!$Y$52:$BH$52,MATCH(AS$6,'Adjustments'!$Y$6:$BH$6,0))</f>
        <v>-5.566666666666667</v>
      </c>
      <c r="AT53" s="53">
        <f>INDEX('Adjustments'!$Y$52:$BH$52,MATCH(AT$6,'Adjustments'!$Y$6:$BH$6,0))</f>
        <v>-5.566666666666667</v>
      </c>
      <c r="AU53" s="53">
        <f>INDEX('Adjustments'!$Y$52:$BH$52,MATCH(AU$6,'Adjustments'!$Y$6:$BH$6,0))</f>
        <v>-5.566666666666667</v>
      </c>
      <c r="AV53" s="53">
        <f>INDEX('Adjustments'!$Y$52:$BH$52,MATCH(AV$6,'Adjustments'!$Y$6:$BH$6,0))</f>
        <v>-5.566666666666667</v>
      </c>
      <c r="AW53" s="53">
        <f>INDEX('Adjustments'!$Y$52:$BH$52,MATCH(AW$6,'Adjustments'!$Y$6:$BH$6,0))</f>
        <v>-5.566666666666667</v>
      </c>
      <c r="AX53" s="53">
        <f>INDEX('Adjustments'!$Y$52:$BH$52,MATCH(AX$6,'Adjustments'!$Y$6:$BH$6,0))</f>
        <v>-5.566666666666667</v>
      </c>
      <c r="AY53" s="53">
        <f>INDEX('Adjustments'!$Y$52:$BH$52,MATCH(AY$6,'Adjustments'!$Y$6:$BH$6,0))</f>
        <v>-5.566666666666667</v>
      </c>
      <c r="AZ53" s="53">
        <f>INDEX('Adjustments'!$Y$52:$BH$52,MATCH(AZ$6,'Adjustments'!$Y$6:$BH$6,0))</f>
        <v>-5.566666666666667</v>
      </c>
    </row>
    <row r="54" ht="3.95" customHeight="1" x14ac:dyDescent="0.25"/>
    <row r="55" spans="2:52" x14ac:dyDescent="0.25">
      <c r="B55" s="197" t="s">
        <v>96</v>
      </c>
      <c r="C55" s="170">
        <f>SUMIFS($Q55:$AZ55,$Q$6:$AZ$6,"&gt;="&amp;C$61,$Q$6:$AZ$6,"&lt;="&amp;C$62)</f>
        <v>194.534</v>
      </c>
      <c r="D55" s="200">
        <f>SUMIFS($Q55:$AZ55,$Q$6:$AZ$6,"&gt;="&amp;D$61,$Q$6:$AZ$6,"&lt;="&amp;D$62)</f>
        <v>286.44</v>
      </c>
      <c r="E55" s="212">
        <f>SUMIFS($Q55:$AZ55,$Q$6:$AZ$6,"&gt;="&amp;E$61,$Q$6:$AZ$6,"&lt;="&amp;E$62)</f>
        <v>385.725</v>
      </c>
      <c r="G55" s="170">
        <f>SUMIFS($Q55:$AZ55,$Q$6:$AZ$6,"&gt;="&amp;G$61,$Q$6:$AZ$6,"&lt;="&amp;G$62)</f>
        <v>286.44</v>
      </c>
      <c r="H55" s="212">
        <f>SUMIFS($Q55:$AZ55,$Q$6:$AZ$6,"&gt;="&amp;H$61,$Q$6:$AZ$6,"&lt;="&amp;H$62)</f>
        <v>385.725</v>
      </c>
      <c r="J55" s="170">
        <f>SUMIFS($Q55:$AZ55,$Q$6:$AZ$6,"&gt;="&amp;J$61,$Q$6:$AZ$6,"&lt;="&amp;J$62)</f>
        <v>286.44</v>
      </c>
      <c r="K55" s="212">
        <f>SUMIFS($Q55:$AZ55,$Q$6:$AZ$6,"&gt;="&amp;K$61,$Q$6:$AZ$6,"&lt;="&amp;K$62)</f>
        <v>385.725</v>
      </c>
      <c r="L55" s="197">
        <f>SUMIFS($Q55:$AZ55,$Q$6:$AZ$6,"&gt;="&amp;L$61,$Q$6:$AZ$6,"&lt;="&amp;L$62)</f>
        <v>385.725</v>
      </c>
      <c r="N55" s="170">
        <f>L55-K55</f>
        <v>0</v>
      </c>
      <c r="O55" s="171">
        <f>IFERROR(L55/K55-1,"n.a.")</f>
        <v>0</v>
      </c>
      <c r="Q55" s="170">
        <f>Q51+Q52+Q53</f>
        <v>9.79943966817496</v>
      </c>
      <c r="R55" s="200">
        <f>R51+R52+R53</f>
        <v>3.8838333333333313</v>
      </c>
      <c r="S55" s="200">
        <f>S51+S52+S53</f>
        <v>-2.4905603318250367</v>
      </c>
      <c r="T55" s="200">
        <f>T51+T52+T53</f>
        <v>1.2834396681749614</v>
      </c>
      <c r="U55" s="200">
        <f>U51+U52+U53</f>
        <v>12.277833333333332</v>
      </c>
      <c r="V55" s="200">
        <f>V51+V52+V53</f>
        <v>26.264620663650074</v>
      </c>
      <c r="W55" s="200">
        <f>W51+W52+W53</f>
        <v>33.45622699849171</v>
      </c>
      <c r="X55" s="200">
        <f>X51+X52+X53</f>
        <v>29.56743966817496</v>
      </c>
      <c r="Y55" s="200">
        <f>Y51+Y52+Y53</f>
        <v>19.687833333333334</v>
      </c>
      <c r="Z55" s="200">
        <f>Z51+Z52+Z53</f>
        <v>9.791833333333333</v>
      </c>
      <c r="AA55" s="200">
        <f>AA51+AA52+AA53</f>
        <v>17.575226998491704</v>
      </c>
      <c r="AB55" s="200">
        <f>AB51+AB52+AB53</f>
        <v>33.43683333333333</v>
      </c>
      <c r="AC55" s="200">
        <f>AC51+AC52+AC53</f>
        <v>16.494653319809554</v>
      </c>
      <c r="AD55" s="200">
        <f>AD51+AD52+AD53</f>
        <v>9.867290067433634</v>
      </c>
      <c r="AE55" s="200">
        <f>AE51+AE52+AE53</f>
        <v>2.826198198373443</v>
      </c>
      <c r="AF55" s="200">
        <f>AF51+AF52+AF53</f>
        <v>7.164743076937326</v>
      </c>
      <c r="AG55" s="200">
        <f>AG51+AG52+AG53</f>
        <v>19.43739984484707</v>
      </c>
      <c r="AH55" s="200">
        <f>AH51+AH52+AH53</f>
        <v>35.15767334009522</v>
      </c>
      <c r="AI55" s="200">
        <f>AI51+AI52+AI53</f>
        <v>43.25840195677949</v>
      </c>
      <c r="AJ55" s="200">
        <f>AJ51+AJ52+AJ53</f>
        <v>38.89367334009522</v>
      </c>
      <c r="AK55" s="200">
        <f>AK51+AK52+AK53</f>
        <v>27.95839984484707</v>
      </c>
      <c r="AL55" s="200">
        <f>AL51+AL52+AL53</f>
        <v>16.811310087719296</v>
      </c>
      <c r="AM55" s="200">
        <f>AM51+AM52+AM53</f>
        <v>25.44394683534337</v>
      </c>
      <c r="AN55" s="200">
        <f>AN51+AN52+AN53</f>
        <v>43.126310087719304</v>
      </c>
      <c r="AO55" s="200">
        <f>AO51+AO52+AO53</f>
        <v>23.789249055204213</v>
      </c>
      <c r="AP55" s="200">
        <f>AP51+AP52+AP53</f>
        <v>16.468189766666665</v>
      </c>
      <c r="AQ55" s="200">
        <f>AQ51+AQ52+AQ53</f>
        <v>8.746071189591566</v>
      </c>
      <c r="AR55" s="200">
        <f>AR51+AR52+AR53</f>
        <v>13.633249055204217</v>
      </c>
      <c r="AS55" s="200">
        <f>AS51+AS52+AS53</f>
        <v>27.168189766666668</v>
      </c>
      <c r="AT55" s="200">
        <f>AT51+AT52+AT53</f>
        <v>44.62324905520422</v>
      </c>
      <c r="AU55" s="200">
        <f>AU51+AU52+AU53</f>
        <v>53.633130478129125</v>
      </c>
      <c r="AV55" s="200">
        <f>AV51+AV52+AV53</f>
        <v>48.82424905520422</v>
      </c>
      <c r="AW55" s="200">
        <f>AW51+AW52+AW53</f>
        <v>36.87612046666668</v>
      </c>
      <c r="AX55" s="200">
        <f>AX51+AX52+AX53</f>
        <v>24.48012046666667</v>
      </c>
      <c r="AY55" s="200">
        <f>AY51+AY52+AY53</f>
        <v>34.01606117812912</v>
      </c>
      <c r="AZ55" s="212">
        <f>AZ51+AZ52+AZ53</f>
        <v>53.46712046666667</v>
      </c>
    </row>
    <row r="56" spans="2:52" x14ac:dyDescent="0.25">
      <c r="B56" s="52" t="s">
        <v>1351</v>
      </c>
      <c r="C56" s="52">
        <f>SUMIFS($Q56:$AZ56,$Q$6:$AZ$6,"&gt;="&amp;C$61,$Q$6:$AZ$6,"&lt;="&amp;C$62)</f>
        <v>0</v>
      </c>
      <c r="D56" s="52">
        <f>SUMIFS($Q56:$AZ56,$Q$6:$AZ$6,"&gt;="&amp;D$61,$Q$6:$AZ$6,"&lt;="&amp;D$62)</f>
        <v>0</v>
      </c>
      <c r="E56" s="52">
        <f>SUMIFS($Q56:$AZ56,$Q$6:$AZ$6,"&gt;="&amp;E$61,$Q$6:$AZ$6,"&lt;="&amp;E$62)</f>
        <v>0</v>
      </c>
      <c r="G56" s="52">
        <f>SUMIFS($Q56:$AZ56,$Q$6:$AZ$6,"&gt;="&amp;G$61,$Q$6:$AZ$6,"&lt;="&amp;G$62)</f>
        <v>0</v>
      </c>
      <c r="H56" s="52">
        <f>SUMIFS($Q56:$AZ56,$Q$6:$AZ$6,"&gt;="&amp;H$61,$Q$6:$AZ$6,"&lt;="&amp;H$62)</f>
        <v>0</v>
      </c>
      <c r="J56" s="52">
        <f>SUMIFS($Q56:$AZ56,$Q$6:$AZ$6,"&gt;="&amp;J$61,$Q$6:$AZ$6,"&lt;="&amp;J$62)</f>
        <v>0</v>
      </c>
      <c r="K56" s="52">
        <f>SUMIFS($Q56:$AZ56,$Q$6:$AZ$6,"&gt;="&amp;K$61,$Q$6:$AZ$6,"&lt;="&amp;K$62)</f>
        <v>0</v>
      </c>
      <c r="L56" s="52">
        <f>SUMIFS($Q56:$AZ56,$Q$6:$AZ$6,"&gt;="&amp;L$61,$Q$6:$AZ$6,"&lt;="&amp;L$62)</f>
        <v>0</v>
      </c>
      <c r="N56" s="52">
        <f>L56-K56</f>
        <v>0</v>
      </c>
      <c r="O56" s="115" t="str">
        <f>IFERROR(L56/K56-1,"n.a.")</f>
        <v>n.a.</v>
      </c>
      <c r="Q56" s="53">
        <f>INDEX('Adjustments'!$Y$53:$BH$53,MATCH(Q$6,'Adjustments'!$Y$6:$BH$6,0))</f>
        <v>0</v>
      </c>
      <c r="R56" s="53">
        <f>INDEX('Adjustments'!$Y$53:$BH$53,MATCH(R$6,'Adjustments'!$Y$6:$BH$6,0))</f>
        <v>0</v>
      </c>
      <c r="S56" s="53">
        <f>INDEX('Adjustments'!$Y$53:$BH$53,MATCH(S$6,'Adjustments'!$Y$6:$BH$6,0))</f>
        <v>0</v>
      </c>
      <c r="T56" s="53">
        <f>INDEX('Adjustments'!$Y$53:$BH$53,MATCH(T$6,'Adjustments'!$Y$6:$BH$6,0))</f>
        <v>0</v>
      </c>
      <c r="U56" s="53">
        <f>INDEX('Adjustments'!$Y$53:$BH$53,MATCH(U$6,'Adjustments'!$Y$6:$BH$6,0))</f>
        <v>0</v>
      </c>
      <c r="V56" s="53">
        <f>INDEX('Adjustments'!$Y$53:$BH$53,MATCH(V$6,'Adjustments'!$Y$6:$BH$6,0))</f>
        <v>0</v>
      </c>
      <c r="W56" s="53">
        <f>INDEX('Adjustments'!$Y$53:$BH$53,MATCH(W$6,'Adjustments'!$Y$6:$BH$6,0))</f>
        <v>0</v>
      </c>
      <c r="X56" s="53">
        <f>INDEX('Adjustments'!$Y$53:$BH$53,MATCH(X$6,'Adjustments'!$Y$6:$BH$6,0))</f>
        <v>0</v>
      </c>
      <c r="Y56" s="53">
        <f>INDEX('Adjustments'!$Y$53:$BH$53,MATCH(Y$6,'Adjustments'!$Y$6:$BH$6,0))</f>
        <v>0</v>
      </c>
      <c r="Z56" s="53">
        <f>INDEX('Adjustments'!$Y$53:$BH$53,MATCH(Z$6,'Adjustments'!$Y$6:$BH$6,0))</f>
        <v>0</v>
      </c>
      <c r="AA56" s="53">
        <f>INDEX('Adjustments'!$Y$53:$BH$53,MATCH(AA$6,'Adjustments'!$Y$6:$BH$6,0))</f>
        <v>0</v>
      </c>
      <c r="AB56" s="53">
        <f>INDEX('Adjustments'!$Y$53:$BH$53,MATCH(AB$6,'Adjustments'!$Y$6:$BH$6,0))</f>
        <v>0</v>
      </c>
      <c r="AC56" s="53">
        <f>INDEX('Adjustments'!$Y$53:$BH$53,MATCH(AC$6,'Adjustments'!$Y$6:$BH$6,0))</f>
        <v>0</v>
      </c>
      <c r="AD56" s="53">
        <f>INDEX('Adjustments'!$Y$53:$BH$53,MATCH(AD$6,'Adjustments'!$Y$6:$BH$6,0))</f>
        <v>0</v>
      </c>
      <c r="AE56" s="53">
        <f>INDEX('Adjustments'!$Y$53:$BH$53,MATCH(AE$6,'Adjustments'!$Y$6:$BH$6,0))</f>
        <v>0</v>
      </c>
      <c r="AF56" s="53">
        <f>INDEX('Adjustments'!$Y$53:$BH$53,MATCH(AF$6,'Adjustments'!$Y$6:$BH$6,0))</f>
        <v>0</v>
      </c>
      <c r="AG56" s="53">
        <f>INDEX('Adjustments'!$Y$53:$BH$53,MATCH(AG$6,'Adjustments'!$Y$6:$BH$6,0))</f>
        <v>0</v>
      </c>
      <c r="AH56" s="53">
        <f>INDEX('Adjustments'!$Y$53:$BH$53,MATCH(AH$6,'Adjustments'!$Y$6:$BH$6,0))</f>
        <v>0</v>
      </c>
      <c r="AI56" s="53">
        <f>INDEX('Adjustments'!$Y$53:$BH$53,MATCH(AI$6,'Adjustments'!$Y$6:$BH$6,0))</f>
        <v>0</v>
      </c>
      <c r="AJ56" s="53">
        <f>INDEX('Adjustments'!$Y$53:$BH$53,MATCH(AJ$6,'Adjustments'!$Y$6:$BH$6,0))</f>
        <v>0</v>
      </c>
      <c r="AK56" s="53">
        <f>INDEX('Adjustments'!$Y$53:$BH$53,MATCH(AK$6,'Adjustments'!$Y$6:$BH$6,0))</f>
        <v>0</v>
      </c>
      <c r="AL56" s="53">
        <f>INDEX('Adjustments'!$Y$53:$BH$53,MATCH(AL$6,'Adjustments'!$Y$6:$BH$6,0))</f>
        <v>0</v>
      </c>
      <c r="AM56" s="53">
        <f>INDEX('Adjustments'!$Y$53:$BH$53,MATCH(AM$6,'Adjustments'!$Y$6:$BH$6,0))</f>
        <v>0</v>
      </c>
      <c r="AN56" s="53">
        <f>INDEX('Adjustments'!$Y$53:$BH$53,MATCH(AN$6,'Adjustments'!$Y$6:$BH$6,0))</f>
        <v>0</v>
      </c>
      <c r="AO56" s="53">
        <f>INDEX('Adjustments'!$Y$53:$BH$53,MATCH(AO$6,'Adjustments'!$Y$6:$BH$6,0))</f>
        <v>0</v>
      </c>
      <c r="AP56" s="53">
        <f>INDEX('Adjustments'!$Y$53:$BH$53,MATCH(AP$6,'Adjustments'!$Y$6:$BH$6,0))</f>
        <v>0</v>
      </c>
      <c r="AQ56" s="53">
        <f>INDEX('Adjustments'!$Y$53:$BH$53,MATCH(AQ$6,'Adjustments'!$Y$6:$BH$6,0))</f>
        <v>0</v>
      </c>
      <c r="AR56" s="53">
        <f>INDEX('Adjustments'!$Y$53:$BH$53,MATCH(AR$6,'Adjustments'!$Y$6:$BH$6,0))</f>
        <v>0</v>
      </c>
      <c r="AS56" s="53">
        <f>INDEX('Adjustments'!$Y$53:$BH$53,MATCH(AS$6,'Adjustments'!$Y$6:$BH$6,0))</f>
        <v>0</v>
      </c>
      <c r="AT56" s="53">
        <f>INDEX('Adjustments'!$Y$53:$BH$53,MATCH(AT$6,'Adjustments'!$Y$6:$BH$6,0))</f>
        <v>0</v>
      </c>
      <c r="AU56" s="53">
        <f>INDEX('Adjustments'!$Y$53:$BH$53,MATCH(AU$6,'Adjustments'!$Y$6:$BH$6,0))</f>
        <v>0</v>
      </c>
      <c r="AV56" s="53">
        <f>INDEX('Adjustments'!$Y$53:$BH$53,MATCH(AV$6,'Adjustments'!$Y$6:$BH$6,0))</f>
        <v>0</v>
      </c>
      <c r="AW56" s="53">
        <f>INDEX('Adjustments'!$Y$53:$BH$53,MATCH(AW$6,'Adjustments'!$Y$6:$BH$6,0))</f>
        <v>0</v>
      </c>
      <c r="AX56" s="53">
        <f>INDEX('Adjustments'!$Y$53:$BH$53,MATCH(AX$6,'Adjustments'!$Y$6:$BH$6,0))</f>
        <v>0</v>
      </c>
      <c r="AY56" s="53">
        <f>INDEX('Adjustments'!$Y$53:$BH$53,MATCH(AY$6,'Adjustments'!$Y$6:$BH$6,0))</f>
        <v>0</v>
      </c>
      <c r="AZ56" s="53">
        <f>INDEX('Adjustments'!$Y$53:$BH$53,MATCH(AZ$6,'Adjustments'!$Y$6:$BH$6,0))</f>
        <v>0</v>
      </c>
    </row>
    <row r="57" ht="3.95" customHeight="1" x14ac:dyDescent="0.25"/>
    <row r="58" spans="2:52" x14ac:dyDescent="0.25">
      <c r="B58" s="197" t="s">
        <v>98</v>
      </c>
      <c r="C58" s="170">
        <f>SUMIFS($Q58:$AZ58,$Q$6:$AZ$6,"&gt;="&amp;C$61,$Q$6:$AZ$6,"&lt;="&amp;C$62)</f>
        <v>194.534</v>
      </c>
      <c r="D58" s="200">
        <f>SUMIFS($Q58:$AZ58,$Q$6:$AZ$6,"&gt;="&amp;D$61,$Q$6:$AZ$6,"&lt;="&amp;D$62)</f>
        <v>286.44</v>
      </c>
      <c r="E58" s="212">
        <f>SUMIFS($Q58:$AZ58,$Q$6:$AZ$6,"&gt;="&amp;E$61,$Q$6:$AZ$6,"&lt;="&amp;E$62)</f>
        <v>385.725</v>
      </c>
      <c r="G58" s="170">
        <f>SUMIFS($Q58:$AZ58,$Q$6:$AZ$6,"&gt;="&amp;G$61,$Q$6:$AZ$6,"&lt;="&amp;G$62)</f>
        <v>286.44</v>
      </c>
      <c r="H58" s="212">
        <f>SUMIFS($Q58:$AZ58,$Q$6:$AZ$6,"&gt;="&amp;H$61,$Q$6:$AZ$6,"&lt;="&amp;H$62)</f>
        <v>385.725</v>
      </c>
      <c r="J58" s="170">
        <f>SUMIFS($Q58:$AZ58,$Q$6:$AZ$6,"&gt;="&amp;J$61,$Q$6:$AZ$6,"&lt;="&amp;J$62)</f>
        <v>286.44</v>
      </c>
      <c r="K58" s="212">
        <f>SUMIFS($Q58:$AZ58,$Q$6:$AZ$6,"&gt;="&amp;K$61,$Q$6:$AZ$6,"&lt;="&amp;K$62)</f>
        <v>385.725</v>
      </c>
      <c r="L58" s="197">
        <f>SUMIFS($Q58:$AZ58,$Q$6:$AZ$6,"&gt;="&amp;L$61,$Q$6:$AZ$6,"&lt;="&amp;L$62)</f>
        <v>385.725</v>
      </c>
      <c r="N58" s="170">
        <f>L58-K58</f>
        <v>0</v>
      </c>
      <c r="O58" s="171">
        <f>IFERROR(L58/K58-1,"n.a.")</f>
        <v>0</v>
      </c>
      <c r="Q58" s="170">
        <f>Q55+Q56</f>
        <v>9.79943966817496</v>
      </c>
      <c r="R58" s="200">
        <f>R55+R56</f>
        <v>3.8838333333333313</v>
      </c>
      <c r="S58" s="200">
        <f>S55+S56</f>
        <v>-2.4905603318250367</v>
      </c>
      <c r="T58" s="200">
        <f>T55+T56</f>
        <v>1.2834396681749614</v>
      </c>
      <c r="U58" s="200">
        <f>U55+U56</f>
        <v>12.277833333333332</v>
      </c>
      <c r="V58" s="200">
        <f>V55+V56</f>
        <v>26.264620663650074</v>
      </c>
      <c r="W58" s="200">
        <f>W55+W56</f>
        <v>33.45622699849171</v>
      </c>
      <c r="X58" s="200">
        <f>X55+X56</f>
        <v>29.56743966817496</v>
      </c>
      <c r="Y58" s="200">
        <f>Y55+Y56</f>
        <v>19.687833333333334</v>
      </c>
      <c r="Z58" s="200">
        <f>Z55+Z56</f>
        <v>9.791833333333333</v>
      </c>
      <c r="AA58" s="200">
        <f>AA55+AA56</f>
        <v>17.575226998491704</v>
      </c>
      <c r="AB58" s="200">
        <f>AB55+AB56</f>
        <v>33.43683333333333</v>
      </c>
      <c r="AC58" s="200">
        <f>AC55+AC56</f>
        <v>16.494653319809554</v>
      </c>
      <c r="AD58" s="200">
        <f>AD55+AD56</f>
        <v>9.867290067433634</v>
      </c>
      <c r="AE58" s="200">
        <f>AE55+AE56</f>
        <v>2.826198198373443</v>
      </c>
      <c r="AF58" s="200">
        <f>AF55+AF56</f>
        <v>7.164743076937326</v>
      </c>
      <c r="AG58" s="200">
        <f>AG55+AG56</f>
        <v>19.43739984484707</v>
      </c>
      <c r="AH58" s="200">
        <f>AH55+AH56</f>
        <v>35.15767334009522</v>
      </c>
      <c r="AI58" s="200">
        <f>AI55+AI56</f>
        <v>43.25840195677949</v>
      </c>
      <c r="AJ58" s="200">
        <f>AJ55+AJ56</f>
        <v>38.89367334009522</v>
      </c>
      <c r="AK58" s="200">
        <f>AK55+AK56</f>
        <v>27.95839984484707</v>
      </c>
      <c r="AL58" s="200">
        <f>AL55+AL56</f>
        <v>16.811310087719296</v>
      </c>
      <c r="AM58" s="200">
        <f>AM55+AM56</f>
        <v>25.44394683534337</v>
      </c>
      <c r="AN58" s="200">
        <f>AN55+AN56</f>
        <v>43.126310087719304</v>
      </c>
      <c r="AO58" s="200">
        <f>AO55+AO56</f>
        <v>23.789249055204213</v>
      </c>
      <c r="AP58" s="200">
        <f>AP55+AP56</f>
        <v>16.468189766666665</v>
      </c>
      <c r="AQ58" s="200">
        <f>AQ55+AQ56</f>
        <v>8.746071189591566</v>
      </c>
      <c r="AR58" s="200">
        <f>AR55+AR56</f>
        <v>13.633249055204217</v>
      </c>
      <c r="AS58" s="200">
        <f>AS55+AS56</f>
        <v>27.168189766666668</v>
      </c>
      <c r="AT58" s="200">
        <f>AT55+AT56</f>
        <v>44.62324905520422</v>
      </c>
      <c r="AU58" s="200">
        <f>AU55+AU56</f>
        <v>53.633130478129125</v>
      </c>
      <c r="AV58" s="200">
        <f>AV55+AV56</f>
        <v>48.82424905520422</v>
      </c>
      <c r="AW58" s="200">
        <f>AW55+AW56</f>
        <v>36.87612046666668</v>
      </c>
      <c r="AX58" s="200">
        <f>AX55+AX56</f>
        <v>24.48012046666667</v>
      </c>
      <c r="AY58" s="200">
        <f>AY55+AY56</f>
        <v>34.01606117812912</v>
      </c>
      <c r="AZ58" s="212">
        <f>AZ55+AZ56</f>
        <v>53.46712046666667</v>
      </c>
    </row>
    <row r="59" spans="2:52" x14ac:dyDescent="0.25">
      <c r="B59" s="130" t="s">
        <v>1352</v>
      </c>
      <c r="C59" s="130">
        <f>ROUND(SUMIFS($Q59:$AZ59,$Q$6:$AZ$6,"&gt;="&amp;C$61,$Q$6:$AZ$6,"&lt;="&amp;C$62),6)</f>
        <v>0</v>
      </c>
      <c r="D59" s="130">
        <f>ROUND(SUMIFS($Q59:$AZ59,$Q$6:$AZ$6,"&gt;="&amp;D$61,$Q$6:$AZ$6,"&lt;="&amp;D$62),6)</f>
        <v>0</v>
      </c>
      <c r="E59" s="130">
        <f>ROUND(SUMIFS($Q59:$AZ59,$Q$6:$AZ$6,"&gt;="&amp;E$61,$Q$6:$AZ$6,"&lt;="&amp;E$62),6)</f>
        <v>0</v>
      </c>
      <c r="G59" s="130">
        <f>ROUND(SUMIFS($Q59:$AZ59,$Q$6:$AZ$6,"&gt;="&amp;G$61,$Q$6:$AZ$6,"&lt;="&amp;G$62),6)</f>
        <v>0</v>
      </c>
      <c r="H59" s="130">
        <f>ROUND(SUMIFS($Q59:$AZ59,$Q$6:$AZ$6,"&gt;="&amp;H$61,$Q$6:$AZ$6,"&lt;="&amp;H$62),6)</f>
        <v>0</v>
      </c>
      <c r="J59" s="130">
        <f>ROUND(SUMIFS($Q59:$AZ59,$Q$6:$AZ$6,"&gt;="&amp;J$61,$Q$6:$AZ$6,"&lt;="&amp;J$62),6)</f>
        <v>0</v>
      </c>
      <c r="K59" s="130">
        <f>ROUND(SUMIFS($Q59:$AZ59,$Q$6:$AZ$6,"&gt;="&amp;K$61,$Q$6:$AZ$6,"&lt;="&amp;K$62),6)</f>
        <v>0</v>
      </c>
      <c r="L59" s="130">
        <f>ROUND(SUMIFS($Q59:$AZ59,$Q$6:$AZ$6,"&gt;="&amp;L$61,$Q$6:$AZ$6,"&lt;="&amp;L$62),6)</f>
        <v>0</v>
      </c>
      <c r="Q59" s="130">
        <f>ROUND(Q43-(SUMIFS('Databook'!Q$8:Q$33,'Databook'!$D$8:$D$33,"revenue")-SUMIFS('Databook'!Q$8:Q$33,'Databook'!$D$8:$D$33,"cogs")-SUMIFS('Databook'!Q$8:Q$33,'Databook'!$D$8:$D$33,"payroll")-SUMIFS('Databook'!Q$8:Q$33,'Databook'!$D$8:$D$33,"owner_comp")-SUMIFS('Databook'!Q$8:Q$33,'Databook'!$D$8:$D$33,"rent")-SUMIFS('Databook'!Q$8:Q$33,'Databook'!$D$8:$D$33,"marketing")-SUMIFS('Databook'!Q$8:Q$33,'Databook'!$D$8:$D$33,"other_opex")-SUMIFS('Databook'!Q$8:Q$33,'Databook'!$D$8:$D$33,"depreciation_amortization")-SUMIFS('Databook'!Q$8:Q$33,'Databook'!$D$8:$D$33,"interest_expense")+SUMIFS('Databook'!Q$8:Q$33,'Databook'!$D$8:$D$33,"other_income")-SUMIFS('Databook'!Q$8:Q$33,'Databook'!$D$8:$D$33,"other_expense")-SUMIFS('Databook'!Q$8:Q$33,'Databook'!$D$8:$D$33,"income_tax"))/1000,6)</f>
        <v>0</v>
      </c>
      <c r="R59" s="130">
        <f>ROUND(R43-(SUMIFS('Databook'!R$8:R$33,'Databook'!$D$8:$D$33,"revenue")-SUMIFS('Databook'!R$8:R$33,'Databook'!$D$8:$D$33,"cogs")-SUMIFS('Databook'!R$8:R$33,'Databook'!$D$8:$D$33,"payroll")-SUMIFS('Databook'!R$8:R$33,'Databook'!$D$8:$D$33,"owner_comp")-SUMIFS('Databook'!R$8:R$33,'Databook'!$D$8:$D$33,"rent")-SUMIFS('Databook'!R$8:R$33,'Databook'!$D$8:$D$33,"marketing")-SUMIFS('Databook'!R$8:R$33,'Databook'!$D$8:$D$33,"other_opex")-SUMIFS('Databook'!R$8:R$33,'Databook'!$D$8:$D$33,"depreciation_amortization")-SUMIFS('Databook'!R$8:R$33,'Databook'!$D$8:$D$33,"interest_expense")+SUMIFS('Databook'!R$8:R$33,'Databook'!$D$8:$D$33,"other_income")-SUMIFS('Databook'!R$8:R$33,'Databook'!$D$8:$D$33,"other_expense")-SUMIFS('Databook'!R$8:R$33,'Databook'!$D$8:$D$33,"income_tax"))/1000,6)</f>
        <v>0</v>
      </c>
      <c r="S59" s="130">
        <f>ROUND(S43-(SUMIFS('Databook'!S$8:S$33,'Databook'!$D$8:$D$33,"revenue")-SUMIFS('Databook'!S$8:S$33,'Databook'!$D$8:$D$33,"cogs")-SUMIFS('Databook'!S$8:S$33,'Databook'!$D$8:$D$33,"payroll")-SUMIFS('Databook'!S$8:S$33,'Databook'!$D$8:$D$33,"owner_comp")-SUMIFS('Databook'!S$8:S$33,'Databook'!$D$8:$D$33,"rent")-SUMIFS('Databook'!S$8:S$33,'Databook'!$D$8:$D$33,"marketing")-SUMIFS('Databook'!S$8:S$33,'Databook'!$D$8:$D$33,"other_opex")-SUMIFS('Databook'!S$8:S$33,'Databook'!$D$8:$D$33,"depreciation_amortization")-SUMIFS('Databook'!S$8:S$33,'Databook'!$D$8:$D$33,"interest_expense")+SUMIFS('Databook'!S$8:S$33,'Databook'!$D$8:$D$33,"other_income")-SUMIFS('Databook'!S$8:S$33,'Databook'!$D$8:$D$33,"other_expense")-SUMIFS('Databook'!S$8:S$33,'Databook'!$D$8:$D$33,"income_tax"))/1000,6)</f>
        <v>0</v>
      </c>
      <c r="T59" s="130">
        <f>ROUND(T43-(SUMIFS('Databook'!T$8:T$33,'Databook'!$D$8:$D$33,"revenue")-SUMIFS('Databook'!T$8:T$33,'Databook'!$D$8:$D$33,"cogs")-SUMIFS('Databook'!T$8:T$33,'Databook'!$D$8:$D$33,"payroll")-SUMIFS('Databook'!T$8:T$33,'Databook'!$D$8:$D$33,"owner_comp")-SUMIFS('Databook'!T$8:T$33,'Databook'!$D$8:$D$33,"rent")-SUMIFS('Databook'!T$8:T$33,'Databook'!$D$8:$D$33,"marketing")-SUMIFS('Databook'!T$8:T$33,'Databook'!$D$8:$D$33,"other_opex")-SUMIFS('Databook'!T$8:T$33,'Databook'!$D$8:$D$33,"depreciation_amortization")-SUMIFS('Databook'!T$8:T$33,'Databook'!$D$8:$D$33,"interest_expense")+SUMIFS('Databook'!T$8:T$33,'Databook'!$D$8:$D$33,"other_income")-SUMIFS('Databook'!T$8:T$33,'Databook'!$D$8:$D$33,"other_expense")-SUMIFS('Databook'!T$8:T$33,'Databook'!$D$8:$D$33,"income_tax"))/1000,6)</f>
        <v>0</v>
      </c>
      <c r="U59" s="130">
        <f>ROUND(U43-(SUMIFS('Databook'!U$8:U$33,'Databook'!$D$8:$D$33,"revenue")-SUMIFS('Databook'!U$8:U$33,'Databook'!$D$8:$D$33,"cogs")-SUMIFS('Databook'!U$8:U$33,'Databook'!$D$8:$D$33,"payroll")-SUMIFS('Databook'!U$8:U$33,'Databook'!$D$8:$D$33,"owner_comp")-SUMIFS('Databook'!U$8:U$33,'Databook'!$D$8:$D$33,"rent")-SUMIFS('Databook'!U$8:U$33,'Databook'!$D$8:$D$33,"marketing")-SUMIFS('Databook'!U$8:U$33,'Databook'!$D$8:$D$33,"other_opex")-SUMIFS('Databook'!U$8:U$33,'Databook'!$D$8:$D$33,"depreciation_amortization")-SUMIFS('Databook'!U$8:U$33,'Databook'!$D$8:$D$33,"interest_expense")+SUMIFS('Databook'!U$8:U$33,'Databook'!$D$8:$D$33,"other_income")-SUMIFS('Databook'!U$8:U$33,'Databook'!$D$8:$D$33,"other_expense")-SUMIFS('Databook'!U$8:U$33,'Databook'!$D$8:$D$33,"income_tax"))/1000,6)</f>
        <v>0</v>
      </c>
      <c r="V59" s="130">
        <f>ROUND(V43-(SUMIFS('Databook'!V$8:V$33,'Databook'!$D$8:$D$33,"revenue")-SUMIFS('Databook'!V$8:V$33,'Databook'!$D$8:$D$33,"cogs")-SUMIFS('Databook'!V$8:V$33,'Databook'!$D$8:$D$33,"payroll")-SUMIFS('Databook'!V$8:V$33,'Databook'!$D$8:$D$33,"owner_comp")-SUMIFS('Databook'!V$8:V$33,'Databook'!$D$8:$D$33,"rent")-SUMIFS('Databook'!V$8:V$33,'Databook'!$D$8:$D$33,"marketing")-SUMIFS('Databook'!V$8:V$33,'Databook'!$D$8:$D$33,"other_opex")-SUMIFS('Databook'!V$8:V$33,'Databook'!$D$8:$D$33,"depreciation_amortization")-SUMIFS('Databook'!V$8:V$33,'Databook'!$D$8:$D$33,"interest_expense")+SUMIFS('Databook'!V$8:V$33,'Databook'!$D$8:$D$33,"other_income")-SUMIFS('Databook'!V$8:V$33,'Databook'!$D$8:$D$33,"other_expense")-SUMIFS('Databook'!V$8:V$33,'Databook'!$D$8:$D$33,"income_tax"))/1000,6)</f>
        <v>0</v>
      </c>
      <c r="W59" s="130">
        <f>ROUND(W43-(SUMIFS('Databook'!W$8:W$33,'Databook'!$D$8:$D$33,"revenue")-SUMIFS('Databook'!W$8:W$33,'Databook'!$D$8:$D$33,"cogs")-SUMIFS('Databook'!W$8:W$33,'Databook'!$D$8:$D$33,"payroll")-SUMIFS('Databook'!W$8:W$33,'Databook'!$D$8:$D$33,"owner_comp")-SUMIFS('Databook'!W$8:W$33,'Databook'!$D$8:$D$33,"rent")-SUMIFS('Databook'!W$8:W$33,'Databook'!$D$8:$D$33,"marketing")-SUMIFS('Databook'!W$8:W$33,'Databook'!$D$8:$D$33,"other_opex")-SUMIFS('Databook'!W$8:W$33,'Databook'!$D$8:$D$33,"depreciation_amortization")-SUMIFS('Databook'!W$8:W$33,'Databook'!$D$8:$D$33,"interest_expense")+SUMIFS('Databook'!W$8:W$33,'Databook'!$D$8:$D$33,"other_income")-SUMIFS('Databook'!W$8:W$33,'Databook'!$D$8:$D$33,"other_expense")-SUMIFS('Databook'!W$8:W$33,'Databook'!$D$8:$D$33,"income_tax"))/1000,6)</f>
        <v>0</v>
      </c>
      <c r="X59" s="130">
        <f>ROUND(X43-(SUMIFS('Databook'!X$8:X$33,'Databook'!$D$8:$D$33,"revenue")-SUMIFS('Databook'!X$8:X$33,'Databook'!$D$8:$D$33,"cogs")-SUMIFS('Databook'!X$8:X$33,'Databook'!$D$8:$D$33,"payroll")-SUMIFS('Databook'!X$8:X$33,'Databook'!$D$8:$D$33,"owner_comp")-SUMIFS('Databook'!X$8:X$33,'Databook'!$D$8:$D$33,"rent")-SUMIFS('Databook'!X$8:X$33,'Databook'!$D$8:$D$33,"marketing")-SUMIFS('Databook'!X$8:X$33,'Databook'!$D$8:$D$33,"other_opex")-SUMIFS('Databook'!X$8:X$33,'Databook'!$D$8:$D$33,"depreciation_amortization")-SUMIFS('Databook'!X$8:X$33,'Databook'!$D$8:$D$33,"interest_expense")+SUMIFS('Databook'!X$8:X$33,'Databook'!$D$8:$D$33,"other_income")-SUMIFS('Databook'!X$8:X$33,'Databook'!$D$8:$D$33,"other_expense")-SUMIFS('Databook'!X$8:X$33,'Databook'!$D$8:$D$33,"income_tax"))/1000,6)</f>
        <v>0</v>
      </c>
      <c r="Y59" s="130">
        <f>ROUND(Y43-(SUMIFS('Databook'!Y$8:Y$33,'Databook'!$D$8:$D$33,"revenue")-SUMIFS('Databook'!Y$8:Y$33,'Databook'!$D$8:$D$33,"cogs")-SUMIFS('Databook'!Y$8:Y$33,'Databook'!$D$8:$D$33,"payroll")-SUMIFS('Databook'!Y$8:Y$33,'Databook'!$D$8:$D$33,"owner_comp")-SUMIFS('Databook'!Y$8:Y$33,'Databook'!$D$8:$D$33,"rent")-SUMIFS('Databook'!Y$8:Y$33,'Databook'!$D$8:$D$33,"marketing")-SUMIFS('Databook'!Y$8:Y$33,'Databook'!$D$8:$D$33,"other_opex")-SUMIFS('Databook'!Y$8:Y$33,'Databook'!$D$8:$D$33,"depreciation_amortization")-SUMIFS('Databook'!Y$8:Y$33,'Databook'!$D$8:$D$33,"interest_expense")+SUMIFS('Databook'!Y$8:Y$33,'Databook'!$D$8:$D$33,"other_income")-SUMIFS('Databook'!Y$8:Y$33,'Databook'!$D$8:$D$33,"other_expense")-SUMIFS('Databook'!Y$8:Y$33,'Databook'!$D$8:$D$33,"income_tax"))/1000,6)</f>
        <v>0</v>
      </c>
      <c r="Z59" s="130">
        <f>ROUND(Z43-(SUMIFS('Databook'!Z$8:Z$33,'Databook'!$D$8:$D$33,"revenue")-SUMIFS('Databook'!Z$8:Z$33,'Databook'!$D$8:$D$33,"cogs")-SUMIFS('Databook'!Z$8:Z$33,'Databook'!$D$8:$D$33,"payroll")-SUMIFS('Databook'!Z$8:Z$33,'Databook'!$D$8:$D$33,"owner_comp")-SUMIFS('Databook'!Z$8:Z$33,'Databook'!$D$8:$D$33,"rent")-SUMIFS('Databook'!Z$8:Z$33,'Databook'!$D$8:$D$33,"marketing")-SUMIFS('Databook'!Z$8:Z$33,'Databook'!$D$8:$D$33,"other_opex")-SUMIFS('Databook'!Z$8:Z$33,'Databook'!$D$8:$D$33,"depreciation_amortization")-SUMIFS('Databook'!Z$8:Z$33,'Databook'!$D$8:$D$33,"interest_expense")+SUMIFS('Databook'!Z$8:Z$33,'Databook'!$D$8:$D$33,"other_income")-SUMIFS('Databook'!Z$8:Z$33,'Databook'!$D$8:$D$33,"other_expense")-SUMIFS('Databook'!Z$8:Z$33,'Databook'!$D$8:$D$33,"income_tax"))/1000,6)</f>
        <v>0</v>
      </c>
      <c r="AA59" s="130">
        <f>ROUND(AA43-(SUMIFS('Databook'!AA$8:AA$33,'Databook'!$D$8:$D$33,"revenue")-SUMIFS('Databook'!AA$8:AA$33,'Databook'!$D$8:$D$33,"cogs")-SUMIFS('Databook'!AA$8:AA$33,'Databook'!$D$8:$D$33,"payroll")-SUMIFS('Databook'!AA$8:AA$33,'Databook'!$D$8:$D$33,"owner_comp")-SUMIFS('Databook'!AA$8:AA$33,'Databook'!$D$8:$D$33,"rent")-SUMIFS('Databook'!AA$8:AA$33,'Databook'!$D$8:$D$33,"marketing")-SUMIFS('Databook'!AA$8:AA$33,'Databook'!$D$8:$D$33,"other_opex")-SUMIFS('Databook'!AA$8:AA$33,'Databook'!$D$8:$D$33,"depreciation_amortization")-SUMIFS('Databook'!AA$8:AA$33,'Databook'!$D$8:$D$33,"interest_expense")+SUMIFS('Databook'!AA$8:AA$33,'Databook'!$D$8:$D$33,"other_income")-SUMIFS('Databook'!AA$8:AA$33,'Databook'!$D$8:$D$33,"other_expense")-SUMIFS('Databook'!AA$8:AA$33,'Databook'!$D$8:$D$33,"income_tax"))/1000,6)</f>
        <v>0</v>
      </c>
      <c r="AB59" s="130">
        <f>ROUND(AB43-(SUMIFS('Databook'!AB$8:AB$33,'Databook'!$D$8:$D$33,"revenue")-SUMIFS('Databook'!AB$8:AB$33,'Databook'!$D$8:$D$33,"cogs")-SUMIFS('Databook'!AB$8:AB$33,'Databook'!$D$8:$D$33,"payroll")-SUMIFS('Databook'!AB$8:AB$33,'Databook'!$D$8:$D$33,"owner_comp")-SUMIFS('Databook'!AB$8:AB$33,'Databook'!$D$8:$D$33,"rent")-SUMIFS('Databook'!AB$8:AB$33,'Databook'!$D$8:$D$33,"marketing")-SUMIFS('Databook'!AB$8:AB$33,'Databook'!$D$8:$D$33,"other_opex")-SUMIFS('Databook'!AB$8:AB$33,'Databook'!$D$8:$D$33,"depreciation_amortization")-SUMIFS('Databook'!AB$8:AB$33,'Databook'!$D$8:$D$33,"interest_expense")+SUMIFS('Databook'!AB$8:AB$33,'Databook'!$D$8:$D$33,"other_income")-SUMIFS('Databook'!AB$8:AB$33,'Databook'!$D$8:$D$33,"other_expense")-SUMIFS('Databook'!AB$8:AB$33,'Databook'!$D$8:$D$33,"income_tax"))/1000,6)</f>
        <v>0</v>
      </c>
      <c r="AC59" s="130">
        <f>ROUND(AC43-(SUMIFS('Databook'!AC$8:AC$33,'Databook'!$D$8:$D$33,"revenue")-SUMIFS('Databook'!AC$8:AC$33,'Databook'!$D$8:$D$33,"cogs")-SUMIFS('Databook'!AC$8:AC$33,'Databook'!$D$8:$D$33,"payroll")-SUMIFS('Databook'!AC$8:AC$33,'Databook'!$D$8:$D$33,"owner_comp")-SUMIFS('Databook'!AC$8:AC$33,'Databook'!$D$8:$D$33,"rent")-SUMIFS('Databook'!AC$8:AC$33,'Databook'!$D$8:$D$33,"marketing")-SUMIFS('Databook'!AC$8:AC$33,'Databook'!$D$8:$D$33,"other_opex")-SUMIFS('Databook'!AC$8:AC$33,'Databook'!$D$8:$D$33,"depreciation_amortization")-SUMIFS('Databook'!AC$8:AC$33,'Databook'!$D$8:$D$33,"interest_expense")+SUMIFS('Databook'!AC$8:AC$33,'Databook'!$D$8:$D$33,"other_income")-SUMIFS('Databook'!AC$8:AC$33,'Databook'!$D$8:$D$33,"other_expense")-SUMIFS('Databook'!AC$8:AC$33,'Databook'!$D$8:$D$33,"income_tax"))/1000,6)</f>
        <v>0</v>
      </c>
      <c r="AD59" s="130">
        <f>ROUND(AD43-(SUMIFS('Databook'!AD$8:AD$33,'Databook'!$D$8:$D$33,"revenue")-SUMIFS('Databook'!AD$8:AD$33,'Databook'!$D$8:$D$33,"cogs")-SUMIFS('Databook'!AD$8:AD$33,'Databook'!$D$8:$D$33,"payroll")-SUMIFS('Databook'!AD$8:AD$33,'Databook'!$D$8:$D$33,"owner_comp")-SUMIFS('Databook'!AD$8:AD$33,'Databook'!$D$8:$D$33,"rent")-SUMIFS('Databook'!AD$8:AD$33,'Databook'!$D$8:$D$33,"marketing")-SUMIFS('Databook'!AD$8:AD$33,'Databook'!$D$8:$D$33,"other_opex")-SUMIFS('Databook'!AD$8:AD$33,'Databook'!$D$8:$D$33,"depreciation_amortization")-SUMIFS('Databook'!AD$8:AD$33,'Databook'!$D$8:$D$33,"interest_expense")+SUMIFS('Databook'!AD$8:AD$33,'Databook'!$D$8:$D$33,"other_income")-SUMIFS('Databook'!AD$8:AD$33,'Databook'!$D$8:$D$33,"other_expense")-SUMIFS('Databook'!AD$8:AD$33,'Databook'!$D$8:$D$33,"income_tax"))/1000,6)</f>
        <v>0</v>
      </c>
      <c r="AE59" s="130">
        <f>ROUND(AE43-(SUMIFS('Databook'!AE$8:AE$33,'Databook'!$D$8:$D$33,"revenue")-SUMIFS('Databook'!AE$8:AE$33,'Databook'!$D$8:$D$33,"cogs")-SUMIFS('Databook'!AE$8:AE$33,'Databook'!$D$8:$D$33,"payroll")-SUMIFS('Databook'!AE$8:AE$33,'Databook'!$D$8:$D$33,"owner_comp")-SUMIFS('Databook'!AE$8:AE$33,'Databook'!$D$8:$D$33,"rent")-SUMIFS('Databook'!AE$8:AE$33,'Databook'!$D$8:$D$33,"marketing")-SUMIFS('Databook'!AE$8:AE$33,'Databook'!$D$8:$D$33,"other_opex")-SUMIFS('Databook'!AE$8:AE$33,'Databook'!$D$8:$D$33,"depreciation_amortization")-SUMIFS('Databook'!AE$8:AE$33,'Databook'!$D$8:$D$33,"interest_expense")+SUMIFS('Databook'!AE$8:AE$33,'Databook'!$D$8:$D$33,"other_income")-SUMIFS('Databook'!AE$8:AE$33,'Databook'!$D$8:$D$33,"other_expense")-SUMIFS('Databook'!AE$8:AE$33,'Databook'!$D$8:$D$33,"income_tax"))/1000,6)</f>
        <v>0</v>
      </c>
      <c r="AF59" s="130">
        <f>ROUND(AF43-(SUMIFS('Databook'!AF$8:AF$33,'Databook'!$D$8:$D$33,"revenue")-SUMIFS('Databook'!AF$8:AF$33,'Databook'!$D$8:$D$33,"cogs")-SUMIFS('Databook'!AF$8:AF$33,'Databook'!$D$8:$D$33,"payroll")-SUMIFS('Databook'!AF$8:AF$33,'Databook'!$D$8:$D$33,"owner_comp")-SUMIFS('Databook'!AF$8:AF$33,'Databook'!$D$8:$D$33,"rent")-SUMIFS('Databook'!AF$8:AF$33,'Databook'!$D$8:$D$33,"marketing")-SUMIFS('Databook'!AF$8:AF$33,'Databook'!$D$8:$D$33,"other_opex")-SUMIFS('Databook'!AF$8:AF$33,'Databook'!$D$8:$D$33,"depreciation_amortization")-SUMIFS('Databook'!AF$8:AF$33,'Databook'!$D$8:$D$33,"interest_expense")+SUMIFS('Databook'!AF$8:AF$33,'Databook'!$D$8:$D$33,"other_income")-SUMIFS('Databook'!AF$8:AF$33,'Databook'!$D$8:$D$33,"other_expense")-SUMIFS('Databook'!AF$8:AF$33,'Databook'!$D$8:$D$33,"income_tax"))/1000,6)</f>
        <v>0</v>
      </c>
      <c r="AG59" s="130">
        <f>ROUND(AG43-(SUMIFS('Databook'!AG$8:AG$33,'Databook'!$D$8:$D$33,"revenue")-SUMIFS('Databook'!AG$8:AG$33,'Databook'!$D$8:$D$33,"cogs")-SUMIFS('Databook'!AG$8:AG$33,'Databook'!$D$8:$D$33,"payroll")-SUMIFS('Databook'!AG$8:AG$33,'Databook'!$D$8:$D$33,"owner_comp")-SUMIFS('Databook'!AG$8:AG$33,'Databook'!$D$8:$D$33,"rent")-SUMIFS('Databook'!AG$8:AG$33,'Databook'!$D$8:$D$33,"marketing")-SUMIFS('Databook'!AG$8:AG$33,'Databook'!$D$8:$D$33,"other_opex")-SUMIFS('Databook'!AG$8:AG$33,'Databook'!$D$8:$D$33,"depreciation_amortization")-SUMIFS('Databook'!AG$8:AG$33,'Databook'!$D$8:$D$33,"interest_expense")+SUMIFS('Databook'!AG$8:AG$33,'Databook'!$D$8:$D$33,"other_income")-SUMIFS('Databook'!AG$8:AG$33,'Databook'!$D$8:$D$33,"other_expense")-SUMIFS('Databook'!AG$8:AG$33,'Databook'!$D$8:$D$33,"income_tax"))/1000,6)</f>
        <v>0</v>
      </c>
      <c r="AH59" s="130">
        <f>ROUND(AH43-(SUMIFS('Databook'!AH$8:AH$33,'Databook'!$D$8:$D$33,"revenue")-SUMIFS('Databook'!AH$8:AH$33,'Databook'!$D$8:$D$33,"cogs")-SUMIFS('Databook'!AH$8:AH$33,'Databook'!$D$8:$D$33,"payroll")-SUMIFS('Databook'!AH$8:AH$33,'Databook'!$D$8:$D$33,"owner_comp")-SUMIFS('Databook'!AH$8:AH$33,'Databook'!$D$8:$D$33,"rent")-SUMIFS('Databook'!AH$8:AH$33,'Databook'!$D$8:$D$33,"marketing")-SUMIFS('Databook'!AH$8:AH$33,'Databook'!$D$8:$D$33,"other_opex")-SUMIFS('Databook'!AH$8:AH$33,'Databook'!$D$8:$D$33,"depreciation_amortization")-SUMIFS('Databook'!AH$8:AH$33,'Databook'!$D$8:$D$33,"interest_expense")+SUMIFS('Databook'!AH$8:AH$33,'Databook'!$D$8:$D$33,"other_income")-SUMIFS('Databook'!AH$8:AH$33,'Databook'!$D$8:$D$33,"other_expense")-SUMIFS('Databook'!AH$8:AH$33,'Databook'!$D$8:$D$33,"income_tax"))/1000,6)</f>
        <v>0</v>
      </c>
      <c r="AI59" s="130">
        <f>ROUND(AI43-(SUMIFS('Databook'!AI$8:AI$33,'Databook'!$D$8:$D$33,"revenue")-SUMIFS('Databook'!AI$8:AI$33,'Databook'!$D$8:$D$33,"cogs")-SUMIFS('Databook'!AI$8:AI$33,'Databook'!$D$8:$D$33,"payroll")-SUMIFS('Databook'!AI$8:AI$33,'Databook'!$D$8:$D$33,"owner_comp")-SUMIFS('Databook'!AI$8:AI$33,'Databook'!$D$8:$D$33,"rent")-SUMIFS('Databook'!AI$8:AI$33,'Databook'!$D$8:$D$33,"marketing")-SUMIFS('Databook'!AI$8:AI$33,'Databook'!$D$8:$D$33,"other_opex")-SUMIFS('Databook'!AI$8:AI$33,'Databook'!$D$8:$D$33,"depreciation_amortization")-SUMIFS('Databook'!AI$8:AI$33,'Databook'!$D$8:$D$33,"interest_expense")+SUMIFS('Databook'!AI$8:AI$33,'Databook'!$D$8:$D$33,"other_income")-SUMIFS('Databook'!AI$8:AI$33,'Databook'!$D$8:$D$33,"other_expense")-SUMIFS('Databook'!AI$8:AI$33,'Databook'!$D$8:$D$33,"income_tax"))/1000,6)</f>
        <v>0</v>
      </c>
      <c r="AJ59" s="130">
        <f>ROUND(AJ43-(SUMIFS('Databook'!AJ$8:AJ$33,'Databook'!$D$8:$D$33,"revenue")-SUMIFS('Databook'!AJ$8:AJ$33,'Databook'!$D$8:$D$33,"cogs")-SUMIFS('Databook'!AJ$8:AJ$33,'Databook'!$D$8:$D$33,"payroll")-SUMIFS('Databook'!AJ$8:AJ$33,'Databook'!$D$8:$D$33,"owner_comp")-SUMIFS('Databook'!AJ$8:AJ$33,'Databook'!$D$8:$D$33,"rent")-SUMIFS('Databook'!AJ$8:AJ$33,'Databook'!$D$8:$D$33,"marketing")-SUMIFS('Databook'!AJ$8:AJ$33,'Databook'!$D$8:$D$33,"other_opex")-SUMIFS('Databook'!AJ$8:AJ$33,'Databook'!$D$8:$D$33,"depreciation_amortization")-SUMIFS('Databook'!AJ$8:AJ$33,'Databook'!$D$8:$D$33,"interest_expense")+SUMIFS('Databook'!AJ$8:AJ$33,'Databook'!$D$8:$D$33,"other_income")-SUMIFS('Databook'!AJ$8:AJ$33,'Databook'!$D$8:$D$33,"other_expense")-SUMIFS('Databook'!AJ$8:AJ$33,'Databook'!$D$8:$D$33,"income_tax"))/1000,6)</f>
        <v>0</v>
      </c>
      <c r="AK59" s="130">
        <f>ROUND(AK43-(SUMIFS('Databook'!AK$8:AK$33,'Databook'!$D$8:$D$33,"revenue")-SUMIFS('Databook'!AK$8:AK$33,'Databook'!$D$8:$D$33,"cogs")-SUMIFS('Databook'!AK$8:AK$33,'Databook'!$D$8:$D$33,"payroll")-SUMIFS('Databook'!AK$8:AK$33,'Databook'!$D$8:$D$33,"owner_comp")-SUMIFS('Databook'!AK$8:AK$33,'Databook'!$D$8:$D$33,"rent")-SUMIFS('Databook'!AK$8:AK$33,'Databook'!$D$8:$D$33,"marketing")-SUMIFS('Databook'!AK$8:AK$33,'Databook'!$D$8:$D$33,"other_opex")-SUMIFS('Databook'!AK$8:AK$33,'Databook'!$D$8:$D$33,"depreciation_amortization")-SUMIFS('Databook'!AK$8:AK$33,'Databook'!$D$8:$D$33,"interest_expense")+SUMIFS('Databook'!AK$8:AK$33,'Databook'!$D$8:$D$33,"other_income")-SUMIFS('Databook'!AK$8:AK$33,'Databook'!$D$8:$D$33,"other_expense")-SUMIFS('Databook'!AK$8:AK$33,'Databook'!$D$8:$D$33,"income_tax"))/1000,6)</f>
        <v>0</v>
      </c>
      <c r="AL59" s="130">
        <f>ROUND(AL43-(SUMIFS('Databook'!AL$8:AL$33,'Databook'!$D$8:$D$33,"revenue")-SUMIFS('Databook'!AL$8:AL$33,'Databook'!$D$8:$D$33,"cogs")-SUMIFS('Databook'!AL$8:AL$33,'Databook'!$D$8:$D$33,"payroll")-SUMIFS('Databook'!AL$8:AL$33,'Databook'!$D$8:$D$33,"owner_comp")-SUMIFS('Databook'!AL$8:AL$33,'Databook'!$D$8:$D$33,"rent")-SUMIFS('Databook'!AL$8:AL$33,'Databook'!$D$8:$D$33,"marketing")-SUMIFS('Databook'!AL$8:AL$33,'Databook'!$D$8:$D$33,"other_opex")-SUMIFS('Databook'!AL$8:AL$33,'Databook'!$D$8:$D$33,"depreciation_amortization")-SUMIFS('Databook'!AL$8:AL$33,'Databook'!$D$8:$D$33,"interest_expense")+SUMIFS('Databook'!AL$8:AL$33,'Databook'!$D$8:$D$33,"other_income")-SUMIFS('Databook'!AL$8:AL$33,'Databook'!$D$8:$D$33,"other_expense")-SUMIFS('Databook'!AL$8:AL$33,'Databook'!$D$8:$D$33,"income_tax"))/1000,6)</f>
        <v>0</v>
      </c>
      <c r="AM59" s="130">
        <f>ROUND(AM43-(SUMIFS('Databook'!AM$8:AM$33,'Databook'!$D$8:$D$33,"revenue")-SUMIFS('Databook'!AM$8:AM$33,'Databook'!$D$8:$D$33,"cogs")-SUMIFS('Databook'!AM$8:AM$33,'Databook'!$D$8:$D$33,"payroll")-SUMIFS('Databook'!AM$8:AM$33,'Databook'!$D$8:$D$33,"owner_comp")-SUMIFS('Databook'!AM$8:AM$33,'Databook'!$D$8:$D$33,"rent")-SUMIFS('Databook'!AM$8:AM$33,'Databook'!$D$8:$D$33,"marketing")-SUMIFS('Databook'!AM$8:AM$33,'Databook'!$D$8:$D$33,"other_opex")-SUMIFS('Databook'!AM$8:AM$33,'Databook'!$D$8:$D$33,"depreciation_amortization")-SUMIFS('Databook'!AM$8:AM$33,'Databook'!$D$8:$D$33,"interest_expense")+SUMIFS('Databook'!AM$8:AM$33,'Databook'!$D$8:$D$33,"other_income")-SUMIFS('Databook'!AM$8:AM$33,'Databook'!$D$8:$D$33,"other_expense")-SUMIFS('Databook'!AM$8:AM$33,'Databook'!$D$8:$D$33,"income_tax"))/1000,6)</f>
        <v>0</v>
      </c>
      <c r="AN59" s="130">
        <f>ROUND(AN43-(SUMIFS('Databook'!AN$8:AN$33,'Databook'!$D$8:$D$33,"revenue")-SUMIFS('Databook'!AN$8:AN$33,'Databook'!$D$8:$D$33,"cogs")-SUMIFS('Databook'!AN$8:AN$33,'Databook'!$D$8:$D$33,"payroll")-SUMIFS('Databook'!AN$8:AN$33,'Databook'!$D$8:$D$33,"owner_comp")-SUMIFS('Databook'!AN$8:AN$33,'Databook'!$D$8:$D$33,"rent")-SUMIFS('Databook'!AN$8:AN$33,'Databook'!$D$8:$D$33,"marketing")-SUMIFS('Databook'!AN$8:AN$33,'Databook'!$D$8:$D$33,"other_opex")-SUMIFS('Databook'!AN$8:AN$33,'Databook'!$D$8:$D$33,"depreciation_amortization")-SUMIFS('Databook'!AN$8:AN$33,'Databook'!$D$8:$D$33,"interest_expense")+SUMIFS('Databook'!AN$8:AN$33,'Databook'!$D$8:$D$33,"other_income")-SUMIFS('Databook'!AN$8:AN$33,'Databook'!$D$8:$D$33,"other_expense")-SUMIFS('Databook'!AN$8:AN$33,'Databook'!$D$8:$D$33,"income_tax"))/1000,6)</f>
        <v>0</v>
      </c>
      <c r="AO59" s="130">
        <f>ROUND(AO43-(SUMIFS('Databook'!AO$8:AO$33,'Databook'!$D$8:$D$33,"revenue")-SUMIFS('Databook'!AO$8:AO$33,'Databook'!$D$8:$D$33,"cogs")-SUMIFS('Databook'!AO$8:AO$33,'Databook'!$D$8:$D$33,"payroll")-SUMIFS('Databook'!AO$8:AO$33,'Databook'!$D$8:$D$33,"owner_comp")-SUMIFS('Databook'!AO$8:AO$33,'Databook'!$D$8:$D$33,"rent")-SUMIFS('Databook'!AO$8:AO$33,'Databook'!$D$8:$D$33,"marketing")-SUMIFS('Databook'!AO$8:AO$33,'Databook'!$D$8:$D$33,"other_opex")-SUMIFS('Databook'!AO$8:AO$33,'Databook'!$D$8:$D$33,"depreciation_amortization")-SUMIFS('Databook'!AO$8:AO$33,'Databook'!$D$8:$D$33,"interest_expense")+SUMIFS('Databook'!AO$8:AO$33,'Databook'!$D$8:$D$33,"other_income")-SUMIFS('Databook'!AO$8:AO$33,'Databook'!$D$8:$D$33,"other_expense")-SUMIFS('Databook'!AO$8:AO$33,'Databook'!$D$8:$D$33,"income_tax"))/1000,6)</f>
        <v>0</v>
      </c>
      <c r="AP59" s="130">
        <f>ROUND(AP43-(SUMIFS('Databook'!AP$8:AP$33,'Databook'!$D$8:$D$33,"revenue")-SUMIFS('Databook'!AP$8:AP$33,'Databook'!$D$8:$D$33,"cogs")-SUMIFS('Databook'!AP$8:AP$33,'Databook'!$D$8:$D$33,"payroll")-SUMIFS('Databook'!AP$8:AP$33,'Databook'!$D$8:$D$33,"owner_comp")-SUMIFS('Databook'!AP$8:AP$33,'Databook'!$D$8:$D$33,"rent")-SUMIFS('Databook'!AP$8:AP$33,'Databook'!$D$8:$D$33,"marketing")-SUMIFS('Databook'!AP$8:AP$33,'Databook'!$D$8:$D$33,"other_opex")-SUMIFS('Databook'!AP$8:AP$33,'Databook'!$D$8:$D$33,"depreciation_amortization")-SUMIFS('Databook'!AP$8:AP$33,'Databook'!$D$8:$D$33,"interest_expense")+SUMIFS('Databook'!AP$8:AP$33,'Databook'!$D$8:$D$33,"other_income")-SUMIFS('Databook'!AP$8:AP$33,'Databook'!$D$8:$D$33,"other_expense")-SUMIFS('Databook'!AP$8:AP$33,'Databook'!$D$8:$D$33,"income_tax"))/1000,6)</f>
        <v>0</v>
      </c>
      <c r="AQ59" s="130">
        <f>ROUND(AQ43-(SUMIFS('Databook'!AQ$8:AQ$33,'Databook'!$D$8:$D$33,"revenue")-SUMIFS('Databook'!AQ$8:AQ$33,'Databook'!$D$8:$D$33,"cogs")-SUMIFS('Databook'!AQ$8:AQ$33,'Databook'!$D$8:$D$33,"payroll")-SUMIFS('Databook'!AQ$8:AQ$33,'Databook'!$D$8:$D$33,"owner_comp")-SUMIFS('Databook'!AQ$8:AQ$33,'Databook'!$D$8:$D$33,"rent")-SUMIFS('Databook'!AQ$8:AQ$33,'Databook'!$D$8:$D$33,"marketing")-SUMIFS('Databook'!AQ$8:AQ$33,'Databook'!$D$8:$D$33,"other_opex")-SUMIFS('Databook'!AQ$8:AQ$33,'Databook'!$D$8:$D$33,"depreciation_amortization")-SUMIFS('Databook'!AQ$8:AQ$33,'Databook'!$D$8:$D$33,"interest_expense")+SUMIFS('Databook'!AQ$8:AQ$33,'Databook'!$D$8:$D$33,"other_income")-SUMIFS('Databook'!AQ$8:AQ$33,'Databook'!$D$8:$D$33,"other_expense")-SUMIFS('Databook'!AQ$8:AQ$33,'Databook'!$D$8:$D$33,"income_tax"))/1000,6)</f>
        <v>0</v>
      </c>
      <c r="AR59" s="130">
        <f>ROUND(AR43-(SUMIFS('Databook'!AR$8:AR$33,'Databook'!$D$8:$D$33,"revenue")-SUMIFS('Databook'!AR$8:AR$33,'Databook'!$D$8:$D$33,"cogs")-SUMIFS('Databook'!AR$8:AR$33,'Databook'!$D$8:$D$33,"payroll")-SUMIFS('Databook'!AR$8:AR$33,'Databook'!$D$8:$D$33,"owner_comp")-SUMIFS('Databook'!AR$8:AR$33,'Databook'!$D$8:$D$33,"rent")-SUMIFS('Databook'!AR$8:AR$33,'Databook'!$D$8:$D$33,"marketing")-SUMIFS('Databook'!AR$8:AR$33,'Databook'!$D$8:$D$33,"other_opex")-SUMIFS('Databook'!AR$8:AR$33,'Databook'!$D$8:$D$33,"depreciation_amortization")-SUMIFS('Databook'!AR$8:AR$33,'Databook'!$D$8:$D$33,"interest_expense")+SUMIFS('Databook'!AR$8:AR$33,'Databook'!$D$8:$D$33,"other_income")-SUMIFS('Databook'!AR$8:AR$33,'Databook'!$D$8:$D$33,"other_expense")-SUMIFS('Databook'!AR$8:AR$33,'Databook'!$D$8:$D$33,"income_tax"))/1000,6)</f>
        <v>0</v>
      </c>
      <c r="AS59" s="130">
        <f>ROUND(AS43-(SUMIFS('Databook'!AS$8:AS$33,'Databook'!$D$8:$D$33,"revenue")-SUMIFS('Databook'!AS$8:AS$33,'Databook'!$D$8:$D$33,"cogs")-SUMIFS('Databook'!AS$8:AS$33,'Databook'!$D$8:$D$33,"payroll")-SUMIFS('Databook'!AS$8:AS$33,'Databook'!$D$8:$D$33,"owner_comp")-SUMIFS('Databook'!AS$8:AS$33,'Databook'!$D$8:$D$33,"rent")-SUMIFS('Databook'!AS$8:AS$33,'Databook'!$D$8:$D$33,"marketing")-SUMIFS('Databook'!AS$8:AS$33,'Databook'!$D$8:$D$33,"other_opex")-SUMIFS('Databook'!AS$8:AS$33,'Databook'!$D$8:$D$33,"depreciation_amortization")-SUMIFS('Databook'!AS$8:AS$33,'Databook'!$D$8:$D$33,"interest_expense")+SUMIFS('Databook'!AS$8:AS$33,'Databook'!$D$8:$D$33,"other_income")-SUMIFS('Databook'!AS$8:AS$33,'Databook'!$D$8:$D$33,"other_expense")-SUMIFS('Databook'!AS$8:AS$33,'Databook'!$D$8:$D$33,"income_tax"))/1000,6)</f>
        <v>0</v>
      </c>
      <c r="AT59" s="130">
        <f>ROUND(AT43-(SUMIFS('Databook'!AT$8:AT$33,'Databook'!$D$8:$D$33,"revenue")-SUMIFS('Databook'!AT$8:AT$33,'Databook'!$D$8:$D$33,"cogs")-SUMIFS('Databook'!AT$8:AT$33,'Databook'!$D$8:$D$33,"payroll")-SUMIFS('Databook'!AT$8:AT$33,'Databook'!$D$8:$D$33,"owner_comp")-SUMIFS('Databook'!AT$8:AT$33,'Databook'!$D$8:$D$33,"rent")-SUMIFS('Databook'!AT$8:AT$33,'Databook'!$D$8:$D$33,"marketing")-SUMIFS('Databook'!AT$8:AT$33,'Databook'!$D$8:$D$33,"other_opex")-SUMIFS('Databook'!AT$8:AT$33,'Databook'!$D$8:$D$33,"depreciation_amortization")-SUMIFS('Databook'!AT$8:AT$33,'Databook'!$D$8:$D$33,"interest_expense")+SUMIFS('Databook'!AT$8:AT$33,'Databook'!$D$8:$D$33,"other_income")-SUMIFS('Databook'!AT$8:AT$33,'Databook'!$D$8:$D$33,"other_expense")-SUMIFS('Databook'!AT$8:AT$33,'Databook'!$D$8:$D$33,"income_tax"))/1000,6)</f>
        <v>0</v>
      </c>
      <c r="AU59" s="130">
        <f>ROUND(AU43-(SUMIFS('Databook'!AU$8:AU$33,'Databook'!$D$8:$D$33,"revenue")-SUMIFS('Databook'!AU$8:AU$33,'Databook'!$D$8:$D$33,"cogs")-SUMIFS('Databook'!AU$8:AU$33,'Databook'!$D$8:$D$33,"payroll")-SUMIFS('Databook'!AU$8:AU$33,'Databook'!$D$8:$D$33,"owner_comp")-SUMIFS('Databook'!AU$8:AU$33,'Databook'!$D$8:$D$33,"rent")-SUMIFS('Databook'!AU$8:AU$33,'Databook'!$D$8:$D$33,"marketing")-SUMIFS('Databook'!AU$8:AU$33,'Databook'!$D$8:$D$33,"other_opex")-SUMIFS('Databook'!AU$8:AU$33,'Databook'!$D$8:$D$33,"depreciation_amortization")-SUMIFS('Databook'!AU$8:AU$33,'Databook'!$D$8:$D$33,"interest_expense")+SUMIFS('Databook'!AU$8:AU$33,'Databook'!$D$8:$D$33,"other_income")-SUMIFS('Databook'!AU$8:AU$33,'Databook'!$D$8:$D$33,"other_expense")-SUMIFS('Databook'!AU$8:AU$33,'Databook'!$D$8:$D$33,"income_tax"))/1000,6)</f>
        <v>0</v>
      </c>
      <c r="AV59" s="130">
        <f>ROUND(AV43-(SUMIFS('Databook'!AV$8:AV$33,'Databook'!$D$8:$D$33,"revenue")-SUMIFS('Databook'!AV$8:AV$33,'Databook'!$D$8:$D$33,"cogs")-SUMIFS('Databook'!AV$8:AV$33,'Databook'!$D$8:$D$33,"payroll")-SUMIFS('Databook'!AV$8:AV$33,'Databook'!$D$8:$D$33,"owner_comp")-SUMIFS('Databook'!AV$8:AV$33,'Databook'!$D$8:$D$33,"rent")-SUMIFS('Databook'!AV$8:AV$33,'Databook'!$D$8:$D$33,"marketing")-SUMIFS('Databook'!AV$8:AV$33,'Databook'!$D$8:$D$33,"other_opex")-SUMIFS('Databook'!AV$8:AV$33,'Databook'!$D$8:$D$33,"depreciation_amortization")-SUMIFS('Databook'!AV$8:AV$33,'Databook'!$D$8:$D$33,"interest_expense")+SUMIFS('Databook'!AV$8:AV$33,'Databook'!$D$8:$D$33,"other_income")-SUMIFS('Databook'!AV$8:AV$33,'Databook'!$D$8:$D$33,"other_expense")-SUMIFS('Databook'!AV$8:AV$33,'Databook'!$D$8:$D$33,"income_tax"))/1000,6)</f>
        <v>0</v>
      </c>
      <c r="AW59" s="130">
        <f>ROUND(AW43-(SUMIFS('Databook'!AW$8:AW$33,'Databook'!$D$8:$D$33,"revenue")-SUMIFS('Databook'!AW$8:AW$33,'Databook'!$D$8:$D$33,"cogs")-SUMIFS('Databook'!AW$8:AW$33,'Databook'!$D$8:$D$33,"payroll")-SUMIFS('Databook'!AW$8:AW$33,'Databook'!$D$8:$D$33,"owner_comp")-SUMIFS('Databook'!AW$8:AW$33,'Databook'!$D$8:$D$33,"rent")-SUMIFS('Databook'!AW$8:AW$33,'Databook'!$D$8:$D$33,"marketing")-SUMIFS('Databook'!AW$8:AW$33,'Databook'!$D$8:$D$33,"other_opex")-SUMIFS('Databook'!AW$8:AW$33,'Databook'!$D$8:$D$33,"depreciation_amortization")-SUMIFS('Databook'!AW$8:AW$33,'Databook'!$D$8:$D$33,"interest_expense")+SUMIFS('Databook'!AW$8:AW$33,'Databook'!$D$8:$D$33,"other_income")-SUMIFS('Databook'!AW$8:AW$33,'Databook'!$D$8:$D$33,"other_expense")-SUMIFS('Databook'!AW$8:AW$33,'Databook'!$D$8:$D$33,"income_tax"))/1000,6)</f>
        <v>0</v>
      </c>
      <c r="AX59" s="130">
        <f>ROUND(AX43-(SUMIFS('Databook'!AX$8:AX$33,'Databook'!$D$8:$D$33,"revenue")-SUMIFS('Databook'!AX$8:AX$33,'Databook'!$D$8:$D$33,"cogs")-SUMIFS('Databook'!AX$8:AX$33,'Databook'!$D$8:$D$33,"payroll")-SUMIFS('Databook'!AX$8:AX$33,'Databook'!$D$8:$D$33,"owner_comp")-SUMIFS('Databook'!AX$8:AX$33,'Databook'!$D$8:$D$33,"rent")-SUMIFS('Databook'!AX$8:AX$33,'Databook'!$D$8:$D$33,"marketing")-SUMIFS('Databook'!AX$8:AX$33,'Databook'!$D$8:$D$33,"other_opex")-SUMIFS('Databook'!AX$8:AX$33,'Databook'!$D$8:$D$33,"depreciation_amortization")-SUMIFS('Databook'!AX$8:AX$33,'Databook'!$D$8:$D$33,"interest_expense")+SUMIFS('Databook'!AX$8:AX$33,'Databook'!$D$8:$D$33,"other_income")-SUMIFS('Databook'!AX$8:AX$33,'Databook'!$D$8:$D$33,"other_expense")-SUMIFS('Databook'!AX$8:AX$33,'Databook'!$D$8:$D$33,"income_tax"))/1000,6)</f>
        <v>0</v>
      </c>
      <c r="AY59" s="130">
        <f>ROUND(AY43-(SUMIFS('Databook'!AY$8:AY$33,'Databook'!$D$8:$D$33,"revenue")-SUMIFS('Databook'!AY$8:AY$33,'Databook'!$D$8:$D$33,"cogs")-SUMIFS('Databook'!AY$8:AY$33,'Databook'!$D$8:$D$33,"payroll")-SUMIFS('Databook'!AY$8:AY$33,'Databook'!$D$8:$D$33,"owner_comp")-SUMIFS('Databook'!AY$8:AY$33,'Databook'!$D$8:$D$33,"rent")-SUMIFS('Databook'!AY$8:AY$33,'Databook'!$D$8:$D$33,"marketing")-SUMIFS('Databook'!AY$8:AY$33,'Databook'!$D$8:$D$33,"other_opex")-SUMIFS('Databook'!AY$8:AY$33,'Databook'!$D$8:$D$33,"depreciation_amortization")-SUMIFS('Databook'!AY$8:AY$33,'Databook'!$D$8:$D$33,"interest_expense")+SUMIFS('Databook'!AY$8:AY$33,'Databook'!$D$8:$D$33,"other_income")-SUMIFS('Databook'!AY$8:AY$33,'Databook'!$D$8:$D$33,"other_expense")-SUMIFS('Databook'!AY$8:AY$33,'Databook'!$D$8:$D$33,"income_tax"))/1000,6)</f>
        <v>0</v>
      </c>
      <c r="AZ59" s="130">
        <f>ROUND(AZ43-(SUMIFS('Databook'!AZ$8:AZ$33,'Databook'!$D$8:$D$33,"revenue")-SUMIFS('Databook'!AZ$8:AZ$33,'Databook'!$D$8:$D$33,"cogs")-SUMIFS('Databook'!AZ$8:AZ$33,'Databook'!$D$8:$D$33,"payroll")-SUMIFS('Databook'!AZ$8:AZ$33,'Databook'!$D$8:$D$33,"owner_comp")-SUMIFS('Databook'!AZ$8:AZ$33,'Databook'!$D$8:$D$33,"rent")-SUMIFS('Databook'!AZ$8:AZ$33,'Databook'!$D$8:$D$33,"marketing")-SUMIFS('Databook'!AZ$8:AZ$33,'Databook'!$D$8:$D$33,"other_opex")-SUMIFS('Databook'!AZ$8:AZ$33,'Databook'!$D$8:$D$33,"depreciation_amortization")-SUMIFS('Databook'!AZ$8:AZ$33,'Databook'!$D$8:$D$33,"interest_expense")+SUMIFS('Databook'!AZ$8:AZ$33,'Databook'!$D$8:$D$33,"other_income")-SUMIFS('Databook'!AZ$8:AZ$33,'Databook'!$D$8:$D$33,"other_expense")-SUMIFS('Databook'!AZ$8:AZ$33,'Databook'!$D$8:$D$33,"income_tax"))/1000,6)</f>
        <v>0</v>
      </c>
    </row>
    <row r="60" ht="12.75" customHeight="1" spans="2:52" x14ac:dyDescent="0.25">
      <c r="B60" s="60" t="s">
        <v>1353</v>
      </c>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row>
    <row r="61" spans="2:12" x14ac:dyDescent="0.25">
      <c r="B61" s="131" t="s">
        <v>380</v>
      </c>
      <c r="C61" s="132">
        <f>EOMONTH(EOMONTH(DATE('Assumptions'!$C$15-2,'Assumptions'!$C$14,1),0),-12)+1</f>
        <v>44927</v>
      </c>
      <c r="D61" s="132">
        <f>EOMONTH(EOMONTH(DATE('Assumptions'!$C$15-1,'Assumptions'!$C$14,1),0),-12)+1</f>
        <v>45292</v>
      </c>
      <c r="E61" s="132">
        <f>EOMONTH(EOMONTH(DATE('Assumptions'!$C$15-0,'Assumptions'!$C$14,1),0),-12)+1</f>
        <v>45658</v>
      </c>
      <c r="G61" s="132">
        <f>EOMONTH(EOMONTH(DATE(YEAR('Assumptions'!$C$9)-IF(MONTH('Assumptions'!$C$9)&gt;'Assumptions'!$C$14,0,1),'Assumptions'!$C$14,1),0)+1,-13)+1</f>
        <v>45292</v>
      </c>
      <c r="H61" s="132">
        <f>EOMONTH(DATE(YEAR('Assumptions'!$C$9)-IF(MONTH('Assumptions'!$C$9)&gt;'Assumptions'!$C$14,0,1),'Assumptions'!$C$14,1),0)+1</f>
        <v>45658</v>
      </c>
      <c r="J61" s="132">
        <f>EOMONTH('Assumptions'!$C$9,-24)+1</f>
        <v>45292</v>
      </c>
      <c r="K61" s="132">
        <f>EOMONTH('Assumptions'!$C$9,-12)+1</f>
        <v>45658</v>
      </c>
      <c r="L61" s="132">
        <f>EOMONTH('Assumptions'!$C$9,-12)+1</f>
        <v>45658</v>
      </c>
    </row>
    <row r="62" spans="2:12" x14ac:dyDescent="0.25">
      <c r="B62" s="131" t="s">
        <v>381</v>
      </c>
      <c r="C62" s="132">
        <f>EOMONTH(DATE('Assumptions'!$C$15-2,'Assumptions'!$C$14,1),0)</f>
        <v>45291</v>
      </c>
      <c r="D62" s="132">
        <f>EOMONTH(DATE('Assumptions'!$C$15-1,'Assumptions'!$C$14,1),0)</f>
        <v>45657</v>
      </c>
      <c r="E62" s="132">
        <f>EOMONTH(DATE('Assumptions'!$C$15-0,'Assumptions'!$C$14,1),0)</f>
        <v>46022</v>
      </c>
      <c r="G62" s="132">
        <f>EOMONTH('Assumptions'!$C$9,-12)</f>
        <v>45657</v>
      </c>
      <c r="H62" s="132">
        <f>EOMONTH('Assumptions'!$C$9,0)</f>
        <v>46022</v>
      </c>
      <c r="J62" s="132">
        <f>EOMONTH('Assumptions'!$C$9,-12)</f>
        <v>45657</v>
      </c>
      <c r="K62" s="132">
        <f>EOMONTH('Assumptions'!$C$9,0)</f>
        <v>46022</v>
      </c>
      <c r="L62" s="132">
        <f>EOMONTH('Assumptions'!$C$9,0)</f>
        <v>46022</v>
      </c>
    </row>
  </sheetData>
  <mergeCells count="1">
    <mergeCell ref="B60:AZ60"/>
  </mergeCells>
  <conditionalFormatting sqref="C59:AZ59">
    <cfRule type="expression" dxfId="63" priority="1">
      <formula>ROUND(C59,3)&lt;&gt;0</formula>
    </cfRule>
  </conditionalFormatting>
  <conditionalFormatting sqref="B2 O3 Q9:AZ12 Q16:AZ16 Q22:AZ26 Q29:AZ30 Q35:AZ35 Q38:AZ38 Q41:AZ41 Q47:AZ49 Q52:AZ53 Q56:AZ56 Q59:AZ59 B59:E59 G59:H59 J59:L59">
    <cfRule type="expression" dxfId="64" priority="2">
      <formula>$O$3=1</formula>
    </cfRule>
  </conditionalFormatting>
  <printOptions horizontalCentered="1"/>
  <pageMargins left="0.5" right="0.5" top="0.6" bottom="0.7" header="0.3" footer="0.3"/>
  <pageSetup paperSize="1" orientation="landscape" scale="82"/>
  <headerFooter>
    <oddHeader>&amp;RProject Ridgeline | As of 12/31/25</oddHeader>
    <oddFooter>&amp;LAMB Advisory Services | Strictly confidential&amp;C&amp;A&amp;RPage &amp;P of &amp;N</oddFooter>
  </headerFooter>
  <colBreaks count="3" manualBreakCount="3">
    <brk id="16" max="1048575" man="1"/>
    <brk id="28" max="1048575" man="1"/>
    <brk id="40" max="1048575"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2:BG88"/>
  <sheetViews>
    <sheetView workbookViewId="0" showGridLines="0" zoomScale="100">
      <pane xSplit="2" ySplit="6" topLeftCell="C7" activePane="bottomRight" state="frozen"/>
      <selection pane="bottomRight"/>
    </sheetView>
  </sheetViews>
  <sheetFormatPr defaultRowHeight="12.75" outlineLevelRow="0" outlineLevelCol="0" x14ac:dyDescent="55" customHeight="1"/>
  <cols>
    <col min="1" max="1" width="1.7" customWidth="1"/>
    <col min="2" max="2" width="45" customWidth="1"/>
    <col min="3" max="3" width="18" outlineLevel="1" collapsed="1" customWidth="1"/>
    <col min="4" max="4" width="22" outlineLevel="1" collapsed="1" customWidth="1"/>
    <col min="5" max="5" width="30.5" outlineLevel="1" collapsed="1" customWidth="1"/>
    <col min="6" max="6" width="25" outlineLevel="1" collapsed="1" customWidth="1"/>
    <col min="7" max="7" width="13" outlineLevel="1" collapsed="1" customWidth="1"/>
    <col min="8" max="8" width="0.9" customWidth="1"/>
    <col min="9" max="16" width="9.1" customWidth="1"/>
    <col min="17" max="52" width="9.1" outlineLevel="1" collapsed="1" customWidth="1"/>
    <col min="53" max="53" width="0.9" customWidth="1"/>
    <col min="54" max="54" width="15" customWidth="1"/>
    <col min="55" max="55" width="12" customWidth="1"/>
    <col min="56" max="56" width="17" customWidth="1"/>
    <col min="57" max="57" width="10" customWidth="1"/>
    <col min="58" max="58" width="0.9" customWidth="1"/>
    <col min="59" max="59" width="26" customWidth="1"/>
  </cols>
  <sheetData>
    <row r="2" ht="16.5" customHeight="1" spans="2:2" x14ac:dyDescent="0.25">
      <c r="B2" s="9">
        <f>Cover!B24</f>
      </c>
    </row>
    <row r="3" spans="2:57" x14ac:dyDescent="0.25">
      <c r="B3" s="10" t="s">
        <v>1354</v>
      </c>
      <c r="C3" s="11"/>
      <c r="D3" s="11"/>
      <c r="E3" s="11"/>
      <c r="F3" s="11"/>
      <c r="G3" s="11"/>
      <c r="H3" s="11"/>
      <c r="I3" s="11"/>
      <c r="J3" s="11"/>
      <c r="K3" s="11"/>
      <c r="L3" s="11"/>
      <c r="M3" s="11"/>
      <c r="N3" s="11"/>
      <c r="O3" s="34" t="s">
        <v>80</v>
      </c>
      <c r="P3" s="35">
        <f>'Contents'!$I$18</f>
      </c>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row>
    <row r="5" spans="2:57" x14ac:dyDescent="0.25">
      <c r="B5" s="36" t="s">
        <v>1355</v>
      </c>
      <c r="C5" s="36"/>
      <c r="D5" s="36"/>
      <c r="E5" s="36"/>
      <c r="F5" s="36"/>
      <c r="G5" s="36"/>
      <c r="I5" s="36" t="s">
        <v>81</v>
      </c>
      <c r="J5" s="36"/>
      <c r="K5" s="36"/>
      <c r="L5" s="36" t="s">
        <v>327</v>
      </c>
      <c r="M5" s="36"/>
      <c r="N5" s="36" t="s">
        <v>82</v>
      </c>
      <c r="O5" s="36"/>
      <c r="P5" s="36" t="s">
        <v>83</v>
      </c>
      <c r="Q5" s="36" t="s">
        <v>1356</v>
      </c>
      <c r="R5" s="36"/>
      <c r="S5" s="36"/>
      <c r="T5" s="36"/>
      <c r="U5" s="36"/>
      <c r="V5" s="36"/>
      <c r="W5" s="36"/>
      <c r="X5" s="36"/>
      <c r="Y5" s="36"/>
      <c r="Z5" s="36"/>
      <c r="AA5" s="36"/>
      <c r="AB5" s="36"/>
      <c r="AC5" s="36" t="s">
        <v>1357</v>
      </c>
      <c r="AD5" s="36"/>
      <c r="AE5" s="36"/>
      <c r="AF5" s="36"/>
      <c r="AG5" s="36"/>
      <c r="AH5" s="36"/>
      <c r="AI5" s="36"/>
      <c r="AJ5" s="36"/>
      <c r="AK5" s="36"/>
      <c r="AL5" s="36"/>
      <c r="AM5" s="36"/>
      <c r="AN5" s="36"/>
      <c r="AO5" s="36" t="s">
        <v>1358</v>
      </c>
      <c r="AP5" s="36"/>
      <c r="AQ5" s="36"/>
      <c r="AR5" s="36"/>
      <c r="AS5" s="36"/>
      <c r="AT5" s="36"/>
      <c r="AU5" s="36"/>
      <c r="AV5" s="36"/>
      <c r="AW5" s="36"/>
      <c r="AX5" s="36"/>
      <c r="AY5" s="36"/>
      <c r="AZ5" s="36"/>
      <c r="BB5" s="36" t="s">
        <v>1359</v>
      </c>
      <c r="BC5" s="36"/>
      <c r="BD5" s="36"/>
      <c r="BE5" s="36"/>
    </row>
    <row r="6" spans="2:59" x14ac:dyDescent="0.25">
      <c r="B6" s="13" t="s">
        <v>1360</v>
      </c>
      <c r="C6" s="13" t="s">
        <v>140</v>
      </c>
      <c r="D6" s="13" t="s">
        <v>1361</v>
      </c>
      <c r="E6" s="13" t="s">
        <v>1362</v>
      </c>
      <c r="F6" s="13" t="s">
        <v>1363</v>
      </c>
      <c r="G6" s="13" t="s">
        <v>1364</v>
      </c>
      <c r="I6" s="12" t="str">
        <f>"FY"&amp;YEAR(I$88)</f>
        <v>FY2023</v>
      </c>
      <c r="J6" s="12" t="str">
        <f>"FY"&amp;YEAR(J$88)</f>
        <v>FY2024</v>
      </c>
      <c r="K6" s="12" t="str">
        <f>"FY"&amp;YEAR(K$88)</f>
        <v>FY2025</v>
      </c>
      <c r="L6" s="12" t="str">
        <f>TEXT(L$88,"mmm-yy")</f>
        <v>Dec-24</v>
      </c>
      <c r="M6" s="12" t="str">
        <f>TEXT(M$88,"mmm-yy")</f>
        <v>Dec-25</v>
      </c>
      <c r="N6" s="12" t="str">
        <f>TEXT(N$88,"mmm-yy")</f>
        <v>Dec-24</v>
      </c>
      <c r="O6" s="12" t="str">
        <f>TEXT(O$88,"mmm-yy")</f>
        <v>Dec-25</v>
      </c>
      <c r="P6" s="12" t="str">
        <f>TEXT(P$88,"mmm-yy")</f>
        <v>Dec-25</v>
      </c>
      <c r="Q6" s="138">
        <f>'Assumptions'!$C$10</f>
        <v>44927</v>
      </c>
      <c r="R6" s="138">
        <f>EOMONTH(Q6,0)+1</f>
        <v>44958</v>
      </c>
      <c r="S6" s="138">
        <f>EOMONTH(R6,0)+1</f>
        <v>44986</v>
      </c>
      <c r="T6" s="138">
        <f>EOMONTH(S6,0)+1</f>
        <v>45017</v>
      </c>
      <c r="U6" s="138">
        <f>EOMONTH(T6,0)+1</f>
        <v>45047</v>
      </c>
      <c r="V6" s="138">
        <f>EOMONTH(U6,0)+1</f>
        <v>45078</v>
      </c>
      <c r="W6" s="138">
        <f>EOMONTH(V6,0)+1</f>
        <v>45108</v>
      </c>
      <c r="X6" s="138">
        <f>EOMONTH(W6,0)+1</f>
        <v>45139</v>
      </c>
      <c r="Y6" s="138">
        <f>EOMONTH(X6,0)+1</f>
        <v>45170</v>
      </c>
      <c r="Z6" s="138">
        <f>EOMONTH(Y6,0)+1</f>
        <v>45200</v>
      </c>
      <c r="AA6" s="138">
        <f>EOMONTH(Z6,0)+1</f>
        <v>45231</v>
      </c>
      <c r="AB6" s="138">
        <f>EOMONTH(AA6,0)+1</f>
        <v>45261</v>
      </c>
      <c r="AC6" s="138">
        <f>EOMONTH(AB6,0)+1</f>
        <v>45292</v>
      </c>
      <c r="AD6" s="138">
        <f>EOMONTH(AC6,0)+1</f>
        <v>45323</v>
      </c>
      <c r="AE6" s="138">
        <f>EOMONTH(AD6,0)+1</f>
        <v>45352</v>
      </c>
      <c r="AF6" s="138">
        <f>EOMONTH(AE6,0)+1</f>
        <v>45383</v>
      </c>
      <c r="AG6" s="138">
        <f>EOMONTH(AF6,0)+1</f>
        <v>45413</v>
      </c>
      <c r="AH6" s="138">
        <f>EOMONTH(AG6,0)+1</f>
        <v>45444</v>
      </c>
      <c r="AI6" s="138">
        <f>EOMONTH(AH6,0)+1</f>
        <v>45474</v>
      </c>
      <c r="AJ6" s="138">
        <f>EOMONTH(AI6,0)+1</f>
        <v>45505</v>
      </c>
      <c r="AK6" s="138">
        <f>EOMONTH(AJ6,0)+1</f>
        <v>45536</v>
      </c>
      <c r="AL6" s="138">
        <f>EOMONTH(AK6,0)+1</f>
        <v>45566</v>
      </c>
      <c r="AM6" s="138">
        <f>EOMONTH(AL6,0)+1</f>
        <v>45597</v>
      </c>
      <c r="AN6" s="138">
        <f>EOMONTH(AM6,0)+1</f>
        <v>45627</v>
      </c>
      <c r="AO6" s="138">
        <f>EOMONTH(AN6,0)+1</f>
        <v>45658</v>
      </c>
      <c r="AP6" s="138">
        <f>EOMONTH(AO6,0)+1</f>
        <v>45689</v>
      </c>
      <c r="AQ6" s="138">
        <f>EOMONTH(AP6,0)+1</f>
        <v>45717</v>
      </c>
      <c r="AR6" s="138">
        <f>EOMONTH(AQ6,0)+1</f>
        <v>45748</v>
      </c>
      <c r="AS6" s="138">
        <f>EOMONTH(AR6,0)+1</f>
        <v>45778</v>
      </c>
      <c r="AT6" s="138">
        <f>EOMONTH(AS6,0)+1</f>
        <v>45809</v>
      </c>
      <c r="AU6" s="138">
        <f>EOMONTH(AT6,0)+1</f>
        <v>45839</v>
      </c>
      <c r="AV6" s="138">
        <f>EOMONTH(AU6,0)+1</f>
        <v>45870</v>
      </c>
      <c r="AW6" s="138">
        <f>EOMONTH(AV6,0)+1</f>
        <v>45901</v>
      </c>
      <c r="AX6" s="138">
        <f>EOMONTH(AW6,0)+1</f>
        <v>45931</v>
      </c>
      <c r="AY6" s="138">
        <f>EOMONTH(AX6,0)+1</f>
        <v>45962</v>
      </c>
      <c r="AZ6" s="138">
        <f>EOMONTH(AY6,0)+1</f>
        <v>45992</v>
      </c>
      <c r="BB6" s="12" t="s">
        <v>1365</v>
      </c>
      <c r="BC6" s="12" t="s">
        <v>1366</v>
      </c>
      <c r="BD6" s="12" t="s">
        <v>1367</v>
      </c>
      <c r="BE6" s="12" t="s">
        <v>429</v>
      </c>
      <c r="BG6" s="131" t="s">
        <v>1368</v>
      </c>
    </row>
    <row r="8" spans="2:59" x14ac:dyDescent="0.25">
      <c r="B8" s="16" t="s">
        <v>1369</v>
      </c>
      <c r="C8" s="16" t="s">
        <v>1370</v>
      </c>
      <c r="D8" s="16" t="s">
        <v>1371</v>
      </c>
      <c r="E8" s="16" t="s">
        <v>338</v>
      </c>
      <c r="F8" s="16" t="s">
        <v>11</v>
      </c>
      <c r="G8" s="16" t="s">
        <v>11</v>
      </c>
      <c r="I8" s="150">
        <f>SUMIFS($Q8:$AZ8,$Q$6:$AZ$6,"&gt;="&amp;I$87,$Q$6:$AZ$6,"&lt;="&amp;I$88)</f>
        <v>214600</v>
      </c>
      <c r="J8" s="150">
        <f>SUMIFS($Q8:$AZ8,$Q$6:$AZ$6,"&gt;="&amp;J$87,$Q$6:$AZ$6,"&lt;="&amp;J$88)</f>
        <v>248300</v>
      </c>
      <c r="K8" s="150">
        <f>SUMIFS($Q8:$AZ8,$Q$6:$AZ$6,"&gt;="&amp;K$87,$Q$6:$AZ$6,"&lt;="&amp;K$88)</f>
        <v>289400</v>
      </c>
      <c r="L8" s="150">
        <f>SUMIFS($Q8:$AZ8,$Q$6:$AZ$6,"&gt;="&amp;L$87,$Q$6:$AZ$6,"&lt;="&amp;L$88)</f>
        <v>248300</v>
      </c>
      <c r="M8" s="150">
        <f>SUMIFS($Q8:$AZ8,$Q$6:$AZ$6,"&gt;="&amp;M$87,$Q$6:$AZ$6,"&lt;="&amp;M$88)</f>
        <v>289400</v>
      </c>
      <c r="N8" s="150">
        <f>SUMIFS($Q8:$AZ8,$Q$6:$AZ$6,"&gt;="&amp;N$87,$Q$6:$AZ$6,"&lt;="&amp;N$88)</f>
        <v>248300</v>
      </c>
      <c r="O8" s="150">
        <f>SUMIFS($Q8:$AZ8,$Q$6:$AZ$6,"&gt;="&amp;O$87,$Q$6:$AZ$6,"&lt;="&amp;O$88)</f>
        <v>289400</v>
      </c>
      <c r="P8" s="150">
        <f>SUMIFS($Q8:$AZ8,$Q$6:$AZ$6,"&gt;="&amp;P$87,$Q$6:$AZ$6,"&lt;="&amp;P$88)</f>
        <v>289400</v>
      </c>
      <c r="Q8" s="114">
        <v>16900</v>
      </c>
      <c r="R8" s="114">
        <v>17079</v>
      </c>
      <c r="S8" s="114">
        <v>17257</v>
      </c>
      <c r="T8" s="114">
        <v>17436</v>
      </c>
      <c r="U8" s="114">
        <v>17615</v>
      </c>
      <c r="V8" s="114">
        <v>17794</v>
      </c>
      <c r="W8" s="114">
        <v>17973</v>
      </c>
      <c r="X8" s="114">
        <v>18152</v>
      </c>
      <c r="Y8" s="114">
        <v>18330</v>
      </c>
      <c r="Z8" s="114">
        <v>18509</v>
      </c>
      <c r="AA8" s="114">
        <v>18688</v>
      </c>
      <c r="AB8" s="114">
        <v>18867</v>
      </c>
      <c r="AC8" s="114">
        <v>19554</v>
      </c>
      <c r="AD8" s="114">
        <v>19761</v>
      </c>
      <c r="AE8" s="114">
        <v>19967</v>
      </c>
      <c r="AF8" s="114">
        <v>20174</v>
      </c>
      <c r="AG8" s="114">
        <v>20381</v>
      </c>
      <c r="AH8" s="114">
        <v>20588</v>
      </c>
      <c r="AI8" s="114">
        <v>20795</v>
      </c>
      <c r="AJ8" s="114">
        <v>21002</v>
      </c>
      <c r="AK8" s="114">
        <v>21209</v>
      </c>
      <c r="AL8" s="114">
        <v>21416</v>
      </c>
      <c r="AM8" s="114">
        <v>21623</v>
      </c>
      <c r="AN8" s="114">
        <v>21830</v>
      </c>
      <c r="AO8" s="114">
        <v>22790</v>
      </c>
      <c r="AP8" s="114">
        <v>23031</v>
      </c>
      <c r="AQ8" s="114">
        <v>23273</v>
      </c>
      <c r="AR8" s="114">
        <v>23514</v>
      </c>
      <c r="AS8" s="114">
        <v>23755</v>
      </c>
      <c r="AT8" s="114">
        <v>23996</v>
      </c>
      <c r="AU8" s="114">
        <v>24237</v>
      </c>
      <c r="AV8" s="114">
        <v>24478</v>
      </c>
      <c r="AW8" s="114">
        <v>24720</v>
      </c>
      <c r="AX8" s="114">
        <v>24961</v>
      </c>
      <c r="AY8" s="114">
        <v>25202</v>
      </c>
      <c r="AZ8" s="114">
        <v>25443</v>
      </c>
      <c r="BB8" s="150">
        <f>SUM(AO8:AZ8)</f>
        <v>289400</v>
      </c>
      <c r="BC8" s="151">
        <f>SUM('Raw - P&amp;L'!$AA$4:$AL$4)</f>
        <v>289400</v>
      </c>
      <c r="BD8" s="130">
        <f>ROUND(SQRT(SUMXMY2(Q8:AZ8,'Raw - P&amp;L'!$C$4:$AL$4)),6)</f>
        <v>0</v>
      </c>
      <c r="BE8" s="17" t="str">
        <f>IF(ABS(BD8)&lt;=1,"TIES OUT","CHECK")</f>
        <v>TIES OUT</v>
      </c>
      <c r="BG8" s="131" t="s">
        <v>1372</v>
      </c>
    </row>
    <row r="9" spans="2:59" x14ac:dyDescent="0.25">
      <c r="B9" s="16" t="s">
        <v>1373</v>
      </c>
      <c r="C9" s="16" t="s">
        <v>1370</v>
      </c>
      <c r="D9" s="16" t="s">
        <v>1371</v>
      </c>
      <c r="E9" s="16" t="s">
        <v>336</v>
      </c>
      <c r="F9" s="16" t="s">
        <v>11</v>
      </c>
      <c r="G9" s="16" t="s">
        <v>11</v>
      </c>
      <c r="I9" s="150">
        <f>SUMIFS($Q9:$AZ9,$Q$6:$AZ$6,"&gt;="&amp;I$87,$Q$6:$AZ$6,"&lt;="&amp;I$88)</f>
        <v>598200</v>
      </c>
      <c r="J9" s="150">
        <f>SUMIFS($Q9:$AZ9,$Q$6:$AZ$6,"&gt;="&amp;J$87,$Q$6:$AZ$6,"&lt;="&amp;J$88)</f>
        <v>702500</v>
      </c>
      <c r="K9" s="150">
        <f>SUMIFS($Q9:$AZ9,$Q$6:$AZ$6,"&gt;="&amp;K$87,$Q$6:$AZ$6,"&lt;="&amp;K$88)</f>
        <v>811700</v>
      </c>
      <c r="L9" s="150">
        <f>SUMIFS($Q9:$AZ9,$Q$6:$AZ$6,"&gt;="&amp;L$87,$Q$6:$AZ$6,"&lt;="&amp;L$88)</f>
        <v>702500</v>
      </c>
      <c r="M9" s="150">
        <f>SUMIFS($Q9:$AZ9,$Q$6:$AZ$6,"&gt;="&amp;M$87,$Q$6:$AZ$6,"&lt;="&amp;M$88)</f>
        <v>811700</v>
      </c>
      <c r="N9" s="150">
        <f>SUMIFS($Q9:$AZ9,$Q$6:$AZ$6,"&gt;="&amp;N$87,$Q$6:$AZ$6,"&lt;="&amp;N$88)</f>
        <v>702500</v>
      </c>
      <c r="O9" s="150">
        <f>SUMIFS($Q9:$AZ9,$Q$6:$AZ$6,"&gt;="&amp;O$87,$Q$6:$AZ$6,"&lt;="&amp;O$88)</f>
        <v>811700</v>
      </c>
      <c r="P9" s="150">
        <f>SUMIFS($Q9:$AZ9,$Q$6:$AZ$6,"&gt;="&amp;P$87,$Q$6:$AZ$6,"&lt;="&amp;P$88)</f>
        <v>811700</v>
      </c>
      <c r="Q9" s="114">
        <v>44712</v>
      </c>
      <c r="R9" s="114">
        <v>42807</v>
      </c>
      <c r="S9" s="114">
        <v>43255</v>
      </c>
      <c r="T9" s="114">
        <v>46131</v>
      </c>
      <c r="U9" s="114">
        <v>49057</v>
      </c>
      <c r="V9" s="114">
        <v>54511</v>
      </c>
      <c r="W9" s="114">
        <v>57561</v>
      </c>
      <c r="X9" s="114">
        <v>55607</v>
      </c>
      <c r="Y9" s="114">
        <v>53602</v>
      </c>
      <c r="Z9" s="114">
        <v>48970</v>
      </c>
      <c r="AA9" s="114">
        <v>49443</v>
      </c>
      <c r="AB9" s="114">
        <v>52544</v>
      </c>
      <c r="AC9" s="114">
        <v>52508</v>
      </c>
      <c r="AD9" s="114">
        <v>50270</v>
      </c>
      <c r="AE9" s="114">
        <v>50797</v>
      </c>
      <c r="AF9" s="114">
        <v>54174</v>
      </c>
      <c r="AG9" s="114">
        <v>57611</v>
      </c>
      <c r="AH9" s="114">
        <v>64015</v>
      </c>
      <c r="AI9" s="114">
        <v>67598</v>
      </c>
      <c r="AJ9" s="114">
        <v>65302</v>
      </c>
      <c r="AK9" s="114">
        <v>62948</v>
      </c>
      <c r="AL9" s="114">
        <v>57508</v>
      </c>
      <c r="AM9" s="114">
        <v>58064</v>
      </c>
      <c r="AN9" s="114">
        <v>61705</v>
      </c>
      <c r="AO9" s="114">
        <v>60670</v>
      </c>
      <c r="AP9" s="114">
        <v>58085</v>
      </c>
      <c r="AQ9" s="114">
        <v>58693</v>
      </c>
      <c r="AR9" s="114">
        <v>62596</v>
      </c>
      <c r="AS9" s="114">
        <v>66566</v>
      </c>
      <c r="AT9" s="114">
        <v>73966</v>
      </c>
      <c r="AU9" s="114">
        <v>78105</v>
      </c>
      <c r="AV9" s="114">
        <v>75453</v>
      </c>
      <c r="AW9" s="114">
        <v>72732</v>
      </c>
      <c r="AX9" s="114">
        <v>66448</v>
      </c>
      <c r="AY9" s="114">
        <v>67090</v>
      </c>
      <c r="AZ9" s="114">
        <v>71296</v>
      </c>
      <c r="BB9" s="150">
        <f>SUM(AO9:AZ9)</f>
        <v>811700</v>
      </c>
      <c r="BC9" s="151">
        <f>SUM('Raw - P&amp;L'!$AA$5:$AL$5)</f>
        <v>811700</v>
      </c>
      <c r="BD9" s="130">
        <f>ROUND(SQRT(SUMXMY2(Q9:AZ9,'Raw - P&amp;L'!$C$5:$AL$5)),6)</f>
        <v>0</v>
      </c>
      <c r="BE9" s="17" t="str">
        <f>IF(ABS(BD9)&lt;=1,"TIES OUT","CHECK")</f>
        <v>TIES OUT</v>
      </c>
      <c r="BG9" s="131" t="s">
        <v>1372</v>
      </c>
    </row>
    <row r="10" spans="2:59" x14ac:dyDescent="0.25">
      <c r="B10" s="16" t="s">
        <v>1374</v>
      </c>
      <c r="C10" s="16" t="s">
        <v>1370</v>
      </c>
      <c r="D10" s="16" t="s">
        <v>1371</v>
      </c>
      <c r="E10" s="16" t="s">
        <v>334</v>
      </c>
      <c r="F10" s="16" t="s">
        <v>11</v>
      </c>
      <c r="G10" s="16" t="s">
        <v>11</v>
      </c>
      <c r="I10" s="150">
        <f>SUMIFS($Q10:$AZ10,$Q$6:$AZ$6,"&gt;="&amp;I$87,$Q$6:$AZ$6,"&lt;="&amp;I$88)</f>
        <v>1612400</v>
      </c>
      <c r="J10" s="150">
        <f>SUMIFS($Q10:$AZ10,$Q$6:$AZ$6,"&gt;="&amp;J$87,$Q$6:$AZ$6,"&lt;="&amp;J$88)</f>
        <v>1788900</v>
      </c>
      <c r="K10" s="150">
        <f>SUMIFS($Q10:$AZ10,$Q$6:$AZ$6,"&gt;="&amp;K$87,$Q$6:$AZ$6,"&lt;="&amp;K$88)</f>
        <v>1964300</v>
      </c>
      <c r="L10" s="150">
        <f>SUMIFS($Q10:$AZ10,$Q$6:$AZ$6,"&gt;="&amp;L$87,$Q$6:$AZ$6,"&lt;="&amp;L$88)</f>
        <v>1788900</v>
      </c>
      <c r="M10" s="150">
        <f>SUMIFS($Q10:$AZ10,$Q$6:$AZ$6,"&gt;="&amp;M$87,$Q$6:$AZ$6,"&lt;="&amp;M$88)</f>
        <v>1964300</v>
      </c>
      <c r="N10" s="150">
        <f>SUMIFS($Q10:$AZ10,$Q$6:$AZ$6,"&gt;="&amp;N$87,$Q$6:$AZ$6,"&lt;="&amp;N$88)</f>
        <v>1788900</v>
      </c>
      <c r="O10" s="150">
        <f>SUMIFS($Q10:$AZ10,$Q$6:$AZ$6,"&gt;="&amp;O$87,$Q$6:$AZ$6,"&lt;="&amp;O$88)</f>
        <v>1964300</v>
      </c>
      <c r="P10" s="150">
        <f>SUMIFS($Q10:$AZ10,$Q$6:$AZ$6,"&gt;="&amp;P$87,$Q$6:$AZ$6,"&lt;="&amp;P$88)</f>
        <v>1964300</v>
      </c>
      <c r="Q10" s="114">
        <v>120432</v>
      </c>
      <c r="R10" s="114">
        <v>108895</v>
      </c>
      <c r="S10" s="114">
        <v>103563</v>
      </c>
      <c r="T10" s="114">
        <v>111176</v>
      </c>
      <c r="U10" s="114">
        <v>132136</v>
      </c>
      <c r="V10" s="114">
        <v>160174</v>
      </c>
      <c r="W10" s="114">
        <v>175265</v>
      </c>
      <c r="X10" s="114">
        <v>163393</v>
      </c>
      <c r="Y10" s="114">
        <v>137502</v>
      </c>
      <c r="Z10" s="114">
        <v>118017</v>
      </c>
      <c r="AA10" s="114">
        <v>126167</v>
      </c>
      <c r="AB10" s="114">
        <v>155680</v>
      </c>
      <c r="AC10" s="114">
        <v>133615</v>
      </c>
      <c r="AD10" s="114">
        <v>120815</v>
      </c>
      <c r="AE10" s="114">
        <v>114899</v>
      </c>
      <c r="AF10" s="114">
        <v>123345</v>
      </c>
      <c r="AG10" s="114">
        <v>146601</v>
      </c>
      <c r="AH10" s="114">
        <v>177707</v>
      </c>
      <c r="AI10" s="114">
        <v>194450</v>
      </c>
      <c r="AJ10" s="114">
        <v>181279</v>
      </c>
      <c r="AK10" s="114">
        <v>152554</v>
      </c>
      <c r="AL10" s="114">
        <v>130936</v>
      </c>
      <c r="AM10" s="114">
        <v>139978</v>
      </c>
      <c r="AN10" s="114">
        <v>172721</v>
      </c>
      <c r="AO10" s="114">
        <v>146716</v>
      </c>
      <c r="AP10" s="114">
        <v>132661</v>
      </c>
      <c r="AQ10" s="114">
        <v>126165</v>
      </c>
      <c r="AR10" s="114">
        <v>135439</v>
      </c>
      <c r="AS10" s="114">
        <v>160975</v>
      </c>
      <c r="AT10" s="114">
        <v>195131</v>
      </c>
      <c r="AU10" s="114">
        <v>213516</v>
      </c>
      <c r="AV10" s="114">
        <v>199053</v>
      </c>
      <c r="AW10" s="114">
        <v>167512</v>
      </c>
      <c r="AX10" s="114">
        <v>143774</v>
      </c>
      <c r="AY10" s="114">
        <v>153702</v>
      </c>
      <c r="AZ10" s="114">
        <v>189656</v>
      </c>
      <c r="BB10" s="150">
        <f>SUM(AO10:AZ10)</f>
        <v>1964300</v>
      </c>
      <c r="BC10" s="151">
        <f>SUM('Raw - P&amp;L'!$AA$6:$AL$6)</f>
        <v>1964300</v>
      </c>
      <c r="BD10" s="130">
        <f>ROUND(SQRT(SUMXMY2(Q10:AZ10,'Raw - P&amp;L'!$C$6:$AL$6)),6)</f>
        <v>0</v>
      </c>
      <c r="BE10" s="17" t="str">
        <f>IF(ABS(BD10)&lt;=1,"TIES OUT","CHECK")</f>
        <v>TIES OUT</v>
      </c>
      <c r="BG10" s="131" t="s">
        <v>1372</v>
      </c>
    </row>
    <row r="11" spans="2:59" x14ac:dyDescent="0.25">
      <c r="B11" s="16" t="s">
        <v>1375</v>
      </c>
      <c r="C11" s="16" t="s">
        <v>1370</v>
      </c>
      <c r="D11" s="16" t="s">
        <v>1371</v>
      </c>
      <c r="E11" s="16" t="s">
        <v>1376</v>
      </c>
      <c r="F11" s="16" t="s">
        <v>11</v>
      </c>
      <c r="G11" s="16" t="s">
        <v>11</v>
      </c>
      <c r="I11" s="150">
        <f>SUMIFS($Q11:$AZ11,$Q$6:$AZ$6,"&gt;="&amp;I$87,$Q$6:$AZ$6,"&lt;="&amp;I$88)</f>
        <v>-18400</v>
      </c>
      <c r="J11" s="150">
        <f>SUMIFS($Q11:$AZ11,$Q$6:$AZ$6,"&gt;="&amp;J$87,$Q$6:$AZ$6,"&lt;="&amp;J$88)</f>
        <v>-21100</v>
      </c>
      <c r="K11" s="150">
        <f>SUMIFS($Q11:$AZ11,$Q$6:$AZ$6,"&gt;="&amp;K$87,$Q$6:$AZ$6,"&lt;="&amp;K$88)</f>
        <v>-24600</v>
      </c>
      <c r="L11" s="150">
        <f>SUMIFS($Q11:$AZ11,$Q$6:$AZ$6,"&gt;="&amp;L$87,$Q$6:$AZ$6,"&lt;="&amp;L$88)</f>
        <v>-21100</v>
      </c>
      <c r="M11" s="150">
        <f>SUMIFS($Q11:$AZ11,$Q$6:$AZ$6,"&gt;="&amp;M$87,$Q$6:$AZ$6,"&lt;="&amp;M$88)</f>
        <v>-24600</v>
      </c>
      <c r="N11" s="150">
        <f>SUMIFS($Q11:$AZ11,$Q$6:$AZ$6,"&gt;="&amp;N$87,$Q$6:$AZ$6,"&lt;="&amp;N$88)</f>
        <v>-21100</v>
      </c>
      <c r="O11" s="150">
        <f>SUMIFS($Q11:$AZ11,$Q$6:$AZ$6,"&gt;="&amp;O$87,$Q$6:$AZ$6,"&lt;="&amp;O$88)</f>
        <v>-24600</v>
      </c>
      <c r="P11" s="150">
        <f>SUMIFS($Q11:$AZ11,$Q$6:$AZ$6,"&gt;="&amp;P$87,$Q$6:$AZ$6,"&lt;="&amp;P$88)</f>
        <v>-24600</v>
      </c>
      <c r="Q11" s="114">
        <v>-1374</v>
      </c>
      <c r="R11" s="114">
        <v>-1243</v>
      </c>
      <c r="S11" s="114">
        <v>-1182</v>
      </c>
      <c r="T11" s="114">
        <v>-1269</v>
      </c>
      <c r="U11" s="114">
        <v>-1508</v>
      </c>
      <c r="V11" s="114">
        <v>-1828</v>
      </c>
      <c r="W11" s="114">
        <v>-2000</v>
      </c>
      <c r="X11" s="114">
        <v>-1864</v>
      </c>
      <c r="Y11" s="114">
        <v>-1569</v>
      </c>
      <c r="Z11" s="114">
        <v>-1347</v>
      </c>
      <c r="AA11" s="114">
        <v>-1440</v>
      </c>
      <c r="AB11" s="114">
        <v>-1776</v>
      </c>
      <c r="AC11" s="114">
        <v>-1576</v>
      </c>
      <c r="AD11" s="114">
        <v>-1425</v>
      </c>
      <c r="AE11" s="114">
        <v>-1355</v>
      </c>
      <c r="AF11" s="114">
        <v>-1455</v>
      </c>
      <c r="AG11" s="114">
        <v>-1729</v>
      </c>
      <c r="AH11" s="114">
        <v>-2096</v>
      </c>
      <c r="AI11" s="114">
        <v>-2294</v>
      </c>
      <c r="AJ11" s="114">
        <v>-2138</v>
      </c>
      <c r="AK11" s="114">
        <v>-1799</v>
      </c>
      <c r="AL11" s="114">
        <v>-1545</v>
      </c>
      <c r="AM11" s="114">
        <v>-1651</v>
      </c>
      <c r="AN11" s="114">
        <v>-2037</v>
      </c>
      <c r="AO11" s="114">
        <v>-1837</v>
      </c>
      <c r="AP11" s="114">
        <v>-1661</v>
      </c>
      <c r="AQ11" s="114">
        <v>-1580</v>
      </c>
      <c r="AR11" s="114">
        <v>-1696</v>
      </c>
      <c r="AS11" s="114">
        <v>-2016</v>
      </c>
      <c r="AT11" s="114">
        <v>-2444</v>
      </c>
      <c r="AU11" s="114">
        <v>-2674</v>
      </c>
      <c r="AV11" s="114">
        <v>-2493</v>
      </c>
      <c r="AW11" s="114">
        <v>-2098</v>
      </c>
      <c r="AX11" s="114">
        <v>-1801</v>
      </c>
      <c r="AY11" s="114">
        <v>-1925</v>
      </c>
      <c r="AZ11" s="114">
        <v>-2375</v>
      </c>
      <c r="BB11" s="150">
        <f>SUM(AO11:AZ11)</f>
        <v>-24600</v>
      </c>
      <c r="BC11" s="151">
        <f>SUM('Raw - P&amp;L'!$AA$7:$AL$7)</f>
        <v>-24600</v>
      </c>
      <c r="BD11" s="130">
        <f>ROUND(SQRT(SUMXMY2(Q11:AZ11,'Raw - P&amp;L'!$C$7:$AL$7)),6)</f>
        <v>0</v>
      </c>
      <c r="BE11" s="17" t="str">
        <f>IF(ABS(BD11)&lt;=1,"TIES OUT","CHECK")</f>
        <v>TIES OUT</v>
      </c>
      <c r="BG11" s="131" t="s">
        <v>1372</v>
      </c>
    </row>
    <row r="12" spans="2:59" x14ac:dyDescent="0.25">
      <c r="B12" s="16" t="s">
        <v>1377</v>
      </c>
      <c r="C12" s="16" t="s">
        <v>1370</v>
      </c>
      <c r="D12" s="16" t="s">
        <v>1378</v>
      </c>
      <c r="E12" s="16" t="s">
        <v>1379</v>
      </c>
      <c r="F12" s="16" t="s">
        <v>11</v>
      </c>
      <c r="G12" s="16" t="s">
        <v>11</v>
      </c>
      <c r="I12" s="150">
        <f>SUMIFS($Q12:$AZ12,$Q$6:$AZ$6,"&gt;="&amp;I$87,$Q$6:$AZ$6,"&lt;="&amp;I$88)</f>
        <v>842300</v>
      </c>
      <c r="J12" s="150">
        <f>SUMIFS($Q12:$AZ12,$Q$6:$AZ$6,"&gt;="&amp;J$87,$Q$6:$AZ$6,"&lt;="&amp;J$88)</f>
        <v>939200</v>
      </c>
      <c r="K12" s="150">
        <f>SUMIFS($Q12:$AZ12,$Q$6:$AZ$6,"&gt;="&amp;K$87,$Q$6:$AZ$6,"&lt;="&amp;K$88)</f>
        <v>1040600</v>
      </c>
      <c r="L12" s="150">
        <f>SUMIFS($Q12:$AZ12,$Q$6:$AZ$6,"&gt;="&amp;L$87,$Q$6:$AZ$6,"&lt;="&amp;L$88)</f>
        <v>939200</v>
      </c>
      <c r="M12" s="150">
        <f>SUMIFS($Q12:$AZ12,$Q$6:$AZ$6,"&gt;="&amp;M$87,$Q$6:$AZ$6,"&lt;="&amp;M$88)</f>
        <v>1040600</v>
      </c>
      <c r="N12" s="150">
        <f>SUMIFS($Q12:$AZ12,$Q$6:$AZ$6,"&gt;="&amp;N$87,$Q$6:$AZ$6,"&lt;="&amp;N$88)</f>
        <v>939200</v>
      </c>
      <c r="O12" s="150">
        <f>SUMIFS($Q12:$AZ12,$Q$6:$AZ$6,"&gt;="&amp;O$87,$Q$6:$AZ$6,"&lt;="&amp;O$88)</f>
        <v>1040600</v>
      </c>
      <c r="P12" s="150">
        <f>SUMIFS($Q12:$AZ12,$Q$6:$AZ$6,"&gt;="&amp;P$87,$Q$6:$AZ$6,"&lt;="&amp;P$88)</f>
        <v>1040600</v>
      </c>
      <c r="Q12" s="114">
        <v>62912</v>
      </c>
      <c r="R12" s="114">
        <v>56886</v>
      </c>
      <c r="S12" s="114">
        <v>54100</v>
      </c>
      <c r="T12" s="114">
        <v>58077</v>
      </c>
      <c r="U12" s="114">
        <v>69026</v>
      </c>
      <c r="V12" s="114">
        <v>83673</v>
      </c>
      <c r="W12" s="114">
        <v>91557</v>
      </c>
      <c r="X12" s="114">
        <v>85355</v>
      </c>
      <c r="Y12" s="114">
        <v>71830</v>
      </c>
      <c r="Z12" s="114">
        <v>61651</v>
      </c>
      <c r="AA12" s="114">
        <v>65908</v>
      </c>
      <c r="AB12" s="114">
        <v>81325</v>
      </c>
      <c r="AC12" s="114">
        <v>70150</v>
      </c>
      <c r="AD12" s="114">
        <v>63430</v>
      </c>
      <c r="AE12" s="114">
        <v>60324</v>
      </c>
      <c r="AF12" s="114">
        <v>64758</v>
      </c>
      <c r="AG12" s="114">
        <v>76968</v>
      </c>
      <c r="AH12" s="114">
        <v>93299</v>
      </c>
      <c r="AI12" s="114">
        <v>102090</v>
      </c>
      <c r="AJ12" s="114">
        <v>95174</v>
      </c>
      <c r="AK12" s="114">
        <v>80093</v>
      </c>
      <c r="AL12" s="114">
        <v>68743</v>
      </c>
      <c r="AM12" s="114">
        <v>73490</v>
      </c>
      <c r="AN12" s="114">
        <v>90681</v>
      </c>
      <c r="AO12" s="114">
        <v>77724</v>
      </c>
      <c r="AP12" s="114">
        <v>70278</v>
      </c>
      <c r="AQ12" s="114">
        <v>66837</v>
      </c>
      <c r="AR12" s="114">
        <v>71750</v>
      </c>
      <c r="AS12" s="114">
        <v>85277</v>
      </c>
      <c r="AT12" s="114">
        <v>103372</v>
      </c>
      <c r="AU12" s="114">
        <v>113111</v>
      </c>
      <c r="AV12" s="114">
        <v>105450</v>
      </c>
      <c r="AW12" s="114">
        <v>88740</v>
      </c>
      <c r="AX12" s="114">
        <v>76165</v>
      </c>
      <c r="AY12" s="114">
        <v>81425</v>
      </c>
      <c r="AZ12" s="114">
        <v>100471</v>
      </c>
      <c r="BB12" s="150">
        <f>SUM(AO12:AZ12)</f>
        <v>1040600</v>
      </c>
      <c r="BC12" s="151">
        <f>SUM('Raw - P&amp;L'!$AA$8:$AL$8)</f>
        <v>1040600</v>
      </c>
      <c r="BD12" s="130">
        <f>ROUND(SQRT(SUMXMY2(Q12:AZ12,'Raw - P&amp;L'!$C$8:$AL$8)),6)</f>
        <v>0</v>
      </c>
      <c r="BE12" s="17" t="str">
        <f>IF(ABS(BD12)&lt;=1,"TIES OUT","CHECK")</f>
        <v>TIES OUT</v>
      </c>
      <c r="BG12" s="131" t="s">
        <v>1380</v>
      </c>
    </row>
    <row r="13" spans="2:59" x14ac:dyDescent="0.25">
      <c r="B13" s="16" t="s">
        <v>1381</v>
      </c>
      <c r="C13" s="16" t="s">
        <v>1370</v>
      </c>
      <c r="D13" s="16" t="s">
        <v>1378</v>
      </c>
      <c r="E13" s="16" t="s">
        <v>1379</v>
      </c>
      <c r="F13" s="16" t="s">
        <v>11</v>
      </c>
      <c r="G13" s="16" t="s">
        <v>11</v>
      </c>
      <c r="I13" s="150">
        <f>SUMIFS($Q13:$AZ13,$Q$6:$AZ$6,"&gt;="&amp;I$87,$Q$6:$AZ$6,"&lt;="&amp;I$88)</f>
        <v>96500</v>
      </c>
      <c r="J13" s="150">
        <f>SUMIFS($Q13:$AZ13,$Q$6:$AZ$6,"&gt;="&amp;J$87,$Q$6:$AZ$6,"&lt;="&amp;J$88)</f>
        <v>108700</v>
      </c>
      <c r="K13" s="150">
        <f>SUMIFS($Q13:$AZ13,$Q$6:$AZ$6,"&gt;="&amp;K$87,$Q$6:$AZ$6,"&lt;="&amp;K$88)</f>
        <v>118300</v>
      </c>
      <c r="L13" s="150">
        <f>SUMIFS($Q13:$AZ13,$Q$6:$AZ$6,"&gt;="&amp;L$87,$Q$6:$AZ$6,"&lt;="&amp;L$88)</f>
        <v>108700</v>
      </c>
      <c r="M13" s="150">
        <f>SUMIFS($Q13:$AZ13,$Q$6:$AZ$6,"&gt;="&amp;M$87,$Q$6:$AZ$6,"&lt;="&amp;M$88)</f>
        <v>118300</v>
      </c>
      <c r="N13" s="150">
        <f>SUMIFS($Q13:$AZ13,$Q$6:$AZ$6,"&gt;="&amp;N$87,$Q$6:$AZ$6,"&lt;="&amp;N$88)</f>
        <v>108700</v>
      </c>
      <c r="O13" s="150">
        <f>SUMIFS($Q13:$AZ13,$Q$6:$AZ$6,"&gt;="&amp;O$87,$Q$6:$AZ$6,"&lt;="&amp;O$88)</f>
        <v>118300</v>
      </c>
      <c r="P13" s="150">
        <f>SUMIFS($Q13:$AZ13,$Q$6:$AZ$6,"&gt;="&amp;P$87,$Q$6:$AZ$6,"&lt;="&amp;P$88)</f>
        <v>118300</v>
      </c>
      <c r="Q13" s="114">
        <v>7213</v>
      </c>
      <c r="R13" s="114">
        <v>6905</v>
      </c>
      <c r="S13" s="114">
        <v>6978</v>
      </c>
      <c r="T13" s="114">
        <v>7442</v>
      </c>
      <c r="U13" s="114">
        <v>7914</v>
      </c>
      <c r="V13" s="114">
        <v>8793</v>
      </c>
      <c r="W13" s="114">
        <v>9286</v>
      </c>
      <c r="X13" s="114">
        <v>8970</v>
      </c>
      <c r="Y13" s="114">
        <v>8647</v>
      </c>
      <c r="Z13" s="114">
        <v>7900</v>
      </c>
      <c r="AA13" s="114">
        <v>7976</v>
      </c>
      <c r="AB13" s="114">
        <v>8476</v>
      </c>
      <c r="AC13" s="114">
        <v>8125</v>
      </c>
      <c r="AD13" s="114">
        <v>7779</v>
      </c>
      <c r="AE13" s="114">
        <v>7860</v>
      </c>
      <c r="AF13" s="114">
        <v>8383</v>
      </c>
      <c r="AG13" s="114">
        <v>8914</v>
      </c>
      <c r="AH13" s="114">
        <v>9905</v>
      </c>
      <c r="AI13" s="114">
        <v>10460</v>
      </c>
      <c r="AJ13" s="114">
        <v>10104</v>
      </c>
      <c r="AK13" s="114">
        <v>9740</v>
      </c>
      <c r="AL13" s="114">
        <v>8898</v>
      </c>
      <c r="AM13" s="114">
        <v>8984</v>
      </c>
      <c r="AN13" s="114">
        <v>9548</v>
      </c>
      <c r="AO13" s="114">
        <v>8842</v>
      </c>
      <c r="AP13" s="114">
        <v>8466</v>
      </c>
      <c r="AQ13" s="114">
        <v>8554</v>
      </c>
      <c r="AR13" s="114">
        <v>9123</v>
      </c>
      <c r="AS13" s="114">
        <v>9702</v>
      </c>
      <c r="AT13" s="114">
        <v>10780</v>
      </c>
      <c r="AU13" s="114">
        <v>11383</v>
      </c>
      <c r="AV13" s="114">
        <v>10997</v>
      </c>
      <c r="AW13" s="114">
        <v>10600</v>
      </c>
      <c r="AX13" s="114">
        <v>9684</v>
      </c>
      <c r="AY13" s="114">
        <v>9778</v>
      </c>
      <c r="AZ13" s="114">
        <v>10391</v>
      </c>
      <c r="BB13" s="150">
        <f>SUM(AO13:AZ13)</f>
        <v>118300</v>
      </c>
      <c r="BC13" s="151">
        <f>SUM('Raw - P&amp;L'!$AA$9:$AL$9)</f>
        <v>118300</v>
      </c>
      <c r="BD13" s="130">
        <f>ROUND(SQRT(SUMXMY2(Q13:AZ13,'Raw - P&amp;L'!$C$9:$AL$9)),6)</f>
        <v>0</v>
      </c>
      <c r="BE13" s="17" t="str">
        <f>IF(ABS(BD13)&lt;=1,"TIES OUT","CHECK")</f>
        <v>TIES OUT</v>
      </c>
      <c r="BG13" s="131" t="s">
        <v>1380</v>
      </c>
    </row>
    <row r="14" spans="2:59" x14ac:dyDescent="0.25">
      <c r="B14" s="16" t="s">
        <v>1382</v>
      </c>
      <c r="C14" s="16" t="s">
        <v>1370</v>
      </c>
      <c r="D14" s="16" t="s">
        <v>1383</v>
      </c>
      <c r="E14" s="16" t="s">
        <v>1384</v>
      </c>
      <c r="F14" s="16" t="s">
        <v>11</v>
      </c>
      <c r="G14" s="16" t="s">
        <v>11</v>
      </c>
      <c r="I14" s="150">
        <f>SUMIFS($Q14:$AZ14,$Q$6:$AZ$6,"&gt;="&amp;I$87,$Q$6:$AZ$6,"&lt;="&amp;I$88)</f>
        <v>64800</v>
      </c>
      <c r="J14" s="150">
        <f>SUMIFS($Q14:$AZ14,$Q$6:$AZ$6,"&gt;="&amp;J$87,$Q$6:$AZ$6,"&lt;="&amp;J$88)</f>
        <v>71200</v>
      </c>
      <c r="K14" s="150">
        <f>SUMIFS($Q14:$AZ14,$Q$6:$AZ$6,"&gt;="&amp;K$87,$Q$6:$AZ$6,"&lt;="&amp;K$88)</f>
        <v>79600</v>
      </c>
      <c r="L14" s="150">
        <f>SUMIFS($Q14:$AZ14,$Q$6:$AZ$6,"&gt;="&amp;L$87,$Q$6:$AZ$6,"&lt;="&amp;L$88)</f>
        <v>71200</v>
      </c>
      <c r="M14" s="150">
        <f>SUMIFS($Q14:$AZ14,$Q$6:$AZ$6,"&gt;="&amp;M$87,$Q$6:$AZ$6,"&lt;="&amp;M$88)</f>
        <v>79600</v>
      </c>
      <c r="N14" s="150">
        <f>SUMIFS($Q14:$AZ14,$Q$6:$AZ$6,"&gt;="&amp;N$87,$Q$6:$AZ$6,"&lt;="&amp;N$88)</f>
        <v>71200</v>
      </c>
      <c r="O14" s="150">
        <f>SUMIFS($Q14:$AZ14,$Q$6:$AZ$6,"&gt;="&amp;O$87,$Q$6:$AZ$6,"&lt;="&amp;O$88)</f>
        <v>79600</v>
      </c>
      <c r="P14" s="150">
        <f>SUMIFS($Q14:$AZ14,$Q$6:$AZ$6,"&gt;="&amp;P$87,$Q$6:$AZ$6,"&lt;="&amp;P$88)</f>
        <v>79600</v>
      </c>
      <c r="Q14" s="114">
        <v>4320</v>
      </c>
      <c r="R14" s="114">
        <v>4860</v>
      </c>
      <c r="S14" s="114">
        <v>6480</v>
      </c>
      <c r="T14" s="114">
        <v>7020</v>
      </c>
      <c r="U14" s="114">
        <v>6480</v>
      </c>
      <c r="V14" s="114">
        <v>5400</v>
      </c>
      <c r="W14" s="114">
        <v>4860</v>
      </c>
      <c r="X14" s="114">
        <v>4860</v>
      </c>
      <c r="Y14" s="114">
        <v>5940</v>
      </c>
      <c r="Z14" s="114">
        <v>6480</v>
      </c>
      <c r="AA14" s="114">
        <v>4320</v>
      </c>
      <c r="AB14" s="114">
        <v>3780</v>
      </c>
      <c r="AC14" s="114">
        <v>4747</v>
      </c>
      <c r="AD14" s="114">
        <v>5340</v>
      </c>
      <c r="AE14" s="114">
        <v>7120</v>
      </c>
      <c r="AF14" s="114">
        <v>7713</v>
      </c>
      <c r="AG14" s="114">
        <v>7120</v>
      </c>
      <c r="AH14" s="114">
        <v>5933</v>
      </c>
      <c r="AI14" s="114">
        <v>5340</v>
      </c>
      <c r="AJ14" s="114">
        <v>5340</v>
      </c>
      <c r="AK14" s="114">
        <v>6527</v>
      </c>
      <c r="AL14" s="114">
        <v>7120</v>
      </c>
      <c r="AM14" s="114">
        <v>4747</v>
      </c>
      <c r="AN14" s="114">
        <v>4153</v>
      </c>
      <c r="AO14" s="114">
        <v>5307</v>
      </c>
      <c r="AP14" s="114">
        <v>5970</v>
      </c>
      <c r="AQ14" s="114">
        <v>7960</v>
      </c>
      <c r="AR14" s="114">
        <v>8623</v>
      </c>
      <c r="AS14" s="114">
        <v>7960</v>
      </c>
      <c r="AT14" s="114">
        <v>6633</v>
      </c>
      <c r="AU14" s="114">
        <v>5970</v>
      </c>
      <c r="AV14" s="114">
        <v>5970</v>
      </c>
      <c r="AW14" s="114">
        <v>7297</v>
      </c>
      <c r="AX14" s="114">
        <v>7960</v>
      </c>
      <c r="AY14" s="114">
        <v>5307</v>
      </c>
      <c r="AZ14" s="114">
        <v>4643</v>
      </c>
      <c r="BB14" s="150">
        <f>SUM(AO14:AZ14)</f>
        <v>79600</v>
      </c>
      <c r="BC14" s="151">
        <f>SUM('Raw - P&amp;L'!$AA$10:$AL$10)</f>
        <v>79600</v>
      </c>
      <c r="BD14" s="130">
        <f>ROUND(SQRT(SUMXMY2(Q14:AZ14,'Raw - P&amp;L'!$C$10:$AL$10)),6)</f>
        <v>0</v>
      </c>
      <c r="BE14" s="17" t="str">
        <f>IF(ABS(BD14)&lt;=1,"TIES OUT","CHECK")</f>
        <v>TIES OUT</v>
      </c>
      <c r="BG14" s="131" t="s">
        <v>534</v>
      </c>
    </row>
    <row r="15" spans="2:59" x14ac:dyDescent="0.25">
      <c r="B15" s="16" t="s">
        <v>1385</v>
      </c>
      <c r="C15" s="16" t="s">
        <v>1370</v>
      </c>
      <c r="D15" s="16" t="s">
        <v>1386</v>
      </c>
      <c r="E15" s="16" t="s">
        <v>1387</v>
      </c>
      <c r="F15" s="16" t="s">
        <v>1388</v>
      </c>
      <c r="G15" s="16" t="s">
        <v>1389</v>
      </c>
      <c r="I15" s="150">
        <f>SUMIFS($Q15:$AZ15,$Q$6:$AZ$6,"&gt;="&amp;I$87,$Q$6:$AZ$6,"&lt;="&amp;I$88)</f>
        <v>5000</v>
      </c>
      <c r="J15" s="150">
        <f>SUMIFS($Q15:$AZ15,$Q$6:$AZ$6,"&gt;="&amp;J$87,$Q$6:$AZ$6,"&lt;="&amp;J$88)</f>
        <v>6000</v>
      </c>
      <c r="K15" s="150">
        <f>SUMIFS($Q15:$AZ15,$Q$6:$AZ$6,"&gt;="&amp;K$87,$Q$6:$AZ$6,"&lt;="&amp;K$88)</f>
        <v>7500</v>
      </c>
      <c r="L15" s="150">
        <f>SUMIFS($Q15:$AZ15,$Q$6:$AZ$6,"&gt;="&amp;L$87,$Q$6:$AZ$6,"&lt;="&amp;L$88)</f>
        <v>6000</v>
      </c>
      <c r="M15" s="150">
        <f>SUMIFS($Q15:$AZ15,$Q$6:$AZ$6,"&gt;="&amp;M$87,$Q$6:$AZ$6,"&lt;="&amp;M$88)</f>
        <v>7500</v>
      </c>
      <c r="N15" s="150">
        <f>SUMIFS($Q15:$AZ15,$Q$6:$AZ$6,"&gt;="&amp;N$87,$Q$6:$AZ$6,"&lt;="&amp;N$88)</f>
        <v>6000</v>
      </c>
      <c r="O15" s="150">
        <f>SUMIFS($Q15:$AZ15,$Q$6:$AZ$6,"&gt;="&amp;O$87,$Q$6:$AZ$6,"&lt;="&amp;O$88)</f>
        <v>7500</v>
      </c>
      <c r="P15" s="150">
        <f>SUMIFS($Q15:$AZ15,$Q$6:$AZ$6,"&gt;="&amp;P$87,$Q$6:$AZ$6,"&lt;="&amp;P$88)</f>
        <v>7500</v>
      </c>
      <c r="Q15" s="114">
        <v>209</v>
      </c>
      <c r="R15" s="114">
        <v>209</v>
      </c>
      <c r="S15" s="114">
        <v>209</v>
      </c>
      <c r="T15" s="114">
        <v>208</v>
      </c>
      <c r="U15" s="114">
        <v>208</v>
      </c>
      <c r="V15" s="114">
        <v>208</v>
      </c>
      <c r="W15" s="114">
        <v>208</v>
      </c>
      <c r="X15" s="114">
        <v>208</v>
      </c>
      <c r="Y15" s="114">
        <v>208</v>
      </c>
      <c r="Z15" s="114">
        <v>208</v>
      </c>
      <c r="AA15" s="114">
        <v>417</v>
      </c>
      <c r="AB15" s="114">
        <v>2500</v>
      </c>
      <c r="AC15" s="114">
        <v>250</v>
      </c>
      <c r="AD15" s="114">
        <v>250</v>
      </c>
      <c r="AE15" s="114">
        <v>250</v>
      </c>
      <c r="AF15" s="114">
        <v>250</v>
      </c>
      <c r="AG15" s="114">
        <v>250</v>
      </c>
      <c r="AH15" s="114">
        <v>250</v>
      </c>
      <c r="AI15" s="114">
        <v>250</v>
      </c>
      <c r="AJ15" s="114">
        <v>250</v>
      </c>
      <c r="AK15" s="114">
        <v>250</v>
      </c>
      <c r="AL15" s="114">
        <v>250</v>
      </c>
      <c r="AM15" s="114">
        <v>500</v>
      </c>
      <c r="AN15" s="114">
        <v>3000</v>
      </c>
      <c r="AO15" s="114">
        <v>313</v>
      </c>
      <c r="AP15" s="114">
        <v>313</v>
      </c>
      <c r="AQ15" s="114">
        <v>313</v>
      </c>
      <c r="AR15" s="114">
        <v>313</v>
      </c>
      <c r="AS15" s="114">
        <v>313</v>
      </c>
      <c r="AT15" s="114">
        <v>312</v>
      </c>
      <c r="AU15" s="114">
        <v>312</v>
      </c>
      <c r="AV15" s="114">
        <v>312</v>
      </c>
      <c r="AW15" s="114">
        <v>312</v>
      </c>
      <c r="AX15" s="114">
        <v>312</v>
      </c>
      <c r="AY15" s="114">
        <v>625</v>
      </c>
      <c r="AZ15" s="114">
        <v>3750</v>
      </c>
      <c r="BB15" s="150">
        <f>SUM(AO15:AZ15)</f>
        <v>7500</v>
      </c>
      <c r="BC15" s="151">
        <f>SUM('Raw - P&amp;L'!$AA$11:$AL$11)</f>
        <v>7500</v>
      </c>
      <c r="BD15" s="130">
        <f>ROUND(SQRT(SUMXMY2(Q15:AZ15,'Raw - P&amp;L'!$C$11:$AL$11)),6)</f>
        <v>0</v>
      </c>
      <c r="BE15" s="17" t="str">
        <f>IF(ABS(BD15)&lt;=1,"TIES OUT","CHECK")</f>
        <v>TIES OUT</v>
      </c>
      <c r="BG15" s="131" t="s">
        <v>534</v>
      </c>
    </row>
    <row r="16" spans="2:59" x14ac:dyDescent="0.25">
      <c r="B16" s="16" t="s">
        <v>1390</v>
      </c>
      <c r="C16" s="16" t="s">
        <v>1370</v>
      </c>
      <c r="D16" s="16" t="s">
        <v>1391</v>
      </c>
      <c r="E16" s="16" t="s">
        <v>1392</v>
      </c>
      <c r="F16" s="16" t="s">
        <v>11</v>
      </c>
      <c r="G16" s="16" t="s">
        <v>1393</v>
      </c>
      <c r="I16" s="150">
        <f>SUMIFS($Q16:$AZ16,$Q$6:$AZ$6,"&gt;="&amp;I$87,$Q$6:$AZ$6,"&lt;="&amp;I$88)</f>
        <v>61200</v>
      </c>
      <c r="J16" s="150">
        <f>SUMIFS($Q16:$AZ16,$Q$6:$AZ$6,"&gt;="&amp;J$87,$Q$6:$AZ$6,"&lt;="&amp;J$88)</f>
        <v>66800</v>
      </c>
      <c r="K16" s="150">
        <f>SUMIFS($Q16:$AZ16,$Q$6:$AZ$6,"&gt;="&amp;K$87,$Q$6:$AZ$6,"&lt;="&amp;K$88)</f>
        <v>72400</v>
      </c>
      <c r="L16" s="150">
        <f>SUMIFS($Q16:$AZ16,$Q$6:$AZ$6,"&gt;="&amp;L$87,$Q$6:$AZ$6,"&lt;="&amp;L$88)</f>
        <v>66800</v>
      </c>
      <c r="M16" s="150">
        <f>SUMIFS($Q16:$AZ16,$Q$6:$AZ$6,"&gt;="&amp;M$87,$Q$6:$AZ$6,"&lt;="&amp;M$88)</f>
        <v>72400</v>
      </c>
      <c r="N16" s="150">
        <f>SUMIFS($Q16:$AZ16,$Q$6:$AZ$6,"&gt;="&amp;N$87,$Q$6:$AZ$6,"&lt;="&amp;N$88)</f>
        <v>66800</v>
      </c>
      <c r="O16" s="150">
        <f>SUMIFS($Q16:$AZ16,$Q$6:$AZ$6,"&gt;="&amp;O$87,$Q$6:$AZ$6,"&lt;="&amp;O$88)</f>
        <v>72400</v>
      </c>
      <c r="P16" s="150">
        <f>SUMIFS($Q16:$AZ16,$Q$6:$AZ$6,"&gt;="&amp;P$87,$Q$6:$AZ$6,"&lt;="&amp;P$88)</f>
        <v>72400</v>
      </c>
      <c r="Q16" s="114">
        <v>5100</v>
      </c>
      <c r="R16" s="114">
        <v>5100</v>
      </c>
      <c r="S16" s="114">
        <v>5100</v>
      </c>
      <c r="T16" s="114">
        <v>5100</v>
      </c>
      <c r="U16" s="114">
        <v>5100</v>
      </c>
      <c r="V16" s="114">
        <v>5100</v>
      </c>
      <c r="W16" s="114">
        <v>5100</v>
      </c>
      <c r="X16" s="114">
        <v>5100</v>
      </c>
      <c r="Y16" s="114">
        <v>5100</v>
      </c>
      <c r="Z16" s="114">
        <v>5100</v>
      </c>
      <c r="AA16" s="114">
        <v>5100</v>
      </c>
      <c r="AB16" s="114">
        <v>5100</v>
      </c>
      <c r="AC16" s="114">
        <v>5567</v>
      </c>
      <c r="AD16" s="114">
        <v>5567</v>
      </c>
      <c r="AE16" s="114">
        <v>5567</v>
      </c>
      <c r="AF16" s="114">
        <v>5567</v>
      </c>
      <c r="AG16" s="114">
        <v>5567</v>
      </c>
      <c r="AH16" s="114">
        <v>5567</v>
      </c>
      <c r="AI16" s="114">
        <v>5567</v>
      </c>
      <c r="AJ16" s="114">
        <v>5567</v>
      </c>
      <c r="AK16" s="114">
        <v>5566</v>
      </c>
      <c r="AL16" s="114">
        <v>5566</v>
      </c>
      <c r="AM16" s="114">
        <v>5566</v>
      </c>
      <c r="AN16" s="114">
        <v>5566</v>
      </c>
      <c r="AO16" s="114">
        <v>6034</v>
      </c>
      <c r="AP16" s="114">
        <v>6034</v>
      </c>
      <c r="AQ16" s="114">
        <v>6034</v>
      </c>
      <c r="AR16" s="114">
        <v>6034</v>
      </c>
      <c r="AS16" s="114">
        <v>6033</v>
      </c>
      <c r="AT16" s="114">
        <v>6033</v>
      </c>
      <c r="AU16" s="114">
        <v>6033</v>
      </c>
      <c r="AV16" s="114">
        <v>6033</v>
      </c>
      <c r="AW16" s="114">
        <v>6033</v>
      </c>
      <c r="AX16" s="114">
        <v>6033</v>
      </c>
      <c r="AY16" s="114">
        <v>6033</v>
      </c>
      <c r="AZ16" s="114">
        <v>6033</v>
      </c>
      <c r="BB16" s="150">
        <f>SUM(AO16:AZ16)</f>
        <v>72400</v>
      </c>
      <c r="BC16" s="151">
        <f>SUM('Raw - P&amp;L'!$AA$12:$AL$12)</f>
        <v>72400</v>
      </c>
      <c r="BD16" s="130">
        <f>ROUND(SQRT(SUMXMY2(Q16:AZ16,'Raw - P&amp;L'!$C$12:$AL$12)),6)</f>
        <v>0</v>
      </c>
      <c r="BE16" s="17" t="str">
        <f>IF(ABS(BD16)&lt;=1,"TIES OUT","CHECK")</f>
        <v>TIES OUT</v>
      </c>
      <c r="BG16" s="131" t="s">
        <v>534</v>
      </c>
    </row>
    <row r="17" spans="2:59" x14ac:dyDescent="0.25">
      <c r="B17" s="16" t="s">
        <v>1394</v>
      </c>
      <c r="C17" s="16" t="s">
        <v>1370</v>
      </c>
      <c r="D17" s="16" t="s">
        <v>1386</v>
      </c>
      <c r="E17" s="16" t="s">
        <v>1387</v>
      </c>
      <c r="F17" s="16" t="s">
        <v>1395</v>
      </c>
      <c r="G17" s="16" t="s">
        <v>1396</v>
      </c>
      <c r="I17" s="150">
        <f>SUMIFS($Q17:$AZ17,$Q$6:$AZ$6,"&gt;="&amp;I$87,$Q$6:$AZ$6,"&lt;="&amp;I$88)</f>
        <v>52100</v>
      </c>
      <c r="J17" s="150">
        <f>SUMIFS($Q17:$AZ17,$Q$6:$AZ$6,"&gt;="&amp;J$87,$Q$6:$AZ$6,"&lt;="&amp;J$88)</f>
        <v>55300</v>
      </c>
      <c r="K17" s="150">
        <f>SUMIFS($Q17:$AZ17,$Q$6:$AZ$6,"&gt;="&amp;K$87,$Q$6:$AZ$6,"&lt;="&amp;K$88)</f>
        <v>58800</v>
      </c>
      <c r="L17" s="150">
        <f>SUMIFS($Q17:$AZ17,$Q$6:$AZ$6,"&gt;="&amp;L$87,$Q$6:$AZ$6,"&lt;="&amp;L$88)</f>
        <v>55300</v>
      </c>
      <c r="M17" s="150">
        <f>SUMIFS($Q17:$AZ17,$Q$6:$AZ$6,"&gt;="&amp;M$87,$Q$6:$AZ$6,"&lt;="&amp;M$88)</f>
        <v>58800</v>
      </c>
      <c r="N17" s="150">
        <f>SUMIFS($Q17:$AZ17,$Q$6:$AZ$6,"&gt;="&amp;N$87,$Q$6:$AZ$6,"&lt;="&amp;N$88)</f>
        <v>55300</v>
      </c>
      <c r="O17" s="150">
        <f>SUMIFS($Q17:$AZ17,$Q$6:$AZ$6,"&gt;="&amp;O$87,$Q$6:$AZ$6,"&lt;="&amp;O$88)</f>
        <v>58800</v>
      </c>
      <c r="P17" s="150">
        <f>SUMIFS($Q17:$AZ17,$Q$6:$AZ$6,"&gt;="&amp;P$87,$Q$6:$AZ$6,"&lt;="&amp;P$88)</f>
        <v>58800</v>
      </c>
      <c r="Q17" s="114">
        <v>3994</v>
      </c>
      <c r="R17" s="114">
        <v>3908</v>
      </c>
      <c r="S17" s="114">
        <v>4125</v>
      </c>
      <c r="T17" s="114">
        <v>4255</v>
      </c>
      <c r="U17" s="114">
        <v>4428</v>
      </c>
      <c r="V17" s="114">
        <v>4776</v>
      </c>
      <c r="W17" s="114">
        <v>4993</v>
      </c>
      <c r="X17" s="114">
        <v>4776</v>
      </c>
      <c r="Y17" s="114">
        <v>4428</v>
      </c>
      <c r="Z17" s="114">
        <v>4168</v>
      </c>
      <c r="AA17" s="114">
        <v>4081</v>
      </c>
      <c r="AB17" s="114">
        <v>4168</v>
      </c>
      <c r="AC17" s="114">
        <v>4240</v>
      </c>
      <c r="AD17" s="114">
        <v>4147</v>
      </c>
      <c r="AE17" s="114">
        <v>4378</v>
      </c>
      <c r="AF17" s="114">
        <v>4516</v>
      </c>
      <c r="AG17" s="114">
        <v>4701</v>
      </c>
      <c r="AH17" s="114">
        <v>5069</v>
      </c>
      <c r="AI17" s="114">
        <v>5300</v>
      </c>
      <c r="AJ17" s="114">
        <v>5069</v>
      </c>
      <c r="AK17" s="114">
        <v>4700</v>
      </c>
      <c r="AL17" s="114">
        <v>4424</v>
      </c>
      <c r="AM17" s="114">
        <v>4332</v>
      </c>
      <c r="AN17" s="114">
        <v>4424</v>
      </c>
      <c r="AO17" s="114">
        <v>4508</v>
      </c>
      <c r="AP17" s="114">
        <v>4410</v>
      </c>
      <c r="AQ17" s="114">
        <v>4655</v>
      </c>
      <c r="AR17" s="114">
        <v>4802</v>
      </c>
      <c r="AS17" s="114">
        <v>4998</v>
      </c>
      <c r="AT17" s="114">
        <v>5390</v>
      </c>
      <c r="AU17" s="114">
        <v>5635</v>
      </c>
      <c r="AV17" s="114">
        <v>5390</v>
      </c>
      <c r="AW17" s="114">
        <v>4998</v>
      </c>
      <c r="AX17" s="114">
        <v>4704</v>
      </c>
      <c r="AY17" s="114">
        <v>4606</v>
      </c>
      <c r="AZ17" s="114">
        <v>4704</v>
      </c>
      <c r="BB17" s="150">
        <f>SUM(AO17:AZ17)</f>
        <v>58800</v>
      </c>
      <c r="BC17" s="151">
        <f>SUM('Raw - P&amp;L'!$AA$13:$AL$13)</f>
        <v>58800</v>
      </c>
      <c r="BD17" s="130">
        <f>ROUND(SQRT(SUMXMY2(Q17:AZ17,'Raw - P&amp;L'!$C$13:$AL$13)),6)</f>
        <v>0</v>
      </c>
      <c r="BE17" s="17" t="str">
        <f>IF(ABS(BD17)&lt;=1,"TIES OUT","CHECK")</f>
        <v>TIES OUT</v>
      </c>
      <c r="BG17" s="131" t="s">
        <v>534</v>
      </c>
    </row>
    <row r="18" spans="2:59" x14ac:dyDescent="0.25">
      <c r="B18" s="16" t="s">
        <v>1397</v>
      </c>
      <c r="C18" s="16" t="s">
        <v>1370</v>
      </c>
      <c r="D18" s="16" t="s">
        <v>1386</v>
      </c>
      <c r="E18" s="16" t="s">
        <v>1387</v>
      </c>
      <c r="F18" s="16" t="s">
        <v>11</v>
      </c>
      <c r="G18" s="16" t="s">
        <v>11</v>
      </c>
      <c r="I18" s="150">
        <f>SUMIFS($Q18:$AZ18,$Q$6:$AZ$6,"&gt;="&amp;I$87,$Q$6:$AZ$6,"&lt;="&amp;I$88)</f>
        <v>38600</v>
      </c>
      <c r="J18" s="150">
        <f>SUMIFS($Q18:$AZ18,$Q$6:$AZ$6,"&gt;="&amp;J$87,$Q$6:$AZ$6,"&lt;="&amp;J$88)</f>
        <v>41200</v>
      </c>
      <c r="K18" s="150">
        <f>SUMIFS($Q18:$AZ18,$Q$6:$AZ$6,"&gt;="&amp;K$87,$Q$6:$AZ$6,"&lt;="&amp;K$88)</f>
        <v>44900</v>
      </c>
      <c r="L18" s="150">
        <f>SUMIFS($Q18:$AZ18,$Q$6:$AZ$6,"&gt;="&amp;L$87,$Q$6:$AZ$6,"&lt;="&amp;L$88)</f>
        <v>41200</v>
      </c>
      <c r="M18" s="150">
        <f>SUMIFS($Q18:$AZ18,$Q$6:$AZ$6,"&gt;="&amp;M$87,$Q$6:$AZ$6,"&lt;="&amp;M$88)</f>
        <v>44900</v>
      </c>
      <c r="N18" s="150">
        <f>SUMIFS($Q18:$AZ18,$Q$6:$AZ$6,"&gt;="&amp;N$87,$Q$6:$AZ$6,"&lt;="&amp;N$88)</f>
        <v>41200</v>
      </c>
      <c r="O18" s="150">
        <f>SUMIFS($Q18:$AZ18,$Q$6:$AZ$6,"&gt;="&amp;O$87,$Q$6:$AZ$6,"&lt;="&amp;O$88)</f>
        <v>44900</v>
      </c>
      <c r="P18" s="150">
        <f>SUMIFS($Q18:$AZ18,$Q$6:$AZ$6,"&gt;="&amp;P$87,$Q$6:$AZ$6,"&lt;="&amp;P$88)</f>
        <v>44900</v>
      </c>
      <c r="Q18" s="114">
        <v>3217</v>
      </c>
      <c r="R18" s="114">
        <v>3217</v>
      </c>
      <c r="S18" s="114">
        <v>3217</v>
      </c>
      <c r="T18" s="114">
        <v>3217</v>
      </c>
      <c r="U18" s="114">
        <v>3217</v>
      </c>
      <c r="V18" s="114">
        <v>3217</v>
      </c>
      <c r="W18" s="114">
        <v>3217</v>
      </c>
      <c r="X18" s="114">
        <v>3217</v>
      </c>
      <c r="Y18" s="114">
        <v>3216</v>
      </c>
      <c r="Z18" s="114">
        <v>3216</v>
      </c>
      <c r="AA18" s="114">
        <v>3216</v>
      </c>
      <c r="AB18" s="114">
        <v>3216</v>
      </c>
      <c r="AC18" s="114">
        <v>3434</v>
      </c>
      <c r="AD18" s="114">
        <v>3434</v>
      </c>
      <c r="AE18" s="114">
        <v>3434</v>
      </c>
      <c r="AF18" s="114">
        <v>3434</v>
      </c>
      <c r="AG18" s="114">
        <v>3433</v>
      </c>
      <c r="AH18" s="114">
        <v>3433</v>
      </c>
      <c r="AI18" s="114">
        <v>3433</v>
      </c>
      <c r="AJ18" s="114">
        <v>3433</v>
      </c>
      <c r="AK18" s="114">
        <v>3433</v>
      </c>
      <c r="AL18" s="114">
        <v>3433</v>
      </c>
      <c r="AM18" s="114">
        <v>3433</v>
      </c>
      <c r="AN18" s="114">
        <v>3433</v>
      </c>
      <c r="AO18" s="114">
        <v>3742</v>
      </c>
      <c r="AP18" s="114">
        <v>3742</v>
      </c>
      <c r="AQ18" s="114">
        <v>3742</v>
      </c>
      <c r="AR18" s="114">
        <v>3742</v>
      </c>
      <c r="AS18" s="114">
        <v>3742</v>
      </c>
      <c r="AT18" s="114">
        <v>3742</v>
      </c>
      <c r="AU18" s="114">
        <v>3742</v>
      </c>
      <c r="AV18" s="114">
        <v>3742</v>
      </c>
      <c r="AW18" s="114">
        <v>3741</v>
      </c>
      <c r="AX18" s="114">
        <v>3741</v>
      </c>
      <c r="AY18" s="114">
        <v>3741</v>
      </c>
      <c r="AZ18" s="114">
        <v>3741</v>
      </c>
      <c r="BB18" s="150">
        <f>SUM(AO18:AZ18)</f>
        <v>44900</v>
      </c>
      <c r="BC18" s="151">
        <f>SUM('Raw - P&amp;L'!$AA$14:$AL$14)</f>
        <v>44900</v>
      </c>
      <c r="BD18" s="130">
        <f>ROUND(SQRT(SUMXMY2(Q18:AZ18,'Raw - P&amp;L'!$C$14:$AL$14)),6)</f>
        <v>0</v>
      </c>
      <c r="BE18" s="17" t="str">
        <f>IF(ABS(BD18)&lt;=1,"TIES OUT","CHECK")</f>
        <v>TIES OUT</v>
      </c>
      <c r="BG18" s="131" t="s">
        <v>534</v>
      </c>
    </row>
    <row r="19" spans="2:59" x14ac:dyDescent="0.25">
      <c r="B19" s="16" t="s">
        <v>1398</v>
      </c>
      <c r="C19" s="16" t="s">
        <v>1370</v>
      </c>
      <c r="D19" s="16" t="s">
        <v>1386</v>
      </c>
      <c r="E19" s="16" t="s">
        <v>1387</v>
      </c>
      <c r="F19" s="16" t="s">
        <v>11</v>
      </c>
      <c r="G19" s="16" t="s">
        <v>1399</v>
      </c>
      <c r="I19" s="150">
        <f>SUMIFS($Q19:$AZ19,$Q$6:$AZ$6,"&gt;="&amp;I$87,$Q$6:$AZ$6,"&lt;="&amp;I$88)</f>
        <v>16400</v>
      </c>
      <c r="J19" s="150">
        <f>SUMIFS($Q19:$AZ19,$Q$6:$AZ$6,"&gt;="&amp;J$87,$Q$6:$AZ$6,"&lt;="&amp;J$88)</f>
        <v>38900</v>
      </c>
      <c r="K19" s="150">
        <f>SUMIFS($Q19:$AZ19,$Q$6:$AZ$6,"&gt;="&amp;K$87,$Q$6:$AZ$6,"&lt;="&amp;K$88)</f>
        <v>17200</v>
      </c>
      <c r="L19" s="150">
        <f>SUMIFS($Q19:$AZ19,$Q$6:$AZ$6,"&gt;="&amp;L$87,$Q$6:$AZ$6,"&lt;="&amp;L$88)</f>
        <v>38900</v>
      </c>
      <c r="M19" s="150">
        <f>SUMIFS($Q19:$AZ19,$Q$6:$AZ$6,"&gt;="&amp;M$87,$Q$6:$AZ$6,"&lt;="&amp;M$88)</f>
        <v>17200</v>
      </c>
      <c r="N19" s="150">
        <f>SUMIFS($Q19:$AZ19,$Q$6:$AZ$6,"&gt;="&amp;N$87,$Q$6:$AZ$6,"&lt;="&amp;N$88)</f>
        <v>38900</v>
      </c>
      <c r="O19" s="150">
        <f>SUMIFS($Q19:$AZ19,$Q$6:$AZ$6,"&gt;="&amp;O$87,$Q$6:$AZ$6,"&lt;="&amp;O$88)</f>
        <v>17200</v>
      </c>
      <c r="P19" s="150">
        <f>SUMIFS($Q19:$AZ19,$Q$6:$AZ$6,"&gt;="&amp;P$87,$Q$6:$AZ$6,"&lt;="&amp;P$88)</f>
        <v>17200</v>
      </c>
      <c r="Q19" s="114">
        <v>1367</v>
      </c>
      <c r="R19" s="114">
        <v>1367</v>
      </c>
      <c r="S19" s="114">
        <v>1367</v>
      </c>
      <c r="T19" s="114">
        <v>1367</v>
      </c>
      <c r="U19" s="114">
        <v>1367</v>
      </c>
      <c r="V19" s="114">
        <v>1367</v>
      </c>
      <c r="W19" s="114">
        <v>1367</v>
      </c>
      <c r="X19" s="114">
        <v>1367</v>
      </c>
      <c r="Y19" s="114">
        <v>1366</v>
      </c>
      <c r="Z19" s="114">
        <v>1366</v>
      </c>
      <c r="AA19" s="114">
        <v>1366</v>
      </c>
      <c r="AB19" s="114">
        <v>1366</v>
      </c>
      <c r="AC19" s="114">
        <v>1242</v>
      </c>
      <c r="AD19" s="114">
        <v>1242</v>
      </c>
      <c r="AE19" s="114">
        <v>1242</v>
      </c>
      <c r="AF19" s="114">
        <v>1242</v>
      </c>
      <c r="AG19" s="114">
        <v>1242</v>
      </c>
      <c r="AH19" s="114">
        <v>13242</v>
      </c>
      <c r="AI19" s="114">
        <v>13242</v>
      </c>
      <c r="AJ19" s="114">
        <v>1242</v>
      </c>
      <c r="AK19" s="114">
        <v>1241</v>
      </c>
      <c r="AL19" s="114">
        <v>1241</v>
      </c>
      <c r="AM19" s="114">
        <v>1241</v>
      </c>
      <c r="AN19" s="114">
        <v>1241</v>
      </c>
      <c r="AO19" s="114">
        <v>1434</v>
      </c>
      <c r="AP19" s="114">
        <v>1434</v>
      </c>
      <c r="AQ19" s="114">
        <v>1434</v>
      </c>
      <c r="AR19" s="114">
        <v>1434</v>
      </c>
      <c r="AS19" s="114">
        <v>1433</v>
      </c>
      <c r="AT19" s="114">
        <v>1433</v>
      </c>
      <c r="AU19" s="114">
        <v>1433</v>
      </c>
      <c r="AV19" s="114">
        <v>1433</v>
      </c>
      <c r="AW19" s="114">
        <v>1433</v>
      </c>
      <c r="AX19" s="114">
        <v>1433</v>
      </c>
      <c r="AY19" s="114">
        <v>1433</v>
      </c>
      <c r="AZ19" s="114">
        <v>1433</v>
      </c>
      <c r="BB19" s="150">
        <f>SUM(AO19:AZ19)</f>
        <v>17200</v>
      </c>
      <c r="BC19" s="151">
        <f>SUM('Raw - P&amp;L'!$AA$15:$AL$15)</f>
        <v>17200</v>
      </c>
      <c r="BD19" s="130">
        <f>ROUND(SQRT(SUMXMY2(Q19:AZ19,'Raw - P&amp;L'!$C$15:$AL$15)),6)</f>
        <v>0</v>
      </c>
      <c r="BE19" s="17" t="str">
        <f>IF(ABS(BD19)&lt;=1,"TIES OUT","CHECK")</f>
        <v>TIES OUT</v>
      </c>
      <c r="BG19" s="131" t="s">
        <v>534</v>
      </c>
    </row>
    <row r="20" spans="2:59" x14ac:dyDescent="0.25">
      <c r="B20" s="16" t="s">
        <v>1400</v>
      </c>
      <c r="C20" s="16" t="s">
        <v>1370</v>
      </c>
      <c r="D20" s="16" t="s">
        <v>1386</v>
      </c>
      <c r="E20" s="16" t="s">
        <v>1387</v>
      </c>
      <c r="F20" s="16" t="s">
        <v>1401</v>
      </c>
      <c r="G20" s="16" t="s">
        <v>1402</v>
      </c>
      <c r="I20" s="150">
        <f>SUMIFS($Q20:$AZ20,$Q$6:$AZ$6,"&gt;="&amp;I$87,$Q$6:$AZ$6,"&lt;="&amp;I$88)</f>
        <v>9800</v>
      </c>
      <c r="J20" s="150">
        <f>SUMIFS($Q20:$AZ20,$Q$6:$AZ$6,"&gt;="&amp;J$87,$Q$6:$AZ$6,"&lt;="&amp;J$88)</f>
        <v>11200</v>
      </c>
      <c r="K20" s="150">
        <f>SUMIFS($Q20:$AZ20,$Q$6:$AZ$6,"&gt;="&amp;K$87,$Q$6:$AZ$6,"&lt;="&amp;K$88)</f>
        <v>12600</v>
      </c>
      <c r="L20" s="150">
        <f>SUMIFS($Q20:$AZ20,$Q$6:$AZ$6,"&gt;="&amp;L$87,$Q$6:$AZ$6,"&lt;="&amp;L$88)</f>
        <v>11200</v>
      </c>
      <c r="M20" s="150">
        <f>SUMIFS($Q20:$AZ20,$Q$6:$AZ$6,"&gt;="&amp;M$87,$Q$6:$AZ$6,"&lt;="&amp;M$88)</f>
        <v>12600</v>
      </c>
      <c r="N20" s="150">
        <f>SUMIFS($Q20:$AZ20,$Q$6:$AZ$6,"&gt;="&amp;N$87,$Q$6:$AZ$6,"&lt;="&amp;N$88)</f>
        <v>11200</v>
      </c>
      <c r="O20" s="150">
        <f>SUMIFS($Q20:$AZ20,$Q$6:$AZ$6,"&gt;="&amp;O$87,$Q$6:$AZ$6,"&lt;="&amp;O$88)</f>
        <v>12600</v>
      </c>
      <c r="P20" s="150">
        <f>SUMIFS($Q20:$AZ20,$Q$6:$AZ$6,"&gt;="&amp;P$87,$Q$6:$AZ$6,"&lt;="&amp;P$88)</f>
        <v>12600</v>
      </c>
      <c r="Q20" s="114">
        <v>817</v>
      </c>
      <c r="R20" s="114">
        <v>817</v>
      </c>
      <c r="S20" s="114">
        <v>817</v>
      </c>
      <c r="T20" s="114">
        <v>817</v>
      </c>
      <c r="U20" s="114">
        <v>817</v>
      </c>
      <c r="V20" s="114">
        <v>817</v>
      </c>
      <c r="W20" s="114">
        <v>817</v>
      </c>
      <c r="X20" s="114">
        <v>817</v>
      </c>
      <c r="Y20" s="114">
        <v>816</v>
      </c>
      <c r="Z20" s="114">
        <v>816</v>
      </c>
      <c r="AA20" s="114">
        <v>816</v>
      </c>
      <c r="AB20" s="114">
        <v>816</v>
      </c>
      <c r="AC20" s="114">
        <v>934</v>
      </c>
      <c r="AD20" s="114">
        <v>934</v>
      </c>
      <c r="AE20" s="114">
        <v>934</v>
      </c>
      <c r="AF20" s="114">
        <v>934</v>
      </c>
      <c r="AG20" s="114">
        <v>933</v>
      </c>
      <c r="AH20" s="114">
        <v>933</v>
      </c>
      <c r="AI20" s="114">
        <v>933</v>
      </c>
      <c r="AJ20" s="114">
        <v>933</v>
      </c>
      <c r="AK20" s="114">
        <v>933</v>
      </c>
      <c r="AL20" s="114">
        <v>933</v>
      </c>
      <c r="AM20" s="114">
        <v>933</v>
      </c>
      <c r="AN20" s="114">
        <v>933</v>
      </c>
      <c r="AO20" s="114">
        <v>1050</v>
      </c>
      <c r="AP20" s="114">
        <v>1050</v>
      </c>
      <c r="AQ20" s="114">
        <v>1050</v>
      </c>
      <c r="AR20" s="114">
        <v>1050</v>
      </c>
      <c r="AS20" s="114">
        <v>1050</v>
      </c>
      <c r="AT20" s="114">
        <v>1050</v>
      </c>
      <c r="AU20" s="114">
        <v>1050</v>
      </c>
      <c r="AV20" s="114">
        <v>1050</v>
      </c>
      <c r="AW20" s="114">
        <v>1050</v>
      </c>
      <c r="AX20" s="114">
        <v>1050</v>
      </c>
      <c r="AY20" s="114">
        <v>1050</v>
      </c>
      <c r="AZ20" s="114">
        <v>1050</v>
      </c>
      <c r="BB20" s="150">
        <f>SUM(AO20:AZ20)</f>
        <v>12600</v>
      </c>
      <c r="BC20" s="151">
        <f>SUM('Raw - P&amp;L'!$AA$16:$AL$16)</f>
        <v>12600</v>
      </c>
      <c r="BD20" s="130">
        <f>ROUND(SQRT(SUMXMY2(Q20:AZ20,'Raw - P&amp;L'!$C$16:$AL$16)),6)</f>
        <v>0</v>
      </c>
      <c r="BE20" s="17" t="str">
        <f>IF(ABS(BD20)&lt;=1,"TIES OUT","CHECK")</f>
        <v>TIES OUT</v>
      </c>
      <c r="BG20" s="131" t="s">
        <v>534</v>
      </c>
    </row>
    <row r="21" spans="2:59" x14ac:dyDescent="0.25">
      <c r="B21" s="16" t="s">
        <v>1403</v>
      </c>
      <c r="C21" s="16" t="s">
        <v>1370</v>
      </c>
      <c r="D21" s="16" t="s">
        <v>1386</v>
      </c>
      <c r="E21" s="16" t="s">
        <v>1387</v>
      </c>
      <c r="F21" s="16" t="s">
        <v>11</v>
      </c>
      <c r="G21" s="16" t="s">
        <v>11</v>
      </c>
      <c r="I21" s="150">
        <f>SUMIFS($Q21:$AZ21,$Q$6:$AZ$6,"&gt;="&amp;I$87,$Q$6:$AZ$6,"&lt;="&amp;I$88)</f>
        <v>7900</v>
      </c>
      <c r="J21" s="150">
        <f>SUMIFS($Q21:$AZ21,$Q$6:$AZ$6,"&gt;="&amp;J$87,$Q$6:$AZ$6,"&lt;="&amp;J$88)</f>
        <v>8300</v>
      </c>
      <c r="K21" s="150">
        <f>SUMIFS($Q21:$AZ21,$Q$6:$AZ$6,"&gt;="&amp;K$87,$Q$6:$AZ$6,"&lt;="&amp;K$88)</f>
        <v>8800</v>
      </c>
      <c r="L21" s="150">
        <f>SUMIFS($Q21:$AZ21,$Q$6:$AZ$6,"&gt;="&amp;L$87,$Q$6:$AZ$6,"&lt;="&amp;L$88)</f>
        <v>8300</v>
      </c>
      <c r="M21" s="150">
        <f>SUMIFS($Q21:$AZ21,$Q$6:$AZ$6,"&gt;="&amp;M$87,$Q$6:$AZ$6,"&lt;="&amp;M$88)</f>
        <v>8800</v>
      </c>
      <c r="N21" s="150">
        <f>SUMIFS($Q21:$AZ21,$Q$6:$AZ$6,"&gt;="&amp;N$87,$Q$6:$AZ$6,"&lt;="&amp;N$88)</f>
        <v>8300</v>
      </c>
      <c r="O21" s="150">
        <f>SUMIFS($Q21:$AZ21,$Q$6:$AZ$6,"&gt;="&amp;O$87,$Q$6:$AZ$6,"&lt;="&amp;O$88)</f>
        <v>8800</v>
      </c>
      <c r="P21" s="150">
        <f>SUMIFS($Q21:$AZ21,$Q$6:$AZ$6,"&gt;="&amp;P$87,$Q$6:$AZ$6,"&lt;="&amp;P$88)</f>
        <v>8800</v>
      </c>
      <c r="Q21" s="114">
        <v>659</v>
      </c>
      <c r="R21" s="114">
        <v>659</v>
      </c>
      <c r="S21" s="114">
        <v>659</v>
      </c>
      <c r="T21" s="114">
        <v>659</v>
      </c>
      <c r="U21" s="114">
        <v>658</v>
      </c>
      <c r="V21" s="114">
        <v>658</v>
      </c>
      <c r="W21" s="114">
        <v>658</v>
      </c>
      <c r="X21" s="114">
        <v>658</v>
      </c>
      <c r="Y21" s="114">
        <v>658</v>
      </c>
      <c r="Z21" s="114">
        <v>658</v>
      </c>
      <c r="AA21" s="114">
        <v>658</v>
      </c>
      <c r="AB21" s="114">
        <v>658</v>
      </c>
      <c r="AC21" s="114">
        <v>692</v>
      </c>
      <c r="AD21" s="114">
        <v>692</v>
      </c>
      <c r="AE21" s="114">
        <v>692</v>
      </c>
      <c r="AF21" s="114">
        <v>692</v>
      </c>
      <c r="AG21" s="114">
        <v>692</v>
      </c>
      <c r="AH21" s="114">
        <v>692</v>
      </c>
      <c r="AI21" s="114">
        <v>692</v>
      </c>
      <c r="AJ21" s="114">
        <v>692</v>
      </c>
      <c r="AK21" s="114">
        <v>691</v>
      </c>
      <c r="AL21" s="114">
        <v>691</v>
      </c>
      <c r="AM21" s="114">
        <v>691</v>
      </c>
      <c r="AN21" s="114">
        <v>691</v>
      </c>
      <c r="AO21" s="114">
        <v>734</v>
      </c>
      <c r="AP21" s="114">
        <v>734</v>
      </c>
      <c r="AQ21" s="114">
        <v>734</v>
      </c>
      <c r="AR21" s="114">
        <v>734</v>
      </c>
      <c r="AS21" s="114">
        <v>733</v>
      </c>
      <c r="AT21" s="114">
        <v>733</v>
      </c>
      <c r="AU21" s="114">
        <v>733</v>
      </c>
      <c r="AV21" s="114">
        <v>733</v>
      </c>
      <c r="AW21" s="114">
        <v>733</v>
      </c>
      <c r="AX21" s="114">
        <v>733</v>
      </c>
      <c r="AY21" s="114">
        <v>733</v>
      </c>
      <c r="AZ21" s="114">
        <v>733</v>
      </c>
      <c r="BB21" s="150">
        <f>SUM(AO21:AZ21)</f>
        <v>8800</v>
      </c>
      <c r="BC21" s="151">
        <f>SUM('Raw - P&amp;L'!$AA$17:$AL$17)</f>
        <v>8800</v>
      </c>
      <c r="BD21" s="130">
        <f>ROUND(SQRT(SUMXMY2(Q21:AZ21,'Raw - P&amp;L'!$C$17:$AL$17)),6)</f>
        <v>0</v>
      </c>
      <c r="BE21" s="17" t="str">
        <f>IF(ABS(BD21)&lt;=1,"TIES OUT","CHECK")</f>
        <v>TIES OUT</v>
      </c>
      <c r="BG21" s="131" t="s">
        <v>534</v>
      </c>
    </row>
    <row r="22" spans="2:59" x14ac:dyDescent="0.25">
      <c r="B22" s="16" t="s">
        <v>1404</v>
      </c>
      <c r="C22" s="16" t="s">
        <v>1370</v>
      </c>
      <c r="D22" s="16" t="s">
        <v>1405</v>
      </c>
      <c r="E22" s="16" t="s">
        <v>1406</v>
      </c>
      <c r="F22" s="16" t="s">
        <v>11</v>
      </c>
      <c r="G22" s="16" t="s">
        <v>1407</v>
      </c>
      <c r="I22" s="150">
        <f>SUMIFS($Q22:$AZ22,$Q$6:$AZ$6,"&gt;="&amp;I$87,$Q$6:$AZ$6,"&lt;="&amp;I$88)</f>
        <v>180000</v>
      </c>
      <c r="J22" s="150">
        <f>SUMIFS($Q22:$AZ22,$Q$6:$AZ$6,"&gt;="&amp;J$87,$Q$6:$AZ$6,"&lt;="&amp;J$88)</f>
        <v>190000</v>
      </c>
      <c r="K22" s="150">
        <f>SUMIFS($Q22:$AZ22,$Q$6:$AZ$6,"&gt;="&amp;K$87,$Q$6:$AZ$6,"&lt;="&amp;K$88)</f>
        <v>200000</v>
      </c>
      <c r="L22" s="150">
        <f>SUMIFS($Q22:$AZ22,$Q$6:$AZ$6,"&gt;="&amp;L$87,$Q$6:$AZ$6,"&lt;="&amp;L$88)</f>
        <v>190000</v>
      </c>
      <c r="M22" s="150">
        <f>SUMIFS($Q22:$AZ22,$Q$6:$AZ$6,"&gt;="&amp;M$87,$Q$6:$AZ$6,"&lt;="&amp;M$88)</f>
        <v>200000</v>
      </c>
      <c r="N22" s="150">
        <f>SUMIFS($Q22:$AZ22,$Q$6:$AZ$6,"&gt;="&amp;N$87,$Q$6:$AZ$6,"&lt;="&amp;N$88)</f>
        <v>190000</v>
      </c>
      <c r="O22" s="150">
        <f>SUMIFS($Q22:$AZ22,$Q$6:$AZ$6,"&gt;="&amp;O$87,$Q$6:$AZ$6,"&lt;="&amp;O$88)</f>
        <v>200000</v>
      </c>
      <c r="P22" s="150">
        <f>SUMIFS($Q22:$AZ22,$Q$6:$AZ$6,"&gt;="&amp;P$87,$Q$6:$AZ$6,"&lt;="&amp;P$88)</f>
        <v>200000</v>
      </c>
      <c r="Q22" s="114">
        <v>15000</v>
      </c>
      <c r="R22" s="114">
        <v>15000</v>
      </c>
      <c r="S22" s="114">
        <v>15000</v>
      </c>
      <c r="T22" s="114">
        <v>15000</v>
      </c>
      <c r="U22" s="114">
        <v>15000</v>
      </c>
      <c r="V22" s="114">
        <v>15000</v>
      </c>
      <c r="W22" s="114">
        <v>15000</v>
      </c>
      <c r="X22" s="114">
        <v>15000</v>
      </c>
      <c r="Y22" s="114">
        <v>15000</v>
      </c>
      <c r="Z22" s="114">
        <v>15000</v>
      </c>
      <c r="AA22" s="114">
        <v>15000</v>
      </c>
      <c r="AB22" s="114">
        <v>15000</v>
      </c>
      <c r="AC22" s="114">
        <v>15834</v>
      </c>
      <c r="AD22" s="114">
        <v>15834</v>
      </c>
      <c r="AE22" s="114">
        <v>15834</v>
      </c>
      <c r="AF22" s="114">
        <v>15834</v>
      </c>
      <c r="AG22" s="114">
        <v>15833</v>
      </c>
      <c r="AH22" s="114">
        <v>15833</v>
      </c>
      <c r="AI22" s="114">
        <v>15833</v>
      </c>
      <c r="AJ22" s="114">
        <v>15833</v>
      </c>
      <c r="AK22" s="114">
        <v>15833</v>
      </c>
      <c r="AL22" s="114">
        <v>15833</v>
      </c>
      <c r="AM22" s="114">
        <v>15833</v>
      </c>
      <c r="AN22" s="114">
        <v>15833</v>
      </c>
      <c r="AO22" s="114">
        <v>16667</v>
      </c>
      <c r="AP22" s="114">
        <v>16667</v>
      </c>
      <c r="AQ22" s="114">
        <v>16667</v>
      </c>
      <c r="AR22" s="114">
        <v>16667</v>
      </c>
      <c r="AS22" s="114">
        <v>16667</v>
      </c>
      <c r="AT22" s="114">
        <v>16667</v>
      </c>
      <c r="AU22" s="114">
        <v>16667</v>
      </c>
      <c r="AV22" s="114">
        <v>16667</v>
      </c>
      <c r="AW22" s="114">
        <v>16666</v>
      </c>
      <c r="AX22" s="114">
        <v>16666</v>
      </c>
      <c r="AY22" s="114">
        <v>16666</v>
      </c>
      <c r="AZ22" s="114">
        <v>16666</v>
      </c>
      <c r="BB22" s="150">
        <f>SUM(AO22:AZ22)</f>
        <v>200000</v>
      </c>
      <c r="BC22" s="151">
        <f>SUM('Raw - P&amp;L'!$AA$18:$AL$18)</f>
        <v>200000</v>
      </c>
      <c r="BD22" s="130">
        <f>ROUND(SQRT(SUMXMY2(Q22:AZ22,'Raw - P&amp;L'!$C$18:$AL$18)),6)</f>
        <v>0</v>
      </c>
      <c r="BE22" s="17" t="str">
        <f>IF(ABS(BD22)&lt;=1,"TIES OUT","CHECK")</f>
        <v>TIES OUT</v>
      </c>
      <c r="BG22" s="131" t="s">
        <v>534</v>
      </c>
    </row>
    <row r="23" spans="2:59" x14ac:dyDescent="0.25">
      <c r="B23" s="16" t="s">
        <v>1408</v>
      </c>
      <c r="C23" s="16" t="s">
        <v>1370</v>
      </c>
      <c r="D23" s="16" t="s">
        <v>1409</v>
      </c>
      <c r="E23" s="16" t="s">
        <v>1410</v>
      </c>
      <c r="F23" s="16" t="s">
        <v>11</v>
      </c>
      <c r="G23" s="16" t="s">
        <v>11</v>
      </c>
      <c r="I23" s="150">
        <f>SUMIFS($Q23:$AZ23,$Q$6:$AZ$6,"&gt;="&amp;I$87,$Q$6:$AZ$6,"&lt;="&amp;I$88)</f>
        <v>512400</v>
      </c>
      <c r="J23" s="150">
        <f>SUMIFS($Q23:$AZ23,$Q$6:$AZ$6,"&gt;="&amp;J$87,$Q$6:$AZ$6,"&lt;="&amp;J$88)</f>
        <v>581300</v>
      </c>
      <c r="K23" s="150">
        <f>SUMIFS($Q23:$AZ23,$Q$6:$AZ$6,"&gt;="&amp;K$87,$Q$6:$AZ$6,"&lt;="&amp;K$88)</f>
        <v>648900</v>
      </c>
      <c r="L23" s="150">
        <f>SUMIFS($Q23:$AZ23,$Q$6:$AZ$6,"&gt;="&amp;L$87,$Q$6:$AZ$6,"&lt;="&amp;L$88)</f>
        <v>581300</v>
      </c>
      <c r="M23" s="150">
        <f>SUMIFS($Q23:$AZ23,$Q$6:$AZ$6,"&gt;="&amp;M$87,$Q$6:$AZ$6,"&lt;="&amp;M$88)</f>
        <v>648900</v>
      </c>
      <c r="N23" s="150">
        <f>SUMIFS($Q23:$AZ23,$Q$6:$AZ$6,"&gt;="&amp;N$87,$Q$6:$AZ$6,"&lt;="&amp;N$88)</f>
        <v>581300</v>
      </c>
      <c r="O23" s="150">
        <f>SUMIFS($Q23:$AZ23,$Q$6:$AZ$6,"&gt;="&amp;O$87,$Q$6:$AZ$6,"&lt;="&amp;O$88)</f>
        <v>648900</v>
      </c>
      <c r="P23" s="150">
        <f>SUMIFS($Q23:$AZ23,$Q$6:$AZ$6,"&gt;="&amp;P$87,$Q$6:$AZ$6,"&lt;="&amp;P$88)</f>
        <v>648900</v>
      </c>
      <c r="Q23" s="114">
        <v>39284</v>
      </c>
      <c r="R23" s="114">
        <v>38430</v>
      </c>
      <c r="S23" s="114">
        <v>40565</v>
      </c>
      <c r="T23" s="114">
        <v>41846</v>
      </c>
      <c r="U23" s="114">
        <v>43554</v>
      </c>
      <c r="V23" s="114">
        <v>46970</v>
      </c>
      <c r="W23" s="114">
        <v>49105</v>
      </c>
      <c r="X23" s="114">
        <v>46970</v>
      </c>
      <c r="Y23" s="114">
        <v>43554</v>
      </c>
      <c r="Z23" s="114">
        <v>40992</v>
      </c>
      <c r="AA23" s="114">
        <v>40138</v>
      </c>
      <c r="AB23" s="114">
        <v>40992</v>
      </c>
      <c r="AC23" s="114">
        <v>44566</v>
      </c>
      <c r="AD23" s="114">
        <v>43598</v>
      </c>
      <c r="AE23" s="114">
        <v>46020</v>
      </c>
      <c r="AF23" s="114">
        <v>47473</v>
      </c>
      <c r="AG23" s="114">
        <v>49410</v>
      </c>
      <c r="AH23" s="114">
        <v>53286</v>
      </c>
      <c r="AI23" s="114">
        <v>55708</v>
      </c>
      <c r="AJ23" s="114">
        <v>53286</v>
      </c>
      <c r="AK23" s="114">
        <v>49410</v>
      </c>
      <c r="AL23" s="114">
        <v>46504</v>
      </c>
      <c r="AM23" s="114">
        <v>45535</v>
      </c>
      <c r="AN23" s="114">
        <v>46504</v>
      </c>
      <c r="AO23" s="114">
        <v>49749</v>
      </c>
      <c r="AP23" s="114">
        <v>48668</v>
      </c>
      <c r="AQ23" s="114">
        <v>51371</v>
      </c>
      <c r="AR23" s="114">
        <v>52994</v>
      </c>
      <c r="AS23" s="114">
        <v>55157</v>
      </c>
      <c r="AT23" s="114">
        <v>59483</v>
      </c>
      <c r="AU23" s="114">
        <v>62186</v>
      </c>
      <c r="AV23" s="114">
        <v>59482</v>
      </c>
      <c r="AW23" s="114">
        <v>55156</v>
      </c>
      <c r="AX23" s="114">
        <v>51912</v>
      </c>
      <c r="AY23" s="114">
        <v>50830</v>
      </c>
      <c r="AZ23" s="114">
        <v>51912</v>
      </c>
      <c r="BB23" s="150">
        <f>SUM(AO23:AZ23)</f>
        <v>648900</v>
      </c>
      <c r="BC23" s="151">
        <f>SUM('Raw - P&amp;L'!$AA$19:$AL$19)</f>
        <v>648900</v>
      </c>
      <c r="BD23" s="130">
        <f>ROUND(SQRT(SUMXMY2(Q23:AZ23,'Raw - P&amp;L'!$C$19:$AL$19)),6)</f>
        <v>0</v>
      </c>
      <c r="BE23" s="17" t="str">
        <f>IF(ABS(BD23)&lt;=1,"TIES OUT","CHECK")</f>
        <v>TIES OUT</v>
      </c>
      <c r="BG23" s="131" t="s">
        <v>534</v>
      </c>
    </row>
    <row r="24" spans="2:59" x14ac:dyDescent="0.25">
      <c r="B24" s="16" t="s">
        <v>1411</v>
      </c>
      <c r="C24" s="16" t="s">
        <v>1370</v>
      </c>
      <c r="D24" s="16" t="s">
        <v>1409</v>
      </c>
      <c r="E24" s="16" t="s">
        <v>1410</v>
      </c>
      <c r="F24" s="16" t="s">
        <v>11</v>
      </c>
      <c r="G24" s="16" t="s">
        <v>11</v>
      </c>
      <c r="I24" s="150">
        <f>SUMIFS($Q24:$AZ24,$Q$6:$AZ$6,"&gt;="&amp;I$87,$Q$6:$AZ$6,"&lt;="&amp;I$88)</f>
        <v>118200</v>
      </c>
      <c r="J24" s="150">
        <f>SUMIFS($Q24:$AZ24,$Q$6:$AZ$6,"&gt;="&amp;J$87,$Q$6:$AZ$6,"&lt;="&amp;J$88)</f>
        <v>124600</v>
      </c>
      <c r="K24" s="150">
        <f>SUMIFS($Q24:$AZ24,$Q$6:$AZ$6,"&gt;="&amp;K$87,$Q$6:$AZ$6,"&lt;="&amp;K$88)</f>
        <v>131400</v>
      </c>
      <c r="L24" s="150">
        <f>SUMIFS($Q24:$AZ24,$Q$6:$AZ$6,"&gt;="&amp;L$87,$Q$6:$AZ$6,"&lt;="&amp;L$88)</f>
        <v>124600</v>
      </c>
      <c r="M24" s="150">
        <f>SUMIFS($Q24:$AZ24,$Q$6:$AZ$6,"&gt;="&amp;M$87,$Q$6:$AZ$6,"&lt;="&amp;M$88)</f>
        <v>131400</v>
      </c>
      <c r="N24" s="150">
        <f>SUMIFS($Q24:$AZ24,$Q$6:$AZ$6,"&gt;="&amp;N$87,$Q$6:$AZ$6,"&lt;="&amp;N$88)</f>
        <v>124600</v>
      </c>
      <c r="O24" s="150">
        <f>SUMIFS($Q24:$AZ24,$Q$6:$AZ$6,"&gt;="&amp;O$87,$Q$6:$AZ$6,"&lt;="&amp;O$88)</f>
        <v>131400</v>
      </c>
      <c r="P24" s="150">
        <f>SUMIFS($Q24:$AZ24,$Q$6:$AZ$6,"&gt;="&amp;P$87,$Q$6:$AZ$6,"&lt;="&amp;P$88)</f>
        <v>131400</v>
      </c>
      <c r="Q24" s="114">
        <v>9850</v>
      </c>
      <c r="R24" s="114">
        <v>9850</v>
      </c>
      <c r="S24" s="114">
        <v>9850</v>
      </c>
      <c r="T24" s="114">
        <v>9850</v>
      </c>
      <c r="U24" s="114">
        <v>9850</v>
      </c>
      <c r="V24" s="114">
        <v>9850</v>
      </c>
      <c r="W24" s="114">
        <v>9850</v>
      </c>
      <c r="X24" s="114">
        <v>9850</v>
      </c>
      <c r="Y24" s="114">
        <v>9850</v>
      </c>
      <c r="Z24" s="114">
        <v>9850</v>
      </c>
      <c r="AA24" s="114">
        <v>9850</v>
      </c>
      <c r="AB24" s="114">
        <v>9850</v>
      </c>
      <c r="AC24" s="114">
        <v>10384</v>
      </c>
      <c r="AD24" s="114">
        <v>10384</v>
      </c>
      <c r="AE24" s="114">
        <v>10384</v>
      </c>
      <c r="AF24" s="114">
        <v>10384</v>
      </c>
      <c r="AG24" s="114">
        <v>10383</v>
      </c>
      <c r="AH24" s="114">
        <v>10383</v>
      </c>
      <c r="AI24" s="114">
        <v>10383</v>
      </c>
      <c r="AJ24" s="114">
        <v>10383</v>
      </c>
      <c r="AK24" s="114">
        <v>10383</v>
      </c>
      <c r="AL24" s="114">
        <v>10383</v>
      </c>
      <c r="AM24" s="114">
        <v>10383</v>
      </c>
      <c r="AN24" s="114">
        <v>10383</v>
      </c>
      <c r="AO24" s="114">
        <v>10950</v>
      </c>
      <c r="AP24" s="114">
        <v>10950</v>
      </c>
      <c r="AQ24" s="114">
        <v>10950</v>
      </c>
      <c r="AR24" s="114">
        <v>10950</v>
      </c>
      <c r="AS24" s="114">
        <v>10950</v>
      </c>
      <c r="AT24" s="114">
        <v>10950</v>
      </c>
      <c r="AU24" s="114">
        <v>10950</v>
      </c>
      <c r="AV24" s="114">
        <v>10950</v>
      </c>
      <c r="AW24" s="114">
        <v>10950</v>
      </c>
      <c r="AX24" s="114">
        <v>10950</v>
      </c>
      <c r="AY24" s="114">
        <v>10950</v>
      </c>
      <c r="AZ24" s="114">
        <v>10950</v>
      </c>
      <c r="BB24" s="150">
        <f>SUM(AO24:AZ24)</f>
        <v>131400</v>
      </c>
      <c r="BC24" s="151">
        <f>SUM('Raw - P&amp;L'!$AA$20:$AL$20)</f>
        <v>131400</v>
      </c>
      <c r="BD24" s="130">
        <f>ROUND(SQRT(SUMXMY2(Q24:AZ24,'Raw - P&amp;L'!$C$20:$AL$20)),6)</f>
        <v>0</v>
      </c>
      <c r="BE24" s="17" t="str">
        <f>IF(ABS(BD24)&lt;=1,"TIES OUT","CHECK")</f>
        <v>TIES OUT</v>
      </c>
      <c r="BG24" s="131" t="s">
        <v>534</v>
      </c>
    </row>
    <row r="25" spans="2:59" x14ac:dyDescent="0.25">
      <c r="B25" s="16" t="s">
        <v>1412</v>
      </c>
      <c r="C25" s="16" t="s">
        <v>1370</v>
      </c>
      <c r="D25" s="16" t="s">
        <v>1409</v>
      </c>
      <c r="E25" s="16" t="s">
        <v>1410</v>
      </c>
      <c r="F25" s="16" t="s">
        <v>11</v>
      </c>
      <c r="G25" s="16" t="s">
        <v>11</v>
      </c>
      <c r="I25" s="150">
        <f>SUMIFS($Q25:$AZ25,$Q$6:$AZ$6,"&gt;="&amp;I$87,$Q$6:$AZ$6,"&lt;="&amp;I$88)</f>
        <v>58700</v>
      </c>
      <c r="J25" s="150">
        <f>SUMIFS($Q25:$AZ25,$Q$6:$AZ$6,"&gt;="&amp;J$87,$Q$6:$AZ$6,"&lt;="&amp;J$88)</f>
        <v>65400</v>
      </c>
      <c r="K25" s="150">
        <f>SUMIFS($Q25:$AZ25,$Q$6:$AZ$6,"&gt;="&amp;K$87,$Q$6:$AZ$6,"&lt;="&amp;K$88)</f>
        <v>72300</v>
      </c>
      <c r="L25" s="150">
        <f>SUMIFS($Q25:$AZ25,$Q$6:$AZ$6,"&gt;="&amp;L$87,$Q$6:$AZ$6,"&lt;="&amp;L$88)</f>
        <v>65400</v>
      </c>
      <c r="M25" s="150">
        <f>SUMIFS($Q25:$AZ25,$Q$6:$AZ$6,"&gt;="&amp;M$87,$Q$6:$AZ$6,"&lt;="&amp;M$88)</f>
        <v>72300</v>
      </c>
      <c r="N25" s="150">
        <f>SUMIFS($Q25:$AZ25,$Q$6:$AZ$6,"&gt;="&amp;N$87,$Q$6:$AZ$6,"&lt;="&amp;N$88)</f>
        <v>65400</v>
      </c>
      <c r="O25" s="150">
        <f>SUMIFS($Q25:$AZ25,$Q$6:$AZ$6,"&gt;="&amp;O$87,$Q$6:$AZ$6,"&lt;="&amp;O$88)</f>
        <v>72300</v>
      </c>
      <c r="P25" s="150">
        <f>SUMIFS($Q25:$AZ25,$Q$6:$AZ$6,"&gt;="&amp;P$87,$Q$6:$AZ$6,"&lt;="&amp;P$88)</f>
        <v>72300</v>
      </c>
      <c r="Q25" s="114">
        <v>4500</v>
      </c>
      <c r="R25" s="114">
        <v>4402</v>
      </c>
      <c r="S25" s="114">
        <v>4647</v>
      </c>
      <c r="T25" s="114">
        <v>4794</v>
      </c>
      <c r="U25" s="114">
        <v>4990</v>
      </c>
      <c r="V25" s="114">
        <v>5381</v>
      </c>
      <c r="W25" s="114">
        <v>5625</v>
      </c>
      <c r="X25" s="114">
        <v>5381</v>
      </c>
      <c r="Y25" s="114">
        <v>4990</v>
      </c>
      <c r="Z25" s="114">
        <v>4696</v>
      </c>
      <c r="AA25" s="114">
        <v>4598</v>
      </c>
      <c r="AB25" s="114">
        <v>4696</v>
      </c>
      <c r="AC25" s="114">
        <v>5014</v>
      </c>
      <c r="AD25" s="114">
        <v>4905</v>
      </c>
      <c r="AE25" s="114">
        <v>5178</v>
      </c>
      <c r="AF25" s="114">
        <v>5341</v>
      </c>
      <c r="AG25" s="114">
        <v>5559</v>
      </c>
      <c r="AH25" s="114">
        <v>5995</v>
      </c>
      <c r="AI25" s="114">
        <v>6267</v>
      </c>
      <c r="AJ25" s="114">
        <v>5995</v>
      </c>
      <c r="AK25" s="114">
        <v>5559</v>
      </c>
      <c r="AL25" s="114">
        <v>5232</v>
      </c>
      <c r="AM25" s="114">
        <v>5123</v>
      </c>
      <c r="AN25" s="114">
        <v>5232</v>
      </c>
      <c r="AO25" s="114">
        <v>5543</v>
      </c>
      <c r="AP25" s="114">
        <v>5423</v>
      </c>
      <c r="AQ25" s="114">
        <v>5724</v>
      </c>
      <c r="AR25" s="114">
        <v>5905</v>
      </c>
      <c r="AS25" s="114">
        <v>6146</v>
      </c>
      <c r="AT25" s="114">
        <v>6627</v>
      </c>
      <c r="AU25" s="114">
        <v>6929</v>
      </c>
      <c r="AV25" s="114">
        <v>6627</v>
      </c>
      <c r="AW25" s="114">
        <v>6145</v>
      </c>
      <c r="AX25" s="114">
        <v>5784</v>
      </c>
      <c r="AY25" s="114">
        <v>5663</v>
      </c>
      <c r="AZ25" s="114">
        <v>5784</v>
      </c>
      <c r="BB25" s="150">
        <f>SUM(AO25:AZ25)</f>
        <v>72300</v>
      </c>
      <c r="BC25" s="151">
        <f>SUM('Raw - P&amp;L'!$AA$21:$AL$21)</f>
        <v>72300</v>
      </c>
      <c r="BD25" s="130">
        <f>ROUND(SQRT(SUMXMY2(Q25:AZ25,'Raw - P&amp;L'!$C$21:$AL$21)),6)</f>
        <v>0</v>
      </c>
      <c r="BE25" s="17" t="str">
        <f>IF(ABS(BD25)&lt;=1,"TIES OUT","CHECK")</f>
        <v>TIES OUT</v>
      </c>
      <c r="BG25" s="131" t="s">
        <v>534</v>
      </c>
    </row>
    <row r="26" spans="2:59" x14ac:dyDescent="0.25">
      <c r="B26" s="16" t="s">
        <v>1413</v>
      </c>
      <c r="C26" s="16" t="s">
        <v>1370</v>
      </c>
      <c r="D26" s="16" t="s">
        <v>1409</v>
      </c>
      <c r="E26" s="16" t="s">
        <v>1410</v>
      </c>
      <c r="F26" s="16" t="s">
        <v>11</v>
      </c>
      <c r="G26" s="16" t="s">
        <v>11</v>
      </c>
      <c r="I26" s="150">
        <f>SUMIFS($Q26:$AZ26,$Q$6:$AZ$6,"&gt;="&amp;I$87,$Q$6:$AZ$6,"&lt;="&amp;I$88)</f>
        <v>41300</v>
      </c>
      <c r="J26" s="150">
        <f>SUMIFS($Q26:$AZ26,$Q$6:$AZ$6,"&gt;="&amp;J$87,$Q$6:$AZ$6,"&lt;="&amp;J$88)</f>
        <v>46800</v>
      </c>
      <c r="K26" s="150">
        <f>SUMIFS($Q26:$AZ26,$Q$6:$AZ$6,"&gt;="&amp;K$87,$Q$6:$AZ$6,"&lt;="&amp;K$88)</f>
        <v>52100</v>
      </c>
      <c r="L26" s="150">
        <f>SUMIFS($Q26:$AZ26,$Q$6:$AZ$6,"&gt;="&amp;L$87,$Q$6:$AZ$6,"&lt;="&amp;L$88)</f>
        <v>46800</v>
      </c>
      <c r="M26" s="150">
        <f>SUMIFS($Q26:$AZ26,$Q$6:$AZ$6,"&gt;="&amp;M$87,$Q$6:$AZ$6,"&lt;="&amp;M$88)</f>
        <v>52100</v>
      </c>
      <c r="N26" s="150">
        <f>SUMIFS($Q26:$AZ26,$Q$6:$AZ$6,"&gt;="&amp;N$87,$Q$6:$AZ$6,"&lt;="&amp;N$88)</f>
        <v>46800</v>
      </c>
      <c r="O26" s="150">
        <f>SUMIFS($Q26:$AZ26,$Q$6:$AZ$6,"&gt;="&amp;O$87,$Q$6:$AZ$6,"&lt;="&amp;O$88)</f>
        <v>52100</v>
      </c>
      <c r="P26" s="150">
        <f>SUMIFS($Q26:$AZ26,$Q$6:$AZ$6,"&gt;="&amp;P$87,$Q$6:$AZ$6,"&lt;="&amp;P$88)</f>
        <v>52100</v>
      </c>
      <c r="Q26" s="114">
        <v>3442</v>
      </c>
      <c r="R26" s="114">
        <v>3442</v>
      </c>
      <c r="S26" s="114">
        <v>3442</v>
      </c>
      <c r="T26" s="114">
        <v>3442</v>
      </c>
      <c r="U26" s="114">
        <v>3442</v>
      </c>
      <c r="V26" s="114">
        <v>3442</v>
      </c>
      <c r="W26" s="114">
        <v>3442</v>
      </c>
      <c r="X26" s="114">
        <v>3442</v>
      </c>
      <c r="Y26" s="114">
        <v>3441</v>
      </c>
      <c r="Z26" s="114">
        <v>3441</v>
      </c>
      <c r="AA26" s="114">
        <v>3441</v>
      </c>
      <c r="AB26" s="114">
        <v>3441</v>
      </c>
      <c r="AC26" s="114">
        <v>3900</v>
      </c>
      <c r="AD26" s="114">
        <v>3900</v>
      </c>
      <c r="AE26" s="114">
        <v>3900</v>
      </c>
      <c r="AF26" s="114">
        <v>3900</v>
      </c>
      <c r="AG26" s="114">
        <v>3900</v>
      </c>
      <c r="AH26" s="114">
        <v>3900</v>
      </c>
      <c r="AI26" s="114">
        <v>3900</v>
      </c>
      <c r="AJ26" s="114">
        <v>3900</v>
      </c>
      <c r="AK26" s="114">
        <v>3900</v>
      </c>
      <c r="AL26" s="114">
        <v>3900</v>
      </c>
      <c r="AM26" s="114">
        <v>3900</v>
      </c>
      <c r="AN26" s="114">
        <v>3900</v>
      </c>
      <c r="AO26" s="114">
        <v>4342</v>
      </c>
      <c r="AP26" s="114">
        <v>4342</v>
      </c>
      <c r="AQ26" s="114">
        <v>4342</v>
      </c>
      <c r="AR26" s="114">
        <v>4342</v>
      </c>
      <c r="AS26" s="114">
        <v>4342</v>
      </c>
      <c r="AT26" s="114">
        <v>4342</v>
      </c>
      <c r="AU26" s="114">
        <v>4342</v>
      </c>
      <c r="AV26" s="114">
        <v>4342</v>
      </c>
      <c r="AW26" s="114">
        <v>4341</v>
      </c>
      <c r="AX26" s="114">
        <v>4341</v>
      </c>
      <c r="AY26" s="114">
        <v>4341</v>
      </c>
      <c r="AZ26" s="114">
        <v>4341</v>
      </c>
      <c r="BB26" s="150">
        <f>SUM(AO26:AZ26)</f>
        <v>52100</v>
      </c>
      <c r="BC26" s="151">
        <f>SUM('Raw - P&amp;L'!$AA$22:$AL$22)</f>
        <v>52100</v>
      </c>
      <c r="BD26" s="130">
        <f>ROUND(SQRT(SUMXMY2(Q26:AZ26,'Raw - P&amp;L'!$C$22:$AL$22)),6)</f>
        <v>0</v>
      </c>
      <c r="BE26" s="17" t="str">
        <f>IF(ABS(BD26)&lt;=1,"TIES OUT","CHECK")</f>
        <v>TIES OUT</v>
      </c>
      <c r="BG26" s="131" t="s">
        <v>534</v>
      </c>
    </row>
    <row r="27" spans="2:59" x14ac:dyDescent="0.25">
      <c r="B27" s="16" t="s">
        <v>1414</v>
      </c>
      <c r="C27" s="16" t="s">
        <v>1370</v>
      </c>
      <c r="D27" s="16" t="s">
        <v>1415</v>
      </c>
      <c r="E27" s="16" t="s">
        <v>1416</v>
      </c>
      <c r="F27" s="16" t="s">
        <v>11</v>
      </c>
      <c r="G27" s="16" t="s">
        <v>11</v>
      </c>
      <c r="I27" s="150">
        <f>SUMIFS($Q27:$AZ27,$Q$6:$AZ$6,"&gt;="&amp;I$87,$Q$6:$AZ$6,"&lt;="&amp;I$88)</f>
        <v>72000</v>
      </c>
      <c r="J27" s="150">
        <f>SUMIFS($Q27:$AZ27,$Q$6:$AZ$6,"&gt;="&amp;J$87,$Q$6:$AZ$6,"&lt;="&amp;J$88)</f>
        <v>74160</v>
      </c>
      <c r="K27" s="150">
        <f>SUMIFS($Q27:$AZ27,$Q$6:$AZ$6,"&gt;="&amp;K$87,$Q$6:$AZ$6,"&lt;="&amp;K$88)</f>
        <v>76385</v>
      </c>
      <c r="L27" s="150">
        <f>SUMIFS($Q27:$AZ27,$Q$6:$AZ$6,"&gt;="&amp;L$87,$Q$6:$AZ$6,"&lt;="&amp;L$88)</f>
        <v>74160</v>
      </c>
      <c r="M27" s="150">
        <f>SUMIFS($Q27:$AZ27,$Q$6:$AZ$6,"&gt;="&amp;M$87,$Q$6:$AZ$6,"&lt;="&amp;M$88)</f>
        <v>76385</v>
      </c>
      <c r="N27" s="150">
        <f>SUMIFS($Q27:$AZ27,$Q$6:$AZ$6,"&gt;="&amp;N$87,$Q$6:$AZ$6,"&lt;="&amp;N$88)</f>
        <v>74160</v>
      </c>
      <c r="O27" s="150">
        <f>SUMIFS($Q27:$AZ27,$Q$6:$AZ$6,"&gt;="&amp;O$87,$Q$6:$AZ$6,"&lt;="&amp;O$88)</f>
        <v>76385</v>
      </c>
      <c r="P27" s="150">
        <f>SUMIFS($Q27:$AZ27,$Q$6:$AZ$6,"&gt;="&amp;P$87,$Q$6:$AZ$6,"&lt;="&amp;P$88)</f>
        <v>76385</v>
      </c>
      <c r="Q27" s="114">
        <v>6000</v>
      </c>
      <c r="R27" s="114">
        <v>6000</v>
      </c>
      <c r="S27" s="114">
        <v>6000</v>
      </c>
      <c r="T27" s="114">
        <v>6000</v>
      </c>
      <c r="U27" s="114">
        <v>6000</v>
      </c>
      <c r="V27" s="114">
        <v>6000</v>
      </c>
      <c r="W27" s="114">
        <v>6000</v>
      </c>
      <c r="X27" s="114">
        <v>6000</v>
      </c>
      <c r="Y27" s="114">
        <v>6000</v>
      </c>
      <c r="Z27" s="114">
        <v>6000</v>
      </c>
      <c r="AA27" s="114">
        <v>6000</v>
      </c>
      <c r="AB27" s="114">
        <v>6000</v>
      </c>
      <c r="AC27" s="114">
        <v>6180</v>
      </c>
      <c r="AD27" s="114">
        <v>6180</v>
      </c>
      <c r="AE27" s="114">
        <v>6180</v>
      </c>
      <c r="AF27" s="114">
        <v>6180</v>
      </c>
      <c r="AG27" s="114">
        <v>6180</v>
      </c>
      <c r="AH27" s="114">
        <v>6180</v>
      </c>
      <c r="AI27" s="114">
        <v>6180</v>
      </c>
      <c r="AJ27" s="114">
        <v>6180</v>
      </c>
      <c r="AK27" s="114">
        <v>6180</v>
      </c>
      <c r="AL27" s="114">
        <v>6180</v>
      </c>
      <c r="AM27" s="114">
        <v>6180</v>
      </c>
      <c r="AN27" s="114">
        <v>6180</v>
      </c>
      <c r="AO27" s="114">
        <v>6366</v>
      </c>
      <c r="AP27" s="114">
        <v>6366</v>
      </c>
      <c r="AQ27" s="114">
        <v>6366</v>
      </c>
      <c r="AR27" s="114">
        <v>6366</v>
      </c>
      <c r="AS27" s="114">
        <v>6366</v>
      </c>
      <c r="AT27" s="114">
        <v>6365</v>
      </c>
      <c r="AU27" s="114">
        <v>6365</v>
      </c>
      <c r="AV27" s="114">
        <v>6365</v>
      </c>
      <c r="AW27" s="114">
        <v>6365</v>
      </c>
      <c r="AX27" s="114">
        <v>6365</v>
      </c>
      <c r="AY27" s="114">
        <v>6365</v>
      </c>
      <c r="AZ27" s="114">
        <v>6365</v>
      </c>
      <c r="BB27" s="150">
        <f>SUM(AO27:AZ27)</f>
        <v>76385</v>
      </c>
      <c r="BC27" s="151">
        <f>SUM('Raw - P&amp;L'!$AA$23:$AL$23)</f>
        <v>76385</v>
      </c>
      <c r="BD27" s="130">
        <f>ROUND(SQRT(SUMXMY2(Q27:AZ27,'Raw - P&amp;L'!$C$23:$AL$23)),6)</f>
        <v>0</v>
      </c>
      <c r="BE27" s="17" t="str">
        <f>IF(ABS(BD27)&lt;=1,"TIES OUT","CHECK")</f>
        <v>TIES OUT</v>
      </c>
      <c r="BG27" s="131" t="s">
        <v>534</v>
      </c>
    </row>
    <row r="28" spans="2:59" x14ac:dyDescent="0.25">
      <c r="B28" s="16" t="s">
        <v>1417</v>
      </c>
      <c r="C28" s="16" t="s">
        <v>1370</v>
      </c>
      <c r="D28" s="16" t="s">
        <v>1386</v>
      </c>
      <c r="E28" s="16" t="s">
        <v>1387</v>
      </c>
      <c r="F28" s="16" t="s">
        <v>11</v>
      </c>
      <c r="G28" s="16" t="s">
        <v>11</v>
      </c>
      <c r="I28" s="150">
        <f>SUMIFS($Q28:$AZ28,$Q$6:$AZ$6,"&gt;="&amp;I$87,$Q$6:$AZ$6,"&lt;="&amp;I$88)</f>
        <v>12300</v>
      </c>
      <c r="J28" s="150">
        <f>SUMIFS($Q28:$AZ28,$Q$6:$AZ$6,"&gt;="&amp;J$87,$Q$6:$AZ$6,"&lt;="&amp;J$88)</f>
        <v>13100</v>
      </c>
      <c r="K28" s="150">
        <f>SUMIFS($Q28:$AZ28,$Q$6:$AZ$6,"&gt;="&amp;K$87,$Q$6:$AZ$6,"&lt;="&amp;K$88)</f>
        <v>14400</v>
      </c>
      <c r="L28" s="150">
        <f>SUMIFS($Q28:$AZ28,$Q$6:$AZ$6,"&gt;="&amp;L$87,$Q$6:$AZ$6,"&lt;="&amp;L$88)</f>
        <v>13100</v>
      </c>
      <c r="M28" s="150">
        <f>SUMIFS($Q28:$AZ28,$Q$6:$AZ$6,"&gt;="&amp;M$87,$Q$6:$AZ$6,"&lt;="&amp;M$88)</f>
        <v>14400</v>
      </c>
      <c r="N28" s="150">
        <f>SUMIFS($Q28:$AZ28,$Q$6:$AZ$6,"&gt;="&amp;N$87,$Q$6:$AZ$6,"&lt;="&amp;N$88)</f>
        <v>13100</v>
      </c>
      <c r="O28" s="150">
        <f>SUMIFS($Q28:$AZ28,$Q$6:$AZ$6,"&gt;="&amp;O$87,$Q$6:$AZ$6,"&lt;="&amp;O$88)</f>
        <v>14400</v>
      </c>
      <c r="P28" s="150">
        <f>SUMIFS($Q28:$AZ28,$Q$6:$AZ$6,"&gt;="&amp;P$87,$Q$6:$AZ$6,"&lt;="&amp;P$88)</f>
        <v>14400</v>
      </c>
      <c r="Q28" s="114">
        <v>1128</v>
      </c>
      <c r="R28" s="114">
        <v>923</v>
      </c>
      <c r="S28" s="114">
        <v>1025</v>
      </c>
      <c r="T28" s="114">
        <v>1230</v>
      </c>
      <c r="U28" s="114">
        <v>922</v>
      </c>
      <c r="V28" s="114">
        <v>1025</v>
      </c>
      <c r="W28" s="114">
        <v>1128</v>
      </c>
      <c r="X28" s="114">
        <v>922</v>
      </c>
      <c r="Y28" s="114">
        <v>1025</v>
      </c>
      <c r="Z28" s="114">
        <v>1128</v>
      </c>
      <c r="AA28" s="114">
        <v>922</v>
      </c>
      <c r="AB28" s="114">
        <v>922</v>
      </c>
      <c r="AC28" s="114">
        <v>1201</v>
      </c>
      <c r="AD28" s="114">
        <v>983</v>
      </c>
      <c r="AE28" s="114">
        <v>1092</v>
      </c>
      <c r="AF28" s="114">
        <v>1310</v>
      </c>
      <c r="AG28" s="114">
        <v>982</v>
      </c>
      <c r="AH28" s="114">
        <v>1092</v>
      </c>
      <c r="AI28" s="114">
        <v>1201</v>
      </c>
      <c r="AJ28" s="114">
        <v>982</v>
      </c>
      <c r="AK28" s="114">
        <v>1092</v>
      </c>
      <c r="AL28" s="114">
        <v>1201</v>
      </c>
      <c r="AM28" s="114">
        <v>982</v>
      </c>
      <c r="AN28" s="114">
        <v>982</v>
      </c>
      <c r="AO28" s="114">
        <v>1320</v>
      </c>
      <c r="AP28" s="114">
        <v>1080</v>
      </c>
      <c r="AQ28" s="114">
        <v>1200</v>
      </c>
      <c r="AR28" s="114">
        <v>1440</v>
      </c>
      <c r="AS28" s="114">
        <v>1080</v>
      </c>
      <c r="AT28" s="114">
        <v>1200</v>
      </c>
      <c r="AU28" s="114">
        <v>1320</v>
      </c>
      <c r="AV28" s="114">
        <v>1080</v>
      </c>
      <c r="AW28" s="114">
        <v>1200</v>
      </c>
      <c r="AX28" s="114">
        <v>1320</v>
      </c>
      <c r="AY28" s="114">
        <v>1080</v>
      </c>
      <c r="AZ28" s="114">
        <v>1080</v>
      </c>
      <c r="BB28" s="150">
        <f>SUM(AO28:AZ28)</f>
        <v>14400</v>
      </c>
      <c r="BC28" s="151">
        <f>SUM('Raw - P&amp;L'!$AA$24:$AL$24)</f>
        <v>14400</v>
      </c>
      <c r="BD28" s="130">
        <f>ROUND(SQRT(SUMXMY2(Q28:AZ28,'Raw - P&amp;L'!$C$24:$AL$24)),6)</f>
        <v>0</v>
      </c>
      <c r="BE28" s="17" t="str">
        <f>IF(ABS(BD28)&lt;=1,"TIES OUT","CHECK")</f>
        <v>TIES OUT</v>
      </c>
      <c r="BG28" s="131" t="s">
        <v>534</v>
      </c>
    </row>
    <row r="29" spans="2:59" x14ac:dyDescent="0.25">
      <c r="B29" s="16" t="s">
        <v>1418</v>
      </c>
      <c r="C29" s="16" t="s">
        <v>1370</v>
      </c>
      <c r="D29" s="16" t="s">
        <v>1386</v>
      </c>
      <c r="E29" s="16" t="s">
        <v>1387</v>
      </c>
      <c r="F29" s="16" t="s">
        <v>11</v>
      </c>
      <c r="G29" s="16" t="s">
        <v>11</v>
      </c>
      <c r="I29" s="150">
        <f>SUMIFS($Q29:$AZ29,$Q$6:$AZ$6,"&gt;="&amp;I$87,$Q$6:$AZ$6,"&lt;="&amp;I$88)</f>
        <v>18900</v>
      </c>
      <c r="J29" s="150">
        <f>SUMIFS($Q29:$AZ29,$Q$6:$AZ$6,"&gt;="&amp;J$87,$Q$6:$AZ$6,"&lt;="&amp;J$88)</f>
        <v>21400</v>
      </c>
      <c r="K29" s="150">
        <f>SUMIFS($Q29:$AZ29,$Q$6:$AZ$6,"&gt;="&amp;K$87,$Q$6:$AZ$6,"&lt;="&amp;K$88)</f>
        <v>23800</v>
      </c>
      <c r="L29" s="150">
        <f>SUMIFS($Q29:$AZ29,$Q$6:$AZ$6,"&gt;="&amp;L$87,$Q$6:$AZ$6,"&lt;="&amp;L$88)</f>
        <v>21400</v>
      </c>
      <c r="M29" s="150">
        <f>SUMIFS($Q29:$AZ29,$Q$6:$AZ$6,"&gt;="&amp;M$87,$Q$6:$AZ$6,"&lt;="&amp;M$88)</f>
        <v>23800</v>
      </c>
      <c r="N29" s="150">
        <f>SUMIFS($Q29:$AZ29,$Q$6:$AZ$6,"&gt;="&amp;N$87,$Q$6:$AZ$6,"&lt;="&amp;N$88)</f>
        <v>21400</v>
      </c>
      <c r="O29" s="150">
        <f>SUMIFS($Q29:$AZ29,$Q$6:$AZ$6,"&gt;="&amp;O$87,$Q$6:$AZ$6,"&lt;="&amp;O$88)</f>
        <v>23800</v>
      </c>
      <c r="P29" s="150">
        <f>SUMIFS($Q29:$AZ29,$Q$6:$AZ$6,"&gt;="&amp;P$87,$Q$6:$AZ$6,"&lt;="&amp;P$88)</f>
        <v>23800</v>
      </c>
      <c r="Q29" s="114">
        <v>1575</v>
      </c>
      <c r="R29" s="114">
        <v>1575</v>
      </c>
      <c r="S29" s="114">
        <v>1575</v>
      </c>
      <c r="T29" s="114">
        <v>1575</v>
      </c>
      <c r="U29" s="114">
        <v>1575</v>
      </c>
      <c r="V29" s="114">
        <v>1575</v>
      </c>
      <c r="W29" s="114">
        <v>1575</v>
      </c>
      <c r="X29" s="114">
        <v>1575</v>
      </c>
      <c r="Y29" s="114">
        <v>1575</v>
      </c>
      <c r="Z29" s="114">
        <v>1575</v>
      </c>
      <c r="AA29" s="114">
        <v>1575</v>
      </c>
      <c r="AB29" s="114">
        <v>1575</v>
      </c>
      <c r="AC29" s="114">
        <v>1784</v>
      </c>
      <c r="AD29" s="114">
        <v>1784</v>
      </c>
      <c r="AE29" s="114">
        <v>1784</v>
      </c>
      <c r="AF29" s="114">
        <v>1784</v>
      </c>
      <c r="AG29" s="114">
        <v>1783</v>
      </c>
      <c r="AH29" s="114">
        <v>1783</v>
      </c>
      <c r="AI29" s="114">
        <v>1783</v>
      </c>
      <c r="AJ29" s="114">
        <v>1783</v>
      </c>
      <c r="AK29" s="114">
        <v>1783</v>
      </c>
      <c r="AL29" s="114">
        <v>1783</v>
      </c>
      <c r="AM29" s="114">
        <v>1783</v>
      </c>
      <c r="AN29" s="114">
        <v>1783</v>
      </c>
      <c r="AO29" s="114">
        <v>1984</v>
      </c>
      <c r="AP29" s="114">
        <v>1984</v>
      </c>
      <c r="AQ29" s="114">
        <v>1984</v>
      </c>
      <c r="AR29" s="114">
        <v>1984</v>
      </c>
      <c r="AS29" s="114">
        <v>1983</v>
      </c>
      <c r="AT29" s="114">
        <v>1983</v>
      </c>
      <c r="AU29" s="114">
        <v>1983</v>
      </c>
      <c r="AV29" s="114">
        <v>1983</v>
      </c>
      <c r="AW29" s="114">
        <v>1983</v>
      </c>
      <c r="AX29" s="114">
        <v>1983</v>
      </c>
      <c r="AY29" s="114">
        <v>1983</v>
      </c>
      <c r="AZ29" s="114">
        <v>1983</v>
      </c>
      <c r="BB29" s="150">
        <f>SUM(AO29:AZ29)</f>
        <v>23800</v>
      </c>
      <c r="BC29" s="151">
        <f>SUM('Raw - P&amp;L'!$AA$25:$AL$25)</f>
        <v>23800</v>
      </c>
      <c r="BD29" s="130">
        <f>ROUND(SQRT(SUMXMY2(Q29:AZ29,'Raw - P&amp;L'!$C$25:$AL$25)),6)</f>
        <v>0</v>
      </c>
      <c r="BE29" s="17" t="str">
        <f>IF(ABS(BD29)&lt;=1,"TIES OUT","CHECK")</f>
        <v>TIES OUT</v>
      </c>
      <c r="BG29" s="131" t="s">
        <v>534</v>
      </c>
    </row>
    <row r="30" spans="2:59" x14ac:dyDescent="0.25">
      <c r="B30" s="16" t="s">
        <v>1419</v>
      </c>
      <c r="C30" s="16" t="s">
        <v>1370</v>
      </c>
      <c r="D30" s="16" t="s">
        <v>1386</v>
      </c>
      <c r="E30" s="16" t="s">
        <v>1387</v>
      </c>
      <c r="F30" s="16" t="s">
        <v>11</v>
      </c>
      <c r="G30" s="16" t="s">
        <v>11</v>
      </c>
      <c r="I30" s="150">
        <f>SUMIFS($Q30:$AZ30,$Q$6:$AZ$6,"&gt;="&amp;I$87,$Q$6:$AZ$6,"&lt;="&amp;I$88)</f>
        <v>14200</v>
      </c>
      <c r="J30" s="150">
        <f>SUMIFS($Q30:$AZ30,$Q$6:$AZ$6,"&gt;="&amp;J$87,$Q$6:$AZ$6,"&lt;="&amp;J$88)</f>
        <v>14900</v>
      </c>
      <c r="K30" s="150">
        <f>SUMIFS($Q30:$AZ30,$Q$6:$AZ$6,"&gt;="&amp;K$87,$Q$6:$AZ$6,"&lt;="&amp;K$88)</f>
        <v>15600</v>
      </c>
      <c r="L30" s="150">
        <f>SUMIFS($Q30:$AZ30,$Q$6:$AZ$6,"&gt;="&amp;L$87,$Q$6:$AZ$6,"&lt;="&amp;L$88)</f>
        <v>14900</v>
      </c>
      <c r="M30" s="150">
        <f>SUMIFS($Q30:$AZ30,$Q$6:$AZ$6,"&gt;="&amp;M$87,$Q$6:$AZ$6,"&lt;="&amp;M$88)</f>
        <v>15600</v>
      </c>
      <c r="N30" s="150">
        <f>SUMIFS($Q30:$AZ30,$Q$6:$AZ$6,"&gt;="&amp;N$87,$Q$6:$AZ$6,"&lt;="&amp;N$88)</f>
        <v>14900</v>
      </c>
      <c r="O30" s="150">
        <f>SUMIFS($Q30:$AZ30,$Q$6:$AZ$6,"&gt;="&amp;O$87,$Q$6:$AZ$6,"&lt;="&amp;O$88)</f>
        <v>15600</v>
      </c>
      <c r="P30" s="150">
        <f>SUMIFS($Q30:$AZ30,$Q$6:$AZ$6,"&gt;="&amp;P$87,$Q$6:$AZ$6,"&lt;="&amp;P$88)</f>
        <v>15600</v>
      </c>
      <c r="Q30" s="114">
        <v>1420</v>
      </c>
      <c r="R30" s="114">
        <v>1361</v>
      </c>
      <c r="S30" s="114">
        <v>1183</v>
      </c>
      <c r="T30" s="114">
        <v>1065</v>
      </c>
      <c r="U30" s="114">
        <v>1006</v>
      </c>
      <c r="V30" s="114">
        <v>1183</v>
      </c>
      <c r="W30" s="114">
        <v>1302</v>
      </c>
      <c r="X30" s="114">
        <v>1302</v>
      </c>
      <c r="Y30" s="114">
        <v>1065</v>
      </c>
      <c r="Z30" s="114">
        <v>1006</v>
      </c>
      <c r="AA30" s="114">
        <v>1124</v>
      </c>
      <c r="AB30" s="114">
        <v>1183</v>
      </c>
      <c r="AC30" s="114">
        <v>1490</v>
      </c>
      <c r="AD30" s="114">
        <v>1428</v>
      </c>
      <c r="AE30" s="114">
        <v>1242</v>
      </c>
      <c r="AF30" s="114">
        <v>1117</v>
      </c>
      <c r="AG30" s="114">
        <v>1055</v>
      </c>
      <c r="AH30" s="114">
        <v>1242</v>
      </c>
      <c r="AI30" s="114">
        <v>1366</v>
      </c>
      <c r="AJ30" s="114">
        <v>1366</v>
      </c>
      <c r="AK30" s="114">
        <v>1117</v>
      </c>
      <c r="AL30" s="114">
        <v>1055</v>
      </c>
      <c r="AM30" s="114">
        <v>1180</v>
      </c>
      <c r="AN30" s="114">
        <v>1242</v>
      </c>
      <c r="AO30" s="114">
        <v>1560</v>
      </c>
      <c r="AP30" s="114">
        <v>1495</v>
      </c>
      <c r="AQ30" s="114">
        <v>1300</v>
      </c>
      <c r="AR30" s="114">
        <v>1170</v>
      </c>
      <c r="AS30" s="114">
        <v>1105</v>
      </c>
      <c r="AT30" s="114">
        <v>1300</v>
      </c>
      <c r="AU30" s="114">
        <v>1430</v>
      </c>
      <c r="AV30" s="114">
        <v>1430</v>
      </c>
      <c r="AW30" s="114">
        <v>1170</v>
      </c>
      <c r="AX30" s="114">
        <v>1105</v>
      </c>
      <c r="AY30" s="114">
        <v>1235</v>
      </c>
      <c r="AZ30" s="114">
        <v>1300</v>
      </c>
      <c r="BB30" s="150">
        <f>SUM(AO30:AZ30)</f>
        <v>15600</v>
      </c>
      <c r="BC30" s="151">
        <f>SUM('Raw - P&amp;L'!$AA$26:$AL$26)</f>
        <v>15600</v>
      </c>
      <c r="BD30" s="130">
        <f>ROUND(SQRT(SUMXMY2(Q30:AZ30,'Raw - P&amp;L'!$C$26:$AL$26)),6)</f>
        <v>0</v>
      </c>
      <c r="BE30" s="17" t="str">
        <f>IF(ABS(BD30)&lt;=1,"TIES OUT","CHECK")</f>
        <v>TIES OUT</v>
      </c>
      <c r="BG30" s="131" t="s">
        <v>534</v>
      </c>
    </row>
    <row r="31" spans="2:59" x14ac:dyDescent="0.25">
      <c r="B31" s="16" t="s">
        <v>545</v>
      </c>
      <c r="C31" s="16" t="s">
        <v>1370</v>
      </c>
      <c r="D31" s="16" t="s">
        <v>1386</v>
      </c>
      <c r="E31" s="16" t="s">
        <v>1387</v>
      </c>
      <c r="F31" s="16" t="s">
        <v>1420</v>
      </c>
      <c r="G31" s="16" t="s">
        <v>1421</v>
      </c>
      <c r="I31" s="150">
        <f>SUMIFS($Q31:$AZ31,$Q$6:$AZ$6,"&gt;="&amp;I$87,$Q$6:$AZ$6,"&lt;="&amp;I$88)</f>
        <v>88400</v>
      </c>
      <c r="J31" s="150">
        <f>SUMIFS($Q31:$AZ31,$Q$6:$AZ$6,"&gt;="&amp;J$87,$Q$6:$AZ$6,"&lt;="&amp;J$88)</f>
        <v>94700</v>
      </c>
      <c r="K31" s="150">
        <f>SUMIFS($Q31:$AZ31,$Q$6:$AZ$6,"&gt;="&amp;K$87,$Q$6:$AZ$6,"&lt;="&amp;K$88)</f>
        <v>101200</v>
      </c>
      <c r="L31" s="150">
        <f>SUMIFS($Q31:$AZ31,$Q$6:$AZ$6,"&gt;="&amp;L$87,$Q$6:$AZ$6,"&lt;="&amp;L$88)</f>
        <v>94700</v>
      </c>
      <c r="M31" s="150">
        <f>SUMIFS($Q31:$AZ31,$Q$6:$AZ$6,"&gt;="&amp;M$87,$Q$6:$AZ$6,"&lt;="&amp;M$88)</f>
        <v>101200</v>
      </c>
      <c r="N31" s="150">
        <f>SUMIFS($Q31:$AZ31,$Q$6:$AZ$6,"&gt;="&amp;N$87,$Q$6:$AZ$6,"&lt;="&amp;N$88)</f>
        <v>94700</v>
      </c>
      <c r="O31" s="150">
        <f>SUMIFS($Q31:$AZ31,$Q$6:$AZ$6,"&gt;="&amp;O$87,$Q$6:$AZ$6,"&lt;="&amp;O$88)</f>
        <v>101200</v>
      </c>
      <c r="P31" s="150">
        <f>SUMIFS($Q31:$AZ31,$Q$6:$AZ$6,"&gt;="&amp;P$87,$Q$6:$AZ$6,"&lt;="&amp;P$88)</f>
        <v>101200</v>
      </c>
      <c r="Q31" s="114">
        <v>6777</v>
      </c>
      <c r="R31" s="114">
        <v>6630</v>
      </c>
      <c r="S31" s="114">
        <v>6998</v>
      </c>
      <c r="T31" s="114">
        <v>7219</v>
      </c>
      <c r="U31" s="114">
        <v>7514</v>
      </c>
      <c r="V31" s="114">
        <v>8104</v>
      </c>
      <c r="W31" s="114">
        <v>8472</v>
      </c>
      <c r="X31" s="114">
        <v>8103</v>
      </c>
      <c r="Y31" s="114">
        <v>7514</v>
      </c>
      <c r="Z31" s="114">
        <v>7072</v>
      </c>
      <c r="AA31" s="114">
        <v>6925</v>
      </c>
      <c r="AB31" s="114">
        <v>7072</v>
      </c>
      <c r="AC31" s="114">
        <v>7260</v>
      </c>
      <c r="AD31" s="114">
        <v>7102</v>
      </c>
      <c r="AE31" s="114">
        <v>7497</v>
      </c>
      <c r="AF31" s="114">
        <v>7734</v>
      </c>
      <c r="AG31" s="114">
        <v>8050</v>
      </c>
      <c r="AH31" s="114">
        <v>8681</v>
      </c>
      <c r="AI31" s="114">
        <v>9075</v>
      </c>
      <c r="AJ31" s="114">
        <v>8681</v>
      </c>
      <c r="AK31" s="114">
        <v>8050</v>
      </c>
      <c r="AL31" s="114">
        <v>7576</v>
      </c>
      <c r="AM31" s="114">
        <v>7418</v>
      </c>
      <c r="AN31" s="114">
        <v>7576</v>
      </c>
      <c r="AO31" s="114">
        <v>7759</v>
      </c>
      <c r="AP31" s="114">
        <v>7590</v>
      </c>
      <c r="AQ31" s="114">
        <v>8011</v>
      </c>
      <c r="AR31" s="114">
        <v>8265</v>
      </c>
      <c r="AS31" s="114">
        <v>8602</v>
      </c>
      <c r="AT31" s="114">
        <v>9277</v>
      </c>
      <c r="AU31" s="114">
        <v>9698</v>
      </c>
      <c r="AV31" s="114">
        <v>9277</v>
      </c>
      <c r="AW31" s="114">
        <v>8602</v>
      </c>
      <c r="AX31" s="114">
        <v>8096</v>
      </c>
      <c r="AY31" s="114">
        <v>7927</v>
      </c>
      <c r="AZ31" s="114">
        <v>8096</v>
      </c>
      <c r="BB31" s="150">
        <f>SUM(AO31:AZ31)</f>
        <v>101200</v>
      </c>
      <c r="BC31" s="151">
        <f>SUM('Raw - P&amp;L'!$AA$27:$AL$27)</f>
        <v>101200</v>
      </c>
      <c r="BD31" s="130">
        <f>ROUND(SQRT(SUMXMY2(Q31:AZ31,'Raw - P&amp;L'!$C$27:$AL$27)),6)</f>
        <v>0</v>
      </c>
      <c r="BE31" s="17" t="str">
        <f>IF(ABS(BD31)&lt;=1,"TIES OUT","CHECK")</f>
        <v>TIES OUT</v>
      </c>
      <c r="BG31" s="131" t="s">
        <v>534</v>
      </c>
    </row>
    <row r="32" spans="2:59" x14ac:dyDescent="0.25">
      <c r="B32" s="16" t="s">
        <v>1422</v>
      </c>
      <c r="C32" s="16" t="s">
        <v>1370</v>
      </c>
      <c r="D32" s="16" t="s">
        <v>1423</v>
      </c>
      <c r="E32" s="16" t="s">
        <v>1424</v>
      </c>
      <c r="F32" s="16" t="s">
        <v>11</v>
      </c>
      <c r="G32" s="16" t="s">
        <v>1425</v>
      </c>
      <c r="I32" s="150">
        <f>SUMIFS($Q32:$AZ32,$Q$6:$AZ$6,"&gt;="&amp;I$87,$Q$6:$AZ$6,"&lt;="&amp;I$88)</f>
        <v>1200</v>
      </c>
      <c r="J32" s="150">
        <f>SUMIFS($Q32:$AZ32,$Q$6:$AZ$6,"&gt;="&amp;J$87,$Q$6:$AZ$6,"&lt;="&amp;J$88)</f>
        <v>2400</v>
      </c>
      <c r="K32" s="150">
        <f>SUMIFS($Q32:$AZ32,$Q$6:$AZ$6,"&gt;="&amp;K$87,$Q$6:$AZ$6,"&lt;="&amp;K$88)</f>
        <v>3100</v>
      </c>
      <c r="L32" s="150">
        <f>SUMIFS($Q32:$AZ32,$Q$6:$AZ$6,"&gt;="&amp;L$87,$Q$6:$AZ$6,"&lt;="&amp;L$88)</f>
        <v>2400</v>
      </c>
      <c r="M32" s="150">
        <f>SUMIFS($Q32:$AZ32,$Q$6:$AZ$6,"&gt;="&amp;M$87,$Q$6:$AZ$6,"&lt;="&amp;M$88)</f>
        <v>3100</v>
      </c>
      <c r="N32" s="150">
        <f>SUMIFS($Q32:$AZ32,$Q$6:$AZ$6,"&gt;="&amp;N$87,$Q$6:$AZ$6,"&lt;="&amp;N$88)</f>
        <v>2400</v>
      </c>
      <c r="O32" s="150">
        <f>SUMIFS($Q32:$AZ32,$Q$6:$AZ$6,"&gt;="&amp;O$87,$Q$6:$AZ$6,"&lt;="&amp;O$88)</f>
        <v>3100</v>
      </c>
      <c r="P32" s="150">
        <f>SUMIFS($Q32:$AZ32,$Q$6:$AZ$6,"&gt;="&amp;P$87,$Q$6:$AZ$6,"&lt;="&amp;P$88)</f>
        <v>3100</v>
      </c>
      <c r="Q32" s="114">
        <v>100</v>
      </c>
      <c r="R32" s="114">
        <v>100</v>
      </c>
      <c r="S32" s="114">
        <v>100</v>
      </c>
      <c r="T32" s="114">
        <v>100</v>
      </c>
      <c r="U32" s="114">
        <v>100</v>
      </c>
      <c r="V32" s="114">
        <v>100</v>
      </c>
      <c r="W32" s="114">
        <v>100</v>
      </c>
      <c r="X32" s="114">
        <v>100</v>
      </c>
      <c r="Y32" s="114">
        <v>100</v>
      </c>
      <c r="Z32" s="114">
        <v>100</v>
      </c>
      <c r="AA32" s="114">
        <v>100</v>
      </c>
      <c r="AB32" s="114">
        <v>100</v>
      </c>
      <c r="AC32" s="114">
        <v>200</v>
      </c>
      <c r="AD32" s="114">
        <v>200</v>
      </c>
      <c r="AE32" s="114">
        <v>200</v>
      </c>
      <c r="AF32" s="114">
        <v>200</v>
      </c>
      <c r="AG32" s="114">
        <v>200</v>
      </c>
      <c r="AH32" s="114">
        <v>200</v>
      </c>
      <c r="AI32" s="114">
        <v>200</v>
      </c>
      <c r="AJ32" s="114">
        <v>200</v>
      </c>
      <c r="AK32" s="114">
        <v>200</v>
      </c>
      <c r="AL32" s="114">
        <v>200</v>
      </c>
      <c r="AM32" s="114">
        <v>200</v>
      </c>
      <c r="AN32" s="114">
        <v>200</v>
      </c>
      <c r="AO32" s="114">
        <v>259</v>
      </c>
      <c r="AP32" s="114">
        <v>259</v>
      </c>
      <c r="AQ32" s="114">
        <v>259</v>
      </c>
      <c r="AR32" s="114">
        <v>259</v>
      </c>
      <c r="AS32" s="114">
        <v>258</v>
      </c>
      <c r="AT32" s="114">
        <v>258</v>
      </c>
      <c r="AU32" s="114">
        <v>258</v>
      </c>
      <c r="AV32" s="114">
        <v>258</v>
      </c>
      <c r="AW32" s="114">
        <v>258</v>
      </c>
      <c r="AX32" s="114">
        <v>258</v>
      </c>
      <c r="AY32" s="114">
        <v>258</v>
      </c>
      <c r="AZ32" s="114">
        <v>258</v>
      </c>
      <c r="BB32" s="150">
        <f>SUM(AO32:AZ32)</f>
        <v>3100</v>
      </c>
      <c r="BC32" s="151">
        <f>SUM('Raw - P&amp;L'!$AA$28:$AL$28)</f>
        <v>3100</v>
      </c>
      <c r="BD32" s="130">
        <f>ROUND(SQRT(SUMXMY2(Q32:AZ32,'Raw - P&amp;L'!$C$28:$AL$28)),6)</f>
        <v>0</v>
      </c>
      <c r="BE32" s="17" t="str">
        <f>IF(ABS(BD32)&lt;=1,"TIES OUT","CHECK")</f>
        <v>TIES OUT</v>
      </c>
      <c r="BG32" s="131" t="s">
        <v>361</v>
      </c>
    </row>
    <row r="33" spans="2:59" x14ac:dyDescent="0.25">
      <c r="B33" s="16" t="s">
        <v>369</v>
      </c>
      <c r="C33" s="16" t="s">
        <v>1370</v>
      </c>
      <c r="D33" s="16" t="s">
        <v>1426</v>
      </c>
      <c r="E33" s="16" t="s">
        <v>433</v>
      </c>
      <c r="F33" s="16" t="s">
        <v>11</v>
      </c>
      <c r="G33" s="16" t="s">
        <v>1427</v>
      </c>
      <c r="I33" s="150">
        <f>SUMIFS($Q33:$AZ33,$Q$6:$AZ$6,"&gt;="&amp;I$87,$Q$6:$AZ$6,"&lt;="&amp;I$88)</f>
        <v>22400</v>
      </c>
      <c r="J33" s="150">
        <f>SUMIFS($Q33:$AZ33,$Q$6:$AZ$6,"&gt;="&amp;J$87,$Q$6:$AZ$6,"&lt;="&amp;J$88)</f>
        <v>18600</v>
      </c>
      <c r="K33" s="150">
        <f>SUMIFS($Q33:$AZ33,$Q$6:$AZ$6,"&gt;="&amp;K$87,$Q$6:$AZ$6,"&lt;="&amp;K$88)</f>
        <v>14300</v>
      </c>
      <c r="L33" s="150">
        <f>SUMIFS($Q33:$AZ33,$Q$6:$AZ$6,"&gt;="&amp;L$87,$Q$6:$AZ$6,"&lt;="&amp;L$88)</f>
        <v>18600</v>
      </c>
      <c r="M33" s="150">
        <f>SUMIFS($Q33:$AZ33,$Q$6:$AZ$6,"&gt;="&amp;M$87,$Q$6:$AZ$6,"&lt;="&amp;M$88)</f>
        <v>14300</v>
      </c>
      <c r="N33" s="150">
        <f>SUMIFS($Q33:$AZ33,$Q$6:$AZ$6,"&gt;="&amp;N$87,$Q$6:$AZ$6,"&lt;="&amp;N$88)</f>
        <v>18600</v>
      </c>
      <c r="O33" s="150">
        <f>SUMIFS($Q33:$AZ33,$Q$6:$AZ$6,"&gt;="&amp;O$87,$Q$6:$AZ$6,"&lt;="&amp;O$88)</f>
        <v>14300</v>
      </c>
      <c r="P33" s="150">
        <f>SUMIFS($Q33:$AZ33,$Q$6:$AZ$6,"&gt;="&amp;P$87,$Q$6:$AZ$6,"&lt;="&amp;P$88)</f>
        <v>14300</v>
      </c>
      <c r="Q33" s="114">
        <v>2074</v>
      </c>
      <c r="R33" s="114">
        <v>2036</v>
      </c>
      <c r="S33" s="114">
        <v>1999</v>
      </c>
      <c r="T33" s="114">
        <v>1961</v>
      </c>
      <c r="U33" s="114">
        <v>1923</v>
      </c>
      <c r="V33" s="114">
        <v>1886</v>
      </c>
      <c r="W33" s="114">
        <v>1848</v>
      </c>
      <c r="X33" s="114">
        <v>1810</v>
      </c>
      <c r="Y33" s="114">
        <v>1772</v>
      </c>
      <c r="Z33" s="114">
        <v>1735</v>
      </c>
      <c r="AA33" s="114">
        <v>1697</v>
      </c>
      <c r="AB33" s="114">
        <v>1659</v>
      </c>
      <c r="AC33" s="114">
        <v>1722</v>
      </c>
      <c r="AD33" s="114">
        <v>1691</v>
      </c>
      <c r="AE33" s="114">
        <v>1660</v>
      </c>
      <c r="AF33" s="114">
        <v>1628</v>
      </c>
      <c r="AG33" s="114">
        <v>1597</v>
      </c>
      <c r="AH33" s="114">
        <v>1566</v>
      </c>
      <c r="AI33" s="114">
        <v>1534</v>
      </c>
      <c r="AJ33" s="114">
        <v>1503</v>
      </c>
      <c r="AK33" s="114">
        <v>1472</v>
      </c>
      <c r="AL33" s="114">
        <v>1440</v>
      </c>
      <c r="AM33" s="114">
        <v>1409</v>
      </c>
      <c r="AN33" s="114">
        <v>1378</v>
      </c>
      <c r="AO33" s="114">
        <v>1324</v>
      </c>
      <c r="AP33" s="114">
        <v>1300</v>
      </c>
      <c r="AQ33" s="114">
        <v>1276</v>
      </c>
      <c r="AR33" s="114">
        <v>1252</v>
      </c>
      <c r="AS33" s="114">
        <v>1228</v>
      </c>
      <c r="AT33" s="114">
        <v>1204</v>
      </c>
      <c r="AU33" s="114">
        <v>1180</v>
      </c>
      <c r="AV33" s="114">
        <v>1156</v>
      </c>
      <c r="AW33" s="114">
        <v>1131</v>
      </c>
      <c r="AX33" s="114">
        <v>1107</v>
      </c>
      <c r="AY33" s="114">
        <v>1083</v>
      </c>
      <c r="AZ33" s="114">
        <v>1059</v>
      </c>
      <c r="BB33" s="150">
        <f>SUM(AO33:AZ33)</f>
        <v>14300</v>
      </c>
      <c r="BC33" s="151">
        <f>SUM('Raw - P&amp;L'!$AA$29:$AL$29)</f>
        <v>14300</v>
      </c>
      <c r="BD33" s="130">
        <f>ROUND(SQRT(SUMXMY2(Q33:AZ33,'Raw - P&amp;L'!$C$29:$AL$29)),6)</f>
        <v>0</v>
      </c>
      <c r="BE33" s="17" t="str">
        <f>IF(ABS(BD33)&lt;=1,"TIES OUT","CHECK")</f>
        <v>TIES OUT</v>
      </c>
      <c r="BG33" s="131" t="s">
        <v>1428</v>
      </c>
    </row>
    <row r="35" spans="2:7" x14ac:dyDescent="0.25">
      <c r="B35" s="37" t="s">
        <v>1429</v>
      </c>
      <c r="C35" s="37"/>
      <c r="D35" s="37"/>
      <c r="E35" s="37"/>
      <c r="F35" s="37"/>
      <c r="G35" s="37"/>
    </row>
    <row r="36" spans="2:57" x14ac:dyDescent="0.25">
      <c r="B36" s="16" t="s">
        <v>1430</v>
      </c>
      <c r="C36" s="16" t="s">
        <v>1370</v>
      </c>
      <c r="D36" s="16" t="s">
        <v>1431</v>
      </c>
      <c r="E36" s="307" t="s">
        <v>1372</v>
      </c>
      <c r="I36" s="150">
        <f>SUMIFS($Q36:$AZ36,$Q$6:$AZ$6,"&gt;="&amp;I$87,$Q$6:$AZ$6,"&lt;="&amp;I$88)</f>
        <v>2406800</v>
      </c>
      <c r="J36" s="150">
        <f>SUMIFS($Q36:$AZ36,$Q$6:$AZ$6,"&gt;="&amp;J$87,$Q$6:$AZ$6,"&lt;="&amp;J$88)</f>
        <v>2718600</v>
      </c>
      <c r="K36" s="150">
        <f>SUMIFS($Q36:$AZ36,$Q$6:$AZ$6,"&gt;="&amp;K$87,$Q$6:$AZ$6,"&lt;="&amp;K$88)</f>
        <v>3040800</v>
      </c>
      <c r="L36" s="150">
        <f>SUMIFS($Q36:$AZ36,$Q$6:$AZ$6,"&gt;="&amp;L$87,$Q$6:$AZ$6,"&lt;="&amp;L$88)</f>
        <v>2718600</v>
      </c>
      <c r="M36" s="150">
        <f>SUMIFS($Q36:$AZ36,$Q$6:$AZ$6,"&gt;="&amp;M$87,$Q$6:$AZ$6,"&lt;="&amp;M$88)</f>
        <v>3040800</v>
      </c>
      <c r="N36" s="150">
        <f>SUMIFS($Q36:$AZ36,$Q$6:$AZ$6,"&gt;="&amp;N$87,$Q$6:$AZ$6,"&lt;="&amp;N$88)</f>
        <v>2718600</v>
      </c>
      <c r="O36" s="150">
        <f>SUMIFS($Q36:$AZ36,$Q$6:$AZ$6,"&gt;="&amp;O$87,$Q$6:$AZ$6,"&lt;="&amp;O$88)</f>
        <v>3040800</v>
      </c>
      <c r="P36" s="150">
        <f>SUMIFS($Q36:$AZ36,$Q$6:$AZ$6,"&gt;="&amp;P$87,$Q$6:$AZ$6,"&lt;="&amp;P$88)</f>
        <v>3040800</v>
      </c>
      <c r="Q36" s="150">
        <f>SUMIFS(Q$8:Q$34,$BG$8:$BG$34,"Income")</f>
        <v>180670</v>
      </c>
      <c r="R36" s="150">
        <f>SUMIFS(R$8:R$34,$BG$8:$BG$34,"Income")</f>
        <v>167538</v>
      </c>
      <c r="S36" s="150">
        <f>SUMIFS(S$8:S$34,$BG$8:$BG$34,"Income")</f>
        <v>162893</v>
      </c>
      <c r="T36" s="150">
        <f>SUMIFS(T$8:T$34,$BG$8:$BG$34,"Income")</f>
        <v>173474</v>
      </c>
      <c r="U36" s="150">
        <f>SUMIFS(U$8:U$34,$BG$8:$BG$34,"Income")</f>
        <v>197300</v>
      </c>
      <c r="V36" s="150">
        <f>SUMIFS(V$8:V$34,$BG$8:$BG$34,"Income")</f>
        <v>230651</v>
      </c>
      <c r="W36" s="150">
        <f>SUMIFS(W$8:W$34,$BG$8:$BG$34,"Income")</f>
        <v>248799</v>
      </c>
      <c r="X36" s="150">
        <f>SUMIFS(X$8:X$34,$BG$8:$BG$34,"Income")</f>
        <v>235288</v>
      </c>
      <c r="Y36" s="150">
        <f>SUMIFS(Y$8:Y$34,$BG$8:$BG$34,"Income")</f>
        <v>207865</v>
      </c>
      <c r="Z36" s="150">
        <f>SUMIFS(Z$8:Z$34,$BG$8:$BG$34,"Income")</f>
        <v>184149</v>
      </c>
      <c r="AA36" s="150">
        <f>SUMIFS(AA$8:AA$34,$BG$8:$BG$34,"Income")</f>
        <v>192858</v>
      </c>
      <c r="AB36" s="150">
        <f>SUMIFS(AB$8:AB$34,$BG$8:$BG$34,"Income")</f>
        <v>225315</v>
      </c>
      <c r="AC36" s="150">
        <f>SUMIFS(AC$8:AC$34,$BG$8:$BG$34,"Income")</f>
        <v>204101</v>
      </c>
      <c r="AD36" s="150">
        <f>SUMIFS(AD$8:AD$34,$BG$8:$BG$34,"Income")</f>
        <v>189421</v>
      </c>
      <c r="AE36" s="150">
        <f>SUMIFS(AE$8:AE$34,$BG$8:$BG$34,"Income")</f>
        <v>184308</v>
      </c>
      <c r="AF36" s="150">
        <f>SUMIFS(AF$8:AF$34,$BG$8:$BG$34,"Income")</f>
        <v>196238</v>
      </c>
      <c r="AG36" s="150">
        <f>SUMIFS(AG$8:AG$34,$BG$8:$BG$34,"Income")</f>
        <v>222864</v>
      </c>
      <c r="AH36" s="150">
        <f>SUMIFS(AH$8:AH$34,$BG$8:$BG$34,"Income")</f>
        <v>260214</v>
      </c>
      <c r="AI36" s="150">
        <f>SUMIFS(AI$8:AI$34,$BG$8:$BG$34,"Income")</f>
        <v>280549</v>
      </c>
      <c r="AJ36" s="150">
        <f>SUMIFS(AJ$8:AJ$34,$BG$8:$BG$34,"Income")</f>
        <v>265445</v>
      </c>
      <c r="AK36" s="150">
        <f>SUMIFS(AK$8:AK$34,$BG$8:$BG$34,"Income")</f>
        <v>234912</v>
      </c>
      <c r="AL36" s="150">
        <f>SUMIFS(AL$8:AL$34,$BG$8:$BG$34,"Income")</f>
        <v>208315</v>
      </c>
      <c r="AM36" s="150">
        <f>SUMIFS(AM$8:AM$34,$BG$8:$BG$34,"Income")</f>
        <v>218014</v>
      </c>
      <c r="AN36" s="150">
        <f>SUMIFS(AN$8:AN$34,$BG$8:$BG$34,"Income")</f>
        <v>254219</v>
      </c>
      <c r="AO36" s="150">
        <f>SUMIFS(AO$8:AO$34,$BG$8:$BG$34,"Income")</f>
        <v>228339</v>
      </c>
      <c r="AP36" s="150">
        <f>SUMIFS(AP$8:AP$34,$BG$8:$BG$34,"Income")</f>
        <v>212116</v>
      </c>
      <c r="AQ36" s="150">
        <f>SUMIFS(AQ$8:AQ$34,$BG$8:$BG$34,"Income")</f>
        <v>206551</v>
      </c>
      <c r="AR36" s="150">
        <f>SUMIFS(AR$8:AR$34,$BG$8:$BG$34,"Income")</f>
        <v>219853</v>
      </c>
      <c r="AS36" s="150">
        <f>SUMIFS(AS$8:AS$34,$BG$8:$BG$34,"Income")</f>
        <v>249280</v>
      </c>
      <c r="AT36" s="150">
        <f>SUMIFS(AT$8:AT$34,$BG$8:$BG$34,"Income")</f>
        <v>290649</v>
      </c>
      <c r="AU36" s="150">
        <f>SUMIFS(AU$8:AU$34,$BG$8:$BG$34,"Income")</f>
        <v>313184</v>
      </c>
      <c r="AV36" s="150">
        <f>SUMIFS(AV$8:AV$34,$BG$8:$BG$34,"Income")</f>
        <v>296491</v>
      </c>
      <c r="AW36" s="150">
        <f>SUMIFS(AW$8:AW$34,$BG$8:$BG$34,"Income")</f>
        <v>262866</v>
      </c>
      <c r="AX36" s="150">
        <f>SUMIFS(AX$8:AX$34,$BG$8:$BG$34,"Income")</f>
        <v>233382</v>
      </c>
      <c r="AY36" s="150">
        <f>SUMIFS(AY$8:AY$34,$BG$8:$BG$34,"Income")</f>
        <v>244069</v>
      </c>
      <c r="AZ36" s="150">
        <f>SUMIFS(AZ$8:AZ$34,$BG$8:$BG$34,"Income")</f>
        <v>284020</v>
      </c>
      <c r="BB36" s="150">
        <f>SUM(AO36:AZ36)</f>
        <v>3040800</v>
      </c>
      <c r="BC36" s="151">
        <f>SUM('Raw - P&amp;L'!$AA$32:$AL$32)</f>
        <v>3040800</v>
      </c>
      <c r="BD36" s="130">
        <f>ROUND(SQRT(SUMXMY2(Q36:AZ36,'Raw - P&amp;L'!$C$32:$AL$32)),6)</f>
        <v>0</v>
      </c>
      <c r="BE36" s="17" t="str">
        <f>IF(ABS(BD36)&lt;=1,"TIES OUT","CHECK")</f>
        <v>TIES OUT</v>
      </c>
    </row>
    <row r="37" spans="2:57" x14ac:dyDescent="0.25">
      <c r="B37" s="16" t="s">
        <v>1432</v>
      </c>
      <c r="C37" s="16" t="s">
        <v>1370</v>
      </c>
      <c r="D37" s="16" t="s">
        <v>1431</v>
      </c>
      <c r="E37" s="307" t="s">
        <v>1380</v>
      </c>
      <c r="I37" s="150">
        <f>SUMIFS($Q37:$AZ37,$Q$6:$AZ$6,"&gt;="&amp;I$87,$Q$6:$AZ$6,"&lt;="&amp;I$88)</f>
        <v>938800</v>
      </c>
      <c r="J37" s="150">
        <f>SUMIFS($Q37:$AZ37,$Q$6:$AZ$6,"&gt;="&amp;J$87,$Q$6:$AZ$6,"&lt;="&amp;J$88)</f>
        <v>1047900</v>
      </c>
      <c r="K37" s="150">
        <f>SUMIFS($Q37:$AZ37,$Q$6:$AZ$6,"&gt;="&amp;K$87,$Q$6:$AZ$6,"&lt;="&amp;K$88)</f>
        <v>1158900</v>
      </c>
      <c r="L37" s="150">
        <f>SUMIFS($Q37:$AZ37,$Q$6:$AZ$6,"&gt;="&amp;L$87,$Q$6:$AZ$6,"&lt;="&amp;L$88)</f>
        <v>1047900</v>
      </c>
      <c r="M37" s="150">
        <f>SUMIFS($Q37:$AZ37,$Q$6:$AZ$6,"&gt;="&amp;M$87,$Q$6:$AZ$6,"&lt;="&amp;M$88)</f>
        <v>1158900</v>
      </c>
      <c r="N37" s="150">
        <f>SUMIFS($Q37:$AZ37,$Q$6:$AZ$6,"&gt;="&amp;N$87,$Q$6:$AZ$6,"&lt;="&amp;N$88)</f>
        <v>1047900</v>
      </c>
      <c r="O37" s="150">
        <f>SUMIFS($Q37:$AZ37,$Q$6:$AZ$6,"&gt;="&amp;O$87,$Q$6:$AZ$6,"&lt;="&amp;O$88)</f>
        <v>1158900</v>
      </c>
      <c r="P37" s="150">
        <f>SUMIFS($Q37:$AZ37,$Q$6:$AZ$6,"&gt;="&amp;P$87,$Q$6:$AZ$6,"&lt;="&amp;P$88)</f>
        <v>1158900</v>
      </c>
      <c r="Q37" s="150">
        <f>SUMIFS(Q$8:Q$34,$BG$8:$BG$34,"Cost of Goods Sold")</f>
        <v>70125</v>
      </c>
      <c r="R37" s="150">
        <f>SUMIFS(R$8:R$34,$BG$8:$BG$34,"Cost of Goods Sold")</f>
        <v>63791</v>
      </c>
      <c r="S37" s="150">
        <f>SUMIFS(S$8:S$34,$BG$8:$BG$34,"Cost of Goods Sold")</f>
        <v>61078</v>
      </c>
      <c r="T37" s="150">
        <f>SUMIFS(T$8:T$34,$BG$8:$BG$34,"Cost of Goods Sold")</f>
        <v>65519</v>
      </c>
      <c r="U37" s="150">
        <f>SUMIFS(U$8:U$34,$BG$8:$BG$34,"Cost of Goods Sold")</f>
        <v>76940</v>
      </c>
      <c r="V37" s="150">
        <f>SUMIFS(V$8:V$34,$BG$8:$BG$34,"Cost of Goods Sold")</f>
        <v>92466</v>
      </c>
      <c r="W37" s="150">
        <f>SUMIFS(W$8:W$34,$BG$8:$BG$34,"Cost of Goods Sold")</f>
        <v>100843</v>
      </c>
      <c r="X37" s="150">
        <f>SUMIFS(X$8:X$34,$BG$8:$BG$34,"Cost of Goods Sold")</f>
        <v>94325</v>
      </c>
      <c r="Y37" s="150">
        <f>SUMIFS(Y$8:Y$34,$BG$8:$BG$34,"Cost of Goods Sold")</f>
        <v>80477</v>
      </c>
      <c r="Z37" s="150">
        <f>SUMIFS(Z$8:Z$34,$BG$8:$BG$34,"Cost of Goods Sold")</f>
        <v>69551</v>
      </c>
      <c r="AA37" s="150">
        <f>SUMIFS(AA$8:AA$34,$BG$8:$BG$34,"Cost of Goods Sold")</f>
        <v>73884</v>
      </c>
      <c r="AB37" s="150">
        <f>SUMIFS(AB$8:AB$34,$BG$8:$BG$34,"Cost of Goods Sold")</f>
        <v>89801</v>
      </c>
      <c r="AC37" s="150">
        <f>SUMIFS(AC$8:AC$34,$BG$8:$BG$34,"Cost of Goods Sold")</f>
        <v>78275</v>
      </c>
      <c r="AD37" s="150">
        <f>SUMIFS(AD$8:AD$34,$BG$8:$BG$34,"Cost of Goods Sold")</f>
        <v>71209</v>
      </c>
      <c r="AE37" s="150">
        <f>SUMIFS(AE$8:AE$34,$BG$8:$BG$34,"Cost of Goods Sold")</f>
        <v>68184</v>
      </c>
      <c r="AF37" s="150">
        <f>SUMIFS(AF$8:AF$34,$BG$8:$BG$34,"Cost of Goods Sold")</f>
        <v>73141</v>
      </c>
      <c r="AG37" s="150">
        <f>SUMIFS(AG$8:AG$34,$BG$8:$BG$34,"Cost of Goods Sold")</f>
        <v>85882</v>
      </c>
      <c r="AH37" s="150">
        <f>SUMIFS(AH$8:AH$34,$BG$8:$BG$34,"Cost of Goods Sold")</f>
        <v>103204</v>
      </c>
      <c r="AI37" s="150">
        <f>SUMIFS(AI$8:AI$34,$BG$8:$BG$34,"Cost of Goods Sold")</f>
        <v>112550</v>
      </c>
      <c r="AJ37" s="150">
        <f>SUMIFS(AJ$8:AJ$34,$BG$8:$BG$34,"Cost of Goods Sold")</f>
        <v>105278</v>
      </c>
      <c r="AK37" s="150">
        <f>SUMIFS(AK$8:AK$34,$BG$8:$BG$34,"Cost of Goods Sold")</f>
        <v>89833</v>
      </c>
      <c r="AL37" s="150">
        <f>SUMIFS(AL$8:AL$34,$BG$8:$BG$34,"Cost of Goods Sold")</f>
        <v>77641</v>
      </c>
      <c r="AM37" s="150">
        <f>SUMIFS(AM$8:AM$34,$BG$8:$BG$34,"Cost of Goods Sold")</f>
        <v>82474</v>
      </c>
      <c r="AN37" s="150">
        <f>SUMIFS(AN$8:AN$34,$BG$8:$BG$34,"Cost of Goods Sold")</f>
        <v>100229</v>
      </c>
      <c r="AO37" s="150">
        <f>SUMIFS(AO$8:AO$34,$BG$8:$BG$34,"Cost of Goods Sold")</f>
        <v>86566</v>
      </c>
      <c r="AP37" s="150">
        <f>SUMIFS(AP$8:AP$34,$BG$8:$BG$34,"Cost of Goods Sold")</f>
        <v>78744</v>
      </c>
      <c r="AQ37" s="150">
        <f>SUMIFS(AQ$8:AQ$34,$BG$8:$BG$34,"Cost of Goods Sold")</f>
        <v>75391</v>
      </c>
      <c r="AR37" s="150">
        <f>SUMIFS(AR$8:AR$34,$BG$8:$BG$34,"Cost of Goods Sold")</f>
        <v>80873</v>
      </c>
      <c r="AS37" s="150">
        <f>SUMIFS(AS$8:AS$34,$BG$8:$BG$34,"Cost of Goods Sold")</f>
        <v>94979</v>
      </c>
      <c r="AT37" s="150">
        <f>SUMIFS(AT$8:AT$34,$BG$8:$BG$34,"Cost of Goods Sold")</f>
        <v>114152</v>
      </c>
      <c r="AU37" s="150">
        <f>SUMIFS(AU$8:AU$34,$BG$8:$BG$34,"Cost of Goods Sold")</f>
        <v>124494</v>
      </c>
      <c r="AV37" s="150">
        <f>SUMIFS(AV$8:AV$34,$BG$8:$BG$34,"Cost of Goods Sold")</f>
        <v>116447</v>
      </c>
      <c r="AW37" s="150">
        <f>SUMIFS(AW$8:AW$34,$BG$8:$BG$34,"Cost of Goods Sold")</f>
        <v>99340</v>
      </c>
      <c r="AX37" s="150">
        <f>SUMIFS(AX$8:AX$34,$BG$8:$BG$34,"Cost of Goods Sold")</f>
        <v>85849</v>
      </c>
      <c r="AY37" s="150">
        <f>SUMIFS(AY$8:AY$34,$BG$8:$BG$34,"Cost of Goods Sold")</f>
        <v>91203</v>
      </c>
      <c r="AZ37" s="150">
        <f>SUMIFS(AZ$8:AZ$34,$BG$8:$BG$34,"Cost of Goods Sold")</f>
        <v>110862</v>
      </c>
      <c r="BB37" s="150">
        <f>SUM(AO37:AZ37)</f>
        <v>1158900</v>
      </c>
      <c r="BC37" s="151">
        <f>SUM('Raw - P&amp;L'!$AA$33:$AL$33)</f>
        <v>1158900</v>
      </c>
      <c r="BD37" s="130">
        <f>ROUND(SQRT(SUMXMY2(Q37:AZ37,'Raw - P&amp;L'!$C$33:$AL$33)),6)</f>
        <v>0</v>
      </c>
      <c r="BE37" s="17" t="str">
        <f>IF(ABS(BD37)&lt;=1,"TIES OUT","CHECK")</f>
        <v>TIES OUT</v>
      </c>
    </row>
    <row r="38" spans="2:57" x14ac:dyDescent="0.25">
      <c r="B38" s="16" t="s">
        <v>89</v>
      </c>
      <c r="C38" s="16" t="s">
        <v>1370</v>
      </c>
      <c r="D38" s="16" t="s">
        <v>1431</v>
      </c>
      <c r="E38" s="307" t="s">
        <v>1433</v>
      </c>
      <c r="I38" s="150">
        <f>SUMIFS($Q38:$AZ38,$Q$6:$AZ$6,"&gt;="&amp;I$87,$Q$6:$AZ$6,"&lt;="&amp;I$88)</f>
        <v>1468000</v>
      </c>
      <c r="J38" s="150">
        <f>SUMIFS($Q38:$AZ38,$Q$6:$AZ$6,"&gt;="&amp;J$87,$Q$6:$AZ$6,"&lt;="&amp;J$88)</f>
        <v>1670700</v>
      </c>
      <c r="K38" s="150">
        <f>SUMIFS($Q38:$AZ38,$Q$6:$AZ$6,"&gt;="&amp;K$87,$Q$6:$AZ$6,"&lt;="&amp;K$88)</f>
        <v>1881900</v>
      </c>
      <c r="L38" s="150">
        <f>SUMIFS($Q38:$AZ38,$Q$6:$AZ$6,"&gt;="&amp;L$87,$Q$6:$AZ$6,"&lt;="&amp;L$88)</f>
        <v>1670700</v>
      </c>
      <c r="M38" s="150">
        <f>SUMIFS($Q38:$AZ38,$Q$6:$AZ$6,"&gt;="&amp;M$87,$Q$6:$AZ$6,"&lt;="&amp;M$88)</f>
        <v>1881900</v>
      </c>
      <c r="N38" s="150">
        <f>SUMIFS($Q38:$AZ38,$Q$6:$AZ$6,"&gt;="&amp;N$87,$Q$6:$AZ$6,"&lt;="&amp;N$88)</f>
        <v>1670700</v>
      </c>
      <c r="O38" s="150">
        <f>SUMIFS($Q38:$AZ38,$Q$6:$AZ$6,"&gt;="&amp;O$87,$Q$6:$AZ$6,"&lt;="&amp;O$88)</f>
        <v>1881900</v>
      </c>
      <c r="P38" s="150">
        <f>SUMIFS($Q38:$AZ38,$Q$6:$AZ$6,"&gt;="&amp;P$87,$Q$6:$AZ$6,"&lt;="&amp;P$88)</f>
        <v>1881900</v>
      </c>
      <c r="Q38" s="150">
        <f>SUMIFS(Q$8:Q$34,$BG$8:$BG$34,"Income")-SUMIFS(Q$8:Q$34,$BG$8:$BG$34,"Cost of Goods Sold")</f>
        <v>110545</v>
      </c>
      <c r="R38" s="150">
        <f>SUMIFS(R$8:R$34,$BG$8:$BG$34,"Income")-SUMIFS(R$8:R$34,$BG$8:$BG$34,"Cost of Goods Sold")</f>
        <v>103747</v>
      </c>
      <c r="S38" s="150">
        <f>SUMIFS(S$8:S$34,$BG$8:$BG$34,"Income")-SUMIFS(S$8:S$34,$BG$8:$BG$34,"Cost of Goods Sold")</f>
        <v>101815</v>
      </c>
      <c r="T38" s="150">
        <f>SUMIFS(T$8:T$34,$BG$8:$BG$34,"Income")-SUMIFS(T$8:T$34,$BG$8:$BG$34,"Cost of Goods Sold")</f>
        <v>107955</v>
      </c>
      <c r="U38" s="150">
        <f>SUMIFS(U$8:U$34,$BG$8:$BG$34,"Income")-SUMIFS(U$8:U$34,$BG$8:$BG$34,"Cost of Goods Sold")</f>
        <v>120360</v>
      </c>
      <c r="V38" s="150">
        <f>SUMIFS(V$8:V$34,$BG$8:$BG$34,"Income")-SUMIFS(V$8:V$34,$BG$8:$BG$34,"Cost of Goods Sold")</f>
        <v>138185</v>
      </c>
      <c r="W38" s="150">
        <f>SUMIFS(W$8:W$34,$BG$8:$BG$34,"Income")-SUMIFS(W$8:W$34,$BG$8:$BG$34,"Cost of Goods Sold")</f>
        <v>147956</v>
      </c>
      <c r="X38" s="150">
        <f>SUMIFS(X$8:X$34,$BG$8:$BG$34,"Income")-SUMIFS(X$8:X$34,$BG$8:$BG$34,"Cost of Goods Sold")</f>
        <v>140963</v>
      </c>
      <c r="Y38" s="150">
        <f>SUMIFS(Y$8:Y$34,$BG$8:$BG$34,"Income")-SUMIFS(Y$8:Y$34,$BG$8:$BG$34,"Cost of Goods Sold")</f>
        <v>127388</v>
      </c>
      <c r="Z38" s="150">
        <f>SUMIFS(Z$8:Z$34,$BG$8:$BG$34,"Income")-SUMIFS(Z$8:Z$34,$BG$8:$BG$34,"Cost of Goods Sold")</f>
        <v>114598</v>
      </c>
      <c r="AA38" s="150">
        <f>SUMIFS(AA$8:AA$34,$BG$8:$BG$34,"Income")-SUMIFS(AA$8:AA$34,$BG$8:$BG$34,"Cost of Goods Sold")</f>
        <v>118974</v>
      </c>
      <c r="AB38" s="150">
        <f>SUMIFS(AB$8:AB$34,$BG$8:$BG$34,"Income")-SUMIFS(AB$8:AB$34,$BG$8:$BG$34,"Cost of Goods Sold")</f>
        <v>135514</v>
      </c>
      <c r="AC38" s="150">
        <f>SUMIFS(AC$8:AC$34,$BG$8:$BG$34,"Income")-SUMIFS(AC$8:AC$34,$BG$8:$BG$34,"Cost of Goods Sold")</f>
        <v>125826</v>
      </c>
      <c r="AD38" s="150">
        <f>SUMIFS(AD$8:AD$34,$BG$8:$BG$34,"Income")-SUMIFS(AD$8:AD$34,$BG$8:$BG$34,"Cost of Goods Sold")</f>
        <v>118212</v>
      </c>
      <c r="AE38" s="150">
        <f>SUMIFS(AE$8:AE$34,$BG$8:$BG$34,"Income")-SUMIFS(AE$8:AE$34,$BG$8:$BG$34,"Cost of Goods Sold")</f>
        <v>116124</v>
      </c>
      <c r="AF38" s="150">
        <f>SUMIFS(AF$8:AF$34,$BG$8:$BG$34,"Income")-SUMIFS(AF$8:AF$34,$BG$8:$BG$34,"Cost of Goods Sold")</f>
        <v>123097</v>
      </c>
      <c r="AG38" s="150">
        <f>SUMIFS(AG$8:AG$34,$BG$8:$BG$34,"Income")-SUMIFS(AG$8:AG$34,$BG$8:$BG$34,"Cost of Goods Sold")</f>
        <v>136982</v>
      </c>
      <c r="AH38" s="150">
        <f>SUMIFS(AH$8:AH$34,$BG$8:$BG$34,"Income")-SUMIFS(AH$8:AH$34,$BG$8:$BG$34,"Cost of Goods Sold")</f>
        <v>157010</v>
      </c>
      <c r="AI38" s="150">
        <f>SUMIFS(AI$8:AI$34,$BG$8:$BG$34,"Income")-SUMIFS(AI$8:AI$34,$BG$8:$BG$34,"Cost of Goods Sold")</f>
        <v>167999</v>
      </c>
      <c r="AJ38" s="150">
        <f>SUMIFS(AJ$8:AJ$34,$BG$8:$BG$34,"Income")-SUMIFS(AJ$8:AJ$34,$BG$8:$BG$34,"Cost of Goods Sold")</f>
        <v>160167</v>
      </c>
      <c r="AK38" s="150">
        <f>SUMIFS(AK$8:AK$34,$BG$8:$BG$34,"Income")-SUMIFS(AK$8:AK$34,$BG$8:$BG$34,"Cost of Goods Sold")</f>
        <v>145079</v>
      </c>
      <c r="AL38" s="150">
        <f>SUMIFS(AL$8:AL$34,$BG$8:$BG$34,"Income")-SUMIFS(AL$8:AL$34,$BG$8:$BG$34,"Cost of Goods Sold")</f>
        <v>130674</v>
      </c>
      <c r="AM38" s="150">
        <f>SUMIFS(AM$8:AM$34,$BG$8:$BG$34,"Income")-SUMIFS(AM$8:AM$34,$BG$8:$BG$34,"Cost of Goods Sold")</f>
        <v>135540</v>
      </c>
      <c r="AN38" s="150">
        <f>SUMIFS(AN$8:AN$34,$BG$8:$BG$34,"Income")-SUMIFS(AN$8:AN$34,$BG$8:$BG$34,"Cost of Goods Sold")</f>
        <v>153990</v>
      </c>
      <c r="AO38" s="150">
        <f>SUMIFS(AO$8:AO$34,$BG$8:$BG$34,"Income")-SUMIFS(AO$8:AO$34,$BG$8:$BG$34,"Cost of Goods Sold")</f>
        <v>141773</v>
      </c>
      <c r="AP38" s="150">
        <f>SUMIFS(AP$8:AP$34,$BG$8:$BG$34,"Income")-SUMIFS(AP$8:AP$34,$BG$8:$BG$34,"Cost of Goods Sold")</f>
        <v>133372</v>
      </c>
      <c r="AQ38" s="150">
        <f>SUMIFS(AQ$8:AQ$34,$BG$8:$BG$34,"Income")-SUMIFS(AQ$8:AQ$34,$BG$8:$BG$34,"Cost of Goods Sold")</f>
        <v>131160</v>
      </c>
      <c r="AR38" s="150">
        <f>SUMIFS(AR$8:AR$34,$BG$8:$BG$34,"Income")-SUMIFS(AR$8:AR$34,$BG$8:$BG$34,"Cost of Goods Sold")</f>
        <v>138980</v>
      </c>
      <c r="AS38" s="150">
        <f>SUMIFS(AS$8:AS$34,$BG$8:$BG$34,"Income")-SUMIFS(AS$8:AS$34,$BG$8:$BG$34,"Cost of Goods Sold")</f>
        <v>154301</v>
      </c>
      <c r="AT38" s="150">
        <f>SUMIFS(AT$8:AT$34,$BG$8:$BG$34,"Income")-SUMIFS(AT$8:AT$34,$BG$8:$BG$34,"Cost of Goods Sold")</f>
        <v>176497</v>
      </c>
      <c r="AU38" s="150">
        <f>SUMIFS(AU$8:AU$34,$BG$8:$BG$34,"Income")-SUMIFS(AU$8:AU$34,$BG$8:$BG$34,"Cost of Goods Sold")</f>
        <v>188690</v>
      </c>
      <c r="AV38" s="150">
        <f>SUMIFS(AV$8:AV$34,$BG$8:$BG$34,"Income")-SUMIFS(AV$8:AV$34,$BG$8:$BG$34,"Cost of Goods Sold")</f>
        <v>180044</v>
      </c>
      <c r="AW38" s="150">
        <f>SUMIFS(AW$8:AW$34,$BG$8:$BG$34,"Income")-SUMIFS(AW$8:AW$34,$BG$8:$BG$34,"Cost of Goods Sold")</f>
        <v>163526</v>
      </c>
      <c r="AX38" s="150">
        <f>SUMIFS(AX$8:AX$34,$BG$8:$BG$34,"Income")-SUMIFS(AX$8:AX$34,$BG$8:$BG$34,"Cost of Goods Sold")</f>
        <v>147533</v>
      </c>
      <c r="AY38" s="150">
        <f>SUMIFS(AY$8:AY$34,$BG$8:$BG$34,"Income")-SUMIFS(AY$8:AY$34,$BG$8:$BG$34,"Cost of Goods Sold")</f>
        <v>152866</v>
      </c>
      <c r="AZ38" s="150">
        <f>SUMIFS(AZ$8:AZ$34,$BG$8:$BG$34,"Income")-SUMIFS(AZ$8:AZ$34,$BG$8:$BG$34,"Cost of Goods Sold")</f>
        <v>173158</v>
      </c>
      <c r="BB38" s="150">
        <f>SUM(AO38:AZ38)</f>
        <v>1881900</v>
      </c>
      <c r="BC38" s="151">
        <f>SUM('Raw - P&amp;L'!$AA$34:$AL$34)</f>
        <v>1881900</v>
      </c>
      <c r="BD38" s="130">
        <f>ROUND(SQRT(SUMXMY2(Q38:AZ38,'Raw - P&amp;L'!$C$34:$AL$34)),6)</f>
        <v>0</v>
      </c>
      <c r="BE38" s="17" t="str">
        <f>IF(ABS(BD38)&lt;=1,"TIES OUT","CHECK")</f>
        <v>TIES OUT</v>
      </c>
    </row>
    <row r="39" spans="2:57" x14ac:dyDescent="0.25">
      <c r="B39" s="16" t="s">
        <v>1434</v>
      </c>
      <c r="C39" s="16" t="s">
        <v>1370</v>
      </c>
      <c r="D39" s="16" t="s">
        <v>1431</v>
      </c>
      <c r="E39" s="307" t="s">
        <v>1435</v>
      </c>
      <c r="I39" s="150">
        <f>SUMIFS($Q39:$AZ39,$Q$6:$AZ$6,"&gt;="&amp;I$87,$Q$6:$AZ$6,"&lt;="&amp;I$88)</f>
        <v>910600</v>
      </c>
      <c r="J39" s="150">
        <f>SUMIFS($Q39:$AZ39,$Q$6:$AZ$6,"&gt;="&amp;J$87,$Q$6:$AZ$6,"&lt;="&amp;J$88)</f>
        <v>1008100</v>
      </c>
      <c r="K39" s="150">
        <f>SUMIFS($Q39:$AZ39,$Q$6:$AZ$6,"&gt;="&amp;K$87,$Q$6:$AZ$6,"&lt;="&amp;K$88)</f>
        <v>1104700</v>
      </c>
      <c r="L39" s="150">
        <f>SUMIFS($Q39:$AZ39,$Q$6:$AZ$6,"&gt;="&amp;L$87,$Q$6:$AZ$6,"&lt;="&amp;L$88)</f>
        <v>1008100</v>
      </c>
      <c r="M39" s="150">
        <f>SUMIFS($Q39:$AZ39,$Q$6:$AZ$6,"&gt;="&amp;M$87,$Q$6:$AZ$6,"&lt;="&amp;M$88)</f>
        <v>1104700</v>
      </c>
      <c r="N39" s="150">
        <f>SUMIFS($Q39:$AZ39,$Q$6:$AZ$6,"&gt;="&amp;N$87,$Q$6:$AZ$6,"&lt;="&amp;N$88)</f>
        <v>1008100</v>
      </c>
      <c r="O39" s="150">
        <f>SUMIFS($Q39:$AZ39,$Q$6:$AZ$6,"&gt;="&amp;O$87,$Q$6:$AZ$6,"&lt;="&amp;O$88)</f>
        <v>1104700</v>
      </c>
      <c r="P39" s="150">
        <f>SUMIFS($Q39:$AZ39,$Q$6:$AZ$6,"&gt;="&amp;P$87,$Q$6:$AZ$6,"&lt;="&amp;P$88)</f>
        <v>1104700</v>
      </c>
      <c r="Q39" s="150">
        <f>SUMIFS(Q$8:Q$34,$BG$8:$BG$34,"Expenses",$B$8:$B$34,"Payroll Expenses : *")</f>
        <v>72076</v>
      </c>
      <c r="R39" s="150">
        <f>SUMIFS(R$8:R$34,$BG$8:$BG$34,"Expenses",$B$8:$B$34,"Payroll Expenses : *")</f>
        <v>71124</v>
      </c>
      <c r="S39" s="150">
        <f>SUMIFS(S$8:S$34,$BG$8:$BG$34,"Expenses",$B$8:$B$34,"Payroll Expenses : *")</f>
        <v>73504</v>
      </c>
      <c r="T39" s="150">
        <f>SUMIFS(T$8:T$34,$BG$8:$BG$34,"Expenses",$B$8:$B$34,"Payroll Expenses : *")</f>
        <v>74932</v>
      </c>
      <c r="U39" s="150">
        <f>SUMIFS(U$8:U$34,$BG$8:$BG$34,"Expenses",$B$8:$B$34,"Payroll Expenses : *")</f>
        <v>76836</v>
      </c>
      <c r="V39" s="150">
        <f>SUMIFS(V$8:V$34,$BG$8:$BG$34,"Expenses",$B$8:$B$34,"Payroll Expenses : *")</f>
        <v>80643</v>
      </c>
      <c r="W39" s="150">
        <f>SUMIFS(W$8:W$34,$BG$8:$BG$34,"Expenses",$B$8:$B$34,"Payroll Expenses : *")</f>
        <v>83022</v>
      </c>
      <c r="X39" s="150">
        <f>SUMIFS(X$8:X$34,$BG$8:$BG$34,"Expenses",$B$8:$B$34,"Payroll Expenses : *")</f>
        <v>80643</v>
      </c>
      <c r="Y39" s="150">
        <f>SUMIFS(Y$8:Y$34,$BG$8:$BG$34,"Expenses",$B$8:$B$34,"Payroll Expenses : *")</f>
        <v>76835</v>
      </c>
      <c r="Z39" s="150">
        <f>SUMIFS(Z$8:Z$34,$BG$8:$BG$34,"Expenses",$B$8:$B$34,"Payroll Expenses : *")</f>
        <v>73979</v>
      </c>
      <c r="AA39" s="150">
        <f>SUMIFS(AA$8:AA$34,$BG$8:$BG$34,"Expenses",$B$8:$B$34,"Payroll Expenses : *")</f>
        <v>73027</v>
      </c>
      <c r="AB39" s="150">
        <f>SUMIFS(AB$8:AB$34,$BG$8:$BG$34,"Expenses",$B$8:$B$34,"Payroll Expenses : *")</f>
        <v>73979</v>
      </c>
      <c r="AC39" s="150">
        <f>SUMIFS(AC$8:AC$34,$BG$8:$BG$34,"Expenses",$B$8:$B$34,"Payroll Expenses : *")</f>
        <v>79698</v>
      </c>
      <c r="AD39" s="150">
        <f>SUMIFS(AD$8:AD$34,$BG$8:$BG$34,"Expenses",$B$8:$B$34,"Payroll Expenses : *")</f>
        <v>78621</v>
      </c>
      <c r="AE39" s="150">
        <f>SUMIFS(AE$8:AE$34,$BG$8:$BG$34,"Expenses",$B$8:$B$34,"Payroll Expenses : *")</f>
        <v>81316</v>
      </c>
      <c r="AF39" s="150">
        <f>SUMIFS(AF$8:AF$34,$BG$8:$BG$34,"Expenses",$B$8:$B$34,"Payroll Expenses : *")</f>
        <v>82932</v>
      </c>
      <c r="AG39" s="150">
        <f>SUMIFS(AG$8:AG$34,$BG$8:$BG$34,"Expenses",$B$8:$B$34,"Payroll Expenses : *")</f>
        <v>85085</v>
      </c>
      <c r="AH39" s="150">
        <f>SUMIFS(AH$8:AH$34,$BG$8:$BG$34,"Expenses",$B$8:$B$34,"Payroll Expenses : *")</f>
        <v>89397</v>
      </c>
      <c r="AI39" s="150">
        <f>SUMIFS(AI$8:AI$34,$BG$8:$BG$34,"Expenses",$B$8:$B$34,"Payroll Expenses : *")</f>
        <v>92091</v>
      </c>
      <c r="AJ39" s="150">
        <f>SUMIFS(AJ$8:AJ$34,$BG$8:$BG$34,"Expenses",$B$8:$B$34,"Payroll Expenses : *")</f>
        <v>89397</v>
      </c>
      <c r="AK39" s="150">
        <f>SUMIFS(AK$8:AK$34,$BG$8:$BG$34,"Expenses",$B$8:$B$34,"Payroll Expenses : *")</f>
        <v>85085</v>
      </c>
      <c r="AL39" s="150">
        <f>SUMIFS(AL$8:AL$34,$BG$8:$BG$34,"Expenses",$B$8:$B$34,"Payroll Expenses : *")</f>
        <v>81852</v>
      </c>
      <c r="AM39" s="150">
        <f>SUMIFS(AM$8:AM$34,$BG$8:$BG$34,"Expenses",$B$8:$B$34,"Payroll Expenses : *")</f>
        <v>80774</v>
      </c>
      <c r="AN39" s="150">
        <f>SUMIFS(AN$8:AN$34,$BG$8:$BG$34,"Expenses",$B$8:$B$34,"Payroll Expenses : *")</f>
        <v>81852</v>
      </c>
      <c r="AO39" s="150">
        <f>SUMIFS(AO$8:AO$34,$BG$8:$BG$34,"Expenses",$B$8:$B$34,"Payroll Expenses : *")</f>
        <v>87251</v>
      </c>
      <c r="AP39" s="150">
        <f>SUMIFS(AP$8:AP$34,$BG$8:$BG$34,"Expenses",$B$8:$B$34,"Payroll Expenses : *")</f>
        <v>86050</v>
      </c>
      <c r="AQ39" s="150">
        <f>SUMIFS(AQ$8:AQ$34,$BG$8:$BG$34,"Expenses",$B$8:$B$34,"Payroll Expenses : *")</f>
        <v>89054</v>
      </c>
      <c r="AR39" s="150">
        <f>SUMIFS(AR$8:AR$34,$BG$8:$BG$34,"Expenses",$B$8:$B$34,"Payroll Expenses : *")</f>
        <v>90858</v>
      </c>
      <c r="AS39" s="150">
        <f>SUMIFS(AS$8:AS$34,$BG$8:$BG$34,"Expenses",$B$8:$B$34,"Payroll Expenses : *")</f>
        <v>93262</v>
      </c>
      <c r="AT39" s="150">
        <f>SUMIFS(AT$8:AT$34,$BG$8:$BG$34,"Expenses",$B$8:$B$34,"Payroll Expenses : *")</f>
        <v>98069</v>
      </c>
      <c r="AU39" s="150">
        <f>SUMIFS(AU$8:AU$34,$BG$8:$BG$34,"Expenses",$B$8:$B$34,"Payroll Expenses : *")</f>
        <v>101074</v>
      </c>
      <c r="AV39" s="150">
        <f>SUMIFS(AV$8:AV$34,$BG$8:$BG$34,"Expenses",$B$8:$B$34,"Payroll Expenses : *")</f>
        <v>98068</v>
      </c>
      <c r="AW39" s="150">
        <f>SUMIFS(AW$8:AW$34,$BG$8:$BG$34,"Expenses",$B$8:$B$34,"Payroll Expenses : *")</f>
        <v>93258</v>
      </c>
      <c r="AX39" s="150">
        <f>SUMIFS(AX$8:AX$34,$BG$8:$BG$34,"Expenses",$B$8:$B$34,"Payroll Expenses : *")</f>
        <v>89653</v>
      </c>
      <c r="AY39" s="150">
        <f>SUMIFS(AY$8:AY$34,$BG$8:$BG$34,"Expenses",$B$8:$B$34,"Payroll Expenses : *")</f>
        <v>88450</v>
      </c>
      <c r="AZ39" s="150">
        <f>SUMIFS(AZ$8:AZ$34,$BG$8:$BG$34,"Expenses",$B$8:$B$34,"Payroll Expenses : *")</f>
        <v>89653</v>
      </c>
      <c r="BB39" s="150">
        <f>SUM(AO39:AZ39)</f>
        <v>1104700</v>
      </c>
      <c r="BC39" s="151">
        <f>SUM('Raw - P&amp;L'!$AA$35:$AL$35)</f>
        <v>1104700</v>
      </c>
      <c r="BD39" s="130">
        <f>ROUND(SQRT(SUMXMY2(Q39:AZ39,'Raw - P&amp;L'!$C$35:$AL$35)),6)</f>
        <v>0</v>
      </c>
      <c r="BE39" s="17" t="str">
        <f>IF(ABS(BD39)&lt;=1,"TIES OUT","CHECK")</f>
        <v>TIES OUT</v>
      </c>
    </row>
    <row r="40" spans="2:57" x14ac:dyDescent="0.25">
      <c r="B40" s="16" t="s">
        <v>1436</v>
      </c>
      <c r="C40" s="16" t="s">
        <v>1370</v>
      </c>
      <c r="D40" s="16" t="s">
        <v>1431</v>
      </c>
      <c r="E40" s="307" t="s">
        <v>534</v>
      </c>
      <c r="I40" s="150">
        <f>SUMIFS($Q40:$AZ40,$Q$6:$AZ$6,"&gt;="&amp;I$87,$Q$6:$AZ$6,"&lt;="&amp;I$88)</f>
        <v>1372200</v>
      </c>
      <c r="J40" s="150">
        <f>SUMIFS($Q40:$AZ40,$Q$6:$AZ$6,"&gt;="&amp;J$87,$Q$6:$AZ$6,"&lt;="&amp;J$88)</f>
        <v>1525260</v>
      </c>
      <c r="K40" s="150">
        <f>SUMIFS($Q40:$AZ40,$Q$6:$AZ$6,"&gt;="&amp;K$87,$Q$6:$AZ$6,"&lt;="&amp;K$88)</f>
        <v>1637885</v>
      </c>
      <c r="L40" s="150">
        <f>SUMIFS($Q40:$AZ40,$Q$6:$AZ$6,"&gt;="&amp;L$87,$Q$6:$AZ$6,"&lt;="&amp;L$88)</f>
        <v>1525260</v>
      </c>
      <c r="M40" s="150">
        <f>SUMIFS($Q40:$AZ40,$Q$6:$AZ$6,"&gt;="&amp;M$87,$Q$6:$AZ$6,"&lt;="&amp;M$88)</f>
        <v>1637885</v>
      </c>
      <c r="N40" s="150">
        <f>SUMIFS($Q40:$AZ40,$Q$6:$AZ$6,"&gt;="&amp;N$87,$Q$6:$AZ$6,"&lt;="&amp;N$88)</f>
        <v>1525260</v>
      </c>
      <c r="O40" s="150">
        <f>SUMIFS($Q40:$AZ40,$Q$6:$AZ$6,"&gt;="&amp;O$87,$Q$6:$AZ$6,"&lt;="&amp;O$88)</f>
        <v>1637885</v>
      </c>
      <c r="P40" s="150">
        <f>SUMIFS($Q40:$AZ40,$Q$6:$AZ$6,"&gt;="&amp;P$87,$Q$6:$AZ$6,"&lt;="&amp;P$88)</f>
        <v>1637885</v>
      </c>
      <c r="Q40" s="150">
        <f>SUMIFS(Q$8:Q$34,$BG$8:$BG$34,"Expenses")</f>
        <v>108659</v>
      </c>
      <c r="R40" s="150">
        <f>SUMIFS(R$8:R$34,$BG$8:$BG$34,"Expenses")</f>
        <v>107750</v>
      </c>
      <c r="S40" s="150">
        <f>SUMIFS(S$8:S$34,$BG$8:$BG$34,"Expenses")</f>
        <v>112259</v>
      </c>
      <c r="T40" s="150">
        <f>SUMIFS(T$8:T$34,$BG$8:$BG$34,"Expenses")</f>
        <v>114664</v>
      </c>
      <c r="U40" s="150">
        <f>SUMIFS(U$8:U$34,$BG$8:$BG$34,"Expenses")</f>
        <v>116128</v>
      </c>
      <c r="V40" s="150">
        <f>SUMIFS(V$8:V$34,$BG$8:$BG$34,"Expenses")</f>
        <v>120073</v>
      </c>
      <c r="W40" s="150">
        <f>SUMIFS(W$8:W$34,$BG$8:$BG$34,"Expenses")</f>
        <v>122719</v>
      </c>
      <c r="X40" s="150">
        <f>SUMIFS(X$8:X$34,$BG$8:$BG$34,"Expenses")</f>
        <v>119548</v>
      </c>
      <c r="Y40" s="150">
        <f>SUMIFS(Y$8:Y$34,$BG$8:$BG$34,"Expenses")</f>
        <v>115746</v>
      </c>
      <c r="Z40" s="150">
        <f>SUMIFS(Z$8:Z$34,$BG$8:$BG$34,"Expenses")</f>
        <v>112772</v>
      </c>
      <c r="AA40" s="150">
        <f>SUMIFS(AA$8:AA$34,$BG$8:$BG$34,"Expenses")</f>
        <v>109547</v>
      </c>
      <c r="AB40" s="150">
        <f>SUMIFS(AB$8:AB$34,$BG$8:$BG$34,"Expenses")</f>
        <v>112335</v>
      </c>
      <c r="AC40" s="150">
        <f>SUMIFS(AC$8:AC$34,$BG$8:$BG$34,"Expenses")</f>
        <v>118719</v>
      </c>
      <c r="AD40" s="150">
        <f>SUMIFS(AD$8:AD$34,$BG$8:$BG$34,"Expenses")</f>
        <v>117704</v>
      </c>
      <c r="AE40" s="150">
        <f>SUMIFS(AE$8:AE$34,$BG$8:$BG$34,"Expenses")</f>
        <v>122728</v>
      </c>
      <c r="AF40" s="150">
        <f>SUMIFS(AF$8:AF$34,$BG$8:$BG$34,"Expenses")</f>
        <v>125405</v>
      </c>
      <c r="AG40" s="150">
        <f>SUMIFS(AG$8:AG$34,$BG$8:$BG$34,"Expenses")</f>
        <v>127073</v>
      </c>
      <c r="AH40" s="150">
        <f>SUMIFS(AH$8:AH$34,$BG$8:$BG$34,"Expenses")</f>
        <v>143494</v>
      </c>
      <c r="AI40" s="150">
        <f>SUMIFS(AI$8:AI$34,$BG$8:$BG$34,"Expenses")</f>
        <v>146453</v>
      </c>
      <c r="AJ40" s="150">
        <f>SUMIFS(AJ$8:AJ$34,$BG$8:$BG$34,"Expenses")</f>
        <v>130915</v>
      </c>
      <c r="AK40" s="150">
        <f>SUMIFS(AK$8:AK$34,$BG$8:$BG$34,"Expenses")</f>
        <v>126648</v>
      </c>
      <c r="AL40" s="150">
        <f>SUMIFS(AL$8:AL$34,$BG$8:$BG$34,"Expenses")</f>
        <v>123305</v>
      </c>
      <c r="AM40" s="150">
        <f>SUMIFS(AM$8:AM$34,$BG$8:$BG$34,"Expenses")</f>
        <v>119760</v>
      </c>
      <c r="AN40" s="150">
        <f>SUMIFS(AN$8:AN$34,$BG$8:$BG$34,"Expenses")</f>
        <v>123056</v>
      </c>
      <c r="AO40" s="150">
        <f>SUMIFS(AO$8:AO$34,$BG$8:$BG$34,"Expenses")</f>
        <v>129362</v>
      </c>
      <c r="AP40" s="150">
        <f>SUMIFS(AP$8:AP$34,$BG$8:$BG$34,"Expenses")</f>
        <v>128252</v>
      </c>
      <c r="AQ40" s="150">
        <f>SUMIFS(AQ$8:AQ$34,$BG$8:$BG$34,"Expenses")</f>
        <v>133837</v>
      </c>
      <c r="AR40" s="150">
        <f>SUMIFS(AR$8:AR$34,$BG$8:$BG$34,"Expenses")</f>
        <v>136815</v>
      </c>
      <c r="AS40" s="150">
        <f>SUMIFS(AS$8:AS$34,$BG$8:$BG$34,"Expenses")</f>
        <v>138660</v>
      </c>
      <c r="AT40" s="150">
        <f>SUMIFS(AT$8:AT$34,$BG$8:$BG$34,"Expenses")</f>
        <v>143520</v>
      </c>
      <c r="AU40" s="150">
        <f>SUMIFS(AU$8:AU$34,$BG$8:$BG$34,"Expenses")</f>
        <v>146778</v>
      </c>
      <c r="AV40" s="150">
        <f>SUMIFS(AV$8:AV$34,$BG$8:$BG$34,"Expenses")</f>
        <v>142866</v>
      </c>
      <c r="AW40" s="150">
        <f>SUMIFS(AW$8:AW$34,$BG$8:$BG$34,"Expenses")</f>
        <v>138175</v>
      </c>
      <c r="AX40" s="150">
        <f>SUMIFS(AX$8:AX$34,$BG$8:$BG$34,"Expenses")</f>
        <v>134488</v>
      </c>
      <c r="AY40" s="150">
        <f>SUMIFS(AY$8:AY$34,$BG$8:$BG$34,"Expenses")</f>
        <v>130568</v>
      </c>
      <c r="AZ40" s="150">
        <f>SUMIFS(AZ$8:AZ$34,$BG$8:$BG$34,"Expenses")</f>
        <v>134564</v>
      </c>
      <c r="BB40" s="150">
        <f>SUM(AO40:AZ40)</f>
        <v>1637885</v>
      </c>
      <c r="BC40" s="151">
        <f>SUM('Raw - P&amp;L'!$AA$36:$AL$36)</f>
        <v>1637885</v>
      </c>
      <c r="BD40" s="130">
        <f>ROUND(SQRT(SUMXMY2(Q40:AZ40,'Raw - P&amp;L'!$C$36:$AL$36)),6)</f>
        <v>0</v>
      </c>
      <c r="BE40" s="17" t="str">
        <f>IF(ABS(BD40)&lt;=1,"TIES OUT","CHECK")</f>
        <v>TIES OUT</v>
      </c>
    </row>
    <row r="41" spans="2:57" x14ac:dyDescent="0.25">
      <c r="B41" s="29" t="s">
        <v>1437</v>
      </c>
      <c r="C41" s="29" t="s">
        <v>1370</v>
      </c>
      <c r="D41" s="29" t="s">
        <v>1431</v>
      </c>
      <c r="E41" s="308" t="s">
        <v>1438</v>
      </c>
      <c r="I41" s="162">
        <f>SUMIFS($Q41:$AZ41,$Q$6:$AZ$6,"&gt;="&amp;I$87,$Q$6:$AZ$6,"&lt;="&amp;I$88)</f>
        <v>95800</v>
      </c>
      <c r="J41" s="162">
        <f>SUMIFS($Q41:$AZ41,$Q$6:$AZ$6,"&gt;="&amp;J$87,$Q$6:$AZ$6,"&lt;="&amp;J$88)</f>
        <v>145440</v>
      </c>
      <c r="K41" s="162">
        <f>SUMIFS($Q41:$AZ41,$Q$6:$AZ$6,"&gt;="&amp;K$87,$Q$6:$AZ$6,"&lt;="&amp;K$88)</f>
        <v>244015</v>
      </c>
      <c r="L41" s="162">
        <f>SUMIFS($Q41:$AZ41,$Q$6:$AZ$6,"&gt;="&amp;L$87,$Q$6:$AZ$6,"&lt;="&amp;L$88)</f>
        <v>145440</v>
      </c>
      <c r="M41" s="162">
        <f>SUMIFS($Q41:$AZ41,$Q$6:$AZ$6,"&gt;="&amp;M$87,$Q$6:$AZ$6,"&lt;="&amp;M$88)</f>
        <v>244015</v>
      </c>
      <c r="N41" s="162">
        <f>SUMIFS($Q41:$AZ41,$Q$6:$AZ$6,"&gt;="&amp;N$87,$Q$6:$AZ$6,"&lt;="&amp;N$88)</f>
        <v>145440</v>
      </c>
      <c r="O41" s="162">
        <f>SUMIFS($Q41:$AZ41,$Q$6:$AZ$6,"&gt;="&amp;O$87,$Q$6:$AZ$6,"&lt;="&amp;O$88)</f>
        <v>244015</v>
      </c>
      <c r="P41" s="162">
        <f>SUMIFS($Q41:$AZ41,$Q$6:$AZ$6,"&gt;="&amp;P$87,$Q$6:$AZ$6,"&lt;="&amp;P$88)</f>
        <v>244015</v>
      </c>
      <c r="Q41" s="162">
        <f>SUMIFS(Q$8:Q$34,$BG$8:$BG$34,"Income")-SUMIFS(Q$8:Q$34,$BG$8:$BG$34,"Cost of Goods Sold")-SUMIFS(Q$8:Q$34,$BG$8:$BG$34,"Expenses")</f>
        <v>1886</v>
      </c>
      <c r="R41" s="162">
        <f>SUMIFS(R$8:R$34,$BG$8:$BG$34,"Income")-SUMIFS(R$8:R$34,$BG$8:$BG$34,"Cost of Goods Sold")-SUMIFS(R$8:R$34,$BG$8:$BG$34,"Expenses")</f>
        <v>-4003</v>
      </c>
      <c r="S41" s="162">
        <f>SUMIFS(S$8:S$34,$BG$8:$BG$34,"Income")-SUMIFS(S$8:S$34,$BG$8:$BG$34,"Cost of Goods Sold")-SUMIFS(S$8:S$34,$BG$8:$BG$34,"Expenses")</f>
        <v>-10444</v>
      </c>
      <c r="T41" s="162">
        <f>SUMIFS(T$8:T$34,$BG$8:$BG$34,"Income")-SUMIFS(T$8:T$34,$BG$8:$BG$34,"Cost of Goods Sold")-SUMIFS(T$8:T$34,$BG$8:$BG$34,"Expenses")</f>
        <v>-6709</v>
      </c>
      <c r="U41" s="162">
        <f>SUMIFS(U$8:U$34,$BG$8:$BG$34,"Income")-SUMIFS(U$8:U$34,$BG$8:$BG$34,"Cost of Goods Sold")-SUMIFS(U$8:U$34,$BG$8:$BG$34,"Expenses")</f>
        <v>4232</v>
      </c>
      <c r="V41" s="162">
        <f>SUMIFS(V$8:V$34,$BG$8:$BG$34,"Income")-SUMIFS(V$8:V$34,$BG$8:$BG$34,"Cost of Goods Sold")-SUMIFS(V$8:V$34,$BG$8:$BG$34,"Expenses")</f>
        <v>18112</v>
      </c>
      <c r="W41" s="162">
        <f>SUMIFS(W$8:W$34,$BG$8:$BG$34,"Income")-SUMIFS(W$8:W$34,$BG$8:$BG$34,"Cost of Goods Sold")-SUMIFS(W$8:W$34,$BG$8:$BG$34,"Expenses")</f>
        <v>25237</v>
      </c>
      <c r="X41" s="162">
        <f>SUMIFS(X$8:X$34,$BG$8:$BG$34,"Income")-SUMIFS(X$8:X$34,$BG$8:$BG$34,"Cost of Goods Sold")-SUMIFS(X$8:X$34,$BG$8:$BG$34,"Expenses")</f>
        <v>21415</v>
      </c>
      <c r="Y41" s="162">
        <f>SUMIFS(Y$8:Y$34,$BG$8:$BG$34,"Income")-SUMIFS(Y$8:Y$34,$BG$8:$BG$34,"Cost of Goods Sold")-SUMIFS(Y$8:Y$34,$BG$8:$BG$34,"Expenses")</f>
        <v>11642</v>
      </c>
      <c r="Z41" s="162">
        <f>SUMIFS(Z$8:Z$34,$BG$8:$BG$34,"Income")-SUMIFS(Z$8:Z$34,$BG$8:$BG$34,"Cost of Goods Sold")-SUMIFS(Z$8:Z$34,$BG$8:$BG$34,"Expenses")</f>
        <v>1826</v>
      </c>
      <c r="AA41" s="162">
        <f>SUMIFS(AA$8:AA$34,$BG$8:$BG$34,"Income")-SUMIFS(AA$8:AA$34,$BG$8:$BG$34,"Cost of Goods Sold")-SUMIFS(AA$8:AA$34,$BG$8:$BG$34,"Expenses")</f>
        <v>9427</v>
      </c>
      <c r="AB41" s="162">
        <f>SUMIFS(AB$8:AB$34,$BG$8:$BG$34,"Income")-SUMIFS(AB$8:AB$34,$BG$8:$BG$34,"Cost of Goods Sold")-SUMIFS(AB$8:AB$34,$BG$8:$BG$34,"Expenses")</f>
        <v>23179</v>
      </c>
      <c r="AC41" s="162">
        <f>SUMIFS(AC$8:AC$34,$BG$8:$BG$34,"Income")-SUMIFS(AC$8:AC$34,$BG$8:$BG$34,"Cost of Goods Sold")-SUMIFS(AC$8:AC$34,$BG$8:$BG$34,"Expenses")</f>
        <v>7107</v>
      </c>
      <c r="AD41" s="162">
        <f>SUMIFS(AD$8:AD$34,$BG$8:$BG$34,"Income")-SUMIFS(AD$8:AD$34,$BG$8:$BG$34,"Cost of Goods Sold")-SUMIFS(AD$8:AD$34,$BG$8:$BG$34,"Expenses")</f>
        <v>508</v>
      </c>
      <c r="AE41" s="162">
        <f>SUMIFS(AE$8:AE$34,$BG$8:$BG$34,"Income")-SUMIFS(AE$8:AE$34,$BG$8:$BG$34,"Cost of Goods Sold")-SUMIFS(AE$8:AE$34,$BG$8:$BG$34,"Expenses")</f>
        <v>-6604</v>
      </c>
      <c r="AF41" s="162">
        <f>SUMIFS(AF$8:AF$34,$BG$8:$BG$34,"Income")-SUMIFS(AF$8:AF$34,$BG$8:$BG$34,"Cost of Goods Sold")-SUMIFS(AF$8:AF$34,$BG$8:$BG$34,"Expenses")</f>
        <v>-2308</v>
      </c>
      <c r="AG41" s="162">
        <f>SUMIFS(AG$8:AG$34,$BG$8:$BG$34,"Income")-SUMIFS(AG$8:AG$34,$BG$8:$BG$34,"Cost of Goods Sold")-SUMIFS(AG$8:AG$34,$BG$8:$BG$34,"Expenses")</f>
        <v>9909</v>
      </c>
      <c r="AH41" s="162">
        <f>SUMIFS(AH$8:AH$34,$BG$8:$BG$34,"Income")-SUMIFS(AH$8:AH$34,$BG$8:$BG$34,"Cost of Goods Sold")-SUMIFS(AH$8:AH$34,$BG$8:$BG$34,"Expenses")</f>
        <v>13516</v>
      </c>
      <c r="AI41" s="162">
        <f>SUMIFS(AI$8:AI$34,$BG$8:$BG$34,"Income")-SUMIFS(AI$8:AI$34,$BG$8:$BG$34,"Cost of Goods Sold")-SUMIFS(AI$8:AI$34,$BG$8:$BG$34,"Expenses")</f>
        <v>21546</v>
      </c>
      <c r="AJ41" s="162">
        <f>SUMIFS(AJ$8:AJ$34,$BG$8:$BG$34,"Income")-SUMIFS(AJ$8:AJ$34,$BG$8:$BG$34,"Cost of Goods Sold")-SUMIFS(AJ$8:AJ$34,$BG$8:$BG$34,"Expenses")</f>
        <v>29252</v>
      </c>
      <c r="AK41" s="162">
        <f>SUMIFS(AK$8:AK$34,$BG$8:$BG$34,"Income")-SUMIFS(AK$8:AK$34,$BG$8:$BG$34,"Cost of Goods Sold")-SUMIFS(AK$8:AK$34,$BG$8:$BG$34,"Expenses")</f>
        <v>18431</v>
      </c>
      <c r="AL41" s="162">
        <f>SUMIFS(AL$8:AL$34,$BG$8:$BG$34,"Income")-SUMIFS(AL$8:AL$34,$BG$8:$BG$34,"Cost of Goods Sold")-SUMIFS(AL$8:AL$34,$BG$8:$BG$34,"Expenses")</f>
        <v>7369</v>
      </c>
      <c r="AM41" s="162">
        <f>SUMIFS(AM$8:AM$34,$BG$8:$BG$34,"Income")-SUMIFS(AM$8:AM$34,$BG$8:$BG$34,"Cost of Goods Sold")-SUMIFS(AM$8:AM$34,$BG$8:$BG$34,"Expenses")</f>
        <v>15780</v>
      </c>
      <c r="AN41" s="162">
        <f>SUMIFS(AN$8:AN$34,$BG$8:$BG$34,"Income")-SUMIFS(AN$8:AN$34,$BG$8:$BG$34,"Cost of Goods Sold")-SUMIFS(AN$8:AN$34,$BG$8:$BG$34,"Expenses")</f>
        <v>30934</v>
      </c>
      <c r="AO41" s="162">
        <f>SUMIFS(AO$8:AO$34,$BG$8:$BG$34,"Income")-SUMIFS(AO$8:AO$34,$BG$8:$BG$34,"Cost of Goods Sold")-SUMIFS(AO$8:AO$34,$BG$8:$BG$34,"Expenses")</f>
        <v>12411</v>
      </c>
      <c r="AP41" s="162">
        <f>SUMIFS(AP$8:AP$34,$BG$8:$BG$34,"Income")-SUMIFS(AP$8:AP$34,$BG$8:$BG$34,"Cost of Goods Sold")-SUMIFS(AP$8:AP$34,$BG$8:$BG$34,"Expenses")</f>
        <v>5120</v>
      </c>
      <c r="AQ41" s="162">
        <f>SUMIFS(AQ$8:AQ$34,$BG$8:$BG$34,"Income")-SUMIFS(AQ$8:AQ$34,$BG$8:$BG$34,"Cost of Goods Sold")-SUMIFS(AQ$8:AQ$34,$BG$8:$BG$34,"Expenses")</f>
        <v>-2677</v>
      </c>
      <c r="AR41" s="162">
        <f>SUMIFS(AR$8:AR$34,$BG$8:$BG$34,"Income")-SUMIFS(AR$8:AR$34,$BG$8:$BG$34,"Cost of Goods Sold")-SUMIFS(AR$8:AR$34,$BG$8:$BG$34,"Expenses")</f>
        <v>2165</v>
      </c>
      <c r="AS41" s="162">
        <f>SUMIFS(AS$8:AS$34,$BG$8:$BG$34,"Income")-SUMIFS(AS$8:AS$34,$BG$8:$BG$34,"Cost of Goods Sold")-SUMIFS(AS$8:AS$34,$BG$8:$BG$34,"Expenses")</f>
        <v>15641</v>
      </c>
      <c r="AT41" s="162">
        <f>SUMIFS(AT$8:AT$34,$BG$8:$BG$34,"Income")-SUMIFS(AT$8:AT$34,$BG$8:$BG$34,"Cost of Goods Sold")-SUMIFS(AT$8:AT$34,$BG$8:$BG$34,"Expenses")</f>
        <v>32977</v>
      </c>
      <c r="AU41" s="162">
        <f>SUMIFS(AU$8:AU$34,$BG$8:$BG$34,"Income")-SUMIFS(AU$8:AU$34,$BG$8:$BG$34,"Cost of Goods Sold")-SUMIFS(AU$8:AU$34,$BG$8:$BG$34,"Expenses")</f>
        <v>41912</v>
      </c>
      <c r="AV41" s="162">
        <f>SUMIFS(AV$8:AV$34,$BG$8:$BG$34,"Income")-SUMIFS(AV$8:AV$34,$BG$8:$BG$34,"Cost of Goods Sold")-SUMIFS(AV$8:AV$34,$BG$8:$BG$34,"Expenses")</f>
        <v>37178</v>
      </c>
      <c r="AW41" s="162">
        <f>SUMIFS(AW$8:AW$34,$BG$8:$BG$34,"Income")-SUMIFS(AW$8:AW$34,$BG$8:$BG$34,"Cost of Goods Sold")-SUMIFS(AW$8:AW$34,$BG$8:$BG$34,"Expenses")</f>
        <v>25351</v>
      </c>
      <c r="AX41" s="162">
        <f>SUMIFS(AX$8:AX$34,$BG$8:$BG$34,"Income")-SUMIFS(AX$8:AX$34,$BG$8:$BG$34,"Cost of Goods Sold")-SUMIFS(AX$8:AX$34,$BG$8:$BG$34,"Expenses")</f>
        <v>13045</v>
      </c>
      <c r="AY41" s="162">
        <f>SUMIFS(AY$8:AY$34,$BG$8:$BG$34,"Income")-SUMIFS(AY$8:AY$34,$BG$8:$BG$34,"Cost of Goods Sold")-SUMIFS(AY$8:AY$34,$BG$8:$BG$34,"Expenses")</f>
        <v>22298</v>
      </c>
      <c r="AZ41" s="162">
        <f>SUMIFS(AZ$8:AZ$34,$BG$8:$BG$34,"Income")-SUMIFS(AZ$8:AZ$34,$BG$8:$BG$34,"Cost of Goods Sold")-SUMIFS(AZ$8:AZ$34,$BG$8:$BG$34,"Expenses")</f>
        <v>38594</v>
      </c>
      <c r="BB41" s="162">
        <f>SUM(AO41:AZ41)</f>
        <v>244015</v>
      </c>
      <c r="BC41" s="161">
        <f>SUM('Raw - P&amp;L'!$AA$37:$AL$37)</f>
        <v>244015</v>
      </c>
      <c r="BD41" s="242">
        <f>ROUND(SQRT(SUMXMY2(Q41:AZ41,'Raw - P&amp;L'!$C$37:$AL$37)),6)</f>
        <v>0</v>
      </c>
      <c r="BE41" s="25" t="str">
        <f>IF(ABS(BD41)&lt;=1,"TIES OUT","CHECK")</f>
        <v>TIES OUT</v>
      </c>
    </row>
    <row r="42" spans="2:57" x14ac:dyDescent="0.25">
      <c r="B42" s="16" t="s">
        <v>1439</v>
      </c>
      <c r="C42" s="16" t="s">
        <v>1370</v>
      </c>
      <c r="D42" s="16" t="s">
        <v>1431</v>
      </c>
      <c r="E42" s="307" t="s">
        <v>361</v>
      </c>
      <c r="I42" s="150">
        <f>SUMIFS($Q42:$AZ42,$Q$6:$AZ$6,"&gt;="&amp;I$87,$Q$6:$AZ$6,"&lt;="&amp;I$88)</f>
        <v>1200</v>
      </c>
      <c r="J42" s="150">
        <f>SUMIFS($Q42:$AZ42,$Q$6:$AZ$6,"&gt;="&amp;J$87,$Q$6:$AZ$6,"&lt;="&amp;J$88)</f>
        <v>2400</v>
      </c>
      <c r="K42" s="150">
        <f>SUMIFS($Q42:$AZ42,$Q$6:$AZ$6,"&gt;="&amp;K$87,$Q$6:$AZ$6,"&lt;="&amp;K$88)</f>
        <v>3100</v>
      </c>
      <c r="L42" s="150">
        <f>SUMIFS($Q42:$AZ42,$Q$6:$AZ$6,"&gt;="&amp;L$87,$Q$6:$AZ$6,"&lt;="&amp;L$88)</f>
        <v>2400</v>
      </c>
      <c r="M42" s="150">
        <f>SUMIFS($Q42:$AZ42,$Q$6:$AZ$6,"&gt;="&amp;M$87,$Q$6:$AZ$6,"&lt;="&amp;M$88)</f>
        <v>3100</v>
      </c>
      <c r="N42" s="150">
        <f>SUMIFS($Q42:$AZ42,$Q$6:$AZ$6,"&gt;="&amp;N$87,$Q$6:$AZ$6,"&lt;="&amp;N$88)</f>
        <v>2400</v>
      </c>
      <c r="O42" s="150">
        <f>SUMIFS($Q42:$AZ42,$Q$6:$AZ$6,"&gt;="&amp;O$87,$Q$6:$AZ$6,"&lt;="&amp;O$88)</f>
        <v>3100</v>
      </c>
      <c r="P42" s="150">
        <f>SUMIFS($Q42:$AZ42,$Q$6:$AZ$6,"&gt;="&amp;P$87,$Q$6:$AZ$6,"&lt;="&amp;P$88)</f>
        <v>3100</v>
      </c>
      <c r="Q42" s="150">
        <f>SUMIFS(Q$8:Q$34,$BG$8:$BG$34,"Other Income")</f>
        <v>100</v>
      </c>
      <c r="R42" s="150">
        <f>SUMIFS(R$8:R$34,$BG$8:$BG$34,"Other Income")</f>
        <v>100</v>
      </c>
      <c r="S42" s="150">
        <f>SUMIFS(S$8:S$34,$BG$8:$BG$34,"Other Income")</f>
        <v>100</v>
      </c>
      <c r="T42" s="150">
        <f>SUMIFS(T$8:T$34,$BG$8:$BG$34,"Other Income")</f>
        <v>100</v>
      </c>
      <c r="U42" s="150">
        <f>SUMIFS(U$8:U$34,$BG$8:$BG$34,"Other Income")</f>
        <v>100</v>
      </c>
      <c r="V42" s="150">
        <f>SUMIFS(V$8:V$34,$BG$8:$BG$34,"Other Income")</f>
        <v>100</v>
      </c>
      <c r="W42" s="150">
        <f>SUMIFS(W$8:W$34,$BG$8:$BG$34,"Other Income")</f>
        <v>100</v>
      </c>
      <c r="X42" s="150">
        <f>SUMIFS(X$8:X$34,$BG$8:$BG$34,"Other Income")</f>
        <v>100</v>
      </c>
      <c r="Y42" s="150">
        <f>SUMIFS(Y$8:Y$34,$BG$8:$BG$34,"Other Income")</f>
        <v>100</v>
      </c>
      <c r="Z42" s="150">
        <f>SUMIFS(Z$8:Z$34,$BG$8:$BG$34,"Other Income")</f>
        <v>100</v>
      </c>
      <c r="AA42" s="150">
        <f>SUMIFS(AA$8:AA$34,$BG$8:$BG$34,"Other Income")</f>
        <v>100</v>
      </c>
      <c r="AB42" s="150">
        <f>SUMIFS(AB$8:AB$34,$BG$8:$BG$34,"Other Income")</f>
        <v>100</v>
      </c>
      <c r="AC42" s="150">
        <f>SUMIFS(AC$8:AC$34,$BG$8:$BG$34,"Other Income")</f>
        <v>200</v>
      </c>
      <c r="AD42" s="150">
        <f>SUMIFS(AD$8:AD$34,$BG$8:$BG$34,"Other Income")</f>
        <v>200</v>
      </c>
      <c r="AE42" s="150">
        <f>SUMIFS(AE$8:AE$34,$BG$8:$BG$34,"Other Income")</f>
        <v>200</v>
      </c>
      <c r="AF42" s="150">
        <f>SUMIFS(AF$8:AF$34,$BG$8:$BG$34,"Other Income")</f>
        <v>200</v>
      </c>
      <c r="AG42" s="150">
        <f>SUMIFS(AG$8:AG$34,$BG$8:$BG$34,"Other Income")</f>
        <v>200</v>
      </c>
      <c r="AH42" s="150">
        <f>SUMIFS(AH$8:AH$34,$BG$8:$BG$34,"Other Income")</f>
        <v>200</v>
      </c>
      <c r="AI42" s="150">
        <f>SUMIFS(AI$8:AI$34,$BG$8:$BG$34,"Other Income")</f>
        <v>200</v>
      </c>
      <c r="AJ42" s="150">
        <f>SUMIFS(AJ$8:AJ$34,$BG$8:$BG$34,"Other Income")</f>
        <v>200</v>
      </c>
      <c r="AK42" s="150">
        <f>SUMIFS(AK$8:AK$34,$BG$8:$BG$34,"Other Income")</f>
        <v>200</v>
      </c>
      <c r="AL42" s="150">
        <f>SUMIFS(AL$8:AL$34,$BG$8:$BG$34,"Other Income")</f>
        <v>200</v>
      </c>
      <c r="AM42" s="150">
        <f>SUMIFS(AM$8:AM$34,$BG$8:$BG$34,"Other Income")</f>
        <v>200</v>
      </c>
      <c r="AN42" s="150">
        <f>SUMIFS(AN$8:AN$34,$BG$8:$BG$34,"Other Income")</f>
        <v>200</v>
      </c>
      <c r="AO42" s="150">
        <f>SUMIFS(AO$8:AO$34,$BG$8:$BG$34,"Other Income")</f>
        <v>259</v>
      </c>
      <c r="AP42" s="150">
        <f>SUMIFS(AP$8:AP$34,$BG$8:$BG$34,"Other Income")</f>
        <v>259</v>
      </c>
      <c r="AQ42" s="150">
        <f>SUMIFS(AQ$8:AQ$34,$BG$8:$BG$34,"Other Income")</f>
        <v>259</v>
      </c>
      <c r="AR42" s="150">
        <f>SUMIFS(AR$8:AR$34,$BG$8:$BG$34,"Other Income")</f>
        <v>259</v>
      </c>
      <c r="AS42" s="150">
        <f>SUMIFS(AS$8:AS$34,$BG$8:$BG$34,"Other Income")</f>
        <v>258</v>
      </c>
      <c r="AT42" s="150">
        <f>SUMIFS(AT$8:AT$34,$BG$8:$BG$34,"Other Income")</f>
        <v>258</v>
      </c>
      <c r="AU42" s="150">
        <f>SUMIFS(AU$8:AU$34,$BG$8:$BG$34,"Other Income")</f>
        <v>258</v>
      </c>
      <c r="AV42" s="150">
        <f>SUMIFS(AV$8:AV$34,$BG$8:$BG$34,"Other Income")</f>
        <v>258</v>
      </c>
      <c r="AW42" s="150">
        <f>SUMIFS(AW$8:AW$34,$BG$8:$BG$34,"Other Income")</f>
        <v>258</v>
      </c>
      <c r="AX42" s="150">
        <f>SUMIFS(AX$8:AX$34,$BG$8:$BG$34,"Other Income")</f>
        <v>258</v>
      </c>
      <c r="AY42" s="150">
        <f>SUMIFS(AY$8:AY$34,$BG$8:$BG$34,"Other Income")</f>
        <v>258</v>
      </c>
      <c r="AZ42" s="150">
        <f>SUMIFS(AZ$8:AZ$34,$BG$8:$BG$34,"Other Income")</f>
        <v>258</v>
      </c>
      <c r="BB42" s="150">
        <f>SUM(AO42:AZ42)</f>
        <v>3100</v>
      </c>
      <c r="BC42" s="151">
        <f>SUM('Raw - P&amp;L'!$AA$38:$AL$38)</f>
        <v>3100</v>
      </c>
      <c r="BD42" s="130">
        <f>ROUND(SQRT(SUMXMY2(Q42:AZ42,'Raw - P&amp;L'!$C$38:$AL$38)),6)</f>
        <v>0</v>
      </c>
      <c r="BE42" s="17" t="str">
        <f>IF(ABS(BD42)&lt;=1,"TIES OUT","CHECK")</f>
        <v>TIES OUT</v>
      </c>
    </row>
    <row r="43" spans="2:57" x14ac:dyDescent="0.25">
      <c r="B43" s="16" t="s">
        <v>1440</v>
      </c>
      <c r="C43" s="16" t="s">
        <v>1370</v>
      </c>
      <c r="D43" s="16" t="s">
        <v>1431</v>
      </c>
      <c r="E43" s="307" t="s">
        <v>1428</v>
      </c>
      <c r="I43" s="150">
        <f>SUMIFS($Q43:$AZ43,$Q$6:$AZ$6,"&gt;="&amp;I$87,$Q$6:$AZ$6,"&lt;="&amp;I$88)</f>
        <v>22400</v>
      </c>
      <c r="J43" s="150">
        <f>SUMIFS($Q43:$AZ43,$Q$6:$AZ$6,"&gt;="&amp;J$87,$Q$6:$AZ$6,"&lt;="&amp;J$88)</f>
        <v>18600</v>
      </c>
      <c r="K43" s="150">
        <f>SUMIFS($Q43:$AZ43,$Q$6:$AZ$6,"&gt;="&amp;K$87,$Q$6:$AZ$6,"&lt;="&amp;K$88)</f>
        <v>14300</v>
      </c>
      <c r="L43" s="150">
        <f>SUMIFS($Q43:$AZ43,$Q$6:$AZ$6,"&gt;="&amp;L$87,$Q$6:$AZ$6,"&lt;="&amp;L$88)</f>
        <v>18600</v>
      </c>
      <c r="M43" s="150">
        <f>SUMIFS($Q43:$AZ43,$Q$6:$AZ$6,"&gt;="&amp;M$87,$Q$6:$AZ$6,"&lt;="&amp;M$88)</f>
        <v>14300</v>
      </c>
      <c r="N43" s="150">
        <f>SUMIFS($Q43:$AZ43,$Q$6:$AZ$6,"&gt;="&amp;N$87,$Q$6:$AZ$6,"&lt;="&amp;N$88)</f>
        <v>18600</v>
      </c>
      <c r="O43" s="150">
        <f>SUMIFS($Q43:$AZ43,$Q$6:$AZ$6,"&gt;="&amp;O$87,$Q$6:$AZ$6,"&lt;="&amp;O$88)</f>
        <v>14300</v>
      </c>
      <c r="P43" s="150">
        <f>SUMIFS($Q43:$AZ43,$Q$6:$AZ$6,"&gt;="&amp;P$87,$Q$6:$AZ$6,"&lt;="&amp;P$88)</f>
        <v>14300</v>
      </c>
      <c r="Q43" s="150">
        <f>SUMIFS(Q$8:Q$34,$BG$8:$BG$34,"Other Expenses")</f>
        <v>2074</v>
      </c>
      <c r="R43" s="150">
        <f>SUMIFS(R$8:R$34,$BG$8:$BG$34,"Other Expenses")</f>
        <v>2036</v>
      </c>
      <c r="S43" s="150">
        <f>SUMIFS(S$8:S$34,$BG$8:$BG$34,"Other Expenses")</f>
        <v>1999</v>
      </c>
      <c r="T43" s="150">
        <f>SUMIFS(T$8:T$34,$BG$8:$BG$34,"Other Expenses")</f>
        <v>1961</v>
      </c>
      <c r="U43" s="150">
        <f>SUMIFS(U$8:U$34,$BG$8:$BG$34,"Other Expenses")</f>
        <v>1923</v>
      </c>
      <c r="V43" s="150">
        <f>SUMIFS(V$8:V$34,$BG$8:$BG$34,"Other Expenses")</f>
        <v>1886</v>
      </c>
      <c r="W43" s="150">
        <f>SUMIFS(W$8:W$34,$BG$8:$BG$34,"Other Expenses")</f>
        <v>1848</v>
      </c>
      <c r="X43" s="150">
        <f>SUMIFS(X$8:X$34,$BG$8:$BG$34,"Other Expenses")</f>
        <v>1810</v>
      </c>
      <c r="Y43" s="150">
        <f>SUMIFS(Y$8:Y$34,$BG$8:$BG$34,"Other Expenses")</f>
        <v>1772</v>
      </c>
      <c r="Z43" s="150">
        <f>SUMIFS(Z$8:Z$34,$BG$8:$BG$34,"Other Expenses")</f>
        <v>1735</v>
      </c>
      <c r="AA43" s="150">
        <f>SUMIFS(AA$8:AA$34,$BG$8:$BG$34,"Other Expenses")</f>
        <v>1697</v>
      </c>
      <c r="AB43" s="150">
        <f>SUMIFS(AB$8:AB$34,$BG$8:$BG$34,"Other Expenses")</f>
        <v>1659</v>
      </c>
      <c r="AC43" s="150">
        <f>SUMIFS(AC$8:AC$34,$BG$8:$BG$34,"Other Expenses")</f>
        <v>1722</v>
      </c>
      <c r="AD43" s="150">
        <f>SUMIFS(AD$8:AD$34,$BG$8:$BG$34,"Other Expenses")</f>
        <v>1691</v>
      </c>
      <c r="AE43" s="150">
        <f>SUMIFS(AE$8:AE$34,$BG$8:$BG$34,"Other Expenses")</f>
        <v>1660</v>
      </c>
      <c r="AF43" s="150">
        <f>SUMIFS(AF$8:AF$34,$BG$8:$BG$34,"Other Expenses")</f>
        <v>1628</v>
      </c>
      <c r="AG43" s="150">
        <f>SUMIFS(AG$8:AG$34,$BG$8:$BG$34,"Other Expenses")</f>
        <v>1597</v>
      </c>
      <c r="AH43" s="150">
        <f>SUMIFS(AH$8:AH$34,$BG$8:$BG$34,"Other Expenses")</f>
        <v>1566</v>
      </c>
      <c r="AI43" s="150">
        <f>SUMIFS(AI$8:AI$34,$BG$8:$BG$34,"Other Expenses")</f>
        <v>1534</v>
      </c>
      <c r="AJ43" s="150">
        <f>SUMIFS(AJ$8:AJ$34,$BG$8:$BG$34,"Other Expenses")</f>
        <v>1503</v>
      </c>
      <c r="AK43" s="150">
        <f>SUMIFS(AK$8:AK$34,$BG$8:$BG$34,"Other Expenses")</f>
        <v>1472</v>
      </c>
      <c r="AL43" s="150">
        <f>SUMIFS(AL$8:AL$34,$BG$8:$BG$34,"Other Expenses")</f>
        <v>1440</v>
      </c>
      <c r="AM43" s="150">
        <f>SUMIFS(AM$8:AM$34,$BG$8:$BG$34,"Other Expenses")</f>
        <v>1409</v>
      </c>
      <c r="AN43" s="150">
        <f>SUMIFS(AN$8:AN$34,$BG$8:$BG$34,"Other Expenses")</f>
        <v>1378</v>
      </c>
      <c r="AO43" s="150">
        <f>SUMIFS(AO$8:AO$34,$BG$8:$BG$34,"Other Expenses")</f>
        <v>1324</v>
      </c>
      <c r="AP43" s="150">
        <f>SUMIFS(AP$8:AP$34,$BG$8:$BG$34,"Other Expenses")</f>
        <v>1300</v>
      </c>
      <c r="AQ43" s="150">
        <f>SUMIFS(AQ$8:AQ$34,$BG$8:$BG$34,"Other Expenses")</f>
        <v>1276</v>
      </c>
      <c r="AR43" s="150">
        <f>SUMIFS(AR$8:AR$34,$BG$8:$BG$34,"Other Expenses")</f>
        <v>1252</v>
      </c>
      <c r="AS43" s="150">
        <f>SUMIFS(AS$8:AS$34,$BG$8:$BG$34,"Other Expenses")</f>
        <v>1228</v>
      </c>
      <c r="AT43" s="150">
        <f>SUMIFS(AT$8:AT$34,$BG$8:$BG$34,"Other Expenses")</f>
        <v>1204</v>
      </c>
      <c r="AU43" s="150">
        <f>SUMIFS(AU$8:AU$34,$BG$8:$BG$34,"Other Expenses")</f>
        <v>1180</v>
      </c>
      <c r="AV43" s="150">
        <f>SUMIFS(AV$8:AV$34,$BG$8:$BG$34,"Other Expenses")</f>
        <v>1156</v>
      </c>
      <c r="AW43" s="150">
        <f>SUMIFS(AW$8:AW$34,$BG$8:$BG$34,"Other Expenses")</f>
        <v>1131</v>
      </c>
      <c r="AX43" s="150">
        <f>SUMIFS(AX$8:AX$34,$BG$8:$BG$34,"Other Expenses")</f>
        <v>1107</v>
      </c>
      <c r="AY43" s="150">
        <f>SUMIFS(AY$8:AY$34,$BG$8:$BG$34,"Other Expenses")</f>
        <v>1083</v>
      </c>
      <c r="AZ43" s="150">
        <f>SUMIFS(AZ$8:AZ$34,$BG$8:$BG$34,"Other Expenses")</f>
        <v>1059</v>
      </c>
      <c r="BB43" s="150">
        <f>SUM(AO43:AZ43)</f>
        <v>14300</v>
      </c>
      <c r="BC43" s="151">
        <f>SUM('Raw - P&amp;L'!$AA$39:$AL$39)</f>
        <v>14300</v>
      </c>
      <c r="BD43" s="130">
        <f>ROUND(SQRT(SUMXMY2(Q43:AZ43,'Raw - P&amp;L'!$C$39:$AL$39)),6)</f>
        <v>0</v>
      </c>
      <c r="BE43" s="17" t="str">
        <f>IF(ABS(BD43)&lt;=1,"TIES OUT","CHECK")</f>
        <v>TIES OUT</v>
      </c>
    </row>
    <row r="44" spans="2:57" x14ac:dyDescent="0.25">
      <c r="B44" s="16" t="s">
        <v>1441</v>
      </c>
      <c r="C44" s="16" t="s">
        <v>1370</v>
      </c>
      <c r="D44" s="16" t="s">
        <v>1431</v>
      </c>
      <c r="E44" s="307" t="s">
        <v>1442</v>
      </c>
      <c r="I44" s="150">
        <f>SUMIFS($Q44:$AZ44,$Q$6:$AZ$6,"&gt;="&amp;I$87,$Q$6:$AZ$6,"&lt;="&amp;I$88)</f>
        <v>-21200</v>
      </c>
      <c r="J44" s="150">
        <f>SUMIFS($Q44:$AZ44,$Q$6:$AZ$6,"&gt;="&amp;J$87,$Q$6:$AZ$6,"&lt;="&amp;J$88)</f>
        <v>-16200</v>
      </c>
      <c r="K44" s="150">
        <f>SUMIFS($Q44:$AZ44,$Q$6:$AZ$6,"&gt;="&amp;K$87,$Q$6:$AZ$6,"&lt;="&amp;K$88)</f>
        <v>-11200</v>
      </c>
      <c r="L44" s="150">
        <f>SUMIFS($Q44:$AZ44,$Q$6:$AZ$6,"&gt;="&amp;L$87,$Q$6:$AZ$6,"&lt;="&amp;L$88)</f>
        <v>-16200</v>
      </c>
      <c r="M44" s="150">
        <f>SUMIFS($Q44:$AZ44,$Q$6:$AZ$6,"&gt;="&amp;M$87,$Q$6:$AZ$6,"&lt;="&amp;M$88)</f>
        <v>-11200</v>
      </c>
      <c r="N44" s="150">
        <f>SUMIFS($Q44:$AZ44,$Q$6:$AZ$6,"&gt;="&amp;N$87,$Q$6:$AZ$6,"&lt;="&amp;N$88)</f>
        <v>-16200</v>
      </c>
      <c r="O44" s="150">
        <f>SUMIFS($Q44:$AZ44,$Q$6:$AZ$6,"&gt;="&amp;O$87,$Q$6:$AZ$6,"&lt;="&amp;O$88)</f>
        <v>-11200</v>
      </c>
      <c r="P44" s="150">
        <f>SUMIFS($Q44:$AZ44,$Q$6:$AZ$6,"&gt;="&amp;P$87,$Q$6:$AZ$6,"&lt;="&amp;P$88)</f>
        <v>-11200</v>
      </c>
      <c r="Q44" s="150">
        <f>SUMIFS(Q$8:Q$34,$BG$8:$BG$34,"Other Income")-SUMIFS(Q$8:Q$34,$BG$8:$BG$34,"Other Expenses")</f>
        <v>-1974</v>
      </c>
      <c r="R44" s="150">
        <f>SUMIFS(R$8:R$34,$BG$8:$BG$34,"Other Income")-SUMIFS(R$8:R$34,$BG$8:$BG$34,"Other Expenses")</f>
        <v>-1936</v>
      </c>
      <c r="S44" s="150">
        <f>SUMIFS(S$8:S$34,$BG$8:$BG$34,"Other Income")-SUMIFS(S$8:S$34,$BG$8:$BG$34,"Other Expenses")</f>
        <v>-1899</v>
      </c>
      <c r="T44" s="150">
        <f>SUMIFS(T$8:T$34,$BG$8:$BG$34,"Other Income")-SUMIFS(T$8:T$34,$BG$8:$BG$34,"Other Expenses")</f>
        <v>-1861</v>
      </c>
      <c r="U44" s="150">
        <f>SUMIFS(U$8:U$34,$BG$8:$BG$34,"Other Income")-SUMIFS(U$8:U$34,$BG$8:$BG$34,"Other Expenses")</f>
        <v>-1823</v>
      </c>
      <c r="V44" s="150">
        <f>SUMIFS(V$8:V$34,$BG$8:$BG$34,"Other Income")-SUMIFS(V$8:V$34,$BG$8:$BG$34,"Other Expenses")</f>
        <v>-1786</v>
      </c>
      <c r="W44" s="150">
        <f>SUMIFS(W$8:W$34,$BG$8:$BG$34,"Other Income")-SUMIFS(W$8:W$34,$BG$8:$BG$34,"Other Expenses")</f>
        <v>-1748</v>
      </c>
      <c r="X44" s="150">
        <f>SUMIFS(X$8:X$34,$BG$8:$BG$34,"Other Income")-SUMIFS(X$8:X$34,$BG$8:$BG$34,"Other Expenses")</f>
        <v>-1710</v>
      </c>
      <c r="Y44" s="150">
        <f>SUMIFS(Y$8:Y$34,$BG$8:$BG$34,"Other Income")-SUMIFS(Y$8:Y$34,$BG$8:$BG$34,"Other Expenses")</f>
        <v>-1672</v>
      </c>
      <c r="Z44" s="150">
        <f>SUMIFS(Z$8:Z$34,$BG$8:$BG$34,"Other Income")-SUMIFS(Z$8:Z$34,$BG$8:$BG$34,"Other Expenses")</f>
        <v>-1635</v>
      </c>
      <c r="AA44" s="150">
        <f>SUMIFS(AA$8:AA$34,$BG$8:$BG$34,"Other Income")-SUMIFS(AA$8:AA$34,$BG$8:$BG$34,"Other Expenses")</f>
        <v>-1597</v>
      </c>
      <c r="AB44" s="150">
        <f>SUMIFS(AB$8:AB$34,$BG$8:$BG$34,"Other Income")-SUMIFS(AB$8:AB$34,$BG$8:$BG$34,"Other Expenses")</f>
        <v>-1559</v>
      </c>
      <c r="AC44" s="150">
        <f>SUMIFS(AC$8:AC$34,$BG$8:$BG$34,"Other Income")-SUMIFS(AC$8:AC$34,$BG$8:$BG$34,"Other Expenses")</f>
        <v>-1522</v>
      </c>
      <c r="AD44" s="150">
        <f>SUMIFS(AD$8:AD$34,$BG$8:$BG$34,"Other Income")-SUMIFS(AD$8:AD$34,$BG$8:$BG$34,"Other Expenses")</f>
        <v>-1491</v>
      </c>
      <c r="AE44" s="150">
        <f>SUMIFS(AE$8:AE$34,$BG$8:$BG$34,"Other Income")-SUMIFS(AE$8:AE$34,$BG$8:$BG$34,"Other Expenses")</f>
        <v>-1460</v>
      </c>
      <c r="AF44" s="150">
        <f>SUMIFS(AF$8:AF$34,$BG$8:$BG$34,"Other Income")-SUMIFS(AF$8:AF$34,$BG$8:$BG$34,"Other Expenses")</f>
        <v>-1428</v>
      </c>
      <c r="AG44" s="150">
        <f>SUMIFS(AG$8:AG$34,$BG$8:$BG$34,"Other Income")-SUMIFS(AG$8:AG$34,$BG$8:$BG$34,"Other Expenses")</f>
        <v>-1397</v>
      </c>
      <c r="AH44" s="150">
        <f>SUMIFS(AH$8:AH$34,$BG$8:$BG$34,"Other Income")-SUMIFS(AH$8:AH$34,$BG$8:$BG$34,"Other Expenses")</f>
        <v>-1366</v>
      </c>
      <c r="AI44" s="150">
        <f>SUMIFS(AI$8:AI$34,$BG$8:$BG$34,"Other Income")-SUMIFS(AI$8:AI$34,$BG$8:$BG$34,"Other Expenses")</f>
        <v>-1334</v>
      </c>
      <c r="AJ44" s="150">
        <f>SUMIFS(AJ$8:AJ$34,$BG$8:$BG$34,"Other Income")-SUMIFS(AJ$8:AJ$34,$BG$8:$BG$34,"Other Expenses")</f>
        <v>-1303</v>
      </c>
      <c r="AK44" s="150">
        <f>SUMIFS(AK$8:AK$34,$BG$8:$BG$34,"Other Income")-SUMIFS(AK$8:AK$34,$BG$8:$BG$34,"Other Expenses")</f>
        <v>-1272</v>
      </c>
      <c r="AL44" s="150">
        <f>SUMIFS(AL$8:AL$34,$BG$8:$BG$34,"Other Income")-SUMIFS(AL$8:AL$34,$BG$8:$BG$34,"Other Expenses")</f>
        <v>-1240</v>
      </c>
      <c r="AM44" s="150">
        <f>SUMIFS(AM$8:AM$34,$BG$8:$BG$34,"Other Income")-SUMIFS(AM$8:AM$34,$BG$8:$BG$34,"Other Expenses")</f>
        <v>-1209</v>
      </c>
      <c r="AN44" s="150">
        <f>SUMIFS(AN$8:AN$34,$BG$8:$BG$34,"Other Income")-SUMIFS(AN$8:AN$34,$BG$8:$BG$34,"Other Expenses")</f>
        <v>-1178</v>
      </c>
      <c r="AO44" s="150">
        <f>SUMIFS(AO$8:AO$34,$BG$8:$BG$34,"Other Income")-SUMIFS(AO$8:AO$34,$BG$8:$BG$34,"Other Expenses")</f>
        <v>-1065</v>
      </c>
      <c r="AP44" s="150">
        <f>SUMIFS(AP$8:AP$34,$BG$8:$BG$34,"Other Income")-SUMIFS(AP$8:AP$34,$BG$8:$BG$34,"Other Expenses")</f>
        <v>-1041</v>
      </c>
      <c r="AQ44" s="150">
        <f>SUMIFS(AQ$8:AQ$34,$BG$8:$BG$34,"Other Income")-SUMIFS(AQ$8:AQ$34,$BG$8:$BG$34,"Other Expenses")</f>
        <v>-1017</v>
      </c>
      <c r="AR44" s="150">
        <f>SUMIFS(AR$8:AR$34,$BG$8:$BG$34,"Other Income")-SUMIFS(AR$8:AR$34,$BG$8:$BG$34,"Other Expenses")</f>
        <v>-993</v>
      </c>
      <c r="AS44" s="150">
        <f>SUMIFS(AS$8:AS$34,$BG$8:$BG$34,"Other Income")-SUMIFS(AS$8:AS$34,$BG$8:$BG$34,"Other Expenses")</f>
        <v>-970</v>
      </c>
      <c r="AT44" s="150">
        <f>SUMIFS(AT$8:AT$34,$BG$8:$BG$34,"Other Income")-SUMIFS(AT$8:AT$34,$BG$8:$BG$34,"Other Expenses")</f>
        <v>-946</v>
      </c>
      <c r="AU44" s="150">
        <f>SUMIFS(AU$8:AU$34,$BG$8:$BG$34,"Other Income")-SUMIFS(AU$8:AU$34,$BG$8:$BG$34,"Other Expenses")</f>
        <v>-922</v>
      </c>
      <c r="AV44" s="150">
        <f>SUMIFS(AV$8:AV$34,$BG$8:$BG$34,"Other Income")-SUMIFS(AV$8:AV$34,$BG$8:$BG$34,"Other Expenses")</f>
        <v>-898</v>
      </c>
      <c r="AW44" s="150">
        <f>SUMIFS(AW$8:AW$34,$BG$8:$BG$34,"Other Income")-SUMIFS(AW$8:AW$34,$BG$8:$BG$34,"Other Expenses")</f>
        <v>-873</v>
      </c>
      <c r="AX44" s="150">
        <f>SUMIFS(AX$8:AX$34,$BG$8:$BG$34,"Other Income")-SUMIFS(AX$8:AX$34,$BG$8:$BG$34,"Other Expenses")</f>
        <v>-849</v>
      </c>
      <c r="AY44" s="150">
        <f>SUMIFS(AY$8:AY$34,$BG$8:$BG$34,"Other Income")-SUMIFS(AY$8:AY$34,$BG$8:$BG$34,"Other Expenses")</f>
        <v>-825</v>
      </c>
      <c r="AZ44" s="150">
        <f>SUMIFS(AZ$8:AZ$34,$BG$8:$BG$34,"Other Income")-SUMIFS(AZ$8:AZ$34,$BG$8:$BG$34,"Other Expenses")</f>
        <v>-801</v>
      </c>
      <c r="BB44" s="150">
        <f>SUM(AO44:AZ44)</f>
        <v>-11200</v>
      </c>
      <c r="BC44" s="151">
        <f>SUM('Raw - P&amp;L'!$AA$40:$AL$40)</f>
        <v>-11200</v>
      </c>
      <c r="BD44" s="130">
        <f>ROUND(SQRT(SUMXMY2(Q44:AZ44,'Raw - P&amp;L'!$C$40:$AL$40)),6)</f>
        <v>0</v>
      </c>
      <c r="BE44" s="17" t="str">
        <f>IF(ABS(BD44)&lt;=1,"TIES OUT","CHECK")</f>
        <v>TIES OUT</v>
      </c>
    </row>
    <row r="45" spans="2:57" x14ac:dyDescent="0.25">
      <c r="B45" s="16" t="s">
        <v>92</v>
      </c>
      <c r="C45" s="16" t="s">
        <v>1370</v>
      </c>
      <c r="D45" s="16" t="s">
        <v>1431</v>
      </c>
      <c r="E45" s="307" t="s">
        <v>1443</v>
      </c>
      <c r="I45" s="150">
        <f>SUMIFS($Q45:$AZ45,$Q$6:$AZ$6,"&gt;="&amp;I$87,$Q$6:$AZ$6,"&lt;="&amp;I$88)</f>
        <v>74600</v>
      </c>
      <c r="J45" s="150">
        <f>SUMIFS($Q45:$AZ45,$Q$6:$AZ$6,"&gt;="&amp;J$87,$Q$6:$AZ$6,"&lt;="&amp;J$88)</f>
        <v>129240</v>
      </c>
      <c r="K45" s="150">
        <f>SUMIFS($Q45:$AZ45,$Q$6:$AZ$6,"&gt;="&amp;K$87,$Q$6:$AZ$6,"&lt;="&amp;K$88)</f>
        <v>232815</v>
      </c>
      <c r="L45" s="150">
        <f>SUMIFS($Q45:$AZ45,$Q$6:$AZ$6,"&gt;="&amp;L$87,$Q$6:$AZ$6,"&lt;="&amp;L$88)</f>
        <v>129240</v>
      </c>
      <c r="M45" s="150">
        <f>SUMIFS($Q45:$AZ45,$Q$6:$AZ$6,"&gt;="&amp;M$87,$Q$6:$AZ$6,"&lt;="&amp;M$88)</f>
        <v>232815</v>
      </c>
      <c r="N45" s="150">
        <f>SUMIFS($Q45:$AZ45,$Q$6:$AZ$6,"&gt;="&amp;N$87,$Q$6:$AZ$6,"&lt;="&amp;N$88)</f>
        <v>129240</v>
      </c>
      <c r="O45" s="150">
        <f>SUMIFS($Q45:$AZ45,$Q$6:$AZ$6,"&gt;="&amp;O$87,$Q$6:$AZ$6,"&lt;="&amp;O$88)</f>
        <v>232815</v>
      </c>
      <c r="P45" s="150">
        <f>SUMIFS($Q45:$AZ45,$Q$6:$AZ$6,"&gt;="&amp;P$87,$Q$6:$AZ$6,"&lt;="&amp;P$88)</f>
        <v>232815</v>
      </c>
      <c r="Q45" s="151">
        <f>'Monthly P&amp;L'!Q43*1000</f>
        <v>-88</v>
      </c>
      <c r="R45" s="151">
        <f>'Monthly P&amp;L'!R43*1000</f>
        <v>-5939</v>
      </c>
      <c r="S45" s="151">
        <f>'Monthly P&amp;L'!S43*1000</f>
        <v>-12343</v>
      </c>
      <c r="T45" s="151">
        <f>'Monthly P&amp;L'!T43*1000</f>
        <v>-8570</v>
      </c>
      <c r="U45" s="151">
        <f>'Monthly P&amp;L'!U43*1000</f>
        <v>2409</v>
      </c>
      <c r="V45" s="151">
        <f>'Monthly P&amp;L'!V43*1000</f>
        <v>16326</v>
      </c>
      <c r="W45" s="151">
        <f>'Monthly P&amp;L'!W43*1000</f>
        <v>23489</v>
      </c>
      <c r="X45" s="151">
        <f>'Monthly P&amp;L'!X43*1000</f>
        <v>19705</v>
      </c>
      <c r="Y45" s="151">
        <f>'Monthly P&amp;L'!Y43*1000</f>
        <v>9970</v>
      </c>
      <c r="Z45" s="151">
        <f>'Monthly P&amp;L'!Z43*1000</f>
        <v>191</v>
      </c>
      <c r="AA45" s="151">
        <f>'Monthly P&amp;L'!AA43*1000</f>
        <v>7830</v>
      </c>
      <c r="AB45" s="151">
        <f>'Monthly P&amp;L'!AB43*1000</f>
        <v>21620</v>
      </c>
      <c r="AC45" s="151">
        <f>'Monthly P&amp;L'!AC43*1000</f>
        <v>5585</v>
      </c>
      <c r="AD45" s="151">
        <f>'Monthly P&amp;L'!AD43*1000</f>
        <v>-983</v>
      </c>
      <c r="AE45" s="151">
        <f>'Monthly P&amp;L'!AE43*1000</f>
        <v>-8064</v>
      </c>
      <c r="AF45" s="151">
        <f>'Monthly P&amp;L'!AF43*1000</f>
        <v>-3736</v>
      </c>
      <c r="AG45" s="151">
        <f>'Monthly P&amp;L'!AG43*1000</f>
        <v>8512</v>
      </c>
      <c r="AH45" s="151">
        <f>'Monthly P&amp;L'!AH43*1000</f>
        <v>12150</v>
      </c>
      <c r="AI45" s="151">
        <f>'Monthly P&amp;L'!AI43*1000</f>
        <v>20212</v>
      </c>
      <c r="AJ45" s="151">
        <f>'Monthly P&amp;L'!AJ43*1000</f>
        <v>27949</v>
      </c>
      <c r="AK45" s="151">
        <f>'Monthly P&amp;L'!AK43*1000</f>
        <v>17159</v>
      </c>
      <c r="AL45" s="151">
        <f>'Monthly P&amp;L'!AL43*1000</f>
        <v>6129</v>
      </c>
      <c r="AM45" s="151">
        <f>'Monthly P&amp;L'!AM43*1000</f>
        <v>14571</v>
      </c>
      <c r="AN45" s="151">
        <f>'Monthly P&amp;L'!AN43*1000</f>
        <v>29756</v>
      </c>
      <c r="AO45" s="151">
        <f>'Monthly P&amp;L'!AO43*1000</f>
        <v>11346</v>
      </c>
      <c r="AP45" s="151">
        <f>'Monthly P&amp;L'!AP43*1000</f>
        <v>4079</v>
      </c>
      <c r="AQ45" s="151">
        <f>'Monthly P&amp;L'!AQ43*1000</f>
        <v>-3694</v>
      </c>
      <c r="AR45" s="151">
        <f>'Monthly P&amp;L'!AR43*1000</f>
        <v>1172</v>
      </c>
      <c r="AS45" s="151">
        <f>'Monthly P&amp;L'!AS43*1000</f>
        <v>14671</v>
      </c>
      <c r="AT45" s="151">
        <f>'Monthly P&amp;L'!AT43*1000</f>
        <v>32031</v>
      </c>
      <c r="AU45" s="151">
        <f>'Monthly P&amp;L'!AU43*1000</f>
        <v>40990</v>
      </c>
      <c r="AV45" s="151">
        <f>'Monthly P&amp;L'!AV43*1000</f>
        <v>36280</v>
      </c>
      <c r="AW45" s="151">
        <f>'Monthly P&amp;L'!AW43*1000</f>
        <v>24478</v>
      </c>
      <c r="AX45" s="151">
        <f>'Monthly P&amp;L'!AX43*1000</f>
        <v>12196</v>
      </c>
      <c r="AY45" s="151">
        <f>'Monthly P&amp;L'!AY43*1000</f>
        <v>21473</v>
      </c>
      <c r="AZ45" s="151">
        <f>'Monthly P&amp;L'!AZ43*1000</f>
        <v>37793</v>
      </c>
      <c r="BB45" s="150">
        <f>SUM(AO45:AZ45)</f>
        <v>232815</v>
      </c>
      <c r="BC45" s="151">
        <f>SUM('Raw - P&amp;L'!$AA$41:$AL$41)</f>
        <v>232815</v>
      </c>
      <c r="BD45" s="130">
        <f>ROUND(SQRT(SUMXMY2(Q45:AZ45,'Raw - P&amp;L'!$C$41:$AL$41)),6)</f>
        <v>0</v>
      </c>
      <c r="BE45" s="17" t="str">
        <f>IF(ABS(BD45)&lt;=1,"TIES OUT","CHECK")</f>
        <v>TIES OUT</v>
      </c>
    </row>
    <row r="47" spans="2:7" x14ac:dyDescent="0.25">
      <c r="B47" s="37" t="s">
        <v>1444</v>
      </c>
      <c r="C47" s="37"/>
      <c r="D47" s="37"/>
      <c r="E47" s="37"/>
      <c r="F47" s="37"/>
      <c r="G47" s="37"/>
    </row>
    <row r="48" spans="2:11" x14ac:dyDescent="0.25">
      <c r="B48" s="13" t="s">
        <v>1360</v>
      </c>
      <c r="C48" s="13" t="s">
        <v>140</v>
      </c>
      <c r="D48" s="13" t="s">
        <v>1361</v>
      </c>
      <c r="E48" s="13" t="s">
        <v>1362</v>
      </c>
      <c r="F48" s="12"/>
      <c r="G48" s="12"/>
      <c r="I48" s="138">
        <f>EOMONTH(DATE('Assumptions'!$C$15-2,'Assumptions'!$C$14,1),-1)+1</f>
        <v>45261</v>
      </c>
      <c r="J48" s="138">
        <f>EOMONTH(DATE('Assumptions'!$C$15-1,'Assumptions'!$C$14,1),-1)+1</f>
        <v>45627</v>
      </c>
      <c r="K48" s="138">
        <f>EOMONTH(DATE('Assumptions'!$C$15-0,'Assumptions'!$C$14,1),-1)+1</f>
        <v>45992</v>
      </c>
    </row>
    <row r="49" spans="2:59" x14ac:dyDescent="0.25">
      <c r="B49" s="16" t="s">
        <v>1445</v>
      </c>
      <c r="C49" s="16" t="s">
        <v>1370</v>
      </c>
      <c r="D49" s="16" t="s">
        <v>1446</v>
      </c>
      <c r="E49" s="16" t="s">
        <v>250</v>
      </c>
      <c r="I49" s="114">
        <v>128700</v>
      </c>
      <c r="J49" s="114">
        <v>142300</v>
      </c>
      <c r="K49" s="114">
        <v>186400</v>
      </c>
      <c r="BB49" s="309">
        <f>K49</f>
        <v>186400</v>
      </c>
      <c r="BC49" s="151">
        <f>'Raw - BS'!$E$4:$E$4</f>
        <v>186400</v>
      </c>
      <c r="BD49" s="130">
        <f>ROUND(SQRT(SUMXMY2(I49:K49,'Raw - BS'!$C$4:$E$4)),6)</f>
        <v>0</v>
      </c>
      <c r="BE49" s="17" t="str">
        <f>IF(ABS(BD49)&lt;=1,"TIES OUT","CHECK")</f>
        <v>TIES OUT</v>
      </c>
      <c r="BG49" s="131" t="s">
        <v>1447</v>
      </c>
    </row>
    <row r="50" spans="2:59" x14ac:dyDescent="0.25">
      <c r="B50" s="16" t="s">
        <v>1448</v>
      </c>
      <c r="C50" s="16" t="s">
        <v>1370</v>
      </c>
      <c r="D50" s="16" t="s">
        <v>1446</v>
      </c>
      <c r="E50" s="16" t="s">
        <v>250</v>
      </c>
      <c r="I50" s="114">
        <v>170000</v>
      </c>
      <c r="J50" s="114">
        <v>90000</v>
      </c>
      <c r="K50" s="114">
        <v>52215</v>
      </c>
      <c r="BB50" s="309">
        <f>K50</f>
        <v>52215</v>
      </c>
      <c r="BC50" s="151">
        <f>'Raw - BS'!$E$5:$E$5</f>
        <v>52215</v>
      </c>
      <c r="BD50" s="130">
        <f>ROUND(SQRT(SUMXMY2(I50:K50,'Raw - BS'!$C$5:$E$5)),6)</f>
        <v>0</v>
      </c>
      <c r="BE50" s="17" t="str">
        <f>IF(ABS(BD50)&lt;=1,"TIES OUT","CHECK")</f>
        <v>TIES OUT</v>
      </c>
      <c r="BG50" s="131" t="s">
        <v>1447</v>
      </c>
    </row>
    <row r="51" spans="2:59" x14ac:dyDescent="0.25">
      <c r="B51" s="24" t="s">
        <v>1449</v>
      </c>
      <c r="C51" s="29" t="s">
        <v>1370</v>
      </c>
      <c r="D51" s="29" t="s">
        <v>1450</v>
      </c>
      <c r="E51" s="29" t="s">
        <v>827</v>
      </c>
      <c r="I51" s="90">
        <v>198400</v>
      </c>
      <c r="J51" s="90">
        <v>221800</v>
      </c>
      <c r="K51" s="90">
        <v>248600</v>
      </c>
      <c r="BB51" s="310">
        <f>K51</f>
        <v>248600</v>
      </c>
      <c r="BC51" s="161">
        <f>'Raw - BS'!$E$6:$E$6</f>
        <v>248600</v>
      </c>
      <c r="BD51" s="242">
        <f>ROUND(SQRT(SUMXMY2(I51:K51,'Raw - BS'!$C$6:$E$6)),6)</f>
        <v>0</v>
      </c>
      <c r="BE51" s="25" t="str">
        <f>IF(ABS(BD51)&lt;=1,"TIES OUT","CHECK")</f>
        <v>TIES OUT</v>
      </c>
      <c r="BG51" s="311" t="s">
        <v>1451</v>
      </c>
    </row>
    <row r="52" spans="2:59" x14ac:dyDescent="0.25">
      <c r="B52" s="16" t="s">
        <v>1452</v>
      </c>
      <c r="C52" s="16" t="s">
        <v>1370</v>
      </c>
      <c r="D52" s="16" t="s">
        <v>1453</v>
      </c>
      <c r="E52" s="16" t="s">
        <v>828</v>
      </c>
      <c r="I52" s="114">
        <v>79500</v>
      </c>
      <c r="J52" s="114">
        <v>88100</v>
      </c>
      <c r="K52" s="114">
        <v>96300</v>
      </c>
      <c r="BB52" s="309">
        <f>K52</f>
        <v>96300</v>
      </c>
      <c r="BC52" s="151">
        <f>'Raw - BS'!$E$7:$E$7</f>
        <v>96300</v>
      </c>
      <c r="BD52" s="130">
        <f>ROUND(SQRT(SUMXMY2(I52:K52,'Raw - BS'!$C$7:$E$7)),6)</f>
        <v>0</v>
      </c>
      <c r="BE52" s="17" t="str">
        <f>IF(ABS(BD52)&lt;=1,"TIES OUT","CHECK")</f>
        <v>TIES OUT</v>
      </c>
      <c r="BG52" s="131" t="s">
        <v>1454</v>
      </c>
    </row>
    <row r="53" spans="2:59" x14ac:dyDescent="0.25">
      <c r="B53" s="16" t="s">
        <v>1455</v>
      </c>
      <c r="C53" s="16" t="s">
        <v>1370</v>
      </c>
      <c r="D53" s="16" t="s">
        <v>1456</v>
      </c>
      <c r="E53" s="16" t="s">
        <v>829</v>
      </c>
      <c r="I53" s="114">
        <v>11800</v>
      </c>
      <c r="J53" s="114">
        <v>12900</v>
      </c>
      <c r="K53" s="114">
        <v>14200</v>
      </c>
      <c r="BB53" s="309">
        <f>K53</f>
        <v>14200</v>
      </c>
      <c r="BC53" s="151">
        <f>'Raw - BS'!$E$8:$E$8</f>
        <v>14200</v>
      </c>
      <c r="BD53" s="130">
        <f>ROUND(SQRT(SUMXMY2(I53:K53,'Raw - BS'!$C$8:$E$8)),6)</f>
        <v>0</v>
      </c>
      <c r="BE53" s="17" t="str">
        <f>IF(ABS(BD53)&lt;=1,"TIES OUT","CHECK")</f>
        <v>TIES OUT</v>
      </c>
      <c r="BG53" s="131" t="s">
        <v>1454</v>
      </c>
    </row>
    <row r="54" spans="2:59" x14ac:dyDescent="0.25">
      <c r="B54" s="16" t="s">
        <v>1457</v>
      </c>
      <c r="C54" s="16" t="s">
        <v>1370</v>
      </c>
      <c r="D54" s="16" t="s">
        <v>1458</v>
      </c>
      <c r="E54" s="16" t="s">
        <v>831</v>
      </c>
      <c r="I54" s="114">
        <v>512000</v>
      </c>
      <c r="J54" s="114">
        <v>548000</v>
      </c>
      <c r="K54" s="114">
        <v>612000</v>
      </c>
      <c r="BB54" s="309">
        <f>K54</f>
        <v>612000</v>
      </c>
      <c r="BC54" s="151">
        <f>'Raw - BS'!$E$9:$E$9</f>
        <v>612000</v>
      </c>
      <c r="BD54" s="130">
        <f>ROUND(SQRT(SUMXMY2(I54:K54,'Raw - BS'!$C$9:$E$9)),6)</f>
        <v>0</v>
      </c>
      <c r="BE54" s="17" t="str">
        <f>IF(ABS(BD54)&lt;=1,"TIES OUT","CHECK")</f>
        <v>TIES OUT</v>
      </c>
      <c r="BG54" s="131" t="s">
        <v>1459</v>
      </c>
    </row>
    <row r="55" spans="2:59" x14ac:dyDescent="0.25">
      <c r="B55" s="16" t="s">
        <v>1460</v>
      </c>
      <c r="C55" s="16" t="s">
        <v>1370</v>
      </c>
      <c r="D55" s="16" t="s">
        <v>1458</v>
      </c>
      <c r="E55" s="16" t="s">
        <v>831</v>
      </c>
      <c r="I55" s="114">
        <v>158000</v>
      </c>
      <c r="J55" s="114">
        <v>171000</v>
      </c>
      <c r="K55" s="114">
        <v>184000</v>
      </c>
      <c r="BB55" s="309">
        <f>K55</f>
        <v>184000</v>
      </c>
      <c r="BC55" s="151">
        <f>'Raw - BS'!$E$10:$E$10</f>
        <v>184000</v>
      </c>
      <c r="BD55" s="130">
        <f>ROUND(SQRT(SUMXMY2(I55:K55,'Raw - BS'!$C$10:$E$10)),6)</f>
        <v>0</v>
      </c>
      <c r="BE55" s="17" t="str">
        <f>IF(ABS(BD55)&lt;=1,"TIES OUT","CHECK")</f>
        <v>TIES OUT</v>
      </c>
      <c r="BG55" s="131" t="s">
        <v>1459</v>
      </c>
    </row>
    <row r="56" spans="2:59" x14ac:dyDescent="0.25">
      <c r="B56" s="16" t="s">
        <v>1461</v>
      </c>
      <c r="C56" s="16" t="s">
        <v>1370</v>
      </c>
      <c r="D56" s="16" t="s">
        <v>1458</v>
      </c>
      <c r="E56" s="16" t="s">
        <v>831</v>
      </c>
      <c r="I56" s="114">
        <v>-307440</v>
      </c>
      <c r="J56" s="114">
        <v>-366100</v>
      </c>
      <c r="K56" s="114">
        <v>-438500</v>
      </c>
      <c r="BB56" s="309">
        <f>K56</f>
        <v>-438500</v>
      </c>
      <c r="BC56" s="151">
        <f>'Raw - BS'!$E$11:$E$11</f>
        <v>-438500</v>
      </c>
      <c r="BD56" s="130">
        <f>ROUND(SQRT(SUMXMY2(I56:K56,'Raw - BS'!$C$11:$E$11)),6)</f>
        <v>0</v>
      </c>
      <c r="BE56" s="17" t="str">
        <f>IF(ABS(BD56)&lt;=1,"TIES OUT","CHECK")</f>
        <v>TIES OUT</v>
      </c>
      <c r="BG56" s="131" t="s">
        <v>1459</v>
      </c>
    </row>
    <row r="57" spans="2:59" x14ac:dyDescent="0.25">
      <c r="B57" s="16" t="s">
        <v>1462</v>
      </c>
      <c r="C57" s="16" t="s">
        <v>1370</v>
      </c>
      <c r="D57" s="16" t="s">
        <v>1463</v>
      </c>
      <c r="E57" s="16" t="s">
        <v>832</v>
      </c>
      <c r="I57" s="114">
        <v>12000</v>
      </c>
      <c r="J57" s="114">
        <v>12000</v>
      </c>
      <c r="K57" s="114">
        <v>12000</v>
      </c>
      <c r="BB57" s="309">
        <f>K57</f>
        <v>12000</v>
      </c>
      <c r="BC57" s="151">
        <f>'Raw - BS'!$E$12:$E$12</f>
        <v>12000</v>
      </c>
      <c r="BD57" s="130">
        <f>ROUND(SQRT(SUMXMY2(I57:K57,'Raw - BS'!$C$12:$E$12)),6)</f>
        <v>0</v>
      </c>
      <c r="BE57" s="17" t="str">
        <f>IF(ABS(BD57)&lt;=1,"TIES OUT","CHECK")</f>
        <v>TIES OUT</v>
      </c>
      <c r="BG57" s="131" t="s">
        <v>1464</v>
      </c>
    </row>
    <row r="58" spans="2:59" x14ac:dyDescent="0.25">
      <c r="B58" s="24" t="s">
        <v>1465</v>
      </c>
      <c r="C58" s="29" t="s">
        <v>1370</v>
      </c>
      <c r="D58" s="29" t="s">
        <v>1466</v>
      </c>
      <c r="E58" s="29" t="s">
        <v>834</v>
      </c>
      <c r="I58" s="90">
        <v>96200</v>
      </c>
      <c r="J58" s="90">
        <v>104700</v>
      </c>
      <c r="K58" s="90">
        <v>118400</v>
      </c>
      <c r="BB58" s="310">
        <f>K58</f>
        <v>118400</v>
      </c>
      <c r="BC58" s="161">
        <f>'Raw - BS'!$E$13:$E$13</f>
        <v>118400</v>
      </c>
      <c r="BD58" s="242">
        <f>ROUND(SQRT(SUMXMY2(I58:K58,'Raw - BS'!$C$13:$E$13)),6)</f>
        <v>0</v>
      </c>
      <c r="BE58" s="25" t="str">
        <f>IF(ABS(BD58)&lt;=1,"TIES OUT","CHECK")</f>
        <v>TIES OUT</v>
      </c>
      <c r="BG58" s="311" t="s">
        <v>1467</v>
      </c>
    </row>
    <row r="59" spans="2:59" x14ac:dyDescent="0.25">
      <c r="B59" s="16" t="s">
        <v>1468</v>
      </c>
      <c r="C59" s="16" t="s">
        <v>1370</v>
      </c>
      <c r="D59" s="16" t="s">
        <v>1469</v>
      </c>
      <c r="E59" s="16" t="s">
        <v>893</v>
      </c>
      <c r="I59" s="114">
        <v>10800</v>
      </c>
      <c r="J59" s="114">
        <v>12100</v>
      </c>
      <c r="K59" s="114">
        <v>14600</v>
      </c>
      <c r="BB59" s="309">
        <f>K59</f>
        <v>14600</v>
      </c>
      <c r="BC59" s="151">
        <f>'Raw - BS'!$E$14:$E$14</f>
        <v>14600</v>
      </c>
      <c r="BD59" s="130">
        <f>ROUND(SQRT(SUMXMY2(I59:K59,'Raw - BS'!$C$14:$E$14)),6)</f>
        <v>0</v>
      </c>
      <c r="BE59" s="17" t="str">
        <f>IF(ABS(BD59)&lt;=1,"TIES OUT","CHECK")</f>
        <v>TIES OUT</v>
      </c>
      <c r="BG59" s="131" t="s">
        <v>1470</v>
      </c>
    </row>
    <row r="60" spans="2:59" x14ac:dyDescent="0.25">
      <c r="B60" s="24" t="s">
        <v>1471</v>
      </c>
      <c r="C60" s="29" t="s">
        <v>1370</v>
      </c>
      <c r="D60" s="29" t="s">
        <v>1472</v>
      </c>
      <c r="E60" s="29" t="s">
        <v>835</v>
      </c>
      <c r="I60" s="90">
        <v>30100</v>
      </c>
      <c r="J60" s="90">
        <v>34600</v>
      </c>
      <c r="K60" s="90">
        <v>38900</v>
      </c>
      <c r="BB60" s="310">
        <f>K60</f>
        <v>38900</v>
      </c>
      <c r="BC60" s="161">
        <f>'Raw - BS'!$E$15:$E$15</f>
        <v>38900</v>
      </c>
      <c r="BD60" s="242">
        <f>ROUND(SQRT(SUMXMY2(I60:K60,'Raw - BS'!$C$15:$E$15)),6)</f>
        <v>0</v>
      </c>
      <c r="BE60" s="25" t="str">
        <f>IF(ABS(BD60)&lt;=1,"TIES OUT","CHECK")</f>
        <v>TIES OUT</v>
      </c>
      <c r="BG60" s="311" t="s">
        <v>1473</v>
      </c>
    </row>
    <row r="61" spans="2:59" x14ac:dyDescent="0.25">
      <c r="B61" s="24" t="s">
        <v>1474</v>
      </c>
      <c r="C61" s="29" t="s">
        <v>1370</v>
      </c>
      <c r="D61" s="29" t="s">
        <v>1472</v>
      </c>
      <c r="E61" s="29" t="s">
        <v>835</v>
      </c>
      <c r="I61" s="90">
        <v>4900</v>
      </c>
      <c r="J61" s="90">
        <v>5400</v>
      </c>
      <c r="K61" s="90">
        <v>6200</v>
      </c>
      <c r="BB61" s="310">
        <f>K61</f>
        <v>6200</v>
      </c>
      <c r="BC61" s="161">
        <f>'Raw - BS'!$E$16:$E$16</f>
        <v>6200</v>
      </c>
      <c r="BD61" s="242">
        <f>ROUND(SQRT(SUMXMY2(I61:K61,'Raw - BS'!$C$16:$E$16)),6)</f>
        <v>0</v>
      </c>
      <c r="BE61" s="25" t="str">
        <f>IF(ABS(BD61)&lt;=1,"TIES OUT","CHECK")</f>
        <v>TIES OUT</v>
      </c>
      <c r="BG61" s="311" t="s">
        <v>1473</v>
      </c>
    </row>
    <row r="62" spans="2:59" x14ac:dyDescent="0.25">
      <c r="B62" s="24" t="s">
        <v>1475</v>
      </c>
      <c r="C62" s="29" t="s">
        <v>1370</v>
      </c>
      <c r="D62" s="29" t="s">
        <v>1472</v>
      </c>
      <c r="E62" s="29" t="s">
        <v>835</v>
      </c>
      <c r="I62" s="90">
        <v>16500</v>
      </c>
      <c r="J62" s="90">
        <v>19800</v>
      </c>
      <c r="K62" s="90">
        <v>22400</v>
      </c>
      <c r="BB62" s="310">
        <f>K62</f>
        <v>22400</v>
      </c>
      <c r="BC62" s="161">
        <f>'Raw - BS'!$E$17:$E$17</f>
        <v>22400</v>
      </c>
      <c r="BD62" s="242">
        <f>ROUND(SQRT(SUMXMY2(I62:K62,'Raw - BS'!$C$17:$E$17)),6)</f>
        <v>0</v>
      </c>
      <c r="BE62" s="25" t="str">
        <f>IF(ABS(BD62)&lt;=1,"TIES OUT","CHECK")</f>
        <v>TIES OUT</v>
      </c>
      <c r="BG62" s="311" t="s">
        <v>1473</v>
      </c>
    </row>
    <row r="63" spans="2:59" x14ac:dyDescent="0.25">
      <c r="B63" s="16" t="s">
        <v>1476</v>
      </c>
      <c r="C63" s="16" t="s">
        <v>1370</v>
      </c>
      <c r="D63" s="16" t="s">
        <v>1469</v>
      </c>
      <c r="E63" s="16" t="s">
        <v>893</v>
      </c>
      <c r="I63" s="114">
        <v>182600</v>
      </c>
      <c r="J63" s="114">
        <v>168300</v>
      </c>
      <c r="K63" s="114">
        <v>146800</v>
      </c>
      <c r="BB63" s="309">
        <f>K63</f>
        <v>146800</v>
      </c>
      <c r="BC63" s="151">
        <f>'Raw - BS'!$E$18:$E$18</f>
        <v>146800</v>
      </c>
      <c r="BD63" s="130">
        <f>ROUND(SQRT(SUMXMY2(I63:K63,'Raw - BS'!$C$18:$E$18)),6)</f>
        <v>0</v>
      </c>
      <c r="BE63" s="17" t="str">
        <f>IF(ABS(BD63)&lt;=1,"TIES OUT","CHECK")</f>
        <v>TIES OUT</v>
      </c>
      <c r="BG63" s="131" t="s">
        <v>1477</v>
      </c>
    </row>
    <row r="64" spans="2:59" x14ac:dyDescent="0.25">
      <c r="B64" s="16" t="s">
        <v>1478</v>
      </c>
      <c r="C64" s="16" t="s">
        <v>1370</v>
      </c>
      <c r="D64" s="16" t="s">
        <v>1469</v>
      </c>
      <c r="E64" s="16" t="s">
        <v>893</v>
      </c>
      <c r="I64" s="114">
        <v>172000</v>
      </c>
      <c r="J64" s="114">
        <v>146000</v>
      </c>
      <c r="K64" s="114">
        <v>118000</v>
      </c>
      <c r="BB64" s="309">
        <f>K64</f>
        <v>118000</v>
      </c>
      <c r="BC64" s="151">
        <f>'Raw - BS'!$E$19:$E$19</f>
        <v>118000</v>
      </c>
      <c r="BD64" s="130">
        <f>ROUND(SQRT(SUMXMY2(I64:K64,'Raw - BS'!$C$19:$E$19)),6)</f>
        <v>0</v>
      </c>
      <c r="BE64" s="17" t="str">
        <f>IF(ABS(BD64)&lt;=1,"TIES OUT","CHECK")</f>
        <v>TIES OUT</v>
      </c>
      <c r="BG64" s="131" t="s">
        <v>1477</v>
      </c>
    </row>
    <row r="65" spans="2:59" x14ac:dyDescent="0.25">
      <c r="B65" s="16" t="s">
        <v>1479</v>
      </c>
      <c r="C65" s="16" t="s">
        <v>1370</v>
      </c>
      <c r="D65" s="16" t="s">
        <v>1480</v>
      </c>
      <c r="E65" s="16" t="s">
        <v>839</v>
      </c>
      <c r="I65" s="114">
        <v>1000</v>
      </c>
      <c r="J65" s="114">
        <v>1000</v>
      </c>
      <c r="K65" s="114">
        <v>1000</v>
      </c>
      <c r="BB65" s="309">
        <f>K65</f>
        <v>1000</v>
      </c>
      <c r="BC65" s="151">
        <f>'Raw - BS'!$E$20:$E$20</f>
        <v>1000</v>
      </c>
      <c r="BD65" s="130">
        <f>ROUND(SQRT(SUMXMY2(I65:K65,'Raw - BS'!$C$20:$E$20)),6)</f>
        <v>0</v>
      </c>
      <c r="BE65" s="17" t="str">
        <f>IF(ABS(BD65)&lt;=1,"TIES OUT","CHECK")</f>
        <v>TIES OUT</v>
      </c>
      <c r="BG65" s="131" t="s">
        <v>1481</v>
      </c>
    </row>
    <row r="66" spans="2:59" x14ac:dyDescent="0.25">
      <c r="B66" s="16" t="s">
        <v>1482</v>
      </c>
      <c r="C66" s="16" t="s">
        <v>1370</v>
      </c>
      <c r="D66" s="16" t="s">
        <v>1480</v>
      </c>
      <c r="E66" s="16" t="s">
        <v>839</v>
      </c>
      <c r="I66" s="114">
        <v>494260</v>
      </c>
      <c r="J66" s="114">
        <v>448860</v>
      </c>
      <c r="K66" s="114">
        <v>428100</v>
      </c>
      <c r="BB66" s="309">
        <f>K66</f>
        <v>428100</v>
      </c>
      <c r="BC66" s="151">
        <f>'Raw - BS'!$E$21:$E$21</f>
        <v>428100</v>
      </c>
      <c r="BD66" s="130">
        <f>ROUND(SQRT(SUMXMY2(I66:K66,'Raw - BS'!$C$21:$E$21)),6)</f>
        <v>0</v>
      </c>
      <c r="BE66" s="17" t="str">
        <f>IF(ABS(BD66)&lt;=1,"TIES OUT","CHECK")</f>
        <v>TIES OUT</v>
      </c>
      <c r="BG66" s="131" t="s">
        <v>1481</v>
      </c>
    </row>
    <row r="67" spans="2:59" x14ac:dyDescent="0.25">
      <c r="B67" s="16" t="s">
        <v>1483</v>
      </c>
      <c r="C67" s="16" t="s">
        <v>1370</v>
      </c>
      <c r="D67" s="16" t="s">
        <v>1480</v>
      </c>
      <c r="E67" s="16" t="s">
        <v>839</v>
      </c>
      <c r="I67" s="114">
        <v>-120000</v>
      </c>
      <c r="J67" s="114">
        <v>-150000</v>
      </c>
      <c r="K67" s="114">
        <v>-160000</v>
      </c>
      <c r="BB67" s="309">
        <f>K67</f>
        <v>-160000</v>
      </c>
      <c r="BC67" s="151">
        <f>'Raw - BS'!$E$22:$E$22</f>
        <v>-160000</v>
      </c>
      <c r="BD67" s="130">
        <f>ROUND(SQRT(SUMXMY2(I67:K67,'Raw - BS'!$C$22:$E$22)),6)</f>
        <v>0</v>
      </c>
      <c r="BE67" s="17" t="str">
        <f>IF(ABS(BD67)&lt;=1,"TIES OUT","CHECK")</f>
        <v>TIES OUT</v>
      </c>
      <c r="BG67" s="131" t="s">
        <v>1481</v>
      </c>
    </row>
    <row r="68" spans="2:59" x14ac:dyDescent="0.25">
      <c r="B68" s="16" t="s">
        <v>92</v>
      </c>
      <c r="C68" s="16" t="s">
        <v>1370</v>
      </c>
      <c r="D68" s="16" t="s">
        <v>1480</v>
      </c>
      <c r="E68" s="16" t="s">
        <v>839</v>
      </c>
      <c r="I68" s="114">
        <v>74600</v>
      </c>
      <c r="J68" s="114">
        <v>129240</v>
      </c>
      <c r="K68" s="114">
        <v>232815</v>
      </c>
      <c r="BB68" s="309">
        <f>K68</f>
        <v>232815</v>
      </c>
      <c r="BC68" s="151">
        <f>'Raw - BS'!$E$23:$E$23</f>
        <v>232815</v>
      </c>
      <c r="BD68" s="130">
        <f>ROUND(SQRT(SUMXMY2(I68:K68,'Raw - BS'!$C$23:$E$23)),6)</f>
        <v>0</v>
      </c>
      <c r="BE68" s="17" t="str">
        <f>IF(ABS(BD68)&lt;=1,"TIES OUT","CHECK")</f>
        <v>TIES OUT</v>
      </c>
      <c r="BG68" s="131" t="s">
        <v>1481</v>
      </c>
    </row>
    <row r="70" spans="2:7" x14ac:dyDescent="0.25">
      <c r="B70" s="37" t="s">
        <v>1484</v>
      </c>
      <c r="C70" s="37"/>
      <c r="D70" s="37"/>
      <c r="E70" s="37"/>
      <c r="F70" s="37"/>
      <c r="G70" s="37"/>
    </row>
    <row r="71" spans="2:57" x14ac:dyDescent="0.25">
      <c r="B71" s="16" t="s">
        <v>1485</v>
      </c>
      <c r="C71" s="16" t="s">
        <v>1370</v>
      </c>
      <c r="D71" s="16" t="s">
        <v>1431</v>
      </c>
      <c r="E71" s="307" t="s">
        <v>1486</v>
      </c>
      <c r="I71" s="150">
        <f>(SUMIFS(I$49:I$69,$BG$49:$BG$69,"ASSETS &gt; Current Assets &gt; Bank Accounts")+SUMIFS(I$49:I$69,$BG$49:$BG$69,"ASSETS &gt; Current Assets &gt; Bank Accounts &gt; *"))</f>
        <v>298700</v>
      </c>
      <c r="J71" s="150">
        <f>(SUMIFS(J$49:J$69,$BG$49:$BG$69,"ASSETS &gt; Current Assets &gt; Bank Accounts")+SUMIFS(J$49:J$69,$BG$49:$BG$69,"ASSETS &gt; Current Assets &gt; Bank Accounts &gt; *"))</f>
        <v>232300</v>
      </c>
      <c r="K71" s="150">
        <f>(SUMIFS(K$49:K$69,$BG$49:$BG$69,"ASSETS &gt; Current Assets &gt; Bank Accounts")+SUMIFS(K$49:K$69,$BG$49:$BG$69,"ASSETS &gt; Current Assets &gt; Bank Accounts &gt; *"))</f>
        <v>238615</v>
      </c>
      <c r="BB71" s="309">
        <f>K71</f>
        <v>238615</v>
      </c>
      <c r="BC71" s="151">
        <f>'Raw - BS'!$E$26:$E$26</f>
        <v>238615</v>
      </c>
      <c r="BD71" s="130">
        <f>ROUND(SQRT(SUMXMY2(I71:K71,'Raw - BS'!$C$26:$E$26)),6)</f>
        <v>0</v>
      </c>
      <c r="BE71" s="17" t="str">
        <f>IF(ABS(BD71)&lt;=1,"TIES OUT","CHECK")</f>
        <v>TIES OUT</v>
      </c>
    </row>
    <row r="72" spans="2:57" x14ac:dyDescent="0.25">
      <c r="B72" s="16" t="s">
        <v>1487</v>
      </c>
      <c r="C72" s="16" t="s">
        <v>1370</v>
      </c>
      <c r="D72" s="16" t="s">
        <v>1431</v>
      </c>
      <c r="E72" s="307" t="s">
        <v>1488</v>
      </c>
      <c r="I72" s="150">
        <f>(SUMIFS(I$49:I$69,$BG$49:$BG$69,"ASSETS &gt; Current Assets &gt; Accounts Receivable")+SUMIFS(I$49:I$69,$BG$49:$BG$69,"ASSETS &gt; Current Assets &gt; Accounts Receivable &gt; *"))</f>
        <v>198400</v>
      </c>
      <c r="J72" s="150">
        <f>(SUMIFS(J$49:J$69,$BG$49:$BG$69,"ASSETS &gt; Current Assets &gt; Accounts Receivable")+SUMIFS(J$49:J$69,$BG$49:$BG$69,"ASSETS &gt; Current Assets &gt; Accounts Receivable &gt; *"))</f>
        <v>221800</v>
      </c>
      <c r="K72" s="150">
        <f>(SUMIFS(K$49:K$69,$BG$49:$BG$69,"ASSETS &gt; Current Assets &gt; Accounts Receivable")+SUMIFS(K$49:K$69,$BG$49:$BG$69,"ASSETS &gt; Current Assets &gt; Accounts Receivable &gt; *"))</f>
        <v>248600</v>
      </c>
      <c r="BB72" s="309">
        <f>K72</f>
        <v>248600</v>
      </c>
      <c r="BC72" s="151">
        <f>'Raw - BS'!$E$27:$E$27</f>
        <v>248600</v>
      </c>
      <c r="BD72" s="130">
        <f>ROUND(SQRT(SUMXMY2(I72:K72,'Raw - BS'!$C$27:$E$27)),6)</f>
        <v>0</v>
      </c>
      <c r="BE72" s="17" t="str">
        <f>IF(ABS(BD72)&lt;=1,"TIES OUT","CHECK")</f>
        <v>TIES OUT</v>
      </c>
    </row>
    <row r="73" spans="2:57" x14ac:dyDescent="0.25">
      <c r="B73" s="16" t="s">
        <v>1489</v>
      </c>
      <c r="C73" s="16" t="s">
        <v>1370</v>
      </c>
      <c r="D73" s="16" t="s">
        <v>1431</v>
      </c>
      <c r="E73" s="307" t="s">
        <v>1490</v>
      </c>
      <c r="I73" s="150">
        <f>(SUMIFS(I$49:I$69,$BG$49:$BG$69,"ASSETS &gt; Current Assets &gt; Other Current Assets")+SUMIFS(I$49:I$69,$BG$49:$BG$69,"ASSETS &gt; Current Assets &gt; Other Current Assets &gt; *"))</f>
        <v>91300</v>
      </c>
      <c r="J73" s="150">
        <f>(SUMIFS(J$49:J$69,$BG$49:$BG$69,"ASSETS &gt; Current Assets &gt; Other Current Assets")+SUMIFS(J$49:J$69,$BG$49:$BG$69,"ASSETS &gt; Current Assets &gt; Other Current Assets &gt; *"))</f>
        <v>101000</v>
      </c>
      <c r="K73" s="150">
        <f>(SUMIFS(K$49:K$69,$BG$49:$BG$69,"ASSETS &gt; Current Assets &gt; Other Current Assets")+SUMIFS(K$49:K$69,$BG$49:$BG$69,"ASSETS &gt; Current Assets &gt; Other Current Assets &gt; *"))</f>
        <v>110500</v>
      </c>
      <c r="BB73" s="309">
        <f>K73</f>
        <v>110500</v>
      </c>
      <c r="BC73" s="151">
        <f>'Raw - BS'!$E$28:$E$28</f>
        <v>110500</v>
      </c>
      <c r="BD73" s="130">
        <f>ROUND(SQRT(SUMXMY2(I73:K73,'Raw - BS'!$C$28:$E$28)),6)</f>
        <v>0</v>
      </c>
      <c r="BE73" s="17" t="str">
        <f>IF(ABS(BD73)&lt;=1,"TIES OUT","CHECK")</f>
        <v>TIES OUT</v>
      </c>
    </row>
    <row r="74" spans="2:57" x14ac:dyDescent="0.25">
      <c r="B74" s="16" t="s">
        <v>830</v>
      </c>
      <c r="C74" s="16" t="s">
        <v>1370</v>
      </c>
      <c r="D74" s="16" t="s">
        <v>1431</v>
      </c>
      <c r="E74" s="307" t="s">
        <v>1491</v>
      </c>
      <c r="I74" s="150">
        <f>(SUMIFS(I$49:I$69,$BG$49:$BG$69,"ASSETS &gt; Current Assets")+SUMIFS(I$49:I$69,$BG$49:$BG$69,"ASSETS &gt; Current Assets &gt; *"))</f>
        <v>588400</v>
      </c>
      <c r="J74" s="150">
        <f>(SUMIFS(J$49:J$69,$BG$49:$BG$69,"ASSETS &gt; Current Assets")+SUMIFS(J$49:J$69,$BG$49:$BG$69,"ASSETS &gt; Current Assets &gt; *"))</f>
        <v>555100</v>
      </c>
      <c r="K74" s="150">
        <f>(SUMIFS(K$49:K$69,$BG$49:$BG$69,"ASSETS &gt; Current Assets")+SUMIFS(K$49:K$69,$BG$49:$BG$69,"ASSETS &gt; Current Assets &gt; *"))</f>
        <v>597715</v>
      </c>
      <c r="BB74" s="309">
        <f>K74</f>
        <v>597715</v>
      </c>
      <c r="BC74" s="151">
        <f>'Raw - BS'!$E$29:$E$29</f>
        <v>597715</v>
      </c>
      <c r="BD74" s="130">
        <f>ROUND(SQRT(SUMXMY2(I74:K74,'Raw - BS'!$C$29:$E$29)),6)</f>
        <v>0</v>
      </c>
      <c r="BE74" s="17" t="str">
        <f>IF(ABS(BD74)&lt;=1,"TIES OUT","CHECK")</f>
        <v>TIES OUT</v>
      </c>
    </row>
    <row r="75" spans="2:57" x14ac:dyDescent="0.25">
      <c r="B75" s="16" t="s">
        <v>1492</v>
      </c>
      <c r="C75" s="16" t="s">
        <v>1370</v>
      </c>
      <c r="D75" s="16" t="s">
        <v>1431</v>
      </c>
      <c r="E75" s="307" t="s">
        <v>1493</v>
      </c>
      <c r="I75" s="150">
        <f>(SUMIFS(I$49:I$69,$BG$49:$BG$69,"ASSETS &gt; Fixed Assets")+SUMIFS(I$49:I$69,$BG$49:$BG$69,"ASSETS &gt; Fixed Assets &gt; *"))</f>
        <v>362560</v>
      </c>
      <c r="J75" s="150">
        <f>(SUMIFS(J$49:J$69,$BG$49:$BG$69,"ASSETS &gt; Fixed Assets")+SUMIFS(J$49:J$69,$BG$49:$BG$69,"ASSETS &gt; Fixed Assets &gt; *"))</f>
        <v>352900</v>
      </c>
      <c r="K75" s="150">
        <f>(SUMIFS(K$49:K$69,$BG$49:$BG$69,"ASSETS &gt; Fixed Assets")+SUMIFS(K$49:K$69,$BG$49:$BG$69,"ASSETS &gt; Fixed Assets &gt; *"))</f>
        <v>357500</v>
      </c>
      <c r="BB75" s="309">
        <f>K75</f>
        <v>357500</v>
      </c>
      <c r="BC75" s="151">
        <f>'Raw - BS'!$E$30:$E$30</f>
        <v>357500</v>
      </c>
      <c r="BD75" s="130">
        <f>ROUND(SQRT(SUMXMY2(I75:K75,'Raw - BS'!$C$30:$E$30)),6)</f>
        <v>0</v>
      </c>
      <c r="BE75" s="17" t="str">
        <f>IF(ABS(BD75)&lt;=1,"TIES OUT","CHECK")</f>
        <v>TIES OUT</v>
      </c>
    </row>
    <row r="76" spans="2:57" x14ac:dyDescent="0.25">
      <c r="B76" s="16" t="s">
        <v>1494</v>
      </c>
      <c r="C76" s="16" t="s">
        <v>1370</v>
      </c>
      <c r="D76" s="16" t="s">
        <v>1431</v>
      </c>
      <c r="E76" s="307" t="s">
        <v>1495</v>
      </c>
      <c r="I76" s="150">
        <f>(SUMIFS(I$49:I$69,$BG$49:$BG$69,"ASSETS &gt; Other Assets")+SUMIFS(I$49:I$69,$BG$49:$BG$69,"ASSETS &gt; Other Assets &gt; *"))</f>
        <v>12000</v>
      </c>
      <c r="J76" s="150">
        <f>(SUMIFS(J$49:J$69,$BG$49:$BG$69,"ASSETS &gt; Other Assets")+SUMIFS(J$49:J$69,$BG$49:$BG$69,"ASSETS &gt; Other Assets &gt; *"))</f>
        <v>12000</v>
      </c>
      <c r="K76" s="150">
        <f>(SUMIFS(K$49:K$69,$BG$49:$BG$69,"ASSETS &gt; Other Assets")+SUMIFS(K$49:K$69,$BG$49:$BG$69,"ASSETS &gt; Other Assets &gt; *"))</f>
        <v>12000</v>
      </c>
      <c r="BB76" s="309">
        <f>K76</f>
        <v>12000</v>
      </c>
      <c r="BC76" s="151">
        <f>'Raw - BS'!$E$31:$E$31</f>
        <v>12000</v>
      </c>
      <c r="BD76" s="130">
        <f>ROUND(SQRT(SUMXMY2(I76:K76,'Raw - BS'!$C$31:$E$31)),6)</f>
        <v>0</v>
      </c>
      <c r="BE76" s="17" t="str">
        <f>IF(ABS(BD76)&lt;=1,"TIES OUT","CHECK")</f>
        <v>TIES OUT</v>
      </c>
    </row>
    <row r="77" spans="2:57" x14ac:dyDescent="0.25">
      <c r="B77" s="16" t="s">
        <v>1496</v>
      </c>
      <c r="C77" s="16" t="s">
        <v>1370</v>
      </c>
      <c r="D77" s="16" t="s">
        <v>1431</v>
      </c>
      <c r="E77" s="307" t="s">
        <v>1497</v>
      </c>
      <c r="I77" s="150">
        <f>(SUMIFS(I$49:I$69,$BG$49:$BG$69,"ASSETS")+SUMIFS(I$49:I$69,$BG$49:$BG$69,"ASSETS &gt; *"))</f>
        <v>962960</v>
      </c>
      <c r="J77" s="150">
        <f>(SUMIFS(J$49:J$69,$BG$49:$BG$69,"ASSETS")+SUMIFS(J$49:J$69,$BG$49:$BG$69,"ASSETS &gt; *"))</f>
        <v>920000</v>
      </c>
      <c r="K77" s="150">
        <f>(SUMIFS(K$49:K$69,$BG$49:$BG$69,"ASSETS")+SUMIFS(K$49:K$69,$BG$49:$BG$69,"ASSETS &gt; *"))</f>
        <v>967215</v>
      </c>
      <c r="BB77" s="309">
        <f>K77</f>
        <v>967215</v>
      </c>
      <c r="BC77" s="151">
        <f>'Raw - BS'!$E$32:$E$32</f>
        <v>967215</v>
      </c>
      <c r="BD77" s="130">
        <f>ROUND(SQRT(SUMXMY2(I77:K77,'Raw - BS'!$C$32:$E$32)),6)</f>
        <v>0</v>
      </c>
      <c r="BE77" s="17" t="str">
        <f>IF(ABS(BD77)&lt;=1,"TIES OUT","CHECK")</f>
        <v>TIES OUT</v>
      </c>
    </row>
    <row r="78" spans="2:57" x14ac:dyDescent="0.25">
      <c r="B78" s="16" t="s">
        <v>1498</v>
      </c>
      <c r="C78" s="16" t="s">
        <v>1370</v>
      </c>
      <c r="D78" s="16" t="s">
        <v>1431</v>
      </c>
      <c r="E78" s="307" t="s">
        <v>1499</v>
      </c>
      <c r="I78" s="150">
        <f>(SUMIFS(I$49:I$69,$BG$49:$BG$69,"Liabilities &gt; Current Liabilities &gt; Accounts Payable")+SUMIFS(I$49:I$69,$BG$49:$BG$69,"Liabilities &gt; Current Liabilities &gt; Accounts Payable &gt; *"))</f>
        <v>96200</v>
      </c>
      <c r="J78" s="150">
        <f>(SUMIFS(J$49:J$69,$BG$49:$BG$69,"Liabilities &gt; Current Liabilities &gt; Accounts Payable")+SUMIFS(J$49:J$69,$BG$49:$BG$69,"Liabilities &gt; Current Liabilities &gt; Accounts Payable &gt; *"))</f>
        <v>104700</v>
      </c>
      <c r="K78" s="150">
        <f>(SUMIFS(K$49:K$69,$BG$49:$BG$69,"Liabilities &gt; Current Liabilities &gt; Accounts Payable")+SUMIFS(K$49:K$69,$BG$49:$BG$69,"Liabilities &gt; Current Liabilities &gt; Accounts Payable &gt; *"))</f>
        <v>118400</v>
      </c>
      <c r="BB78" s="309">
        <f>K78</f>
        <v>118400</v>
      </c>
      <c r="BC78" s="151">
        <f>'Raw - BS'!$E$33:$E$33</f>
        <v>118400</v>
      </c>
      <c r="BD78" s="130">
        <f>ROUND(SQRT(SUMXMY2(I78:K78,'Raw - BS'!$C$33:$E$33)),6)</f>
        <v>0</v>
      </c>
      <c r="BE78" s="17" t="str">
        <f>IF(ABS(BD78)&lt;=1,"TIES OUT","CHECK")</f>
        <v>TIES OUT</v>
      </c>
    </row>
    <row r="79" spans="2:57" x14ac:dyDescent="0.25">
      <c r="B79" s="16" t="s">
        <v>1500</v>
      </c>
      <c r="C79" s="16" t="s">
        <v>1370</v>
      </c>
      <c r="D79" s="16" t="s">
        <v>1431</v>
      </c>
      <c r="E79" s="307" t="s">
        <v>1501</v>
      </c>
      <c r="I79" s="150">
        <f>(SUMIFS(I$49:I$69,$BG$49:$BG$69,"Liabilities &gt; Current Liabilities &gt; Credit Cards")+SUMIFS(I$49:I$69,$BG$49:$BG$69,"Liabilities &gt; Current Liabilities &gt; Credit Cards &gt; *"))</f>
        <v>10800</v>
      </c>
      <c r="J79" s="150">
        <f>(SUMIFS(J$49:J$69,$BG$49:$BG$69,"Liabilities &gt; Current Liabilities &gt; Credit Cards")+SUMIFS(J$49:J$69,$BG$49:$BG$69,"Liabilities &gt; Current Liabilities &gt; Credit Cards &gt; *"))</f>
        <v>12100</v>
      </c>
      <c r="K79" s="150">
        <f>(SUMIFS(K$49:K$69,$BG$49:$BG$69,"Liabilities &gt; Current Liabilities &gt; Credit Cards")+SUMIFS(K$49:K$69,$BG$49:$BG$69,"Liabilities &gt; Current Liabilities &gt; Credit Cards &gt; *"))</f>
        <v>14600</v>
      </c>
      <c r="BB79" s="309">
        <f>K79</f>
        <v>14600</v>
      </c>
      <c r="BC79" s="151">
        <f>'Raw - BS'!$E$34:$E$34</f>
        <v>14600</v>
      </c>
      <c r="BD79" s="130">
        <f>ROUND(SQRT(SUMXMY2(I79:K79,'Raw - BS'!$C$34:$E$34)),6)</f>
        <v>0</v>
      </c>
      <c r="BE79" s="17" t="str">
        <f>IF(ABS(BD79)&lt;=1,"TIES OUT","CHECK")</f>
        <v>TIES OUT</v>
      </c>
    </row>
    <row r="80" spans="2:57" x14ac:dyDescent="0.25">
      <c r="B80" s="16" t="s">
        <v>1502</v>
      </c>
      <c r="C80" s="16" t="s">
        <v>1370</v>
      </c>
      <c r="D80" s="16" t="s">
        <v>1431</v>
      </c>
      <c r="E80" s="312" t="s">
        <v>1503</v>
      </c>
      <c r="I80" s="150">
        <f>(SUMIFS(I$49:I$69,$BG$49:$BG$69,"Liabilities &gt; Current Liabilities &gt; Other Current Liabilities")+SUMIFS(I$49:I$69,$BG$49:$BG$69,"Liabilities &gt; Current Liabilities &gt; Other Current Liabilities &gt; *"))</f>
        <v>51500</v>
      </c>
      <c r="J80" s="150">
        <f>(SUMIFS(J$49:J$69,$BG$49:$BG$69,"Liabilities &gt; Current Liabilities &gt; Other Current Liabilities")+SUMIFS(J$49:J$69,$BG$49:$BG$69,"Liabilities &gt; Current Liabilities &gt; Other Current Liabilities &gt; *"))</f>
        <v>59800</v>
      </c>
      <c r="K80" s="150">
        <f>(SUMIFS(K$49:K$69,$BG$49:$BG$69,"Liabilities &gt; Current Liabilities &gt; Other Current Liabilities")+SUMIFS(K$49:K$69,$BG$49:$BG$69,"Liabilities &gt; Current Liabilities &gt; Other Current Liabilities &gt; *"))</f>
        <v>67500</v>
      </c>
      <c r="BB80" s="309">
        <f>K80</f>
        <v>67500</v>
      </c>
      <c r="BC80" s="151">
        <f>'Raw - BS'!$E$35:$E$35</f>
        <v>67500</v>
      </c>
      <c r="BD80" s="130">
        <f>ROUND(SQRT(SUMXMY2(I80:K80,'Raw - BS'!$C$35:$E$35)),6)</f>
        <v>0</v>
      </c>
      <c r="BE80" s="17" t="str">
        <f>IF(ABS(BD80)&lt;=1,"TIES OUT","CHECK")</f>
        <v>TIES OUT</v>
      </c>
    </row>
    <row r="81" spans="2:57" x14ac:dyDescent="0.25">
      <c r="B81" s="16" t="s">
        <v>836</v>
      </c>
      <c r="C81" s="16" t="s">
        <v>1370</v>
      </c>
      <c r="D81" s="16" t="s">
        <v>1431</v>
      </c>
      <c r="E81" s="307" t="s">
        <v>1504</v>
      </c>
      <c r="I81" s="150">
        <f>(SUMIFS(I$49:I$69,$BG$49:$BG$69,"Liabilities &gt; Current Liabilities")+SUMIFS(I$49:I$69,$BG$49:$BG$69,"Liabilities &gt; Current Liabilities &gt; *"))</f>
        <v>158500</v>
      </c>
      <c r="J81" s="150">
        <f>(SUMIFS(J$49:J$69,$BG$49:$BG$69,"Liabilities &gt; Current Liabilities")+SUMIFS(J$49:J$69,$BG$49:$BG$69,"Liabilities &gt; Current Liabilities &gt; *"))</f>
        <v>176600</v>
      </c>
      <c r="K81" s="150">
        <f>(SUMIFS(K$49:K$69,$BG$49:$BG$69,"Liabilities &gt; Current Liabilities")+SUMIFS(K$49:K$69,$BG$49:$BG$69,"Liabilities &gt; Current Liabilities &gt; *"))</f>
        <v>200500</v>
      </c>
      <c r="BB81" s="309">
        <f>K81</f>
        <v>200500</v>
      </c>
      <c r="BC81" s="151">
        <f>'Raw - BS'!$E$36:$E$36</f>
        <v>200500</v>
      </c>
      <c r="BD81" s="130">
        <f>ROUND(SQRT(SUMXMY2(I81:K81,'Raw - BS'!$C$36:$E$36)),6)</f>
        <v>0</v>
      </c>
      <c r="BE81" s="17" t="str">
        <f>IF(ABS(BD81)&lt;=1,"TIES OUT","CHECK")</f>
        <v>TIES OUT</v>
      </c>
    </row>
    <row r="82" spans="2:57" x14ac:dyDescent="0.25">
      <c r="B82" s="16" t="s">
        <v>1505</v>
      </c>
      <c r="C82" s="16" t="s">
        <v>1370</v>
      </c>
      <c r="D82" s="16" t="s">
        <v>1431</v>
      </c>
      <c r="E82" s="307" t="s">
        <v>1506</v>
      </c>
      <c r="I82" s="150">
        <f>(SUMIFS(I$49:I$69,$BG$49:$BG$69,"Liabilities &gt; Long-Term Liabilities")+SUMIFS(I$49:I$69,$BG$49:$BG$69,"Liabilities &gt; Long-Term Liabilities &gt; *"))</f>
        <v>354600</v>
      </c>
      <c r="J82" s="150">
        <f>(SUMIFS(J$49:J$69,$BG$49:$BG$69,"Liabilities &gt; Long-Term Liabilities")+SUMIFS(J$49:J$69,$BG$49:$BG$69,"Liabilities &gt; Long-Term Liabilities &gt; *"))</f>
        <v>314300</v>
      </c>
      <c r="K82" s="150">
        <f>(SUMIFS(K$49:K$69,$BG$49:$BG$69,"Liabilities &gt; Long-Term Liabilities")+SUMIFS(K$49:K$69,$BG$49:$BG$69,"Liabilities &gt; Long-Term Liabilities &gt; *"))</f>
        <v>264800</v>
      </c>
      <c r="BB82" s="309">
        <f>K82</f>
        <v>264800</v>
      </c>
      <c r="BC82" s="151">
        <f>'Raw - BS'!$E$37:$E$37</f>
        <v>264800</v>
      </c>
      <c r="BD82" s="130">
        <f>ROUND(SQRT(SUMXMY2(I82:K82,'Raw - BS'!$C$37:$E$37)),6)</f>
        <v>0</v>
      </c>
      <c r="BE82" s="17" t="str">
        <f>IF(ABS(BD82)&lt;=1,"TIES OUT","CHECK")</f>
        <v>TIES OUT</v>
      </c>
    </row>
    <row r="83" spans="2:57" x14ac:dyDescent="0.25">
      <c r="B83" s="16" t="s">
        <v>838</v>
      </c>
      <c r="C83" s="16" t="s">
        <v>1370</v>
      </c>
      <c r="D83" s="16" t="s">
        <v>1431</v>
      </c>
      <c r="E83" s="307" t="s">
        <v>1507</v>
      </c>
      <c r="I83" s="150">
        <f>(SUMIFS(I$49:I$69,$BG$49:$BG$69,"Liabilities")+SUMIFS(I$49:I$69,$BG$49:$BG$69,"Liabilities &gt; *"))</f>
        <v>513100</v>
      </c>
      <c r="J83" s="150">
        <f>(SUMIFS(J$49:J$69,$BG$49:$BG$69,"Liabilities")+SUMIFS(J$49:J$69,$BG$49:$BG$69,"Liabilities &gt; *"))</f>
        <v>490900</v>
      </c>
      <c r="K83" s="150">
        <f>(SUMIFS(K$49:K$69,$BG$49:$BG$69,"Liabilities")+SUMIFS(K$49:K$69,$BG$49:$BG$69,"Liabilities &gt; *"))</f>
        <v>465300</v>
      </c>
      <c r="BB83" s="309">
        <f>K83</f>
        <v>465300</v>
      </c>
      <c r="BC83" s="151">
        <f>'Raw - BS'!$E$38:$E$38</f>
        <v>465300</v>
      </c>
      <c r="BD83" s="130">
        <f>ROUND(SQRT(SUMXMY2(I83:K83,'Raw - BS'!$C$38:$E$38)),6)</f>
        <v>0</v>
      </c>
      <c r="BE83" s="17" t="str">
        <f>IF(ABS(BD83)&lt;=1,"TIES OUT","CHECK")</f>
        <v>TIES OUT</v>
      </c>
    </row>
    <row r="84" spans="2:57" x14ac:dyDescent="0.25">
      <c r="B84" s="16" t="s">
        <v>839</v>
      </c>
      <c r="C84" s="16" t="s">
        <v>1370</v>
      </c>
      <c r="D84" s="16" t="s">
        <v>1431</v>
      </c>
      <c r="E84" s="307" t="s">
        <v>1508</v>
      </c>
      <c r="I84" s="150">
        <f>(SUMIFS(I$49:I$69,$BG$49:$BG$69,"Equity")+SUMIFS(I$49:I$69,$BG$49:$BG$69,"Equity &gt; *"))</f>
        <v>449860</v>
      </c>
      <c r="J84" s="150">
        <f>(SUMIFS(J$49:J$69,$BG$49:$BG$69,"Equity")+SUMIFS(J$49:J$69,$BG$49:$BG$69,"Equity &gt; *"))</f>
        <v>429100</v>
      </c>
      <c r="K84" s="150">
        <f>(SUMIFS(K$49:K$69,$BG$49:$BG$69,"Equity")+SUMIFS(K$49:K$69,$BG$49:$BG$69,"Equity &gt; *"))</f>
        <v>501915</v>
      </c>
      <c r="BB84" s="309">
        <f>K84</f>
        <v>501915</v>
      </c>
      <c r="BC84" s="151">
        <f>'Raw - BS'!$E$39:$E$39</f>
        <v>501915</v>
      </c>
      <c r="BD84" s="130">
        <f>ROUND(SQRT(SUMXMY2(I84:K84,'Raw - BS'!$C$39:$E$39)),6)</f>
        <v>0</v>
      </c>
      <c r="BE84" s="17" t="str">
        <f>IF(ABS(BD84)&lt;=1,"TIES OUT","CHECK")</f>
        <v>TIES OUT</v>
      </c>
    </row>
    <row r="85" spans="2:57" x14ac:dyDescent="0.25">
      <c r="B85" s="29" t="s">
        <v>1509</v>
      </c>
      <c r="C85" s="29" t="s">
        <v>1370</v>
      </c>
      <c r="D85" s="29" t="s">
        <v>1431</v>
      </c>
      <c r="E85" s="308" t="s">
        <v>1510</v>
      </c>
      <c r="I85" s="162">
        <f>(SUMIFS(I$49:I$69,$BG$49:$BG$69,"LIABILITIES")+SUMIFS(I$49:I$69,$BG$49:$BG$69,"LIABILITIES &gt; *"))+(SUMIFS(I$49:I$69,$BG$49:$BG$69,"EQUITY")+SUMIFS(I$49:I$69,$BG$49:$BG$69,"EQUITY &gt; *"))</f>
        <v>962960</v>
      </c>
      <c r="J85" s="162">
        <f>(SUMIFS(J$49:J$69,$BG$49:$BG$69,"LIABILITIES")+SUMIFS(J$49:J$69,$BG$49:$BG$69,"LIABILITIES &gt; *"))+(SUMIFS(J$49:J$69,$BG$49:$BG$69,"EQUITY")+SUMIFS(J$49:J$69,$BG$49:$BG$69,"EQUITY &gt; *"))</f>
        <v>920000</v>
      </c>
      <c r="K85" s="162">
        <f>(SUMIFS(K$49:K$69,$BG$49:$BG$69,"LIABILITIES")+SUMIFS(K$49:K$69,$BG$49:$BG$69,"LIABILITIES &gt; *"))+(SUMIFS(K$49:K$69,$BG$49:$BG$69,"EQUITY")+SUMIFS(K$49:K$69,$BG$49:$BG$69,"EQUITY &gt; *"))</f>
        <v>967215</v>
      </c>
      <c r="BB85" s="310">
        <f>K85</f>
        <v>967215</v>
      </c>
      <c r="BC85" s="161">
        <f>'Raw - BS'!$E$40:$E$40</f>
        <v>967215</v>
      </c>
      <c r="BD85" s="242">
        <f>ROUND(SQRT(SUMXMY2(I85:K85,'Raw - BS'!$C$40:$E$40)),6)</f>
        <v>0</v>
      </c>
      <c r="BE85" s="25" t="str">
        <f>IF(ABS(BD85)&lt;=1,"TIES OUT","CHECK")</f>
        <v>TIES OUT</v>
      </c>
    </row>
    <row r="87" spans="2:16" x14ac:dyDescent="0.25">
      <c r="B87" s="131" t="s">
        <v>380</v>
      </c>
      <c r="I87" s="132">
        <f>EOMONTH(EOMONTH(DATE('Assumptions'!$C$15-2,'Assumptions'!$C$14,1),0),-12)+1</f>
        <v>44927</v>
      </c>
      <c r="J87" s="132">
        <f>EOMONTH(EOMONTH(DATE('Assumptions'!$C$15-1,'Assumptions'!$C$14,1),0),-12)+1</f>
        <v>45292</v>
      </c>
      <c r="K87" s="132">
        <f>EOMONTH(EOMONTH(DATE('Assumptions'!$C$15-0,'Assumptions'!$C$14,1),0),-12)+1</f>
        <v>45658</v>
      </c>
      <c r="L87" s="132">
        <f>EOMONTH(EOMONTH(DATE(YEAR('Assumptions'!$C$9)-IF(MONTH('Assumptions'!$C$9)&gt;'Assumptions'!$C$14,0,1),'Assumptions'!$C$14,1),0)+1,-13)+1</f>
        <v>45292</v>
      </c>
      <c r="M87" s="132">
        <f>EOMONTH(DATE(YEAR('Assumptions'!$C$9)-IF(MONTH('Assumptions'!$C$9)&gt;'Assumptions'!$C$14,0,1),'Assumptions'!$C$14,1),0)+1</f>
        <v>45658</v>
      </c>
      <c r="N87" s="132">
        <f>EOMONTH('Assumptions'!$C$9,-24)+1</f>
        <v>45292</v>
      </c>
      <c r="O87" s="132">
        <f>EOMONTH('Assumptions'!$C$9,-12)+1</f>
        <v>45658</v>
      </c>
      <c r="P87" s="132">
        <f>EOMONTH('Assumptions'!$C$9,-12)+1</f>
        <v>45658</v>
      </c>
    </row>
    <row r="88" spans="2:16" x14ac:dyDescent="0.25">
      <c r="B88" s="131" t="s">
        <v>381</v>
      </c>
      <c r="I88" s="132">
        <f>EOMONTH(DATE('Assumptions'!$C$15-2,'Assumptions'!$C$14,1),0)</f>
        <v>45291</v>
      </c>
      <c r="J88" s="132">
        <f>EOMONTH(DATE('Assumptions'!$C$15-1,'Assumptions'!$C$14,1),0)</f>
        <v>45657</v>
      </c>
      <c r="K88" s="132">
        <f>EOMONTH(DATE('Assumptions'!$C$15-0,'Assumptions'!$C$14,1),0)</f>
        <v>46022</v>
      </c>
      <c r="L88" s="132">
        <f>EOMONTH('Assumptions'!$C$9,-12)</f>
        <v>45657</v>
      </c>
      <c r="M88" s="132">
        <f>EOMONTH('Assumptions'!$C$9,0)</f>
        <v>46022</v>
      </c>
      <c r="N88" s="132">
        <f>EOMONTH('Assumptions'!$C$9,-12)</f>
        <v>45657</v>
      </c>
      <c r="O88" s="132">
        <f>EOMONTH('Assumptions'!$C$9,0)</f>
        <v>46022</v>
      </c>
      <c r="P88" s="132">
        <f>EOMONTH('Assumptions'!$C$9,0)</f>
        <v>46022</v>
      </c>
    </row>
  </sheetData>
  <conditionalFormatting sqref="BD8:BD85">
    <cfRule type="expression" dxfId="65" priority="1">
      <formula>ROUND(BD8,3)&lt;&gt;0</formula>
    </cfRule>
  </conditionalFormatting>
  <conditionalFormatting sqref="BE8:BE85">
    <cfRule type="expression" dxfId="66" priority="2">
      <formula>BE8="CHECK"</formula>
    </cfRule>
  </conditionalFormatting>
  <conditionalFormatting sqref="B2 P3 BC8:BD33 Q8:AZ33 BC36:BD45 Q45:AZ45 BB49:BD68 I49:K68 BB71:BD85">
    <cfRule type="expression" dxfId="67" priority="3">
      <formula>$P$3=1</formula>
    </cfRule>
  </conditionalFormatting>
  <printOptions horizontalCentered="1"/>
  <pageMargins left="0.5" right="0.5" top="0.6" bottom="0.7" header="0.3" footer="0.3"/>
  <pageSetup paperSize="1" orientation="landscape" scale="82"/>
  <headerFooter>
    <oddHeader>&amp;RProject Ridgeline | As of 12/31/25</oddHeader>
    <oddFooter>&amp;LAMB Advisory Services | Strictly confidential&amp;C&amp;A&amp;RPage &amp;P of &amp;N</oddFooter>
  </headerFooter>
  <colBreaks count="5" manualBreakCount="5">
    <brk id="8" max="1048575" man="1"/>
    <brk id="16" max="1048575" man="1"/>
    <brk id="28" max="1048575" man="1"/>
    <brk id="40" max="1048575" man="1"/>
    <brk id="5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B2:H58"/>
  <sheetViews>
    <sheetView workbookViewId="0" showGridLines="0" zoomScale="100"/>
  </sheetViews>
  <sheetFormatPr defaultRowHeight="12.75" outlineLevelRow="0" outlineLevelCol="0" x14ac:dyDescent="55" customHeight="1"/>
  <cols>
    <col min="1" max="1" width="1.7" customWidth="1"/>
    <col min="2" max="2" width="36" customWidth="1"/>
    <col min="3" max="3" width="27" customWidth="1"/>
    <col min="4" max="5" width="28" customWidth="1"/>
    <col min="6" max="6" width="25" customWidth="1"/>
    <col min="7" max="7" width="8" customWidth="1"/>
    <col min="8" max="8" width="10" customWidth="1"/>
  </cols>
  <sheetData>
    <row r="2" ht="16.5" customHeight="1" spans="2:2" x14ac:dyDescent="0.25">
      <c r="B2" s="9">
        <f>Cover!B24</f>
      </c>
    </row>
    <row r="3" spans="2:8" x14ac:dyDescent="0.25">
      <c r="B3" s="10" t="s">
        <v>1511</v>
      </c>
      <c r="C3" s="11"/>
      <c r="D3" s="11"/>
      <c r="E3" s="11"/>
      <c r="F3" s="11"/>
      <c r="G3" s="11"/>
      <c r="H3" s="11"/>
    </row>
    <row r="5" spans="2:8" x14ac:dyDescent="0.25">
      <c r="B5" s="36" t="s">
        <v>1355</v>
      </c>
      <c r="C5" s="36"/>
      <c r="D5" s="36"/>
      <c r="E5" s="36"/>
      <c r="F5" s="36"/>
      <c r="G5" s="36"/>
      <c r="H5" s="36"/>
    </row>
    <row r="6" spans="2:8" x14ac:dyDescent="0.25">
      <c r="B6" s="13" t="s">
        <v>1360</v>
      </c>
      <c r="C6" s="13" t="s">
        <v>1512</v>
      </c>
      <c r="D6" s="13" t="s">
        <v>1361</v>
      </c>
      <c r="E6" s="13" t="s">
        <v>1362</v>
      </c>
      <c r="F6" s="13" t="s">
        <v>1363</v>
      </c>
      <c r="G6" s="13" t="s">
        <v>1513</v>
      </c>
      <c r="H6" s="13" t="s">
        <v>1514</v>
      </c>
    </row>
    <row r="8" spans="2:8" x14ac:dyDescent="0.25">
      <c r="B8" s="37" t="s">
        <v>1515</v>
      </c>
      <c r="C8" s="37"/>
      <c r="D8" s="37"/>
      <c r="E8" s="37"/>
      <c r="F8" s="37"/>
      <c r="G8" s="37"/>
      <c r="H8" s="37"/>
    </row>
    <row r="9" spans="2:8" x14ac:dyDescent="0.25">
      <c r="B9" s="16" t="s">
        <v>1369</v>
      </c>
      <c r="C9" s="16" t="s">
        <v>1372</v>
      </c>
      <c r="D9" s="16" t="s">
        <v>333</v>
      </c>
      <c r="E9" s="16" t="s">
        <v>338</v>
      </c>
      <c r="F9" s="16" t="s">
        <v>11</v>
      </c>
      <c r="G9" s="16" t="s">
        <v>11</v>
      </c>
      <c r="H9" s="16" t="s">
        <v>1516</v>
      </c>
    </row>
    <row r="10" spans="2:8" x14ac:dyDescent="0.25">
      <c r="B10" s="16" t="s">
        <v>1373</v>
      </c>
      <c r="C10" s="16" t="s">
        <v>1372</v>
      </c>
      <c r="D10" s="16" t="s">
        <v>333</v>
      </c>
      <c r="E10" s="16" t="s">
        <v>336</v>
      </c>
      <c r="F10" s="16" t="s">
        <v>11</v>
      </c>
      <c r="G10" s="16" t="s">
        <v>11</v>
      </c>
      <c r="H10" s="16" t="s">
        <v>1516</v>
      </c>
    </row>
    <row r="11" spans="2:8" x14ac:dyDescent="0.25">
      <c r="B11" s="16" t="s">
        <v>1374</v>
      </c>
      <c r="C11" s="16" t="s">
        <v>1372</v>
      </c>
      <c r="D11" s="16" t="s">
        <v>333</v>
      </c>
      <c r="E11" s="16" t="s">
        <v>334</v>
      </c>
      <c r="F11" s="16" t="s">
        <v>11</v>
      </c>
      <c r="G11" s="16" t="s">
        <v>11</v>
      </c>
      <c r="H11" s="16" t="s">
        <v>1516</v>
      </c>
    </row>
    <row r="12" spans="2:8" x14ac:dyDescent="0.25">
      <c r="B12" s="16" t="s">
        <v>1375</v>
      </c>
      <c r="C12" s="16" t="s">
        <v>1372</v>
      </c>
      <c r="D12" s="16" t="s">
        <v>333</v>
      </c>
      <c r="E12" s="16" t="s">
        <v>1376</v>
      </c>
      <c r="F12" s="16" t="s">
        <v>11</v>
      </c>
      <c r="G12" s="16" t="s">
        <v>11</v>
      </c>
      <c r="H12" s="16" t="s">
        <v>1516</v>
      </c>
    </row>
    <row r="13" spans="2:8" x14ac:dyDescent="0.25">
      <c r="B13" s="16" t="s">
        <v>1377</v>
      </c>
      <c r="C13" s="16" t="s">
        <v>1380</v>
      </c>
      <c r="D13" s="16" t="s">
        <v>1379</v>
      </c>
      <c r="E13" s="16" t="s">
        <v>1379</v>
      </c>
      <c r="F13" s="16" t="s">
        <v>11</v>
      </c>
      <c r="G13" s="16" t="s">
        <v>11</v>
      </c>
      <c r="H13" s="16" t="s">
        <v>1516</v>
      </c>
    </row>
    <row r="14" spans="2:8" x14ac:dyDescent="0.25">
      <c r="B14" s="16" t="s">
        <v>1381</v>
      </c>
      <c r="C14" s="16" t="s">
        <v>1380</v>
      </c>
      <c r="D14" s="16" t="s">
        <v>1379</v>
      </c>
      <c r="E14" s="16" t="s">
        <v>1379</v>
      </c>
      <c r="F14" s="16" t="s">
        <v>11</v>
      </c>
      <c r="G14" s="16" t="s">
        <v>11</v>
      </c>
      <c r="H14" s="16" t="s">
        <v>1516</v>
      </c>
    </row>
    <row r="15" spans="2:8" x14ac:dyDescent="0.25">
      <c r="B15" s="16" t="s">
        <v>1382</v>
      </c>
      <c r="C15" s="16" t="s">
        <v>534</v>
      </c>
      <c r="D15" s="16" t="s">
        <v>1384</v>
      </c>
      <c r="E15" s="16" t="s">
        <v>1384</v>
      </c>
      <c r="F15" s="16" t="s">
        <v>11</v>
      </c>
      <c r="G15" s="16" t="s">
        <v>11</v>
      </c>
      <c r="H15" s="16" t="s">
        <v>1516</v>
      </c>
    </row>
    <row r="16" spans="2:8" x14ac:dyDescent="0.25">
      <c r="B16" s="16" t="s">
        <v>1385</v>
      </c>
      <c r="C16" s="16" t="s">
        <v>534</v>
      </c>
      <c r="D16" s="16" t="s">
        <v>1387</v>
      </c>
      <c r="E16" s="16" t="s">
        <v>1387</v>
      </c>
      <c r="F16" s="16" t="s">
        <v>1388</v>
      </c>
      <c r="G16" s="16" t="s">
        <v>1389</v>
      </c>
      <c r="H16" s="16" t="s">
        <v>1516</v>
      </c>
    </row>
    <row r="17" spans="2:8" x14ac:dyDescent="0.25">
      <c r="B17" s="16" t="s">
        <v>1390</v>
      </c>
      <c r="C17" s="16" t="s">
        <v>534</v>
      </c>
      <c r="D17" s="16" t="s">
        <v>1392</v>
      </c>
      <c r="E17" s="16" t="s">
        <v>1392</v>
      </c>
      <c r="F17" s="16" t="s">
        <v>11</v>
      </c>
      <c r="G17" s="16" t="s">
        <v>1393</v>
      </c>
      <c r="H17" s="16" t="s">
        <v>1516</v>
      </c>
    </row>
    <row r="18" spans="2:8" x14ac:dyDescent="0.25">
      <c r="B18" s="16" t="s">
        <v>1394</v>
      </c>
      <c r="C18" s="16" t="s">
        <v>534</v>
      </c>
      <c r="D18" s="16" t="s">
        <v>1387</v>
      </c>
      <c r="E18" s="16" t="s">
        <v>1387</v>
      </c>
      <c r="F18" s="16" t="s">
        <v>1395</v>
      </c>
      <c r="G18" s="16" t="s">
        <v>1396</v>
      </c>
      <c r="H18" s="16" t="s">
        <v>1516</v>
      </c>
    </row>
    <row r="19" spans="2:8" x14ac:dyDescent="0.25">
      <c r="B19" s="16" t="s">
        <v>1397</v>
      </c>
      <c r="C19" s="16" t="s">
        <v>534</v>
      </c>
      <c r="D19" s="16" t="s">
        <v>1387</v>
      </c>
      <c r="E19" s="16" t="s">
        <v>1387</v>
      </c>
      <c r="F19" s="16" t="s">
        <v>11</v>
      </c>
      <c r="G19" s="16" t="s">
        <v>11</v>
      </c>
      <c r="H19" s="16" t="s">
        <v>1516</v>
      </c>
    </row>
    <row r="20" spans="2:8" x14ac:dyDescent="0.25">
      <c r="B20" s="16" t="s">
        <v>1398</v>
      </c>
      <c r="C20" s="16" t="s">
        <v>534</v>
      </c>
      <c r="D20" s="16" t="s">
        <v>1387</v>
      </c>
      <c r="E20" s="16" t="s">
        <v>1387</v>
      </c>
      <c r="F20" s="16" t="s">
        <v>11</v>
      </c>
      <c r="G20" s="16" t="s">
        <v>1399</v>
      </c>
      <c r="H20" s="16" t="s">
        <v>1516</v>
      </c>
    </row>
    <row r="21" spans="2:8" x14ac:dyDescent="0.25">
      <c r="B21" s="16" t="s">
        <v>1400</v>
      </c>
      <c r="C21" s="16" t="s">
        <v>534</v>
      </c>
      <c r="D21" s="16" t="s">
        <v>1387</v>
      </c>
      <c r="E21" s="16" t="s">
        <v>1387</v>
      </c>
      <c r="F21" s="16" t="s">
        <v>1401</v>
      </c>
      <c r="G21" s="16" t="s">
        <v>1402</v>
      </c>
      <c r="H21" s="16" t="s">
        <v>1516</v>
      </c>
    </row>
    <row r="22" spans="2:8" x14ac:dyDescent="0.25">
      <c r="B22" s="16" t="s">
        <v>1403</v>
      </c>
      <c r="C22" s="16" t="s">
        <v>534</v>
      </c>
      <c r="D22" s="16" t="s">
        <v>1387</v>
      </c>
      <c r="E22" s="16" t="s">
        <v>1387</v>
      </c>
      <c r="F22" s="16" t="s">
        <v>11</v>
      </c>
      <c r="G22" s="16" t="s">
        <v>11</v>
      </c>
      <c r="H22" s="16" t="s">
        <v>1516</v>
      </c>
    </row>
    <row r="23" spans="2:8" x14ac:dyDescent="0.25">
      <c r="B23" s="16" t="s">
        <v>1404</v>
      </c>
      <c r="C23" s="16" t="s">
        <v>534</v>
      </c>
      <c r="D23" s="16" t="s">
        <v>1406</v>
      </c>
      <c r="E23" s="16" t="s">
        <v>1406</v>
      </c>
      <c r="F23" s="16" t="s">
        <v>11</v>
      </c>
      <c r="G23" s="16" t="s">
        <v>1407</v>
      </c>
      <c r="H23" s="16" t="s">
        <v>1516</v>
      </c>
    </row>
    <row r="24" spans="2:8" x14ac:dyDescent="0.25">
      <c r="B24" s="16" t="s">
        <v>1408</v>
      </c>
      <c r="C24" s="16" t="s">
        <v>534</v>
      </c>
      <c r="D24" s="16" t="s">
        <v>1410</v>
      </c>
      <c r="E24" s="16" t="s">
        <v>1410</v>
      </c>
      <c r="F24" s="16" t="s">
        <v>11</v>
      </c>
      <c r="G24" s="16" t="s">
        <v>11</v>
      </c>
      <c r="H24" s="16" t="s">
        <v>1516</v>
      </c>
    </row>
    <row r="25" spans="2:8" x14ac:dyDescent="0.25">
      <c r="B25" s="16" t="s">
        <v>1411</v>
      </c>
      <c r="C25" s="16" t="s">
        <v>534</v>
      </c>
      <c r="D25" s="16" t="s">
        <v>1410</v>
      </c>
      <c r="E25" s="16" t="s">
        <v>1410</v>
      </c>
      <c r="F25" s="16" t="s">
        <v>11</v>
      </c>
      <c r="G25" s="16" t="s">
        <v>11</v>
      </c>
      <c r="H25" s="16" t="s">
        <v>1516</v>
      </c>
    </row>
    <row r="26" spans="2:8" x14ac:dyDescent="0.25">
      <c r="B26" s="16" t="s">
        <v>1412</v>
      </c>
      <c r="C26" s="16" t="s">
        <v>534</v>
      </c>
      <c r="D26" s="16" t="s">
        <v>1410</v>
      </c>
      <c r="E26" s="16" t="s">
        <v>1410</v>
      </c>
      <c r="F26" s="16" t="s">
        <v>11</v>
      </c>
      <c r="G26" s="16" t="s">
        <v>11</v>
      </c>
      <c r="H26" s="16" t="s">
        <v>1516</v>
      </c>
    </row>
    <row r="27" spans="2:8" x14ac:dyDescent="0.25">
      <c r="B27" s="16" t="s">
        <v>1413</v>
      </c>
      <c r="C27" s="16" t="s">
        <v>534</v>
      </c>
      <c r="D27" s="16" t="s">
        <v>1410</v>
      </c>
      <c r="E27" s="16" t="s">
        <v>1410</v>
      </c>
      <c r="F27" s="16" t="s">
        <v>11</v>
      </c>
      <c r="G27" s="16" t="s">
        <v>11</v>
      </c>
      <c r="H27" s="16" t="s">
        <v>1516</v>
      </c>
    </row>
    <row r="28" spans="2:8" x14ac:dyDescent="0.25">
      <c r="B28" s="16" t="s">
        <v>1414</v>
      </c>
      <c r="C28" s="16" t="s">
        <v>534</v>
      </c>
      <c r="D28" s="16" t="s">
        <v>1416</v>
      </c>
      <c r="E28" s="16" t="s">
        <v>1416</v>
      </c>
      <c r="F28" s="16" t="s">
        <v>11</v>
      </c>
      <c r="G28" s="16" t="s">
        <v>11</v>
      </c>
      <c r="H28" s="16" t="s">
        <v>1516</v>
      </c>
    </row>
    <row r="29" spans="2:8" x14ac:dyDescent="0.25">
      <c r="B29" s="16" t="s">
        <v>1417</v>
      </c>
      <c r="C29" s="16" t="s">
        <v>534</v>
      </c>
      <c r="D29" s="16" t="s">
        <v>1387</v>
      </c>
      <c r="E29" s="16" t="s">
        <v>1387</v>
      </c>
      <c r="F29" s="16" t="s">
        <v>11</v>
      </c>
      <c r="G29" s="16" t="s">
        <v>11</v>
      </c>
      <c r="H29" s="16" t="s">
        <v>1516</v>
      </c>
    </row>
    <row r="30" spans="2:8" x14ac:dyDescent="0.25">
      <c r="B30" s="16" t="s">
        <v>1418</v>
      </c>
      <c r="C30" s="16" t="s">
        <v>534</v>
      </c>
      <c r="D30" s="16" t="s">
        <v>1387</v>
      </c>
      <c r="E30" s="16" t="s">
        <v>1387</v>
      </c>
      <c r="F30" s="16" t="s">
        <v>11</v>
      </c>
      <c r="G30" s="16" t="s">
        <v>11</v>
      </c>
      <c r="H30" s="16" t="s">
        <v>1517</v>
      </c>
    </row>
    <row r="31" spans="2:8" x14ac:dyDescent="0.25">
      <c r="B31" s="16" t="s">
        <v>1419</v>
      </c>
      <c r="C31" s="16" t="s">
        <v>534</v>
      </c>
      <c r="D31" s="16" t="s">
        <v>1387</v>
      </c>
      <c r="E31" s="16" t="s">
        <v>1387</v>
      </c>
      <c r="F31" s="16" t="s">
        <v>11</v>
      </c>
      <c r="G31" s="16" t="s">
        <v>11</v>
      </c>
      <c r="H31" s="16" t="s">
        <v>1516</v>
      </c>
    </row>
    <row r="32" spans="2:8" x14ac:dyDescent="0.25">
      <c r="B32" s="16" t="s">
        <v>545</v>
      </c>
      <c r="C32" s="16" t="s">
        <v>534</v>
      </c>
      <c r="D32" s="16" t="s">
        <v>1387</v>
      </c>
      <c r="E32" s="16" t="s">
        <v>1387</v>
      </c>
      <c r="F32" s="16" t="s">
        <v>1420</v>
      </c>
      <c r="G32" s="16" t="s">
        <v>1421</v>
      </c>
      <c r="H32" s="16" t="s">
        <v>1516</v>
      </c>
    </row>
    <row r="33" spans="2:8" x14ac:dyDescent="0.25">
      <c r="B33" s="16" t="s">
        <v>1422</v>
      </c>
      <c r="C33" s="16" t="s">
        <v>361</v>
      </c>
      <c r="D33" s="16" t="s">
        <v>1424</v>
      </c>
      <c r="E33" s="16" t="s">
        <v>1424</v>
      </c>
      <c r="F33" s="16" t="s">
        <v>11</v>
      </c>
      <c r="G33" s="16" t="s">
        <v>1425</v>
      </c>
      <c r="H33" s="16" t="s">
        <v>1516</v>
      </c>
    </row>
    <row r="34" spans="2:8" x14ac:dyDescent="0.25">
      <c r="B34" s="16" t="s">
        <v>369</v>
      </c>
      <c r="C34" s="16" t="s">
        <v>1428</v>
      </c>
      <c r="D34" s="16" t="s">
        <v>433</v>
      </c>
      <c r="E34" s="16" t="s">
        <v>433</v>
      </c>
      <c r="F34" s="16" t="s">
        <v>11</v>
      </c>
      <c r="G34" s="16" t="s">
        <v>1427</v>
      </c>
      <c r="H34" s="16" t="s">
        <v>1516</v>
      </c>
    </row>
    <row r="36" spans="2:8" x14ac:dyDescent="0.25">
      <c r="B36" s="37" t="s">
        <v>1518</v>
      </c>
      <c r="C36" s="37"/>
      <c r="D36" s="37"/>
      <c r="E36" s="37"/>
      <c r="F36" s="37"/>
      <c r="G36" s="37"/>
      <c r="H36" s="37"/>
    </row>
    <row r="37" spans="2:8" x14ac:dyDescent="0.25">
      <c r="B37" s="24" t="s">
        <v>1445</v>
      </c>
      <c r="C37" s="24" t="s">
        <v>1447</v>
      </c>
      <c r="D37" s="29" t="s">
        <v>250</v>
      </c>
      <c r="E37" s="29" t="s">
        <v>250</v>
      </c>
      <c r="F37" s="29" t="s">
        <v>11</v>
      </c>
      <c r="G37" s="29" t="s">
        <v>11</v>
      </c>
      <c r="H37" s="29" t="s">
        <v>1516</v>
      </c>
    </row>
    <row r="38" spans="2:8" x14ac:dyDescent="0.25">
      <c r="B38" s="24" t="s">
        <v>1448</v>
      </c>
      <c r="C38" s="24" t="s">
        <v>1447</v>
      </c>
      <c r="D38" s="29" t="s">
        <v>250</v>
      </c>
      <c r="E38" s="29" t="s">
        <v>250</v>
      </c>
      <c r="F38" s="29" t="s">
        <v>11</v>
      </c>
      <c r="G38" s="29" t="s">
        <v>11</v>
      </c>
      <c r="H38" s="29" t="s">
        <v>1516</v>
      </c>
    </row>
    <row r="39" spans="2:8" x14ac:dyDescent="0.25">
      <c r="B39" s="24" t="s">
        <v>1449</v>
      </c>
      <c r="C39" s="24" t="s">
        <v>1451</v>
      </c>
      <c r="D39" s="29" t="s">
        <v>827</v>
      </c>
      <c r="E39" s="29" t="s">
        <v>827</v>
      </c>
      <c r="F39" s="29" t="s">
        <v>11</v>
      </c>
      <c r="G39" s="29" t="s">
        <v>11</v>
      </c>
      <c r="H39" s="29" t="s">
        <v>1516</v>
      </c>
    </row>
    <row r="40" spans="2:8" x14ac:dyDescent="0.25">
      <c r="B40" s="24" t="s">
        <v>1452</v>
      </c>
      <c r="C40" s="24" t="s">
        <v>1454</v>
      </c>
      <c r="D40" s="29" t="s">
        <v>828</v>
      </c>
      <c r="E40" s="29" t="s">
        <v>828</v>
      </c>
      <c r="F40" s="29" t="s">
        <v>11</v>
      </c>
      <c r="G40" s="29" t="s">
        <v>11</v>
      </c>
      <c r="H40" s="29" t="s">
        <v>1516</v>
      </c>
    </row>
    <row r="41" spans="2:8" x14ac:dyDescent="0.25">
      <c r="B41" s="24" t="s">
        <v>1455</v>
      </c>
      <c r="C41" s="24" t="s">
        <v>1454</v>
      </c>
      <c r="D41" s="29" t="s">
        <v>829</v>
      </c>
      <c r="E41" s="29" t="s">
        <v>829</v>
      </c>
      <c r="F41" s="29" t="s">
        <v>11</v>
      </c>
      <c r="G41" s="29" t="s">
        <v>11</v>
      </c>
      <c r="H41" s="29" t="s">
        <v>1516</v>
      </c>
    </row>
    <row r="42" spans="2:8" x14ac:dyDescent="0.25">
      <c r="B42" s="16" t="s">
        <v>1457</v>
      </c>
      <c r="C42" s="16" t="s">
        <v>1459</v>
      </c>
      <c r="D42" s="16" t="s">
        <v>831</v>
      </c>
      <c r="E42" s="16" t="s">
        <v>831</v>
      </c>
      <c r="F42" s="16" t="s">
        <v>11</v>
      </c>
      <c r="G42" s="16" t="s">
        <v>11</v>
      </c>
      <c r="H42" s="16" t="s">
        <v>1516</v>
      </c>
    </row>
    <row r="43" spans="2:8" x14ac:dyDescent="0.25">
      <c r="B43" s="16" t="s">
        <v>1460</v>
      </c>
      <c r="C43" s="16" t="s">
        <v>1459</v>
      </c>
      <c r="D43" s="16" t="s">
        <v>831</v>
      </c>
      <c r="E43" s="16" t="s">
        <v>831</v>
      </c>
      <c r="F43" s="16" t="s">
        <v>11</v>
      </c>
      <c r="G43" s="16" t="s">
        <v>11</v>
      </c>
      <c r="H43" s="16" t="s">
        <v>1516</v>
      </c>
    </row>
    <row r="44" spans="2:8" x14ac:dyDescent="0.25">
      <c r="B44" s="16" t="s">
        <v>1461</v>
      </c>
      <c r="C44" s="16" t="s">
        <v>1459</v>
      </c>
      <c r="D44" s="16" t="s">
        <v>831</v>
      </c>
      <c r="E44" s="16" t="s">
        <v>831</v>
      </c>
      <c r="F44" s="16" t="s">
        <v>11</v>
      </c>
      <c r="G44" s="16" t="s">
        <v>11</v>
      </c>
      <c r="H44" s="16" t="s">
        <v>1516</v>
      </c>
    </row>
    <row r="45" spans="2:8" x14ac:dyDescent="0.25">
      <c r="B45" s="16" t="s">
        <v>1462</v>
      </c>
      <c r="C45" s="16" t="s">
        <v>1464</v>
      </c>
      <c r="D45" s="16" t="s">
        <v>832</v>
      </c>
      <c r="E45" s="16" t="s">
        <v>832</v>
      </c>
      <c r="F45" s="16" t="s">
        <v>11</v>
      </c>
      <c r="G45" s="16" t="s">
        <v>11</v>
      </c>
      <c r="H45" s="16" t="s">
        <v>1516</v>
      </c>
    </row>
    <row r="46" spans="2:8" x14ac:dyDescent="0.25">
      <c r="B46" s="24" t="s">
        <v>1465</v>
      </c>
      <c r="C46" s="24" t="s">
        <v>1467</v>
      </c>
      <c r="D46" s="29" t="s">
        <v>834</v>
      </c>
      <c r="E46" s="29" t="s">
        <v>834</v>
      </c>
      <c r="F46" s="29" t="s">
        <v>11</v>
      </c>
      <c r="G46" s="29" t="s">
        <v>11</v>
      </c>
      <c r="H46" s="29" t="s">
        <v>1516</v>
      </c>
    </row>
    <row r="47" spans="2:8" x14ac:dyDescent="0.25">
      <c r="B47" s="24" t="s">
        <v>1468</v>
      </c>
      <c r="C47" s="24" t="s">
        <v>1470</v>
      </c>
      <c r="D47" s="29" t="s">
        <v>893</v>
      </c>
      <c r="E47" s="29" t="s">
        <v>893</v>
      </c>
      <c r="F47" s="29" t="s">
        <v>11</v>
      </c>
      <c r="G47" s="29" t="s">
        <v>11</v>
      </c>
      <c r="H47" s="29" t="s">
        <v>1516</v>
      </c>
    </row>
    <row r="48" spans="2:8" x14ac:dyDescent="0.25">
      <c r="B48" s="24" t="s">
        <v>1471</v>
      </c>
      <c r="C48" s="24" t="s">
        <v>1473</v>
      </c>
      <c r="D48" s="29" t="s">
        <v>835</v>
      </c>
      <c r="E48" s="29" t="s">
        <v>835</v>
      </c>
      <c r="F48" s="29" t="s">
        <v>11</v>
      </c>
      <c r="G48" s="29" t="s">
        <v>11</v>
      </c>
      <c r="H48" s="29" t="s">
        <v>1516</v>
      </c>
    </row>
    <row r="49" spans="2:8" x14ac:dyDescent="0.25">
      <c r="B49" s="24" t="s">
        <v>1474</v>
      </c>
      <c r="C49" s="24" t="s">
        <v>1473</v>
      </c>
      <c r="D49" s="29" t="s">
        <v>835</v>
      </c>
      <c r="E49" s="29" t="s">
        <v>835</v>
      </c>
      <c r="F49" s="29" t="s">
        <v>11</v>
      </c>
      <c r="G49" s="29" t="s">
        <v>11</v>
      </c>
      <c r="H49" s="29" t="s">
        <v>1516</v>
      </c>
    </row>
    <row r="50" spans="2:8" x14ac:dyDescent="0.25">
      <c r="B50" s="24" t="s">
        <v>1475</v>
      </c>
      <c r="C50" s="24" t="s">
        <v>1473</v>
      </c>
      <c r="D50" s="29" t="s">
        <v>835</v>
      </c>
      <c r="E50" s="29" t="s">
        <v>835</v>
      </c>
      <c r="F50" s="29" t="s">
        <v>11</v>
      </c>
      <c r="G50" s="29" t="s">
        <v>11</v>
      </c>
      <c r="H50" s="29" t="s">
        <v>1516</v>
      </c>
    </row>
    <row r="51" spans="2:8" x14ac:dyDescent="0.25">
      <c r="B51" s="16" t="s">
        <v>1476</v>
      </c>
      <c r="C51" s="16" t="s">
        <v>1477</v>
      </c>
      <c r="D51" s="16" t="s">
        <v>893</v>
      </c>
      <c r="E51" s="16" t="s">
        <v>893</v>
      </c>
      <c r="F51" s="16" t="s">
        <v>11</v>
      </c>
      <c r="G51" s="16" t="s">
        <v>11</v>
      </c>
      <c r="H51" s="16" t="s">
        <v>1516</v>
      </c>
    </row>
    <row r="52" spans="2:8" x14ac:dyDescent="0.25">
      <c r="B52" s="16" t="s">
        <v>1478</v>
      </c>
      <c r="C52" s="16" t="s">
        <v>1477</v>
      </c>
      <c r="D52" s="16" t="s">
        <v>893</v>
      </c>
      <c r="E52" s="16" t="s">
        <v>893</v>
      </c>
      <c r="F52" s="16" t="s">
        <v>11</v>
      </c>
      <c r="G52" s="16" t="s">
        <v>11</v>
      </c>
      <c r="H52" s="16" t="s">
        <v>1516</v>
      </c>
    </row>
    <row r="53" spans="2:8" x14ac:dyDescent="0.25">
      <c r="B53" s="16" t="s">
        <v>1479</v>
      </c>
      <c r="C53" s="16" t="s">
        <v>1481</v>
      </c>
      <c r="D53" s="16" t="s">
        <v>839</v>
      </c>
      <c r="E53" s="16" t="s">
        <v>839</v>
      </c>
      <c r="F53" s="16" t="s">
        <v>11</v>
      </c>
      <c r="G53" s="16" t="s">
        <v>11</v>
      </c>
      <c r="H53" s="16" t="s">
        <v>1516</v>
      </c>
    </row>
    <row r="54" spans="2:8" x14ac:dyDescent="0.25">
      <c r="B54" s="16" t="s">
        <v>1482</v>
      </c>
      <c r="C54" s="16" t="s">
        <v>1481</v>
      </c>
      <c r="D54" s="16" t="s">
        <v>839</v>
      </c>
      <c r="E54" s="16" t="s">
        <v>839</v>
      </c>
      <c r="F54" s="16" t="s">
        <v>11</v>
      </c>
      <c r="G54" s="16" t="s">
        <v>11</v>
      </c>
      <c r="H54" s="16" t="s">
        <v>1516</v>
      </c>
    </row>
    <row r="55" spans="2:8" x14ac:dyDescent="0.25">
      <c r="B55" s="16" t="s">
        <v>1483</v>
      </c>
      <c r="C55" s="16" t="s">
        <v>1481</v>
      </c>
      <c r="D55" s="16" t="s">
        <v>839</v>
      </c>
      <c r="E55" s="16" t="s">
        <v>839</v>
      </c>
      <c r="F55" s="16" t="s">
        <v>11</v>
      </c>
      <c r="G55" s="16" t="s">
        <v>11</v>
      </c>
      <c r="H55" s="16" t="s">
        <v>1516</v>
      </c>
    </row>
    <row r="56" spans="2:8" x14ac:dyDescent="0.25">
      <c r="B56" s="16" t="s">
        <v>92</v>
      </c>
      <c r="C56" s="16" t="s">
        <v>1481</v>
      </c>
      <c r="D56" s="16" t="s">
        <v>839</v>
      </c>
      <c r="E56" s="16" t="s">
        <v>839</v>
      </c>
      <c r="F56" s="16" t="s">
        <v>11</v>
      </c>
      <c r="G56" s="16" t="s">
        <v>11</v>
      </c>
      <c r="H56" s="16" t="s">
        <v>1516</v>
      </c>
    </row>
    <row r="58" ht="12.75" customHeight="1" spans="2:8" x14ac:dyDescent="0.25">
      <c r="B58" s="60" t="s">
        <v>1519</v>
      </c>
      <c r="C58" s="60"/>
      <c r="D58" s="60"/>
      <c r="E58" s="60"/>
      <c r="F58" s="60"/>
      <c r="G58" s="60"/>
      <c r="H58" s="60"/>
    </row>
  </sheetData>
  <mergeCells count="1">
    <mergeCell ref="B58:H58"/>
  </mergeCells>
  <printOptions horizontalCentered="1"/>
  <pageMargins left="0.5" right="0.5" top="0.6" bottom="0.7" header="0.3" footer="0.3"/>
  <pageSetup paperSize="1" orientation="landscape" fitToWidth="1" fitToHeight="0"/>
  <headerFooter>
    <oddHeader>&amp;RProject Ridgeline | As of 12/31/25</oddHeader>
    <oddFooter>&amp;LAMB Advisory Services | Strictly confidential&amp;C&amp;A&amp;RPage &amp;P of &amp;N</oddFooter>
  </headerFooter>
  <rowBreaks count="1" manualBreakCount="1">
    <brk id="35"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6A6A6"/>
    <outlinePr summaryBelow="0" summaryRight="0"/>
  </sheetPr>
  <dimension ref="A1:AM41"/>
  <sheetViews>
    <sheetView workbookViewId="0" zoomScale="100">
      <pane ySplit="3" topLeftCell="A4" activePane="bottomLeft" state="frozen"/>
      <selection pane="bottomLeft"/>
    </sheetView>
  </sheetViews>
  <sheetFormatPr defaultRowHeight="12.75" outlineLevelRow="0" outlineLevelCol="0" x14ac:dyDescent="55" customHeight="1"/>
  <cols>
    <col min="1" max="1" width="40" customWidth="1"/>
    <col min="2" max="2" width="24" customWidth="1"/>
    <col min="3" max="38" width="11" customWidth="1"/>
    <col min="39" max="39" width="12" customWidth="1"/>
  </cols>
  <sheetData>
    <row r="1" spans="1:1" x14ac:dyDescent="0.25">
      <c r="A1" s="313" t="s">
        <v>1520</v>
      </c>
    </row>
    <row r="2" spans="1:1" x14ac:dyDescent="0.25">
      <c r="A2" s="307" t="s">
        <v>1521</v>
      </c>
    </row>
    <row r="3" spans="1:39" x14ac:dyDescent="0.25">
      <c r="A3" s="13" t="s">
        <v>1522</v>
      </c>
      <c r="B3" s="13" t="s">
        <v>1512</v>
      </c>
      <c r="C3" s="138">
        <v>44927</v>
      </c>
      <c r="D3" s="138">
        <v>44958</v>
      </c>
      <c r="E3" s="138">
        <v>44986</v>
      </c>
      <c r="F3" s="138">
        <v>45017</v>
      </c>
      <c r="G3" s="138">
        <v>45047</v>
      </c>
      <c r="H3" s="138">
        <v>45078</v>
      </c>
      <c r="I3" s="138">
        <v>45108</v>
      </c>
      <c r="J3" s="138">
        <v>45139</v>
      </c>
      <c r="K3" s="138">
        <v>45170</v>
      </c>
      <c r="L3" s="138">
        <v>45200</v>
      </c>
      <c r="M3" s="138">
        <v>45231</v>
      </c>
      <c r="N3" s="138">
        <v>45261</v>
      </c>
      <c r="O3" s="138">
        <v>45292</v>
      </c>
      <c r="P3" s="138">
        <v>45323</v>
      </c>
      <c r="Q3" s="138">
        <v>45352</v>
      </c>
      <c r="R3" s="138">
        <v>45383</v>
      </c>
      <c r="S3" s="138">
        <v>45413</v>
      </c>
      <c r="T3" s="138">
        <v>45444</v>
      </c>
      <c r="U3" s="138">
        <v>45474</v>
      </c>
      <c r="V3" s="138">
        <v>45505</v>
      </c>
      <c r="W3" s="138">
        <v>45536</v>
      </c>
      <c r="X3" s="138">
        <v>45566</v>
      </c>
      <c r="Y3" s="138">
        <v>45597</v>
      </c>
      <c r="Z3" s="138">
        <v>45627</v>
      </c>
      <c r="AA3" s="138">
        <v>45658</v>
      </c>
      <c r="AB3" s="138">
        <v>45689</v>
      </c>
      <c r="AC3" s="138">
        <v>45717</v>
      </c>
      <c r="AD3" s="138">
        <v>45748</v>
      </c>
      <c r="AE3" s="138">
        <v>45778</v>
      </c>
      <c r="AF3" s="138">
        <v>45809</v>
      </c>
      <c r="AG3" s="138">
        <v>45839</v>
      </c>
      <c r="AH3" s="138">
        <v>45870</v>
      </c>
      <c r="AI3" s="138">
        <v>45901</v>
      </c>
      <c r="AJ3" s="138">
        <v>45931</v>
      </c>
      <c r="AK3" s="138">
        <v>45962</v>
      </c>
      <c r="AL3" s="138">
        <v>45992</v>
      </c>
      <c r="AM3" s="12" t="s">
        <v>563</v>
      </c>
    </row>
    <row r="4" spans="1:39" x14ac:dyDescent="0.25">
      <c r="A4" s="16" t="s">
        <v>1369</v>
      </c>
      <c r="B4" s="16" t="s">
        <v>1372</v>
      </c>
      <c r="C4" s="114">
        <v>16900</v>
      </c>
      <c r="D4" s="114">
        <v>17079</v>
      </c>
      <c r="E4" s="114">
        <v>17257</v>
      </c>
      <c r="F4" s="114">
        <v>17436</v>
      </c>
      <c r="G4" s="114">
        <v>17615</v>
      </c>
      <c r="H4" s="114">
        <v>17794</v>
      </c>
      <c r="I4" s="114">
        <v>17973</v>
      </c>
      <c r="J4" s="114">
        <v>18152</v>
      </c>
      <c r="K4" s="114">
        <v>18330</v>
      </c>
      <c r="L4" s="114">
        <v>18509</v>
      </c>
      <c r="M4" s="114">
        <v>18688</v>
      </c>
      <c r="N4" s="114">
        <v>18867</v>
      </c>
      <c r="O4" s="114">
        <v>19554</v>
      </c>
      <c r="P4" s="114">
        <v>19761</v>
      </c>
      <c r="Q4" s="114">
        <v>19967</v>
      </c>
      <c r="R4" s="114">
        <v>20174</v>
      </c>
      <c r="S4" s="114">
        <v>20381</v>
      </c>
      <c r="T4" s="114">
        <v>20588</v>
      </c>
      <c r="U4" s="114">
        <v>20795</v>
      </c>
      <c r="V4" s="114">
        <v>21002</v>
      </c>
      <c r="W4" s="114">
        <v>21209</v>
      </c>
      <c r="X4" s="114">
        <v>21416</v>
      </c>
      <c r="Y4" s="114">
        <v>21623</v>
      </c>
      <c r="Z4" s="114">
        <v>21830</v>
      </c>
      <c r="AA4" s="114">
        <v>22790</v>
      </c>
      <c r="AB4" s="114">
        <v>23031</v>
      </c>
      <c r="AC4" s="114">
        <v>23273</v>
      </c>
      <c r="AD4" s="114">
        <v>23514</v>
      </c>
      <c r="AE4" s="114">
        <v>23755</v>
      </c>
      <c r="AF4" s="114">
        <v>23996</v>
      </c>
      <c r="AG4" s="114">
        <v>24237</v>
      </c>
      <c r="AH4" s="114">
        <v>24478</v>
      </c>
      <c r="AI4" s="114">
        <v>24720</v>
      </c>
      <c r="AJ4" s="114">
        <v>24961</v>
      </c>
      <c r="AK4" s="114">
        <v>25202</v>
      </c>
      <c r="AL4" s="114">
        <v>25443</v>
      </c>
      <c r="AM4" s="114">
        <v>752300</v>
      </c>
    </row>
    <row r="5" spans="1:39" x14ac:dyDescent="0.25">
      <c r="A5" s="16" t="s">
        <v>1373</v>
      </c>
      <c r="B5" s="16" t="s">
        <v>1372</v>
      </c>
      <c r="C5" s="114">
        <v>44712</v>
      </c>
      <c r="D5" s="114">
        <v>42807</v>
      </c>
      <c r="E5" s="114">
        <v>43255</v>
      </c>
      <c r="F5" s="114">
        <v>46131</v>
      </c>
      <c r="G5" s="114">
        <v>49057</v>
      </c>
      <c r="H5" s="114">
        <v>54511</v>
      </c>
      <c r="I5" s="114">
        <v>57561</v>
      </c>
      <c r="J5" s="114">
        <v>55607</v>
      </c>
      <c r="K5" s="114">
        <v>53602</v>
      </c>
      <c r="L5" s="114">
        <v>48970</v>
      </c>
      <c r="M5" s="114">
        <v>49443</v>
      </c>
      <c r="N5" s="114">
        <v>52544</v>
      </c>
      <c r="O5" s="114">
        <v>52508</v>
      </c>
      <c r="P5" s="114">
        <v>50270</v>
      </c>
      <c r="Q5" s="114">
        <v>50797</v>
      </c>
      <c r="R5" s="114">
        <v>54174</v>
      </c>
      <c r="S5" s="114">
        <v>57611</v>
      </c>
      <c r="T5" s="114">
        <v>64015</v>
      </c>
      <c r="U5" s="114">
        <v>67598</v>
      </c>
      <c r="V5" s="114">
        <v>65302</v>
      </c>
      <c r="W5" s="114">
        <v>62948</v>
      </c>
      <c r="X5" s="114">
        <v>57508</v>
      </c>
      <c r="Y5" s="114">
        <v>58064</v>
      </c>
      <c r="Z5" s="114">
        <v>61705</v>
      </c>
      <c r="AA5" s="114">
        <v>60670</v>
      </c>
      <c r="AB5" s="114">
        <v>58085</v>
      </c>
      <c r="AC5" s="114">
        <v>58693</v>
      </c>
      <c r="AD5" s="114">
        <v>62596</v>
      </c>
      <c r="AE5" s="114">
        <v>66566</v>
      </c>
      <c r="AF5" s="114">
        <v>73966</v>
      </c>
      <c r="AG5" s="114">
        <v>78105</v>
      </c>
      <c r="AH5" s="114">
        <v>75453</v>
      </c>
      <c r="AI5" s="114">
        <v>72732</v>
      </c>
      <c r="AJ5" s="114">
        <v>66448</v>
      </c>
      <c r="AK5" s="114">
        <v>67090</v>
      </c>
      <c r="AL5" s="114">
        <v>71296</v>
      </c>
      <c r="AM5" s="114">
        <v>2112400</v>
      </c>
    </row>
    <row r="6" spans="1:39" x14ac:dyDescent="0.25">
      <c r="A6" s="16" t="s">
        <v>1374</v>
      </c>
      <c r="B6" s="16" t="s">
        <v>1372</v>
      </c>
      <c r="C6" s="114">
        <v>120432</v>
      </c>
      <c r="D6" s="114">
        <v>108895</v>
      </c>
      <c r="E6" s="114">
        <v>103563</v>
      </c>
      <c r="F6" s="114">
        <v>111176</v>
      </c>
      <c r="G6" s="114">
        <v>132136</v>
      </c>
      <c r="H6" s="114">
        <v>160174</v>
      </c>
      <c r="I6" s="114">
        <v>175265</v>
      </c>
      <c r="J6" s="114">
        <v>163393</v>
      </c>
      <c r="K6" s="114">
        <v>137502</v>
      </c>
      <c r="L6" s="114">
        <v>118017</v>
      </c>
      <c r="M6" s="114">
        <v>126167</v>
      </c>
      <c r="N6" s="114">
        <v>155680</v>
      </c>
      <c r="O6" s="114">
        <v>133615</v>
      </c>
      <c r="P6" s="114">
        <v>120815</v>
      </c>
      <c r="Q6" s="114">
        <v>114899</v>
      </c>
      <c r="R6" s="114">
        <v>123345</v>
      </c>
      <c r="S6" s="114">
        <v>146601</v>
      </c>
      <c r="T6" s="114">
        <v>177707</v>
      </c>
      <c r="U6" s="114">
        <v>194450</v>
      </c>
      <c r="V6" s="114">
        <v>181279</v>
      </c>
      <c r="W6" s="114">
        <v>152554</v>
      </c>
      <c r="X6" s="114">
        <v>130936</v>
      </c>
      <c r="Y6" s="114">
        <v>139978</v>
      </c>
      <c r="Z6" s="114">
        <v>172721</v>
      </c>
      <c r="AA6" s="114">
        <v>146716</v>
      </c>
      <c r="AB6" s="114">
        <v>132661</v>
      </c>
      <c r="AC6" s="114">
        <v>126165</v>
      </c>
      <c r="AD6" s="114">
        <v>135439</v>
      </c>
      <c r="AE6" s="114">
        <v>160975</v>
      </c>
      <c r="AF6" s="114">
        <v>195131</v>
      </c>
      <c r="AG6" s="114">
        <v>213516</v>
      </c>
      <c r="AH6" s="114">
        <v>199053</v>
      </c>
      <c r="AI6" s="114">
        <v>167512</v>
      </c>
      <c r="AJ6" s="114">
        <v>143774</v>
      </c>
      <c r="AK6" s="114">
        <v>153702</v>
      </c>
      <c r="AL6" s="114">
        <v>189656</v>
      </c>
      <c r="AM6" s="114">
        <v>5365600</v>
      </c>
    </row>
    <row r="7" spans="1:39" x14ac:dyDescent="0.25">
      <c r="A7" s="16" t="s">
        <v>1375</v>
      </c>
      <c r="B7" s="16" t="s">
        <v>1372</v>
      </c>
      <c r="C7" s="114">
        <v>-1374</v>
      </c>
      <c r="D7" s="114">
        <v>-1243</v>
      </c>
      <c r="E7" s="114">
        <v>-1182</v>
      </c>
      <c r="F7" s="114">
        <v>-1269</v>
      </c>
      <c r="G7" s="114">
        <v>-1508</v>
      </c>
      <c r="H7" s="114">
        <v>-1828</v>
      </c>
      <c r="I7" s="114">
        <v>-2000</v>
      </c>
      <c r="J7" s="114">
        <v>-1864</v>
      </c>
      <c r="K7" s="114">
        <v>-1569</v>
      </c>
      <c r="L7" s="114">
        <v>-1347</v>
      </c>
      <c r="M7" s="114">
        <v>-1440</v>
      </c>
      <c r="N7" s="114">
        <v>-1776</v>
      </c>
      <c r="O7" s="114">
        <v>-1576</v>
      </c>
      <c r="P7" s="114">
        <v>-1425</v>
      </c>
      <c r="Q7" s="114">
        <v>-1355</v>
      </c>
      <c r="R7" s="114">
        <v>-1455</v>
      </c>
      <c r="S7" s="114">
        <v>-1729</v>
      </c>
      <c r="T7" s="114">
        <v>-2096</v>
      </c>
      <c r="U7" s="114">
        <v>-2294</v>
      </c>
      <c r="V7" s="114">
        <v>-2138</v>
      </c>
      <c r="W7" s="114">
        <v>-1799</v>
      </c>
      <c r="X7" s="114">
        <v>-1545</v>
      </c>
      <c r="Y7" s="114">
        <v>-1651</v>
      </c>
      <c r="Z7" s="114">
        <v>-2037</v>
      </c>
      <c r="AA7" s="114">
        <v>-1837</v>
      </c>
      <c r="AB7" s="114">
        <v>-1661</v>
      </c>
      <c r="AC7" s="114">
        <v>-1580</v>
      </c>
      <c r="AD7" s="114">
        <v>-1696</v>
      </c>
      <c r="AE7" s="114">
        <v>-2016</v>
      </c>
      <c r="AF7" s="114">
        <v>-2444</v>
      </c>
      <c r="AG7" s="114">
        <v>-2674</v>
      </c>
      <c r="AH7" s="114">
        <v>-2493</v>
      </c>
      <c r="AI7" s="114">
        <v>-2098</v>
      </c>
      <c r="AJ7" s="114">
        <v>-1801</v>
      </c>
      <c r="AK7" s="114">
        <v>-1925</v>
      </c>
      <c r="AL7" s="114">
        <v>-2375</v>
      </c>
      <c r="AM7" s="114">
        <v>-64100</v>
      </c>
    </row>
    <row r="8" spans="1:39" x14ac:dyDescent="0.25">
      <c r="A8" s="16" t="s">
        <v>1377</v>
      </c>
      <c r="B8" s="16" t="s">
        <v>1380</v>
      </c>
      <c r="C8" s="114">
        <v>62912</v>
      </c>
      <c r="D8" s="114">
        <v>56886</v>
      </c>
      <c r="E8" s="114">
        <v>54100</v>
      </c>
      <c r="F8" s="114">
        <v>58077</v>
      </c>
      <c r="G8" s="114">
        <v>69026</v>
      </c>
      <c r="H8" s="114">
        <v>83673</v>
      </c>
      <c r="I8" s="114">
        <v>91557</v>
      </c>
      <c r="J8" s="114">
        <v>85355</v>
      </c>
      <c r="K8" s="114">
        <v>71830</v>
      </c>
      <c r="L8" s="114">
        <v>61651</v>
      </c>
      <c r="M8" s="114">
        <v>65908</v>
      </c>
      <c r="N8" s="114">
        <v>81325</v>
      </c>
      <c r="O8" s="114">
        <v>70150</v>
      </c>
      <c r="P8" s="114">
        <v>63430</v>
      </c>
      <c r="Q8" s="114">
        <v>60324</v>
      </c>
      <c r="R8" s="114">
        <v>64758</v>
      </c>
      <c r="S8" s="114">
        <v>76968</v>
      </c>
      <c r="T8" s="114">
        <v>93299</v>
      </c>
      <c r="U8" s="114">
        <v>102090</v>
      </c>
      <c r="V8" s="114">
        <v>95174</v>
      </c>
      <c r="W8" s="114">
        <v>80093</v>
      </c>
      <c r="X8" s="114">
        <v>68743</v>
      </c>
      <c r="Y8" s="114">
        <v>73490</v>
      </c>
      <c r="Z8" s="114">
        <v>90681</v>
      </c>
      <c r="AA8" s="114">
        <v>77724</v>
      </c>
      <c r="AB8" s="114">
        <v>70278</v>
      </c>
      <c r="AC8" s="114">
        <v>66837</v>
      </c>
      <c r="AD8" s="114">
        <v>71750</v>
      </c>
      <c r="AE8" s="114">
        <v>85277</v>
      </c>
      <c r="AF8" s="114">
        <v>103372</v>
      </c>
      <c r="AG8" s="114">
        <v>113111</v>
      </c>
      <c r="AH8" s="114">
        <v>105450</v>
      </c>
      <c r="AI8" s="114">
        <v>88740</v>
      </c>
      <c r="AJ8" s="114">
        <v>76165</v>
      </c>
      <c r="AK8" s="114">
        <v>81425</v>
      </c>
      <c r="AL8" s="114">
        <v>100471</v>
      </c>
      <c r="AM8" s="114">
        <v>2822100</v>
      </c>
    </row>
    <row r="9" spans="1:39" x14ac:dyDescent="0.25">
      <c r="A9" s="16" t="s">
        <v>1381</v>
      </c>
      <c r="B9" s="16" t="s">
        <v>1380</v>
      </c>
      <c r="C9" s="114">
        <v>7213</v>
      </c>
      <c r="D9" s="114">
        <v>6905</v>
      </c>
      <c r="E9" s="114">
        <v>6978</v>
      </c>
      <c r="F9" s="114">
        <v>7442</v>
      </c>
      <c r="G9" s="114">
        <v>7914</v>
      </c>
      <c r="H9" s="114">
        <v>8793</v>
      </c>
      <c r="I9" s="114">
        <v>9286</v>
      </c>
      <c r="J9" s="114">
        <v>8970</v>
      </c>
      <c r="K9" s="114">
        <v>8647</v>
      </c>
      <c r="L9" s="114">
        <v>7900</v>
      </c>
      <c r="M9" s="114">
        <v>7976</v>
      </c>
      <c r="N9" s="114">
        <v>8476</v>
      </c>
      <c r="O9" s="114">
        <v>8125</v>
      </c>
      <c r="P9" s="114">
        <v>7779</v>
      </c>
      <c r="Q9" s="114">
        <v>7860</v>
      </c>
      <c r="R9" s="114">
        <v>8383</v>
      </c>
      <c r="S9" s="114">
        <v>8914</v>
      </c>
      <c r="T9" s="114">
        <v>9905</v>
      </c>
      <c r="U9" s="114">
        <v>10460</v>
      </c>
      <c r="V9" s="114">
        <v>10104</v>
      </c>
      <c r="W9" s="114">
        <v>9740</v>
      </c>
      <c r="X9" s="114">
        <v>8898</v>
      </c>
      <c r="Y9" s="114">
        <v>8984</v>
      </c>
      <c r="Z9" s="114">
        <v>9548</v>
      </c>
      <c r="AA9" s="114">
        <v>8842</v>
      </c>
      <c r="AB9" s="114">
        <v>8466</v>
      </c>
      <c r="AC9" s="114">
        <v>8554</v>
      </c>
      <c r="AD9" s="114">
        <v>9123</v>
      </c>
      <c r="AE9" s="114">
        <v>9702</v>
      </c>
      <c r="AF9" s="114">
        <v>10780</v>
      </c>
      <c r="AG9" s="114">
        <v>11383</v>
      </c>
      <c r="AH9" s="114">
        <v>10997</v>
      </c>
      <c r="AI9" s="114">
        <v>10600</v>
      </c>
      <c r="AJ9" s="114">
        <v>9684</v>
      </c>
      <c r="AK9" s="114">
        <v>9778</v>
      </c>
      <c r="AL9" s="114">
        <v>10391</v>
      </c>
      <c r="AM9" s="114">
        <v>323500</v>
      </c>
    </row>
    <row r="10" spans="1:39" x14ac:dyDescent="0.25">
      <c r="A10" s="16" t="s">
        <v>1382</v>
      </c>
      <c r="B10" s="16" t="s">
        <v>534</v>
      </c>
      <c r="C10" s="114">
        <v>4320</v>
      </c>
      <c r="D10" s="114">
        <v>4860</v>
      </c>
      <c r="E10" s="114">
        <v>6480</v>
      </c>
      <c r="F10" s="114">
        <v>7020</v>
      </c>
      <c r="G10" s="114">
        <v>6480</v>
      </c>
      <c r="H10" s="114">
        <v>5400</v>
      </c>
      <c r="I10" s="114">
        <v>4860</v>
      </c>
      <c r="J10" s="114">
        <v>4860</v>
      </c>
      <c r="K10" s="114">
        <v>5940</v>
      </c>
      <c r="L10" s="114">
        <v>6480</v>
      </c>
      <c r="M10" s="114">
        <v>4320</v>
      </c>
      <c r="N10" s="114">
        <v>3780</v>
      </c>
      <c r="O10" s="114">
        <v>4747</v>
      </c>
      <c r="P10" s="114">
        <v>5340</v>
      </c>
      <c r="Q10" s="114">
        <v>7120</v>
      </c>
      <c r="R10" s="114">
        <v>7713</v>
      </c>
      <c r="S10" s="114">
        <v>7120</v>
      </c>
      <c r="T10" s="114">
        <v>5933</v>
      </c>
      <c r="U10" s="114">
        <v>5340</v>
      </c>
      <c r="V10" s="114">
        <v>5340</v>
      </c>
      <c r="W10" s="114">
        <v>6527</v>
      </c>
      <c r="X10" s="114">
        <v>7120</v>
      </c>
      <c r="Y10" s="114">
        <v>4747</v>
      </c>
      <c r="Z10" s="114">
        <v>4153</v>
      </c>
      <c r="AA10" s="114">
        <v>5307</v>
      </c>
      <c r="AB10" s="114">
        <v>5970</v>
      </c>
      <c r="AC10" s="114">
        <v>7960</v>
      </c>
      <c r="AD10" s="114">
        <v>8623</v>
      </c>
      <c r="AE10" s="114">
        <v>7960</v>
      </c>
      <c r="AF10" s="114">
        <v>6633</v>
      </c>
      <c r="AG10" s="114">
        <v>5970</v>
      </c>
      <c r="AH10" s="114">
        <v>5970</v>
      </c>
      <c r="AI10" s="114">
        <v>7297</v>
      </c>
      <c r="AJ10" s="114">
        <v>7960</v>
      </c>
      <c r="AK10" s="114">
        <v>5307</v>
      </c>
      <c r="AL10" s="114">
        <v>4643</v>
      </c>
      <c r="AM10" s="114">
        <v>215600</v>
      </c>
    </row>
    <row r="11" spans="1:39" x14ac:dyDescent="0.25">
      <c r="A11" s="16" t="s">
        <v>1385</v>
      </c>
      <c r="B11" s="16" t="s">
        <v>534</v>
      </c>
      <c r="C11" s="114">
        <v>209</v>
      </c>
      <c r="D11" s="114">
        <v>209</v>
      </c>
      <c r="E11" s="114">
        <v>209</v>
      </c>
      <c r="F11" s="114">
        <v>208</v>
      </c>
      <c r="G11" s="114">
        <v>208</v>
      </c>
      <c r="H11" s="114">
        <v>208</v>
      </c>
      <c r="I11" s="114">
        <v>208</v>
      </c>
      <c r="J11" s="114">
        <v>208</v>
      </c>
      <c r="K11" s="114">
        <v>208</v>
      </c>
      <c r="L11" s="114">
        <v>208</v>
      </c>
      <c r="M11" s="114">
        <v>417</v>
      </c>
      <c r="N11" s="114">
        <v>2500</v>
      </c>
      <c r="O11" s="114">
        <v>250</v>
      </c>
      <c r="P11" s="114">
        <v>250</v>
      </c>
      <c r="Q11" s="114">
        <v>250</v>
      </c>
      <c r="R11" s="114">
        <v>250</v>
      </c>
      <c r="S11" s="114">
        <v>250</v>
      </c>
      <c r="T11" s="114">
        <v>250</v>
      </c>
      <c r="U11" s="114">
        <v>250</v>
      </c>
      <c r="V11" s="114">
        <v>250</v>
      </c>
      <c r="W11" s="114">
        <v>250</v>
      </c>
      <c r="X11" s="114">
        <v>250</v>
      </c>
      <c r="Y11" s="114">
        <v>500</v>
      </c>
      <c r="Z11" s="114">
        <v>3000</v>
      </c>
      <c r="AA11" s="114">
        <v>313</v>
      </c>
      <c r="AB11" s="114">
        <v>313</v>
      </c>
      <c r="AC11" s="114">
        <v>313</v>
      </c>
      <c r="AD11" s="114">
        <v>313</v>
      </c>
      <c r="AE11" s="114">
        <v>313</v>
      </c>
      <c r="AF11" s="114">
        <v>312</v>
      </c>
      <c r="AG11" s="114">
        <v>312</v>
      </c>
      <c r="AH11" s="114">
        <v>312</v>
      </c>
      <c r="AI11" s="114">
        <v>312</v>
      </c>
      <c r="AJ11" s="114">
        <v>312</v>
      </c>
      <c r="AK11" s="114">
        <v>625</v>
      </c>
      <c r="AL11" s="114">
        <v>3750</v>
      </c>
      <c r="AM11" s="114">
        <v>18500</v>
      </c>
    </row>
    <row r="12" spans="1:39" x14ac:dyDescent="0.25">
      <c r="A12" s="16" t="s">
        <v>1390</v>
      </c>
      <c r="B12" s="16" t="s">
        <v>534</v>
      </c>
      <c r="C12" s="114">
        <v>5100</v>
      </c>
      <c r="D12" s="114">
        <v>5100</v>
      </c>
      <c r="E12" s="114">
        <v>5100</v>
      </c>
      <c r="F12" s="114">
        <v>5100</v>
      </c>
      <c r="G12" s="114">
        <v>5100</v>
      </c>
      <c r="H12" s="114">
        <v>5100</v>
      </c>
      <c r="I12" s="114">
        <v>5100</v>
      </c>
      <c r="J12" s="114">
        <v>5100</v>
      </c>
      <c r="K12" s="114">
        <v>5100</v>
      </c>
      <c r="L12" s="114">
        <v>5100</v>
      </c>
      <c r="M12" s="114">
        <v>5100</v>
      </c>
      <c r="N12" s="114">
        <v>5100</v>
      </c>
      <c r="O12" s="114">
        <v>5567</v>
      </c>
      <c r="P12" s="114">
        <v>5567</v>
      </c>
      <c r="Q12" s="114">
        <v>5567</v>
      </c>
      <c r="R12" s="114">
        <v>5567</v>
      </c>
      <c r="S12" s="114">
        <v>5567</v>
      </c>
      <c r="T12" s="114">
        <v>5567</v>
      </c>
      <c r="U12" s="114">
        <v>5567</v>
      </c>
      <c r="V12" s="114">
        <v>5567</v>
      </c>
      <c r="W12" s="114">
        <v>5566</v>
      </c>
      <c r="X12" s="114">
        <v>5566</v>
      </c>
      <c r="Y12" s="114">
        <v>5566</v>
      </c>
      <c r="Z12" s="114">
        <v>5566</v>
      </c>
      <c r="AA12" s="114">
        <v>6034</v>
      </c>
      <c r="AB12" s="114">
        <v>6034</v>
      </c>
      <c r="AC12" s="114">
        <v>6034</v>
      </c>
      <c r="AD12" s="114">
        <v>6034</v>
      </c>
      <c r="AE12" s="114">
        <v>6033</v>
      </c>
      <c r="AF12" s="114">
        <v>6033</v>
      </c>
      <c r="AG12" s="114">
        <v>6033</v>
      </c>
      <c r="AH12" s="114">
        <v>6033</v>
      </c>
      <c r="AI12" s="114">
        <v>6033</v>
      </c>
      <c r="AJ12" s="114">
        <v>6033</v>
      </c>
      <c r="AK12" s="114">
        <v>6033</v>
      </c>
      <c r="AL12" s="114">
        <v>6033</v>
      </c>
      <c r="AM12" s="114">
        <v>200400</v>
      </c>
    </row>
    <row r="13" spans="1:39" x14ac:dyDescent="0.25">
      <c r="A13" s="16" t="s">
        <v>1394</v>
      </c>
      <c r="B13" s="16" t="s">
        <v>534</v>
      </c>
      <c r="C13" s="114">
        <v>3994</v>
      </c>
      <c r="D13" s="114">
        <v>3908</v>
      </c>
      <c r="E13" s="114">
        <v>4125</v>
      </c>
      <c r="F13" s="114">
        <v>4255</v>
      </c>
      <c r="G13" s="114">
        <v>4428</v>
      </c>
      <c r="H13" s="114">
        <v>4776</v>
      </c>
      <c r="I13" s="114">
        <v>4993</v>
      </c>
      <c r="J13" s="114">
        <v>4776</v>
      </c>
      <c r="K13" s="114">
        <v>4428</v>
      </c>
      <c r="L13" s="114">
        <v>4168</v>
      </c>
      <c r="M13" s="114">
        <v>4081</v>
      </c>
      <c r="N13" s="114">
        <v>4168</v>
      </c>
      <c r="O13" s="114">
        <v>4240</v>
      </c>
      <c r="P13" s="114">
        <v>4147</v>
      </c>
      <c r="Q13" s="114">
        <v>4378</v>
      </c>
      <c r="R13" s="114">
        <v>4516</v>
      </c>
      <c r="S13" s="114">
        <v>4701</v>
      </c>
      <c r="T13" s="114">
        <v>5069</v>
      </c>
      <c r="U13" s="114">
        <v>5300</v>
      </c>
      <c r="V13" s="114">
        <v>5069</v>
      </c>
      <c r="W13" s="114">
        <v>4700</v>
      </c>
      <c r="X13" s="114">
        <v>4424</v>
      </c>
      <c r="Y13" s="114">
        <v>4332</v>
      </c>
      <c r="Z13" s="114">
        <v>4424</v>
      </c>
      <c r="AA13" s="114">
        <v>4508</v>
      </c>
      <c r="AB13" s="114">
        <v>4410</v>
      </c>
      <c r="AC13" s="114">
        <v>4655</v>
      </c>
      <c r="AD13" s="114">
        <v>4802</v>
      </c>
      <c r="AE13" s="114">
        <v>4998</v>
      </c>
      <c r="AF13" s="114">
        <v>5390</v>
      </c>
      <c r="AG13" s="114">
        <v>5635</v>
      </c>
      <c r="AH13" s="114">
        <v>5390</v>
      </c>
      <c r="AI13" s="114">
        <v>4998</v>
      </c>
      <c r="AJ13" s="114">
        <v>4704</v>
      </c>
      <c r="AK13" s="114">
        <v>4606</v>
      </c>
      <c r="AL13" s="114">
        <v>4704</v>
      </c>
      <c r="AM13" s="114">
        <v>166200</v>
      </c>
    </row>
    <row r="14" spans="1:39" x14ac:dyDescent="0.25">
      <c r="A14" s="16" t="s">
        <v>1397</v>
      </c>
      <c r="B14" s="16" t="s">
        <v>534</v>
      </c>
      <c r="C14" s="114">
        <v>3217</v>
      </c>
      <c r="D14" s="114">
        <v>3217</v>
      </c>
      <c r="E14" s="114">
        <v>3217</v>
      </c>
      <c r="F14" s="114">
        <v>3217</v>
      </c>
      <c r="G14" s="114">
        <v>3217</v>
      </c>
      <c r="H14" s="114">
        <v>3217</v>
      </c>
      <c r="I14" s="114">
        <v>3217</v>
      </c>
      <c r="J14" s="114">
        <v>3217</v>
      </c>
      <c r="K14" s="114">
        <v>3216</v>
      </c>
      <c r="L14" s="114">
        <v>3216</v>
      </c>
      <c r="M14" s="114">
        <v>3216</v>
      </c>
      <c r="N14" s="114">
        <v>3216</v>
      </c>
      <c r="O14" s="114">
        <v>3434</v>
      </c>
      <c r="P14" s="114">
        <v>3434</v>
      </c>
      <c r="Q14" s="114">
        <v>3434</v>
      </c>
      <c r="R14" s="114">
        <v>3434</v>
      </c>
      <c r="S14" s="114">
        <v>3433</v>
      </c>
      <c r="T14" s="114">
        <v>3433</v>
      </c>
      <c r="U14" s="114">
        <v>3433</v>
      </c>
      <c r="V14" s="114">
        <v>3433</v>
      </c>
      <c r="W14" s="114">
        <v>3433</v>
      </c>
      <c r="X14" s="114">
        <v>3433</v>
      </c>
      <c r="Y14" s="114">
        <v>3433</v>
      </c>
      <c r="Z14" s="114">
        <v>3433</v>
      </c>
      <c r="AA14" s="114">
        <v>3742</v>
      </c>
      <c r="AB14" s="114">
        <v>3742</v>
      </c>
      <c r="AC14" s="114">
        <v>3742</v>
      </c>
      <c r="AD14" s="114">
        <v>3742</v>
      </c>
      <c r="AE14" s="114">
        <v>3742</v>
      </c>
      <c r="AF14" s="114">
        <v>3742</v>
      </c>
      <c r="AG14" s="114">
        <v>3742</v>
      </c>
      <c r="AH14" s="114">
        <v>3742</v>
      </c>
      <c r="AI14" s="114">
        <v>3741</v>
      </c>
      <c r="AJ14" s="114">
        <v>3741</v>
      </c>
      <c r="AK14" s="114">
        <v>3741</v>
      </c>
      <c r="AL14" s="114">
        <v>3741</v>
      </c>
      <c r="AM14" s="114">
        <v>124700</v>
      </c>
    </row>
    <row r="15" spans="1:39" x14ac:dyDescent="0.25">
      <c r="A15" s="16" t="s">
        <v>1398</v>
      </c>
      <c r="B15" s="16" t="s">
        <v>534</v>
      </c>
      <c r="C15" s="114">
        <v>1367</v>
      </c>
      <c r="D15" s="114">
        <v>1367</v>
      </c>
      <c r="E15" s="114">
        <v>1367</v>
      </c>
      <c r="F15" s="114">
        <v>1367</v>
      </c>
      <c r="G15" s="114">
        <v>1367</v>
      </c>
      <c r="H15" s="114">
        <v>1367</v>
      </c>
      <c r="I15" s="114">
        <v>1367</v>
      </c>
      <c r="J15" s="114">
        <v>1367</v>
      </c>
      <c r="K15" s="114">
        <v>1366</v>
      </c>
      <c r="L15" s="114">
        <v>1366</v>
      </c>
      <c r="M15" s="114">
        <v>1366</v>
      </c>
      <c r="N15" s="114">
        <v>1366</v>
      </c>
      <c r="O15" s="114">
        <v>1242</v>
      </c>
      <c r="P15" s="114">
        <v>1242</v>
      </c>
      <c r="Q15" s="114">
        <v>1242</v>
      </c>
      <c r="R15" s="114">
        <v>1242</v>
      </c>
      <c r="S15" s="114">
        <v>1242</v>
      </c>
      <c r="T15" s="114">
        <v>13242</v>
      </c>
      <c r="U15" s="114">
        <v>13242</v>
      </c>
      <c r="V15" s="114">
        <v>1242</v>
      </c>
      <c r="W15" s="114">
        <v>1241</v>
      </c>
      <c r="X15" s="114">
        <v>1241</v>
      </c>
      <c r="Y15" s="114">
        <v>1241</v>
      </c>
      <c r="Z15" s="114">
        <v>1241</v>
      </c>
      <c r="AA15" s="114">
        <v>1434</v>
      </c>
      <c r="AB15" s="114">
        <v>1434</v>
      </c>
      <c r="AC15" s="114">
        <v>1434</v>
      </c>
      <c r="AD15" s="114">
        <v>1434</v>
      </c>
      <c r="AE15" s="114">
        <v>1433</v>
      </c>
      <c r="AF15" s="114">
        <v>1433</v>
      </c>
      <c r="AG15" s="114">
        <v>1433</v>
      </c>
      <c r="AH15" s="114">
        <v>1433</v>
      </c>
      <c r="AI15" s="114">
        <v>1433</v>
      </c>
      <c r="AJ15" s="114">
        <v>1433</v>
      </c>
      <c r="AK15" s="114">
        <v>1433</v>
      </c>
      <c r="AL15" s="114">
        <v>1433</v>
      </c>
      <c r="AM15" s="114">
        <v>72500</v>
      </c>
    </row>
    <row r="16" spans="1:39" x14ac:dyDescent="0.25">
      <c r="A16" s="16" t="s">
        <v>1400</v>
      </c>
      <c r="B16" s="16" t="s">
        <v>534</v>
      </c>
      <c r="C16" s="114">
        <v>817</v>
      </c>
      <c r="D16" s="114">
        <v>817</v>
      </c>
      <c r="E16" s="114">
        <v>817</v>
      </c>
      <c r="F16" s="114">
        <v>817</v>
      </c>
      <c r="G16" s="114">
        <v>817</v>
      </c>
      <c r="H16" s="114">
        <v>817</v>
      </c>
      <c r="I16" s="114">
        <v>817</v>
      </c>
      <c r="J16" s="114">
        <v>817</v>
      </c>
      <c r="K16" s="114">
        <v>816</v>
      </c>
      <c r="L16" s="114">
        <v>816</v>
      </c>
      <c r="M16" s="114">
        <v>816</v>
      </c>
      <c r="N16" s="114">
        <v>816</v>
      </c>
      <c r="O16" s="114">
        <v>934</v>
      </c>
      <c r="P16" s="114">
        <v>934</v>
      </c>
      <c r="Q16" s="114">
        <v>934</v>
      </c>
      <c r="R16" s="114">
        <v>934</v>
      </c>
      <c r="S16" s="114">
        <v>933</v>
      </c>
      <c r="T16" s="114">
        <v>933</v>
      </c>
      <c r="U16" s="114">
        <v>933</v>
      </c>
      <c r="V16" s="114">
        <v>933</v>
      </c>
      <c r="W16" s="114">
        <v>933</v>
      </c>
      <c r="X16" s="114">
        <v>933</v>
      </c>
      <c r="Y16" s="114">
        <v>933</v>
      </c>
      <c r="Z16" s="114">
        <v>933</v>
      </c>
      <c r="AA16" s="114">
        <v>1050</v>
      </c>
      <c r="AB16" s="114">
        <v>1050</v>
      </c>
      <c r="AC16" s="114">
        <v>1050</v>
      </c>
      <c r="AD16" s="114">
        <v>1050</v>
      </c>
      <c r="AE16" s="114">
        <v>1050</v>
      </c>
      <c r="AF16" s="114">
        <v>1050</v>
      </c>
      <c r="AG16" s="114">
        <v>1050</v>
      </c>
      <c r="AH16" s="114">
        <v>1050</v>
      </c>
      <c r="AI16" s="114">
        <v>1050</v>
      </c>
      <c r="AJ16" s="114">
        <v>1050</v>
      </c>
      <c r="AK16" s="114">
        <v>1050</v>
      </c>
      <c r="AL16" s="114">
        <v>1050</v>
      </c>
      <c r="AM16" s="114">
        <v>33600</v>
      </c>
    </row>
    <row r="17" spans="1:39" x14ac:dyDescent="0.25">
      <c r="A17" s="16" t="s">
        <v>1403</v>
      </c>
      <c r="B17" s="16" t="s">
        <v>534</v>
      </c>
      <c r="C17" s="114">
        <v>659</v>
      </c>
      <c r="D17" s="114">
        <v>659</v>
      </c>
      <c r="E17" s="114">
        <v>659</v>
      </c>
      <c r="F17" s="114">
        <v>659</v>
      </c>
      <c r="G17" s="114">
        <v>658</v>
      </c>
      <c r="H17" s="114">
        <v>658</v>
      </c>
      <c r="I17" s="114">
        <v>658</v>
      </c>
      <c r="J17" s="114">
        <v>658</v>
      </c>
      <c r="K17" s="114">
        <v>658</v>
      </c>
      <c r="L17" s="114">
        <v>658</v>
      </c>
      <c r="M17" s="114">
        <v>658</v>
      </c>
      <c r="N17" s="114">
        <v>658</v>
      </c>
      <c r="O17" s="114">
        <v>692</v>
      </c>
      <c r="P17" s="114">
        <v>692</v>
      </c>
      <c r="Q17" s="114">
        <v>692</v>
      </c>
      <c r="R17" s="114">
        <v>692</v>
      </c>
      <c r="S17" s="114">
        <v>692</v>
      </c>
      <c r="T17" s="114">
        <v>692</v>
      </c>
      <c r="U17" s="114">
        <v>692</v>
      </c>
      <c r="V17" s="114">
        <v>692</v>
      </c>
      <c r="W17" s="114">
        <v>691</v>
      </c>
      <c r="X17" s="114">
        <v>691</v>
      </c>
      <c r="Y17" s="114">
        <v>691</v>
      </c>
      <c r="Z17" s="114">
        <v>691</v>
      </c>
      <c r="AA17" s="114">
        <v>734</v>
      </c>
      <c r="AB17" s="114">
        <v>734</v>
      </c>
      <c r="AC17" s="114">
        <v>734</v>
      </c>
      <c r="AD17" s="114">
        <v>734</v>
      </c>
      <c r="AE17" s="114">
        <v>733</v>
      </c>
      <c r="AF17" s="114">
        <v>733</v>
      </c>
      <c r="AG17" s="114">
        <v>733</v>
      </c>
      <c r="AH17" s="114">
        <v>733</v>
      </c>
      <c r="AI17" s="114">
        <v>733</v>
      </c>
      <c r="AJ17" s="114">
        <v>733</v>
      </c>
      <c r="AK17" s="114">
        <v>733</v>
      </c>
      <c r="AL17" s="114">
        <v>733</v>
      </c>
      <c r="AM17" s="114">
        <v>25000</v>
      </c>
    </row>
    <row r="18" spans="1:39" x14ac:dyDescent="0.25">
      <c r="A18" s="16" t="s">
        <v>1404</v>
      </c>
      <c r="B18" s="16" t="s">
        <v>534</v>
      </c>
      <c r="C18" s="114">
        <v>15000</v>
      </c>
      <c r="D18" s="114">
        <v>15000</v>
      </c>
      <c r="E18" s="114">
        <v>15000</v>
      </c>
      <c r="F18" s="114">
        <v>15000</v>
      </c>
      <c r="G18" s="114">
        <v>15000</v>
      </c>
      <c r="H18" s="114">
        <v>15000</v>
      </c>
      <c r="I18" s="114">
        <v>15000</v>
      </c>
      <c r="J18" s="114">
        <v>15000</v>
      </c>
      <c r="K18" s="114">
        <v>15000</v>
      </c>
      <c r="L18" s="114">
        <v>15000</v>
      </c>
      <c r="M18" s="114">
        <v>15000</v>
      </c>
      <c r="N18" s="114">
        <v>15000</v>
      </c>
      <c r="O18" s="114">
        <v>15834</v>
      </c>
      <c r="P18" s="114">
        <v>15834</v>
      </c>
      <c r="Q18" s="114">
        <v>15834</v>
      </c>
      <c r="R18" s="114">
        <v>15834</v>
      </c>
      <c r="S18" s="114">
        <v>15833</v>
      </c>
      <c r="T18" s="114">
        <v>15833</v>
      </c>
      <c r="U18" s="114">
        <v>15833</v>
      </c>
      <c r="V18" s="114">
        <v>15833</v>
      </c>
      <c r="W18" s="114">
        <v>15833</v>
      </c>
      <c r="X18" s="114">
        <v>15833</v>
      </c>
      <c r="Y18" s="114">
        <v>15833</v>
      </c>
      <c r="Z18" s="114">
        <v>15833</v>
      </c>
      <c r="AA18" s="114">
        <v>16667</v>
      </c>
      <c r="AB18" s="114">
        <v>16667</v>
      </c>
      <c r="AC18" s="114">
        <v>16667</v>
      </c>
      <c r="AD18" s="114">
        <v>16667</v>
      </c>
      <c r="AE18" s="114">
        <v>16667</v>
      </c>
      <c r="AF18" s="114">
        <v>16667</v>
      </c>
      <c r="AG18" s="114">
        <v>16667</v>
      </c>
      <c r="AH18" s="114">
        <v>16667</v>
      </c>
      <c r="AI18" s="114">
        <v>16666</v>
      </c>
      <c r="AJ18" s="114">
        <v>16666</v>
      </c>
      <c r="AK18" s="114">
        <v>16666</v>
      </c>
      <c r="AL18" s="114">
        <v>16666</v>
      </c>
      <c r="AM18" s="114">
        <v>570000</v>
      </c>
    </row>
    <row r="19" spans="1:39" x14ac:dyDescent="0.25">
      <c r="A19" s="16" t="s">
        <v>1408</v>
      </c>
      <c r="B19" s="16" t="s">
        <v>534</v>
      </c>
      <c r="C19" s="114">
        <v>39284</v>
      </c>
      <c r="D19" s="114">
        <v>38430</v>
      </c>
      <c r="E19" s="114">
        <v>40565</v>
      </c>
      <c r="F19" s="114">
        <v>41846</v>
      </c>
      <c r="G19" s="114">
        <v>43554</v>
      </c>
      <c r="H19" s="114">
        <v>46970</v>
      </c>
      <c r="I19" s="114">
        <v>49105</v>
      </c>
      <c r="J19" s="114">
        <v>46970</v>
      </c>
      <c r="K19" s="114">
        <v>43554</v>
      </c>
      <c r="L19" s="114">
        <v>40992</v>
      </c>
      <c r="M19" s="114">
        <v>40138</v>
      </c>
      <c r="N19" s="114">
        <v>40992</v>
      </c>
      <c r="O19" s="114">
        <v>44566</v>
      </c>
      <c r="P19" s="114">
        <v>43598</v>
      </c>
      <c r="Q19" s="114">
        <v>46020</v>
      </c>
      <c r="R19" s="114">
        <v>47473</v>
      </c>
      <c r="S19" s="114">
        <v>49410</v>
      </c>
      <c r="T19" s="114">
        <v>53286</v>
      </c>
      <c r="U19" s="114">
        <v>55708</v>
      </c>
      <c r="V19" s="114">
        <v>53286</v>
      </c>
      <c r="W19" s="114">
        <v>49410</v>
      </c>
      <c r="X19" s="114">
        <v>46504</v>
      </c>
      <c r="Y19" s="114">
        <v>45535</v>
      </c>
      <c r="Z19" s="114">
        <v>46504</v>
      </c>
      <c r="AA19" s="114">
        <v>49749</v>
      </c>
      <c r="AB19" s="114">
        <v>48668</v>
      </c>
      <c r="AC19" s="114">
        <v>51371</v>
      </c>
      <c r="AD19" s="114">
        <v>52994</v>
      </c>
      <c r="AE19" s="114">
        <v>55157</v>
      </c>
      <c r="AF19" s="114">
        <v>59483</v>
      </c>
      <c r="AG19" s="114">
        <v>62186</v>
      </c>
      <c r="AH19" s="114">
        <v>59482</v>
      </c>
      <c r="AI19" s="114">
        <v>55156</v>
      </c>
      <c r="AJ19" s="114">
        <v>51912</v>
      </c>
      <c r="AK19" s="114">
        <v>50830</v>
      </c>
      <c r="AL19" s="114">
        <v>51912</v>
      </c>
      <c r="AM19" s="114">
        <v>1742600</v>
      </c>
    </row>
    <row r="20" spans="1:39" x14ac:dyDescent="0.25">
      <c r="A20" s="16" t="s">
        <v>1411</v>
      </c>
      <c r="B20" s="16" t="s">
        <v>534</v>
      </c>
      <c r="C20" s="114">
        <v>9850</v>
      </c>
      <c r="D20" s="114">
        <v>9850</v>
      </c>
      <c r="E20" s="114">
        <v>9850</v>
      </c>
      <c r="F20" s="114">
        <v>9850</v>
      </c>
      <c r="G20" s="114">
        <v>9850</v>
      </c>
      <c r="H20" s="114">
        <v>9850</v>
      </c>
      <c r="I20" s="114">
        <v>9850</v>
      </c>
      <c r="J20" s="114">
        <v>9850</v>
      </c>
      <c r="K20" s="114">
        <v>9850</v>
      </c>
      <c r="L20" s="114">
        <v>9850</v>
      </c>
      <c r="M20" s="114">
        <v>9850</v>
      </c>
      <c r="N20" s="114">
        <v>9850</v>
      </c>
      <c r="O20" s="114">
        <v>10384</v>
      </c>
      <c r="P20" s="114">
        <v>10384</v>
      </c>
      <c r="Q20" s="114">
        <v>10384</v>
      </c>
      <c r="R20" s="114">
        <v>10384</v>
      </c>
      <c r="S20" s="114">
        <v>10383</v>
      </c>
      <c r="T20" s="114">
        <v>10383</v>
      </c>
      <c r="U20" s="114">
        <v>10383</v>
      </c>
      <c r="V20" s="114">
        <v>10383</v>
      </c>
      <c r="W20" s="114">
        <v>10383</v>
      </c>
      <c r="X20" s="114">
        <v>10383</v>
      </c>
      <c r="Y20" s="114">
        <v>10383</v>
      </c>
      <c r="Z20" s="114">
        <v>10383</v>
      </c>
      <c r="AA20" s="114">
        <v>10950</v>
      </c>
      <c r="AB20" s="114">
        <v>10950</v>
      </c>
      <c r="AC20" s="114">
        <v>10950</v>
      </c>
      <c r="AD20" s="114">
        <v>10950</v>
      </c>
      <c r="AE20" s="114">
        <v>10950</v>
      </c>
      <c r="AF20" s="114">
        <v>10950</v>
      </c>
      <c r="AG20" s="114">
        <v>10950</v>
      </c>
      <c r="AH20" s="114">
        <v>10950</v>
      </c>
      <c r="AI20" s="114">
        <v>10950</v>
      </c>
      <c r="AJ20" s="114">
        <v>10950</v>
      </c>
      <c r="AK20" s="114">
        <v>10950</v>
      </c>
      <c r="AL20" s="114">
        <v>10950</v>
      </c>
      <c r="AM20" s="114">
        <v>374200</v>
      </c>
    </row>
    <row r="21" spans="1:39" x14ac:dyDescent="0.25">
      <c r="A21" s="16" t="s">
        <v>1412</v>
      </c>
      <c r="B21" s="16" t="s">
        <v>534</v>
      </c>
      <c r="C21" s="114">
        <v>4500</v>
      </c>
      <c r="D21" s="114">
        <v>4402</v>
      </c>
      <c r="E21" s="114">
        <v>4647</v>
      </c>
      <c r="F21" s="114">
        <v>4794</v>
      </c>
      <c r="G21" s="114">
        <v>4990</v>
      </c>
      <c r="H21" s="114">
        <v>5381</v>
      </c>
      <c r="I21" s="114">
        <v>5625</v>
      </c>
      <c r="J21" s="114">
        <v>5381</v>
      </c>
      <c r="K21" s="114">
        <v>4990</v>
      </c>
      <c r="L21" s="114">
        <v>4696</v>
      </c>
      <c r="M21" s="114">
        <v>4598</v>
      </c>
      <c r="N21" s="114">
        <v>4696</v>
      </c>
      <c r="O21" s="114">
        <v>5014</v>
      </c>
      <c r="P21" s="114">
        <v>4905</v>
      </c>
      <c r="Q21" s="114">
        <v>5178</v>
      </c>
      <c r="R21" s="114">
        <v>5341</v>
      </c>
      <c r="S21" s="114">
        <v>5559</v>
      </c>
      <c r="T21" s="114">
        <v>5995</v>
      </c>
      <c r="U21" s="114">
        <v>6267</v>
      </c>
      <c r="V21" s="114">
        <v>5995</v>
      </c>
      <c r="W21" s="114">
        <v>5559</v>
      </c>
      <c r="X21" s="114">
        <v>5232</v>
      </c>
      <c r="Y21" s="114">
        <v>5123</v>
      </c>
      <c r="Z21" s="114">
        <v>5232</v>
      </c>
      <c r="AA21" s="114">
        <v>5543</v>
      </c>
      <c r="AB21" s="114">
        <v>5423</v>
      </c>
      <c r="AC21" s="114">
        <v>5724</v>
      </c>
      <c r="AD21" s="114">
        <v>5905</v>
      </c>
      <c r="AE21" s="114">
        <v>6146</v>
      </c>
      <c r="AF21" s="114">
        <v>6627</v>
      </c>
      <c r="AG21" s="114">
        <v>6929</v>
      </c>
      <c r="AH21" s="114">
        <v>6627</v>
      </c>
      <c r="AI21" s="114">
        <v>6145</v>
      </c>
      <c r="AJ21" s="114">
        <v>5784</v>
      </c>
      <c r="AK21" s="114">
        <v>5663</v>
      </c>
      <c r="AL21" s="114">
        <v>5784</v>
      </c>
      <c r="AM21" s="114">
        <v>196400</v>
      </c>
    </row>
    <row r="22" spans="1:39" x14ac:dyDescent="0.25">
      <c r="A22" s="16" t="s">
        <v>1413</v>
      </c>
      <c r="B22" s="16" t="s">
        <v>534</v>
      </c>
      <c r="C22" s="114">
        <v>3442</v>
      </c>
      <c r="D22" s="114">
        <v>3442</v>
      </c>
      <c r="E22" s="114">
        <v>3442</v>
      </c>
      <c r="F22" s="114">
        <v>3442</v>
      </c>
      <c r="G22" s="114">
        <v>3442</v>
      </c>
      <c r="H22" s="114">
        <v>3442</v>
      </c>
      <c r="I22" s="114">
        <v>3442</v>
      </c>
      <c r="J22" s="114">
        <v>3442</v>
      </c>
      <c r="K22" s="114">
        <v>3441</v>
      </c>
      <c r="L22" s="114">
        <v>3441</v>
      </c>
      <c r="M22" s="114">
        <v>3441</v>
      </c>
      <c r="N22" s="114">
        <v>3441</v>
      </c>
      <c r="O22" s="114">
        <v>3900</v>
      </c>
      <c r="P22" s="114">
        <v>3900</v>
      </c>
      <c r="Q22" s="114">
        <v>3900</v>
      </c>
      <c r="R22" s="114">
        <v>3900</v>
      </c>
      <c r="S22" s="114">
        <v>3900</v>
      </c>
      <c r="T22" s="114">
        <v>3900</v>
      </c>
      <c r="U22" s="114">
        <v>3900</v>
      </c>
      <c r="V22" s="114">
        <v>3900</v>
      </c>
      <c r="W22" s="114">
        <v>3900</v>
      </c>
      <c r="X22" s="114">
        <v>3900</v>
      </c>
      <c r="Y22" s="114">
        <v>3900</v>
      </c>
      <c r="Z22" s="114">
        <v>3900</v>
      </c>
      <c r="AA22" s="114">
        <v>4342</v>
      </c>
      <c r="AB22" s="114">
        <v>4342</v>
      </c>
      <c r="AC22" s="114">
        <v>4342</v>
      </c>
      <c r="AD22" s="114">
        <v>4342</v>
      </c>
      <c r="AE22" s="114">
        <v>4342</v>
      </c>
      <c r="AF22" s="114">
        <v>4342</v>
      </c>
      <c r="AG22" s="114">
        <v>4342</v>
      </c>
      <c r="AH22" s="114">
        <v>4342</v>
      </c>
      <c r="AI22" s="114">
        <v>4341</v>
      </c>
      <c r="AJ22" s="114">
        <v>4341</v>
      </c>
      <c r="AK22" s="114">
        <v>4341</v>
      </c>
      <c r="AL22" s="114">
        <v>4341</v>
      </c>
      <c r="AM22" s="114">
        <v>140200</v>
      </c>
    </row>
    <row r="23" spans="1:39" x14ac:dyDescent="0.25">
      <c r="A23" s="16" t="s">
        <v>1414</v>
      </c>
      <c r="B23" s="16" t="s">
        <v>534</v>
      </c>
      <c r="C23" s="114">
        <v>6000</v>
      </c>
      <c r="D23" s="114">
        <v>6000</v>
      </c>
      <c r="E23" s="114">
        <v>6000</v>
      </c>
      <c r="F23" s="114">
        <v>6000</v>
      </c>
      <c r="G23" s="114">
        <v>6000</v>
      </c>
      <c r="H23" s="114">
        <v>6000</v>
      </c>
      <c r="I23" s="114">
        <v>6000</v>
      </c>
      <c r="J23" s="114">
        <v>6000</v>
      </c>
      <c r="K23" s="114">
        <v>6000</v>
      </c>
      <c r="L23" s="114">
        <v>6000</v>
      </c>
      <c r="M23" s="114">
        <v>6000</v>
      </c>
      <c r="N23" s="114">
        <v>6000</v>
      </c>
      <c r="O23" s="114">
        <v>6180</v>
      </c>
      <c r="P23" s="114">
        <v>6180</v>
      </c>
      <c r="Q23" s="114">
        <v>6180</v>
      </c>
      <c r="R23" s="114">
        <v>6180</v>
      </c>
      <c r="S23" s="114">
        <v>6180</v>
      </c>
      <c r="T23" s="114">
        <v>6180</v>
      </c>
      <c r="U23" s="114">
        <v>6180</v>
      </c>
      <c r="V23" s="114">
        <v>6180</v>
      </c>
      <c r="W23" s="114">
        <v>6180</v>
      </c>
      <c r="X23" s="114">
        <v>6180</v>
      </c>
      <c r="Y23" s="114">
        <v>6180</v>
      </c>
      <c r="Z23" s="114">
        <v>6180</v>
      </c>
      <c r="AA23" s="114">
        <v>6366</v>
      </c>
      <c r="AB23" s="114">
        <v>6366</v>
      </c>
      <c r="AC23" s="114">
        <v>6366</v>
      </c>
      <c r="AD23" s="114">
        <v>6366</v>
      </c>
      <c r="AE23" s="114">
        <v>6366</v>
      </c>
      <c r="AF23" s="114">
        <v>6365</v>
      </c>
      <c r="AG23" s="114">
        <v>6365</v>
      </c>
      <c r="AH23" s="114">
        <v>6365</v>
      </c>
      <c r="AI23" s="114">
        <v>6365</v>
      </c>
      <c r="AJ23" s="114">
        <v>6365</v>
      </c>
      <c r="AK23" s="114">
        <v>6365</v>
      </c>
      <c r="AL23" s="114">
        <v>6365</v>
      </c>
      <c r="AM23" s="114">
        <v>222545</v>
      </c>
    </row>
    <row r="24" spans="1:39" x14ac:dyDescent="0.25">
      <c r="A24" s="16" t="s">
        <v>1417</v>
      </c>
      <c r="B24" s="16" t="s">
        <v>534</v>
      </c>
      <c r="C24" s="114">
        <v>1128</v>
      </c>
      <c r="D24" s="114">
        <v>923</v>
      </c>
      <c r="E24" s="114">
        <v>1025</v>
      </c>
      <c r="F24" s="114">
        <v>1230</v>
      </c>
      <c r="G24" s="114">
        <v>922</v>
      </c>
      <c r="H24" s="114">
        <v>1025</v>
      </c>
      <c r="I24" s="114">
        <v>1128</v>
      </c>
      <c r="J24" s="114">
        <v>922</v>
      </c>
      <c r="K24" s="114">
        <v>1025</v>
      </c>
      <c r="L24" s="114">
        <v>1128</v>
      </c>
      <c r="M24" s="114">
        <v>922</v>
      </c>
      <c r="N24" s="114">
        <v>922</v>
      </c>
      <c r="O24" s="114">
        <v>1201</v>
      </c>
      <c r="P24" s="114">
        <v>983</v>
      </c>
      <c r="Q24" s="114">
        <v>1092</v>
      </c>
      <c r="R24" s="114">
        <v>1310</v>
      </c>
      <c r="S24" s="114">
        <v>982</v>
      </c>
      <c r="T24" s="114">
        <v>1092</v>
      </c>
      <c r="U24" s="114">
        <v>1201</v>
      </c>
      <c r="V24" s="114">
        <v>982</v>
      </c>
      <c r="W24" s="114">
        <v>1092</v>
      </c>
      <c r="X24" s="114">
        <v>1201</v>
      </c>
      <c r="Y24" s="114">
        <v>982</v>
      </c>
      <c r="Z24" s="114">
        <v>982</v>
      </c>
      <c r="AA24" s="114">
        <v>1320</v>
      </c>
      <c r="AB24" s="114">
        <v>1080</v>
      </c>
      <c r="AC24" s="114">
        <v>1200</v>
      </c>
      <c r="AD24" s="114">
        <v>1440</v>
      </c>
      <c r="AE24" s="114">
        <v>1080</v>
      </c>
      <c r="AF24" s="114">
        <v>1200</v>
      </c>
      <c r="AG24" s="114">
        <v>1320</v>
      </c>
      <c r="AH24" s="114">
        <v>1080</v>
      </c>
      <c r="AI24" s="114">
        <v>1200</v>
      </c>
      <c r="AJ24" s="114">
        <v>1320</v>
      </c>
      <c r="AK24" s="114">
        <v>1080</v>
      </c>
      <c r="AL24" s="114">
        <v>1080</v>
      </c>
      <c r="AM24" s="114">
        <v>39800</v>
      </c>
    </row>
    <row r="25" spans="1:39" x14ac:dyDescent="0.25">
      <c r="A25" s="16" t="s">
        <v>1418</v>
      </c>
      <c r="B25" s="16" t="s">
        <v>534</v>
      </c>
      <c r="C25" s="114">
        <v>1575</v>
      </c>
      <c r="D25" s="114">
        <v>1575</v>
      </c>
      <c r="E25" s="114">
        <v>1575</v>
      </c>
      <c r="F25" s="114">
        <v>1575</v>
      </c>
      <c r="G25" s="114">
        <v>1575</v>
      </c>
      <c r="H25" s="114">
        <v>1575</v>
      </c>
      <c r="I25" s="114">
        <v>1575</v>
      </c>
      <c r="J25" s="114">
        <v>1575</v>
      </c>
      <c r="K25" s="114">
        <v>1575</v>
      </c>
      <c r="L25" s="114">
        <v>1575</v>
      </c>
      <c r="M25" s="114">
        <v>1575</v>
      </c>
      <c r="N25" s="114">
        <v>1575</v>
      </c>
      <c r="O25" s="114">
        <v>1784</v>
      </c>
      <c r="P25" s="114">
        <v>1784</v>
      </c>
      <c r="Q25" s="114">
        <v>1784</v>
      </c>
      <c r="R25" s="114">
        <v>1784</v>
      </c>
      <c r="S25" s="114">
        <v>1783</v>
      </c>
      <c r="T25" s="114">
        <v>1783</v>
      </c>
      <c r="U25" s="114">
        <v>1783</v>
      </c>
      <c r="V25" s="114">
        <v>1783</v>
      </c>
      <c r="W25" s="114">
        <v>1783</v>
      </c>
      <c r="X25" s="114">
        <v>1783</v>
      </c>
      <c r="Y25" s="114">
        <v>1783</v>
      </c>
      <c r="Z25" s="114">
        <v>1783</v>
      </c>
      <c r="AA25" s="114">
        <v>1984</v>
      </c>
      <c r="AB25" s="114">
        <v>1984</v>
      </c>
      <c r="AC25" s="114">
        <v>1984</v>
      </c>
      <c r="AD25" s="114">
        <v>1984</v>
      </c>
      <c r="AE25" s="114">
        <v>1983</v>
      </c>
      <c r="AF25" s="114">
        <v>1983</v>
      </c>
      <c r="AG25" s="114">
        <v>1983</v>
      </c>
      <c r="AH25" s="114">
        <v>1983</v>
      </c>
      <c r="AI25" s="114">
        <v>1983</v>
      </c>
      <c r="AJ25" s="114">
        <v>1983</v>
      </c>
      <c r="AK25" s="114">
        <v>1983</v>
      </c>
      <c r="AL25" s="114">
        <v>1983</v>
      </c>
      <c r="AM25" s="114">
        <v>64100</v>
      </c>
    </row>
    <row r="26" spans="1:39" x14ac:dyDescent="0.25">
      <c r="A26" s="16" t="s">
        <v>1419</v>
      </c>
      <c r="B26" s="16" t="s">
        <v>534</v>
      </c>
      <c r="C26" s="114">
        <v>1420</v>
      </c>
      <c r="D26" s="114">
        <v>1361</v>
      </c>
      <c r="E26" s="114">
        <v>1183</v>
      </c>
      <c r="F26" s="114">
        <v>1065</v>
      </c>
      <c r="G26" s="114">
        <v>1006</v>
      </c>
      <c r="H26" s="114">
        <v>1183</v>
      </c>
      <c r="I26" s="114">
        <v>1302</v>
      </c>
      <c r="J26" s="114">
        <v>1302</v>
      </c>
      <c r="K26" s="114">
        <v>1065</v>
      </c>
      <c r="L26" s="114">
        <v>1006</v>
      </c>
      <c r="M26" s="114">
        <v>1124</v>
      </c>
      <c r="N26" s="114">
        <v>1183</v>
      </c>
      <c r="O26" s="114">
        <v>1490</v>
      </c>
      <c r="P26" s="114">
        <v>1428</v>
      </c>
      <c r="Q26" s="114">
        <v>1242</v>
      </c>
      <c r="R26" s="114">
        <v>1117</v>
      </c>
      <c r="S26" s="114">
        <v>1055</v>
      </c>
      <c r="T26" s="114">
        <v>1242</v>
      </c>
      <c r="U26" s="114">
        <v>1366</v>
      </c>
      <c r="V26" s="114">
        <v>1366</v>
      </c>
      <c r="W26" s="114">
        <v>1117</v>
      </c>
      <c r="X26" s="114">
        <v>1055</v>
      </c>
      <c r="Y26" s="114">
        <v>1180</v>
      </c>
      <c r="Z26" s="114">
        <v>1242</v>
      </c>
      <c r="AA26" s="114">
        <v>1560</v>
      </c>
      <c r="AB26" s="114">
        <v>1495</v>
      </c>
      <c r="AC26" s="114">
        <v>1300</v>
      </c>
      <c r="AD26" s="114">
        <v>1170</v>
      </c>
      <c r="AE26" s="114">
        <v>1105</v>
      </c>
      <c r="AF26" s="114">
        <v>1300</v>
      </c>
      <c r="AG26" s="114">
        <v>1430</v>
      </c>
      <c r="AH26" s="114">
        <v>1430</v>
      </c>
      <c r="AI26" s="114">
        <v>1170</v>
      </c>
      <c r="AJ26" s="114">
        <v>1105</v>
      </c>
      <c r="AK26" s="114">
        <v>1235</v>
      </c>
      <c r="AL26" s="114">
        <v>1300</v>
      </c>
      <c r="AM26" s="114">
        <v>44700</v>
      </c>
    </row>
    <row r="27" spans="1:39" x14ac:dyDescent="0.25">
      <c r="A27" s="16" t="s">
        <v>545</v>
      </c>
      <c r="B27" s="16" t="s">
        <v>534</v>
      </c>
      <c r="C27" s="114">
        <v>6777</v>
      </c>
      <c r="D27" s="114">
        <v>6630</v>
      </c>
      <c r="E27" s="114">
        <v>6998</v>
      </c>
      <c r="F27" s="114">
        <v>7219</v>
      </c>
      <c r="G27" s="114">
        <v>7514</v>
      </c>
      <c r="H27" s="114">
        <v>8104</v>
      </c>
      <c r="I27" s="114">
        <v>8472</v>
      </c>
      <c r="J27" s="114">
        <v>8103</v>
      </c>
      <c r="K27" s="114">
        <v>7514</v>
      </c>
      <c r="L27" s="114">
        <v>7072</v>
      </c>
      <c r="M27" s="114">
        <v>6925</v>
      </c>
      <c r="N27" s="114">
        <v>7072</v>
      </c>
      <c r="O27" s="114">
        <v>7260</v>
      </c>
      <c r="P27" s="114">
        <v>7102</v>
      </c>
      <c r="Q27" s="114">
        <v>7497</v>
      </c>
      <c r="R27" s="114">
        <v>7734</v>
      </c>
      <c r="S27" s="114">
        <v>8050</v>
      </c>
      <c r="T27" s="114">
        <v>8681</v>
      </c>
      <c r="U27" s="114">
        <v>9075</v>
      </c>
      <c r="V27" s="114">
        <v>8681</v>
      </c>
      <c r="W27" s="114">
        <v>8050</v>
      </c>
      <c r="X27" s="114">
        <v>7576</v>
      </c>
      <c r="Y27" s="114">
        <v>7418</v>
      </c>
      <c r="Z27" s="114">
        <v>7576</v>
      </c>
      <c r="AA27" s="114">
        <v>7759</v>
      </c>
      <c r="AB27" s="114">
        <v>7590</v>
      </c>
      <c r="AC27" s="114">
        <v>8011</v>
      </c>
      <c r="AD27" s="114">
        <v>8265</v>
      </c>
      <c r="AE27" s="114">
        <v>8602</v>
      </c>
      <c r="AF27" s="114">
        <v>9277</v>
      </c>
      <c r="AG27" s="114">
        <v>9698</v>
      </c>
      <c r="AH27" s="114">
        <v>9277</v>
      </c>
      <c r="AI27" s="114">
        <v>8602</v>
      </c>
      <c r="AJ27" s="114">
        <v>8096</v>
      </c>
      <c r="AK27" s="114">
        <v>7927</v>
      </c>
      <c r="AL27" s="114">
        <v>8096</v>
      </c>
      <c r="AM27" s="114">
        <v>284300</v>
      </c>
    </row>
    <row r="28" spans="1:39" x14ac:dyDescent="0.25">
      <c r="A28" s="16" t="s">
        <v>1422</v>
      </c>
      <c r="B28" s="16" t="s">
        <v>361</v>
      </c>
      <c r="C28" s="114">
        <v>100</v>
      </c>
      <c r="D28" s="114">
        <v>100</v>
      </c>
      <c r="E28" s="114">
        <v>100</v>
      </c>
      <c r="F28" s="114">
        <v>100</v>
      </c>
      <c r="G28" s="114">
        <v>100</v>
      </c>
      <c r="H28" s="114">
        <v>100</v>
      </c>
      <c r="I28" s="114">
        <v>100</v>
      </c>
      <c r="J28" s="114">
        <v>100</v>
      </c>
      <c r="K28" s="114">
        <v>100</v>
      </c>
      <c r="L28" s="114">
        <v>100</v>
      </c>
      <c r="M28" s="114">
        <v>100</v>
      </c>
      <c r="N28" s="114">
        <v>100</v>
      </c>
      <c r="O28" s="114">
        <v>200</v>
      </c>
      <c r="P28" s="114">
        <v>200</v>
      </c>
      <c r="Q28" s="114">
        <v>200</v>
      </c>
      <c r="R28" s="114">
        <v>200</v>
      </c>
      <c r="S28" s="114">
        <v>200</v>
      </c>
      <c r="T28" s="114">
        <v>200</v>
      </c>
      <c r="U28" s="114">
        <v>200</v>
      </c>
      <c r="V28" s="114">
        <v>200</v>
      </c>
      <c r="W28" s="114">
        <v>200</v>
      </c>
      <c r="X28" s="114">
        <v>200</v>
      </c>
      <c r="Y28" s="114">
        <v>200</v>
      </c>
      <c r="Z28" s="114">
        <v>200</v>
      </c>
      <c r="AA28" s="114">
        <v>259</v>
      </c>
      <c r="AB28" s="114">
        <v>259</v>
      </c>
      <c r="AC28" s="114">
        <v>259</v>
      </c>
      <c r="AD28" s="114">
        <v>259</v>
      </c>
      <c r="AE28" s="114">
        <v>258</v>
      </c>
      <c r="AF28" s="114">
        <v>258</v>
      </c>
      <c r="AG28" s="114">
        <v>258</v>
      </c>
      <c r="AH28" s="114">
        <v>258</v>
      </c>
      <c r="AI28" s="114">
        <v>258</v>
      </c>
      <c r="AJ28" s="114">
        <v>258</v>
      </c>
      <c r="AK28" s="114">
        <v>258</v>
      </c>
      <c r="AL28" s="114">
        <v>258</v>
      </c>
      <c r="AM28" s="114">
        <v>6700</v>
      </c>
    </row>
    <row r="29" spans="1:39" x14ac:dyDescent="0.25">
      <c r="A29" s="16" t="s">
        <v>369</v>
      </c>
      <c r="B29" s="16" t="s">
        <v>1428</v>
      </c>
      <c r="C29" s="114">
        <v>2074</v>
      </c>
      <c r="D29" s="114">
        <v>2036</v>
      </c>
      <c r="E29" s="114">
        <v>1999</v>
      </c>
      <c r="F29" s="114">
        <v>1961</v>
      </c>
      <c r="G29" s="114">
        <v>1923</v>
      </c>
      <c r="H29" s="114">
        <v>1886</v>
      </c>
      <c r="I29" s="114">
        <v>1848</v>
      </c>
      <c r="J29" s="114">
        <v>1810</v>
      </c>
      <c r="K29" s="114">
        <v>1772</v>
      </c>
      <c r="L29" s="114">
        <v>1735</v>
      </c>
      <c r="M29" s="114">
        <v>1697</v>
      </c>
      <c r="N29" s="114">
        <v>1659</v>
      </c>
      <c r="O29" s="114">
        <v>1722</v>
      </c>
      <c r="P29" s="114">
        <v>1691</v>
      </c>
      <c r="Q29" s="114">
        <v>1660</v>
      </c>
      <c r="R29" s="114">
        <v>1628</v>
      </c>
      <c r="S29" s="114">
        <v>1597</v>
      </c>
      <c r="T29" s="114">
        <v>1566</v>
      </c>
      <c r="U29" s="114">
        <v>1534</v>
      </c>
      <c r="V29" s="114">
        <v>1503</v>
      </c>
      <c r="W29" s="114">
        <v>1472</v>
      </c>
      <c r="X29" s="114">
        <v>1440</v>
      </c>
      <c r="Y29" s="114">
        <v>1409</v>
      </c>
      <c r="Z29" s="114">
        <v>1378</v>
      </c>
      <c r="AA29" s="114">
        <v>1324</v>
      </c>
      <c r="AB29" s="114">
        <v>1300</v>
      </c>
      <c r="AC29" s="114">
        <v>1276</v>
      </c>
      <c r="AD29" s="114">
        <v>1252</v>
      </c>
      <c r="AE29" s="114">
        <v>1228</v>
      </c>
      <c r="AF29" s="114">
        <v>1204</v>
      </c>
      <c r="AG29" s="114">
        <v>1180</v>
      </c>
      <c r="AH29" s="114">
        <v>1156</v>
      </c>
      <c r="AI29" s="114">
        <v>1131</v>
      </c>
      <c r="AJ29" s="114">
        <v>1107</v>
      </c>
      <c r="AK29" s="114">
        <v>1083</v>
      </c>
      <c r="AL29" s="114">
        <v>1059</v>
      </c>
      <c r="AM29" s="114">
        <v>55300</v>
      </c>
    </row>
    <row r="31" spans="1:1" x14ac:dyDescent="0.25">
      <c r="A31" s="18" t="s">
        <v>1523</v>
      </c>
    </row>
    <row r="32" spans="1:39" x14ac:dyDescent="0.25">
      <c r="A32" s="16" t="s">
        <v>1430</v>
      </c>
      <c r="B32" s="16" t="s">
        <v>1372</v>
      </c>
      <c r="C32" s="114">
        <v>180670</v>
      </c>
      <c r="D32" s="114">
        <v>167538</v>
      </c>
      <c r="E32" s="114">
        <v>162893</v>
      </c>
      <c r="F32" s="114">
        <v>173474</v>
      </c>
      <c r="G32" s="114">
        <v>197300</v>
      </c>
      <c r="H32" s="114">
        <v>230651</v>
      </c>
      <c r="I32" s="114">
        <v>248799</v>
      </c>
      <c r="J32" s="114">
        <v>235288</v>
      </c>
      <c r="K32" s="114">
        <v>207865</v>
      </c>
      <c r="L32" s="114">
        <v>184149</v>
      </c>
      <c r="M32" s="114">
        <v>192858</v>
      </c>
      <c r="N32" s="114">
        <v>225315</v>
      </c>
      <c r="O32" s="114">
        <v>204101</v>
      </c>
      <c r="P32" s="114">
        <v>189421</v>
      </c>
      <c r="Q32" s="114">
        <v>184308</v>
      </c>
      <c r="R32" s="114">
        <v>196238</v>
      </c>
      <c r="S32" s="114">
        <v>222864</v>
      </c>
      <c r="T32" s="114">
        <v>260214</v>
      </c>
      <c r="U32" s="114">
        <v>280549</v>
      </c>
      <c r="V32" s="114">
        <v>265445</v>
      </c>
      <c r="W32" s="114">
        <v>234912</v>
      </c>
      <c r="X32" s="114">
        <v>208315</v>
      </c>
      <c r="Y32" s="114">
        <v>218014</v>
      </c>
      <c r="Z32" s="114">
        <v>254219</v>
      </c>
      <c r="AA32" s="114">
        <v>228339</v>
      </c>
      <c r="AB32" s="114">
        <v>212116</v>
      </c>
      <c r="AC32" s="114">
        <v>206551</v>
      </c>
      <c r="AD32" s="114">
        <v>219853</v>
      </c>
      <c r="AE32" s="114">
        <v>249280</v>
      </c>
      <c r="AF32" s="114">
        <v>290649</v>
      </c>
      <c r="AG32" s="114">
        <v>313184</v>
      </c>
      <c r="AH32" s="114">
        <v>296491</v>
      </c>
      <c r="AI32" s="114">
        <v>262866</v>
      </c>
      <c r="AJ32" s="114">
        <v>233382</v>
      </c>
      <c r="AK32" s="114">
        <v>244069</v>
      </c>
      <c r="AL32" s="114">
        <v>284020</v>
      </c>
      <c r="AM32" s="114">
        <v>8166200</v>
      </c>
    </row>
    <row r="33" spans="1:39" x14ac:dyDescent="0.25">
      <c r="A33" s="16" t="s">
        <v>1432</v>
      </c>
      <c r="B33" s="16" t="s">
        <v>1380</v>
      </c>
      <c r="C33" s="114">
        <v>70125</v>
      </c>
      <c r="D33" s="114">
        <v>63791</v>
      </c>
      <c r="E33" s="114">
        <v>61078</v>
      </c>
      <c r="F33" s="114">
        <v>65519</v>
      </c>
      <c r="G33" s="114">
        <v>76940</v>
      </c>
      <c r="H33" s="114">
        <v>92466</v>
      </c>
      <c r="I33" s="114">
        <v>100843</v>
      </c>
      <c r="J33" s="114">
        <v>94325</v>
      </c>
      <c r="K33" s="114">
        <v>80477</v>
      </c>
      <c r="L33" s="114">
        <v>69551</v>
      </c>
      <c r="M33" s="114">
        <v>73884</v>
      </c>
      <c r="N33" s="114">
        <v>89801</v>
      </c>
      <c r="O33" s="114">
        <v>78275</v>
      </c>
      <c r="P33" s="114">
        <v>71209</v>
      </c>
      <c r="Q33" s="114">
        <v>68184</v>
      </c>
      <c r="R33" s="114">
        <v>73141</v>
      </c>
      <c r="S33" s="114">
        <v>85882</v>
      </c>
      <c r="T33" s="114">
        <v>103204</v>
      </c>
      <c r="U33" s="114">
        <v>112550</v>
      </c>
      <c r="V33" s="114">
        <v>105278</v>
      </c>
      <c r="W33" s="114">
        <v>89833</v>
      </c>
      <c r="X33" s="114">
        <v>77641</v>
      </c>
      <c r="Y33" s="114">
        <v>82474</v>
      </c>
      <c r="Z33" s="114">
        <v>100229</v>
      </c>
      <c r="AA33" s="114">
        <v>86566</v>
      </c>
      <c r="AB33" s="114">
        <v>78744</v>
      </c>
      <c r="AC33" s="114">
        <v>75391</v>
      </c>
      <c r="AD33" s="114">
        <v>80873</v>
      </c>
      <c r="AE33" s="114">
        <v>94979</v>
      </c>
      <c r="AF33" s="114">
        <v>114152</v>
      </c>
      <c r="AG33" s="114">
        <v>124494</v>
      </c>
      <c r="AH33" s="114">
        <v>116447</v>
      </c>
      <c r="AI33" s="114">
        <v>99340</v>
      </c>
      <c r="AJ33" s="114">
        <v>85849</v>
      </c>
      <c r="AK33" s="114">
        <v>91203</v>
      </c>
      <c r="AL33" s="114">
        <v>110862</v>
      </c>
      <c r="AM33" s="114">
        <v>3145600</v>
      </c>
    </row>
    <row r="34" spans="1:39" x14ac:dyDescent="0.25">
      <c r="A34" s="16" t="s">
        <v>89</v>
      </c>
      <c r="B34" s="16" t="s">
        <v>11</v>
      </c>
      <c r="C34" s="114">
        <v>110545</v>
      </c>
      <c r="D34" s="114">
        <v>103747</v>
      </c>
      <c r="E34" s="114">
        <v>101815</v>
      </c>
      <c r="F34" s="114">
        <v>107955</v>
      </c>
      <c r="G34" s="114">
        <v>120360</v>
      </c>
      <c r="H34" s="114">
        <v>138185</v>
      </c>
      <c r="I34" s="114">
        <v>147956</v>
      </c>
      <c r="J34" s="114">
        <v>140963</v>
      </c>
      <c r="K34" s="114">
        <v>127388</v>
      </c>
      <c r="L34" s="114">
        <v>114598</v>
      </c>
      <c r="M34" s="114">
        <v>118974</v>
      </c>
      <c r="N34" s="114">
        <v>135514</v>
      </c>
      <c r="O34" s="114">
        <v>125826</v>
      </c>
      <c r="P34" s="114">
        <v>118212</v>
      </c>
      <c r="Q34" s="114">
        <v>116124</v>
      </c>
      <c r="R34" s="114">
        <v>123097</v>
      </c>
      <c r="S34" s="114">
        <v>136982</v>
      </c>
      <c r="T34" s="114">
        <v>157010</v>
      </c>
      <c r="U34" s="114">
        <v>167999</v>
      </c>
      <c r="V34" s="114">
        <v>160167</v>
      </c>
      <c r="W34" s="114">
        <v>145079</v>
      </c>
      <c r="X34" s="114">
        <v>130674</v>
      </c>
      <c r="Y34" s="114">
        <v>135540</v>
      </c>
      <c r="Z34" s="114">
        <v>153990</v>
      </c>
      <c r="AA34" s="114">
        <v>141773</v>
      </c>
      <c r="AB34" s="114">
        <v>133372</v>
      </c>
      <c r="AC34" s="114">
        <v>131160</v>
      </c>
      <c r="AD34" s="114">
        <v>138980</v>
      </c>
      <c r="AE34" s="114">
        <v>154301</v>
      </c>
      <c r="AF34" s="114">
        <v>176497</v>
      </c>
      <c r="AG34" s="114">
        <v>188690</v>
      </c>
      <c r="AH34" s="114">
        <v>180044</v>
      </c>
      <c r="AI34" s="114">
        <v>163526</v>
      </c>
      <c r="AJ34" s="114">
        <v>147533</v>
      </c>
      <c r="AK34" s="114">
        <v>152866</v>
      </c>
      <c r="AL34" s="114">
        <v>173158</v>
      </c>
      <c r="AM34" s="114">
        <v>5020600</v>
      </c>
    </row>
    <row r="35" spans="1:39" x14ac:dyDescent="0.25">
      <c r="A35" s="16" t="s">
        <v>1434</v>
      </c>
      <c r="B35" s="16" t="s">
        <v>1435</v>
      </c>
      <c r="C35" s="114">
        <v>72076</v>
      </c>
      <c r="D35" s="114">
        <v>71124</v>
      </c>
      <c r="E35" s="114">
        <v>73504</v>
      </c>
      <c r="F35" s="114">
        <v>74932</v>
      </c>
      <c r="G35" s="114">
        <v>76836</v>
      </c>
      <c r="H35" s="114">
        <v>80643</v>
      </c>
      <c r="I35" s="114">
        <v>83022</v>
      </c>
      <c r="J35" s="114">
        <v>80643</v>
      </c>
      <c r="K35" s="114">
        <v>76835</v>
      </c>
      <c r="L35" s="114">
        <v>73979</v>
      </c>
      <c r="M35" s="114">
        <v>73027</v>
      </c>
      <c r="N35" s="114">
        <v>73979</v>
      </c>
      <c r="O35" s="114">
        <v>79698</v>
      </c>
      <c r="P35" s="114">
        <v>78621</v>
      </c>
      <c r="Q35" s="114">
        <v>81316</v>
      </c>
      <c r="R35" s="114">
        <v>82932</v>
      </c>
      <c r="S35" s="114">
        <v>85085</v>
      </c>
      <c r="T35" s="114">
        <v>89397</v>
      </c>
      <c r="U35" s="114">
        <v>92091</v>
      </c>
      <c r="V35" s="114">
        <v>89397</v>
      </c>
      <c r="W35" s="114">
        <v>85085</v>
      </c>
      <c r="X35" s="114">
        <v>81852</v>
      </c>
      <c r="Y35" s="114">
        <v>80774</v>
      </c>
      <c r="Z35" s="114">
        <v>81852</v>
      </c>
      <c r="AA35" s="114">
        <v>87251</v>
      </c>
      <c r="AB35" s="114">
        <v>86050</v>
      </c>
      <c r="AC35" s="114">
        <v>89054</v>
      </c>
      <c r="AD35" s="114">
        <v>90858</v>
      </c>
      <c r="AE35" s="114">
        <v>93262</v>
      </c>
      <c r="AF35" s="114">
        <v>98069</v>
      </c>
      <c r="AG35" s="114">
        <v>101074</v>
      </c>
      <c r="AH35" s="114">
        <v>98068</v>
      </c>
      <c r="AI35" s="114">
        <v>93258</v>
      </c>
      <c r="AJ35" s="114">
        <v>89653</v>
      </c>
      <c r="AK35" s="114">
        <v>88450</v>
      </c>
      <c r="AL35" s="114">
        <v>89653</v>
      </c>
      <c r="AM35" s="114">
        <v>3023400</v>
      </c>
    </row>
    <row r="36" spans="1:39" x14ac:dyDescent="0.25">
      <c r="A36" s="16" t="s">
        <v>1436</v>
      </c>
      <c r="B36" s="16" t="s">
        <v>534</v>
      </c>
      <c r="C36" s="114">
        <v>108659</v>
      </c>
      <c r="D36" s="114">
        <v>107750</v>
      </c>
      <c r="E36" s="114">
        <v>112259</v>
      </c>
      <c r="F36" s="114">
        <v>114664</v>
      </c>
      <c r="G36" s="114">
        <v>116128</v>
      </c>
      <c r="H36" s="114">
        <v>120073</v>
      </c>
      <c r="I36" s="114">
        <v>122719</v>
      </c>
      <c r="J36" s="114">
        <v>119548</v>
      </c>
      <c r="K36" s="114">
        <v>115746</v>
      </c>
      <c r="L36" s="114">
        <v>112772</v>
      </c>
      <c r="M36" s="114">
        <v>109547</v>
      </c>
      <c r="N36" s="114">
        <v>112335</v>
      </c>
      <c r="O36" s="114">
        <v>118719</v>
      </c>
      <c r="P36" s="114">
        <v>117704</v>
      </c>
      <c r="Q36" s="114">
        <v>122728</v>
      </c>
      <c r="R36" s="114">
        <v>125405</v>
      </c>
      <c r="S36" s="114">
        <v>127073</v>
      </c>
      <c r="T36" s="114">
        <v>143494</v>
      </c>
      <c r="U36" s="114">
        <v>146453</v>
      </c>
      <c r="V36" s="114">
        <v>130915</v>
      </c>
      <c r="W36" s="114">
        <v>126648</v>
      </c>
      <c r="X36" s="114">
        <v>123305</v>
      </c>
      <c r="Y36" s="114">
        <v>119760</v>
      </c>
      <c r="Z36" s="114">
        <v>123056</v>
      </c>
      <c r="AA36" s="114">
        <v>129362</v>
      </c>
      <c r="AB36" s="114">
        <v>128252</v>
      </c>
      <c r="AC36" s="114">
        <v>133837</v>
      </c>
      <c r="AD36" s="114">
        <v>136815</v>
      </c>
      <c r="AE36" s="114">
        <v>138660</v>
      </c>
      <c r="AF36" s="114">
        <v>143520</v>
      </c>
      <c r="AG36" s="114">
        <v>146778</v>
      </c>
      <c r="AH36" s="114">
        <v>142866</v>
      </c>
      <c r="AI36" s="114">
        <v>138175</v>
      </c>
      <c r="AJ36" s="114">
        <v>134488</v>
      </c>
      <c r="AK36" s="114">
        <v>130568</v>
      </c>
      <c r="AL36" s="114">
        <v>134564</v>
      </c>
      <c r="AM36" s="114">
        <v>4535345</v>
      </c>
    </row>
    <row r="37" spans="1:39" x14ac:dyDescent="0.25">
      <c r="A37" s="16" t="s">
        <v>1437</v>
      </c>
      <c r="B37" s="16" t="s">
        <v>11</v>
      </c>
      <c r="C37" s="114">
        <v>1886</v>
      </c>
      <c r="D37" s="114">
        <v>-4003</v>
      </c>
      <c r="E37" s="114">
        <v>-10444</v>
      </c>
      <c r="F37" s="114">
        <v>-6709</v>
      </c>
      <c r="G37" s="114">
        <v>4232</v>
      </c>
      <c r="H37" s="114">
        <v>18112</v>
      </c>
      <c r="I37" s="114">
        <v>25237</v>
      </c>
      <c r="J37" s="114">
        <v>21415</v>
      </c>
      <c r="K37" s="114">
        <v>11642</v>
      </c>
      <c r="L37" s="114">
        <v>1826</v>
      </c>
      <c r="M37" s="114">
        <v>9427</v>
      </c>
      <c r="N37" s="114">
        <v>23179</v>
      </c>
      <c r="O37" s="114">
        <v>7107</v>
      </c>
      <c r="P37" s="114">
        <v>508</v>
      </c>
      <c r="Q37" s="114">
        <v>-6604</v>
      </c>
      <c r="R37" s="114">
        <v>-2308</v>
      </c>
      <c r="S37" s="114">
        <v>9909</v>
      </c>
      <c r="T37" s="114">
        <v>13516</v>
      </c>
      <c r="U37" s="114">
        <v>21546</v>
      </c>
      <c r="V37" s="114">
        <v>29252</v>
      </c>
      <c r="W37" s="114">
        <v>18431</v>
      </c>
      <c r="X37" s="114">
        <v>7369</v>
      </c>
      <c r="Y37" s="114">
        <v>15780</v>
      </c>
      <c r="Z37" s="114">
        <v>30934</v>
      </c>
      <c r="AA37" s="114">
        <v>12411</v>
      </c>
      <c r="AB37" s="114">
        <v>5120</v>
      </c>
      <c r="AC37" s="114">
        <v>-2677</v>
      </c>
      <c r="AD37" s="114">
        <v>2165</v>
      </c>
      <c r="AE37" s="114">
        <v>15641</v>
      </c>
      <c r="AF37" s="114">
        <v>32977</v>
      </c>
      <c r="AG37" s="114">
        <v>41912</v>
      </c>
      <c r="AH37" s="114">
        <v>37178</v>
      </c>
      <c r="AI37" s="114">
        <v>25351</v>
      </c>
      <c r="AJ37" s="114">
        <v>13045</v>
      </c>
      <c r="AK37" s="114">
        <v>22298</v>
      </c>
      <c r="AL37" s="114">
        <v>38594</v>
      </c>
      <c r="AM37" s="114">
        <v>485255</v>
      </c>
    </row>
    <row r="38" spans="1:39" x14ac:dyDescent="0.25">
      <c r="A38" s="16" t="s">
        <v>1439</v>
      </c>
      <c r="B38" s="16" t="s">
        <v>361</v>
      </c>
      <c r="C38" s="114">
        <v>100</v>
      </c>
      <c r="D38" s="114">
        <v>100</v>
      </c>
      <c r="E38" s="114">
        <v>100</v>
      </c>
      <c r="F38" s="114">
        <v>100</v>
      </c>
      <c r="G38" s="114">
        <v>100</v>
      </c>
      <c r="H38" s="114">
        <v>100</v>
      </c>
      <c r="I38" s="114">
        <v>100</v>
      </c>
      <c r="J38" s="114">
        <v>100</v>
      </c>
      <c r="K38" s="114">
        <v>100</v>
      </c>
      <c r="L38" s="114">
        <v>100</v>
      </c>
      <c r="M38" s="114">
        <v>100</v>
      </c>
      <c r="N38" s="114">
        <v>100</v>
      </c>
      <c r="O38" s="114">
        <v>200</v>
      </c>
      <c r="P38" s="114">
        <v>200</v>
      </c>
      <c r="Q38" s="114">
        <v>200</v>
      </c>
      <c r="R38" s="114">
        <v>200</v>
      </c>
      <c r="S38" s="114">
        <v>200</v>
      </c>
      <c r="T38" s="114">
        <v>200</v>
      </c>
      <c r="U38" s="114">
        <v>200</v>
      </c>
      <c r="V38" s="114">
        <v>200</v>
      </c>
      <c r="W38" s="114">
        <v>200</v>
      </c>
      <c r="X38" s="114">
        <v>200</v>
      </c>
      <c r="Y38" s="114">
        <v>200</v>
      </c>
      <c r="Z38" s="114">
        <v>200</v>
      </c>
      <c r="AA38" s="114">
        <v>259</v>
      </c>
      <c r="AB38" s="114">
        <v>259</v>
      </c>
      <c r="AC38" s="114">
        <v>259</v>
      </c>
      <c r="AD38" s="114">
        <v>259</v>
      </c>
      <c r="AE38" s="114">
        <v>258</v>
      </c>
      <c r="AF38" s="114">
        <v>258</v>
      </c>
      <c r="AG38" s="114">
        <v>258</v>
      </c>
      <c r="AH38" s="114">
        <v>258</v>
      </c>
      <c r="AI38" s="114">
        <v>258</v>
      </c>
      <c r="AJ38" s="114">
        <v>258</v>
      </c>
      <c r="AK38" s="114">
        <v>258</v>
      </c>
      <c r="AL38" s="114">
        <v>258</v>
      </c>
      <c r="AM38" s="114">
        <v>6700</v>
      </c>
    </row>
    <row r="39" spans="1:39" x14ac:dyDescent="0.25">
      <c r="A39" s="16" t="s">
        <v>1440</v>
      </c>
      <c r="B39" s="16" t="s">
        <v>1428</v>
      </c>
      <c r="C39" s="114">
        <v>2074</v>
      </c>
      <c r="D39" s="114">
        <v>2036</v>
      </c>
      <c r="E39" s="114">
        <v>1999</v>
      </c>
      <c r="F39" s="114">
        <v>1961</v>
      </c>
      <c r="G39" s="114">
        <v>1923</v>
      </c>
      <c r="H39" s="114">
        <v>1886</v>
      </c>
      <c r="I39" s="114">
        <v>1848</v>
      </c>
      <c r="J39" s="114">
        <v>1810</v>
      </c>
      <c r="K39" s="114">
        <v>1772</v>
      </c>
      <c r="L39" s="114">
        <v>1735</v>
      </c>
      <c r="M39" s="114">
        <v>1697</v>
      </c>
      <c r="N39" s="114">
        <v>1659</v>
      </c>
      <c r="O39" s="114">
        <v>1722</v>
      </c>
      <c r="P39" s="114">
        <v>1691</v>
      </c>
      <c r="Q39" s="114">
        <v>1660</v>
      </c>
      <c r="R39" s="114">
        <v>1628</v>
      </c>
      <c r="S39" s="114">
        <v>1597</v>
      </c>
      <c r="T39" s="114">
        <v>1566</v>
      </c>
      <c r="U39" s="114">
        <v>1534</v>
      </c>
      <c r="V39" s="114">
        <v>1503</v>
      </c>
      <c r="W39" s="114">
        <v>1472</v>
      </c>
      <c r="X39" s="114">
        <v>1440</v>
      </c>
      <c r="Y39" s="114">
        <v>1409</v>
      </c>
      <c r="Z39" s="114">
        <v>1378</v>
      </c>
      <c r="AA39" s="114">
        <v>1324</v>
      </c>
      <c r="AB39" s="114">
        <v>1300</v>
      </c>
      <c r="AC39" s="114">
        <v>1276</v>
      </c>
      <c r="AD39" s="114">
        <v>1252</v>
      </c>
      <c r="AE39" s="114">
        <v>1228</v>
      </c>
      <c r="AF39" s="114">
        <v>1204</v>
      </c>
      <c r="AG39" s="114">
        <v>1180</v>
      </c>
      <c r="AH39" s="114">
        <v>1156</v>
      </c>
      <c r="AI39" s="114">
        <v>1131</v>
      </c>
      <c r="AJ39" s="114">
        <v>1107</v>
      </c>
      <c r="AK39" s="114">
        <v>1083</v>
      </c>
      <c r="AL39" s="114">
        <v>1059</v>
      </c>
      <c r="AM39" s="114">
        <v>55300</v>
      </c>
    </row>
    <row r="40" spans="1:39" x14ac:dyDescent="0.25">
      <c r="A40" s="16" t="s">
        <v>1441</v>
      </c>
      <c r="B40" s="16" t="s">
        <v>11</v>
      </c>
      <c r="C40" s="114">
        <v>-1974</v>
      </c>
      <c r="D40" s="114">
        <v>-1936</v>
      </c>
      <c r="E40" s="114">
        <v>-1899</v>
      </c>
      <c r="F40" s="114">
        <v>-1861</v>
      </c>
      <c r="G40" s="114">
        <v>-1823</v>
      </c>
      <c r="H40" s="114">
        <v>-1786</v>
      </c>
      <c r="I40" s="114">
        <v>-1748</v>
      </c>
      <c r="J40" s="114">
        <v>-1710</v>
      </c>
      <c r="K40" s="114">
        <v>-1672</v>
      </c>
      <c r="L40" s="114">
        <v>-1635</v>
      </c>
      <c r="M40" s="114">
        <v>-1597</v>
      </c>
      <c r="N40" s="114">
        <v>-1559</v>
      </c>
      <c r="O40" s="114">
        <v>-1522</v>
      </c>
      <c r="P40" s="114">
        <v>-1491</v>
      </c>
      <c r="Q40" s="114">
        <v>-1460</v>
      </c>
      <c r="R40" s="114">
        <v>-1428</v>
      </c>
      <c r="S40" s="114">
        <v>-1397</v>
      </c>
      <c r="T40" s="114">
        <v>-1366</v>
      </c>
      <c r="U40" s="114">
        <v>-1334</v>
      </c>
      <c r="V40" s="114">
        <v>-1303</v>
      </c>
      <c r="W40" s="114">
        <v>-1272</v>
      </c>
      <c r="X40" s="114">
        <v>-1240</v>
      </c>
      <c r="Y40" s="114">
        <v>-1209</v>
      </c>
      <c r="Z40" s="114">
        <v>-1178</v>
      </c>
      <c r="AA40" s="114">
        <v>-1065</v>
      </c>
      <c r="AB40" s="114">
        <v>-1041</v>
      </c>
      <c r="AC40" s="114">
        <v>-1017</v>
      </c>
      <c r="AD40" s="114">
        <v>-993</v>
      </c>
      <c r="AE40" s="114">
        <v>-970</v>
      </c>
      <c r="AF40" s="114">
        <v>-946</v>
      </c>
      <c r="AG40" s="114">
        <v>-922</v>
      </c>
      <c r="AH40" s="114">
        <v>-898</v>
      </c>
      <c r="AI40" s="114">
        <v>-873</v>
      </c>
      <c r="AJ40" s="114">
        <v>-849</v>
      </c>
      <c r="AK40" s="114">
        <v>-825</v>
      </c>
      <c r="AL40" s="114">
        <v>-801</v>
      </c>
      <c r="AM40" s="114">
        <v>-48600</v>
      </c>
    </row>
    <row r="41" spans="1:39" x14ac:dyDescent="0.25">
      <c r="A41" s="16" t="s">
        <v>92</v>
      </c>
      <c r="B41" s="16" t="s">
        <v>11</v>
      </c>
      <c r="C41" s="114">
        <v>-88</v>
      </c>
      <c r="D41" s="114">
        <v>-5939</v>
      </c>
      <c r="E41" s="114">
        <v>-12343</v>
      </c>
      <c r="F41" s="114">
        <v>-8570</v>
      </c>
      <c r="G41" s="114">
        <v>2409</v>
      </c>
      <c r="H41" s="114">
        <v>16326</v>
      </c>
      <c r="I41" s="114">
        <v>23489</v>
      </c>
      <c r="J41" s="114">
        <v>19705</v>
      </c>
      <c r="K41" s="114">
        <v>9970</v>
      </c>
      <c r="L41" s="114">
        <v>191</v>
      </c>
      <c r="M41" s="114">
        <v>7830</v>
      </c>
      <c r="N41" s="114">
        <v>21620</v>
      </c>
      <c r="O41" s="114">
        <v>5585</v>
      </c>
      <c r="P41" s="114">
        <v>-983</v>
      </c>
      <c r="Q41" s="114">
        <v>-8064</v>
      </c>
      <c r="R41" s="114">
        <v>-3736</v>
      </c>
      <c r="S41" s="114">
        <v>8512</v>
      </c>
      <c r="T41" s="114">
        <v>12150</v>
      </c>
      <c r="U41" s="114">
        <v>20212</v>
      </c>
      <c r="V41" s="114">
        <v>27949</v>
      </c>
      <c r="W41" s="114">
        <v>17159</v>
      </c>
      <c r="X41" s="114">
        <v>6129</v>
      </c>
      <c r="Y41" s="114">
        <v>14571</v>
      </c>
      <c r="Z41" s="114">
        <v>29756</v>
      </c>
      <c r="AA41" s="114">
        <v>11346</v>
      </c>
      <c r="AB41" s="114">
        <v>4079</v>
      </c>
      <c r="AC41" s="114">
        <v>-3694</v>
      </c>
      <c r="AD41" s="114">
        <v>1172</v>
      </c>
      <c r="AE41" s="114">
        <v>14671</v>
      </c>
      <c r="AF41" s="114">
        <v>32031</v>
      </c>
      <c r="AG41" s="114">
        <v>40990</v>
      </c>
      <c r="AH41" s="114">
        <v>36280</v>
      </c>
      <c r="AI41" s="114">
        <v>24478</v>
      </c>
      <c r="AJ41" s="114">
        <v>12196</v>
      </c>
      <c r="AK41" s="114">
        <v>21473</v>
      </c>
      <c r="AL41" s="114">
        <v>37793</v>
      </c>
      <c r="AM41" s="114">
        <v>436655</v>
      </c>
    </row>
  </sheetData>
  <printOptions horizontalCentered="1"/>
  <pageMargins left="0.5" right="0.5" top="0.6" bottom="0.7" header="0.3" footer="0.3"/>
  <pageSetup paperSize="1" orientation="landscape" scale="82"/>
  <headerFooter>
    <oddHeader>&amp;RProject Ridgeline | As of 12/31/25</oddHeader>
    <oddFooter>&amp;LAMB Advisory Services | Strictly confidential&amp;C&amp;A&amp;RPage &amp;P of &amp;N</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6A6A6"/>
    <outlinePr summaryBelow="0" summaryRight="0"/>
    <pageSetUpPr fitToPage="1"/>
  </sheetPr>
  <dimension ref="A1:E40"/>
  <sheetViews>
    <sheetView workbookViewId="0" zoomScale="100">
      <pane ySplit="3" topLeftCell="A4" activePane="bottomLeft" state="frozen"/>
      <selection pane="bottomLeft"/>
    </sheetView>
  </sheetViews>
  <sheetFormatPr defaultRowHeight="12.75" outlineLevelRow="0" outlineLevelCol="0" x14ac:dyDescent="55" customHeight="1"/>
  <cols>
    <col min="1" max="1" width="52" customWidth="1"/>
    <col min="2" max="2" width="44" customWidth="1"/>
    <col min="3" max="5" width="12" customWidth="1"/>
  </cols>
  <sheetData>
    <row r="1" spans="1:1" x14ac:dyDescent="0.25">
      <c r="A1" s="313" t="s">
        <v>1524</v>
      </c>
    </row>
    <row r="2" spans="1:1" x14ac:dyDescent="0.25">
      <c r="A2" s="307" t="s">
        <v>1525</v>
      </c>
    </row>
    <row r="3" spans="1:5" x14ac:dyDescent="0.25">
      <c r="A3" s="13" t="s">
        <v>1522</v>
      </c>
      <c r="B3" s="13" t="s">
        <v>1512</v>
      </c>
      <c r="C3" s="138">
        <v>45261</v>
      </c>
      <c r="D3" s="138">
        <v>45627</v>
      </c>
      <c r="E3" s="138">
        <v>45992</v>
      </c>
    </row>
    <row r="4" spans="1:5" x14ac:dyDescent="0.25">
      <c r="A4" s="16" t="s">
        <v>1445</v>
      </c>
      <c r="B4" s="16" t="s">
        <v>1447</v>
      </c>
      <c r="C4" s="114">
        <v>128700</v>
      </c>
      <c r="D4" s="114">
        <v>142300</v>
      </c>
      <c r="E4" s="114">
        <v>186400</v>
      </c>
    </row>
    <row r="5" spans="1:5" x14ac:dyDescent="0.25">
      <c r="A5" s="16" t="s">
        <v>1448</v>
      </c>
      <c r="B5" s="16" t="s">
        <v>1447</v>
      </c>
      <c r="C5" s="114">
        <v>170000</v>
      </c>
      <c r="D5" s="114">
        <v>90000</v>
      </c>
      <c r="E5" s="114">
        <v>52215</v>
      </c>
    </row>
    <row r="6" spans="1:5" x14ac:dyDescent="0.25">
      <c r="A6" s="16" t="s">
        <v>1449</v>
      </c>
      <c r="B6" s="16" t="s">
        <v>1451</v>
      </c>
      <c r="C6" s="114">
        <v>198400</v>
      </c>
      <c r="D6" s="114">
        <v>221800</v>
      </c>
      <c r="E6" s="114">
        <v>248600</v>
      </c>
    </row>
    <row r="7" spans="1:5" x14ac:dyDescent="0.25">
      <c r="A7" s="16" t="s">
        <v>1452</v>
      </c>
      <c r="B7" s="16" t="s">
        <v>1454</v>
      </c>
      <c r="C7" s="114">
        <v>79500</v>
      </c>
      <c r="D7" s="114">
        <v>88100</v>
      </c>
      <c r="E7" s="114">
        <v>96300</v>
      </c>
    </row>
    <row r="8" spans="1:5" x14ac:dyDescent="0.25">
      <c r="A8" s="16" t="s">
        <v>1455</v>
      </c>
      <c r="B8" s="16" t="s">
        <v>1454</v>
      </c>
      <c r="C8" s="114">
        <v>11800</v>
      </c>
      <c r="D8" s="114">
        <v>12900</v>
      </c>
      <c r="E8" s="114">
        <v>14200</v>
      </c>
    </row>
    <row r="9" spans="1:5" x14ac:dyDescent="0.25">
      <c r="A9" s="16" t="s">
        <v>1457</v>
      </c>
      <c r="B9" s="16" t="s">
        <v>1459</v>
      </c>
      <c r="C9" s="114">
        <v>512000</v>
      </c>
      <c r="D9" s="114">
        <v>548000</v>
      </c>
      <c r="E9" s="114">
        <v>612000</v>
      </c>
    </row>
    <row r="10" spans="1:5" x14ac:dyDescent="0.25">
      <c r="A10" s="16" t="s">
        <v>1460</v>
      </c>
      <c r="B10" s="16" t="s">
        <v>1459</v>
      </c>
      <c r="C10" s="114">
        <v>158000</v>
      </c>
      <c r="D10" s="114">
        <v>171000</v>
      </c>
      <c r="E10" s="114">
        <v>184000</v>
      </c>
    </row>
    <row r="11" spans="1:5" x14ac:dyDescent="0.25">
      <c r="A11" s="16" t="s">
        <v>1461</v>
      </c>
      <c r="B11" s="16" t="s">
        <v>1459</v>
      </c>
      <c r="C11" s="114">
        <v>-307440</v>
      </c>
      <c r="D11" s="114">
        <v>-366100</v>
      </c>
      <c r="E11" s="114">
        <v>-438500</v>
      </c>
    </row>
    <row r="12" spans="1:5" x14ac:dyDescent="0.25">
      <c r="A12" s="16" t="s">
        <v>1462</v>
      </c>
      <c r="B12" s="16" t="s">
        <v>1464</v>
      </c>
      <c r="C12" s="114">
        <v>12000</v>
      </c>
      <c r="D12" s="114">
        <v>12000</v>
      </c>
      <c r="E12" s="114">
        <v>12000</v>
      </c>
    </row>
    <row r="13" spans="1:5" x14ac:dyDescent="0.25">
      <c r="A13" s="16" t="s">
        <v>1465</v>
      </c>
      <c r="B13" s="16" t="s">
        <v>1467</v>
      </c>
      <c r="C13" s="114">
        <v>96200</v>
      </c>
      <c r="D13" s="114">
        <v>104700</v>
      </c>
      <c r="E13" s="114">
        <v>118400</v>
      </c>
    </row>
    <row r="14" spans="1:5" x14ac:dyDescent="0.25">
      <c r="A14" s="16" t="s">
        <v>1468</v>
      </c>
      <c r="B14" s="16" t="s">
        <v>1470</v>
      </c>
      <c r="C14" s="114">
        <v>10800</v>
      </c>
      <c r="D14" s="114">
        <v>12100</v>
      </c>
      <c r="E14" s="114">
        <v>14600</v>
      </c>
    </row>
    <row r="15" spans="1:5" x14ac:dyDescent="0.25">
      <c r="A15" s="16" t="s">
        <v>1471</v>
      </c>
      <c r="B15" s="16" t="s">
        <v>1473</v>
      </c>
      <c r="C15" s="114">
        <v>30100</v>
      </c>
      <c r="D15" s="114">
        <v>34600</v>
      </c>
      <c r="E15" s="114">
        <v>38900</v>
      </c>
    </row>
    <row r="16" spans="1:5" x14ac:dyDescent="0.25">
      <c r="A16" s="16" t="s">
        <v>1474</v>
      </c>
      <c r="B16" s="16" t="s">
        <v>1473</v>
      </c>
      <c r="C16" s="114">
        <v>4900</v>
      </c>
      <c r="D16" s="114">
        <v>5400</v>
      </c>
      <c r="E16" s="114">
        <v>6200</v>
      </c>
    </row>
    <row r="17" spans="1:5" x14ac:dyDescent="0.25">
      <c r="A17" s="16" t="s">
        <v>1475</v>
      </c>
      <c r="B17" s="16" t="s">
        <v>1473</v>
      </c>
      <c r="C17" s="114">
        <v>16500</v>
      </c>
      <c r="D17" s="114">
        <v>19800</v>
      </c>
      <c r="E17" s="114">
        <v>22400</v>
      </c>
    </row>
    <row r="18" spans="1:5" x14ac:dyDescent="0.25">
      <c r="A18" s="16" t="s">
        <v>1476</v>
      </c>
      <c r="B18" s="16" t="s">
        <v>1477</v>
      </c>
      <c r="C18" s="114">
        <v>182600</v>
      </c>
      <c r="D18" s="114">
        <v>168300</v>
      </c>
      <c r="E18" s="114">
        <v>146800</v>
      </c>
    </row>
    <row r="19" spans="1:5" x14ac:dyDescent="0.25">
      <c r="A19" s="16" t="s">
        <v>1478</v>
      </c>
      <c r="B19" s="16" t="s">
        <v>1477</v>
      </c>
      <c r="C19" s="114">
        <v>172000</v>
      </c>
      <c r="D19" s="114">
        <v>146000</v>
      </c>
      <c r="E19" s="114">
        <v>118000</v>
      </c>
    </row>
    <row r="20" spans="1:5" x14ac:dyDescent="0.25">
      <c r="A20" s="16" t="s">
        <v>1479</v>
      </c>
      <c r="B20" s="16" t="s">
        <v>1481</v>
      </c>
      <c r="C20" s="114">
        <v>1000</v>
      </c>
      <c r="D20" s="114">
        <v>1000</v>
      </c>
      <c r="E20" s="114">
        <v>1000</v>
      </c>
    </row>
    <row r="21" spans="1:5" x14ac:dyDescent="0.25">
      <c r="A21" s="16" t="s">
        <v>1482</v>
      </c>
      <c r="B21" s="16" t="s">
        <v>1481</v>
      </c>
      <c r="C21" s="114">
        <v>494260</v>
      </c>
      <c r="D21" s="114">
        <v>448860</v>
      </c>
      <c r="E21" s="114">
        <v>428100</v>
      </c>
    </row>
    <row r="22" spans="1:5" x14ac:dyDescent="0.25">
      <c r="A22" s="16" t="s">
        <v>1483</v>
      </c>
      <c r="B22" s="16" t="s">
        <v>1481</v>
      </c>
      <c r="C22" s="114">
        <v>-120000</v>
      </c>
      <c r="D22" s="114">
        <v>-150000</v>
      </c>
      <c r="E22" s="114">
        <v>-160000</v>
      </c>
    </row>
    <row r="23" spans="1:5" x14ac:dyDescent="0.25">
      <c r="A23" s="16" t="s">
        <v>92</v>
      </c>
      <c r="B23" s="16" t="s">
        <v>1481</v>
      </c>
      <c r="C23" s="114">
        <v>74600</v>
      </c>
      <c r="D23" s="114">
        <v>129240</v>
      </c>
      <c r="E23" s="114">
        <v>232815</v>
      </c>
    </row>
    <row r="25" spans="1:1" x14ac:dyDescent="0.25">
      <c r="A25" s="18" t="s">
        <v>1523</v>
      </c>
    </row>
    <row r="26" spans="1:5" x14ac:dyDescent="0.25">
      <c r="A26" s="16" t="s">
        <v>1485</v>
      </c>
      <c r="B26" s="16" t="s">
        <v>1447</v>
      </c>
      <c r="C26" s="114">
        <v>298700</v>
      </c>
      <c r="D26" s="114">
        <v>232300</v>
      </c>
      <c r="E26" s="114">
        <v>238615</v>
      </c>
    </row>
    <row r="27" spans="1:5" x14ac:dyDescent="0.25">
      <c r="A27" s="16" t="s">
        <v>1487</v>
      </c>
      <c r="B27" s="16" t="s">
        <v>1451</v>
      </c>
      <c r="C27" s="114">
        <v>198400</v>
      </c>
      <c r="D27" s="114">
        <v>221800</v>
      </c>
      <c r="E27" s="114">
        <v>248600</v>
      </c>
    </row>
    <row r="28" spans="1:5" x14ac:dyDescent="0.25">
      <c r="A28" s="16" t="s">
        <v>1489</v>
      </c>
      <c r="B28" s="16" t="s">
        <v>1454</v>
      </c>
      <c r="C28" s="114">
        <v>91300</v>
      </c>
      <c r="D28" s="114">
        <v>101000</v>
      </c>
      <c r="E28" s="114">
        <v>110500</v>
      </c>
    </row>
    <row r="29" spans="1:5" x14ac:dyDescent="0.25">
      <c r="A29" s="16" t="s">
        <v>830</v>
      </c>
      <c r="B29" s="16" t="s">
        <v>1526</v>
      </c>
      <c r="C29" s="114">
        <v>588400</v>
      </c>
      <c r="D29" s="114">
        <v>555100</v>
      </c>
      <c r="E29" s="114">
        <v>597715</v>
      </c>
    </row>
    <row r="30" spans="1:5" x14ac:dyDescent="0.25">
      <c r="A30" s="16" t="s">
        <v>1492</v>
      </c>
      <c r="B30" s="16" t="s">
        <v>1459</v>
      </c>
      <c r="C30" s="114">
        <v>362560</v>
      </c>
      <c r="D30" s="114">
        <v>352900</v>
      </c>
      <c r="E30" s="114">
        <v>357500</v>
      </c>
    </row>
    <row r="31" spans="1:5" x14ac:dyDescent="0.25">
      <c r="A31" s="16" t="s">
        <v>1494</v>
      </c>
      <c r="B31" s="16" t="s">
        <v>1464</v>
      </c>
      <c r="C31" s="114">
        <v>12000</v>
      </c>
      <c r="D31" s="114">
        <v>12000</v>
      </c>
      <c r="E31" s="114">
        <v>12000</v>
      </c>
    </row>
    <row r="32" spans="1:5" x14ac:dyDescent="0.25">
      <c r="A32" s="16" t="s">
        <v>1496</v>
      </c>
      <c r="B32" s="16" t="s">
        <v>1527</v>
      </c>
      <c r="C32" s="114">
        <v>962960</v>
      </c>
      <c r="D32" s="114">
        <v>920000</v>
      </c>
      <c r="E32" s="114">
        <v>967215</v>
      </c>
    </row>
    <row r="33" spans="1:5" x14ac:dyDescent="0.25">
      <c r="A33" s="16" t="s">
        <v>1498</v>
      </c>
      <c r="B33" s="16" t="s">
        <v>1467</v>
      </c>
      <c r="C33" s="114">
        <v>96200</v>
      </c>
      <c r="D33" s="114">
        <v>104700</v>
      </c>
      <c r="E33" s="114">
        <v>118400</v>
      </c>
    </row>
    <row r="34" spans="1:5" x14ac:dyDescent="0.25">
      <c r="A34" s="16" t="s">
        <v>1500</v>
      </c>
      <c r="B34" s="16" t="s">
        <v>1470</v>
      </c>
      <c r="C34" s="114">
        <v>10800</v>
      </c>
      <c r="D34" s="114">
        <v>12100</v>
      </c>
      <c r="E34" s="114">
        <v>14600</v>
      </c>
    </row>
    <row r="35" spans="1:5" x14ac:dyDescent="0.25">
      <c r="A35" s="16" t="s">
        <v>1502</v>
      </c>
      <c r="B35" s="16" t="s">
        <v>1473</v>
      </c>
      <c r="C35" s="114">
        <v>51500</v>
      </c>
      <c r="D35" s="114">
        <v>59800</v>
      </c>
      <c r="E35" s="114">
        <v>67500</v>
      </c>
    </row>
    <row r="36" spans="1:5" x14ac:dyDescent="0.25">
      <c r="A36" s="16" t="s">
        <v>836</v>
      </c>
      <c r="B36" s="16" t="s">
        <v>1528</v>
      </c>
      <c r="C36" s="114">
        <v>158500</v>
      </c>
      <c r="D36" s="114">
        <v>176600</v>
      </c>
      <c r="E36" s="114">
        <v>200500</v>
      </c>
    </row>
    <row r="37" spans="1:5" x14ac:dyDescent="0.25">
      <c r="A37" s="16" t="s">
        <v>1505</v>
      </c>
      <c r="B37" s="16" t="s">
        <v>1477</v>
      </c>
      <c r="C37" s="114">
        <v>354600</v>
      </c>
      <c r="D37" s="114">
        <v>314300</v>
      </c>
      <c r="E37" s="114">
        <v>264800</v>
      </c>
    </row>
    <row r="38" spans="1:5" x14ac:dyDescent="0.25">
      <c r="A38" s="16" t="s">
        <v>838</v>
      </c>
      <c r="B38" s="16" t="s">
        <v>1529</v>
      </c>
      <c r="C38" s="114">
        <v>513100</v>
      </c>
      <c r="D38" s="114">
        <v>490900</v>
      </c>
      <c r="E38" s="114">
        <v>465300</v>
      </c>
    </row>
    <row r="39" spans="1:5" x14ac:dyDescent="0.25">
      <c r="A39" s="16" t="s">
        <v>839</v>
      </c>
      <c r="B39" s="16" t="s">
        <v>1481</v>
      </c>
      <c r="C39" s="114">
        <v>449860</v>
      </c>
      <c r="D39" s="114">
        <v>429100</v>
      </c>
      <c r="E39" s="114">
        <v>501915</v>
      </c>
    </row>
    <row r="40" spans="1:5" x14ac:dyDescent="0.25">
      <c r="A40" s="16" t="s">
        <v>1509</v>
      </c>
      <c r="B40" s="16" t="s">
        <v>1530</v>
      </c>
      <c r="C40" s="114">
        <v>962960</v>
      </c>
      <c r="D40" s="114">
        <v>920000</v>
      </c>
      <c r="E40" s="114">
        <v>967215</v>
      </c>
    </row>
  </sheetData>
  <printOptions horizontalCentered="1"/>
  <pageMargins left="0.5" right="0.5" top="0.6" bottom="0.7" header="0.3" footer="0.3"/>
  <pageSetup paperSize="1" orientation="landscape" fitToWidth="1" fitToHeight="0"/>
  <headerFooter>
    <oddHeader>&amp;RProject Ridgeline | As of 12/31/25</oddHeader>
    <oddFooter>&amp;LAMB Advisory Services | Strictly confidential&amp;C&amp;A&amp;RPage &amp;P of &amp;N</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6A6A6"/>
    <outlinePr summaryBelow="0" summaryRight="0"/>
    <pageSetUpPr fitToPage="1"/>
  </sheetPr>
  <dimension ref="A1:D874"/>
  <sheetViews>
    <sheetView workbookViewId="0" zoomScale="100">
      <pane ySplit="3" topLeftCell="A4" activePane="bottomLeft" state="frozen"/>
      <selection pane="bottomLeft"/>
    </sheetView>
  </sheetViews>
  <sheetFormatPr defaultRowHeight="12.75" outlineLevelRow="0" outlineLevelCol="0" x14ac:dyDescent="55" customHeight="1"/>
  <cols>
    <col min="1" max="1" width="12" customWidth="1"/>
    <col min="2" max="2" width="44" customWidth="1"/>
    <col min="3" max="3" width="14" customWidth="1"/>
    <col min="4" max="4" width="16" customWidth="1"/>
  </cols>
  <sheetData>
    <row r="1" spans="1:1" x14ac:dyDescent="0.25">
      <c r="A1" s="313" t="s">
        <v>1531</v>
      </c>
    </row>
    <row r="2" spans="1:1" x14ac:dyDescent="0.25">
      <c r="A2" s="307" t="s">
        <v>1532</v>
      </c>
    </row>
    <row r="3" spans="1:4" x14ac:dyDescent="0.25">
      <c r="A3" s="13" t="s">
        <v>76</v>
      </c>
      <c r="B3" s="13" t="s">
        <v>1533</v>
      </c>
      <c r="C3" s="12" t="s">
        <v>1534</v>
      </c>
      <c r="D3" s="12" t="s">
        <v>1535</v>
      </c>
    </row>
    <row r="4" spans="1:4" x14ac:dyDescent="0.25">
      <c r="A4" s="314">
        <v>45658</v>
      </c>
      <c r="B4" s="16" t="s">
        <v>1536</v>
      </c>
      <c r="C4" s="315">
        <v>5128.39</v>
      </c>
      <c r="D4" s="316" t="s">
        <v>1537</v>
      </c>
    </row>
    <row r="5" spans="1:4" x14ac:dyDescent="0.25">
      <c r="A5" s="314">
        <v>45658</v>
      </c>
      <c r="B5" s="16" t="s">
        <v>1538</v>
      </c>
      <c r="C5" s="315">
        <v>-5054.73</v>
      </c>
      <c r="D5" s="316" t="s">
        <v>1539</v>
      </c>
    </row>
    <row r="6" spans="1:4" x14ac:dyDescent="0.25">
      <c r="A6" s="314">
        <v>45658</v>
      </c>
      <c r="B6" s="16" t="s">
        <v>1540</v>
      </c>
      <c r="C6" s="315">
        <v>-23848.16</v>
      </c>
      <c r="D6" s="316" t="s">
        <v>1539</v>
      </c>
    </row>
    <row r="7" spans="1:4" x14ac:dyDescent="0.25">
      <c r="A7" s="314">
        <v>45658</v>
      </c>
      <c r="B7" s="16" t="s">
        <v>1541</v>
      </c>
      <c r="C7" s="315">
        <v>-21030.7</v>
      </c>
      <c r="D7" s="316" t="s">
        <v>1539</v>
      </c>
    </row>
    <row r="8" spans="1:4" x14ac:dyDescent="0.25">
      <c r="A8" s="314">
        <v>45659</v>
      </c>
      <c r="B8" s="16" t="s">
        <v>1542</v>
      </c>
      <c r="C8" s="315">
        <v>2801.19</v>
      </c>
      <c r="D8" s="316" t="s">
        <v>1537</v>
      </c>
    </row>
    <row r="9" spans="1:4" x14ac:dyDescent="0.25">
      <c r="A9" s="314">
        <v>45659</v>
      </c>
      <c r="B9" s="16" t="s">
        <v>1540</v>
      </c>
      <c r="C9" s="315">
        <v>-3082.67</v>
      </c>
      <c r="D9" s="316" t="s">
        <v>1539</v>
      </c>
    </row>
    <row r="10" spans="1:4" x14ac:dyDescent="0.25">
      <c r="A10" s="314">
        <v>45659</v>
      </c>
      <c r="B10" s="16" t="s">
        <v>1541</v>
      </c>
      <c r="C10" s="315">
        <v>-22639.03</v>
      </c>
      <c r="D10" s="316" t="s">
        <v>1539</v>
      </c>
    </row>
    <row r="11" spans="1:4" x14ac:dyDescent="0.25">
      <c r="A11" s="314">
        <v>45660</v>
      </c>
      <c r="B11" s="16" t="s">
        <v>1540</v>
      </c>
      <c r="C11" s="315">
        <v>-15930.62</v>
      </c>
      <c r="D11" s="316" t="s">
        <v>1539</v>
      </c>
    </row>
    <row r="12" spans="1:4" x14ac:dyDescent="0.25">
      <c r="A12" s="314">
        <v>45660</v>
      </c>
      <c r="B12" s="16" t="s">
        <v>1540</v>
      </c>
      <c r="C12" s="315">
        <v>-3901.41</v>
      </c>
      <c r="D12" s="316" t="s">
        <v>1539</v>
      </c>
    </row>
    <row r="13" spans="1:4" x14ac:dyDescent="0.25">
      <c r="A13" s="314">
        <v>45660</v>
      </c>
      <c r="B13" s="16" t="s">
        <v>1543</v>
      </c>
      <c r="C13" s="315">
        <v>1742</v>
      </c>
      <c r="D13" s="316" t="s">
        <v>1537</v>
      </c>
    </row>
    <row r="14" spans="1:4" x14ac:dyDescent="0.25">
      <c r="A14" s="314">
        <v>45660</v>
      </c>
      <c r="B14" s="16" t="s">
        <v>1543</v>
      </c>
      <c r="C14" s="315">
        <v>7382.14</v>
      </c>
      <c r="D14" s="316" t="s">
        <v>1537</v>
      </c>
    </row>
    <row r="15" spans="1:4" x14ac:dyDescent="0.25">
      <c r="A15" s="314">
        <v>45660</v>
      </c>
      <c r="B15" s="16" t="s">
        <v>1544</v>
      </c>
      <c r="C15" s="315">
        <v>3956.98</v>
      </c>
      <c r="D15" s="316" t="s">
        <v>1537</v>
      </c>
    </row>
    <row r="16" spans="1:4" x14ac:dyDescent="0.25">
      <c r="A16" s="314">
        <v>45660</v>
      </c>
      <c r="B16" s="16" t="s">
        <v>1545</v>
      </c>
      <c r="C16" s="315">
        <v>2983.09</v>
      </c>
      <c r="D16" s="316" t="s">
        <v>1537</v>
      </c>
    </row>
    <row r="17" spans="1:4" x14ac:dyDescent="0.25">
      <c r="A17" s="314">
        <v>45660</v>
      </c>
      <c r="B17" s="16" t="s">
        <v>1545</v>
      </c>
      <c r="C17" s="315">
        <v>5084.85</v>
      </c>
      <c r="D17" s="316" t="s">
        <v>1537</v>
      </c>
    </row>
    <row r="18" spans="1:4" x14ac:dyDescent="0.25">
      <c r="A18" s="314">
        <v>45661</v>
      </c>
      <c r="B18" s="16" t="s">
        <v>1541</v>
      </c>
      <c r="C18" s="315">
        <v>-16405.8</v>
      </c>
      <c r="D18" s="316" t="s">
        <v>1539</v>
      </c>
    </row>
    <row r="19" spans="1:4" x14ac:dyDescent="0.25">
      <c r="A19" s="314">
        <v>45661</v>
      </c>
      <c r="B19" s="16" t="s">
        <v>1546</v>
      </c>
      <c r="C19" s="315">
        <v>-15922.83</v>
      </c>
      <c r="D19" s="316" t="s">
        <v>1539</v>
      </c>
    </row>
    <row r="20" spans="1:4" x14ac:dyDescent="0.25">
      <c r="A20" s="314">
        <v>45661</v>
      </c>
      <c r="B20" s="16" t="s">
        <v>1547</v>
      </c>
      <c r="C20" s="315">
        <v>-21450.02</v>
      </c>
      <c r="D20" s="316" t="s">
        <v>1539</v>
      </c>
    </row>
    <row r="21" spans="1:4" x14ac:dyDescent="0.25">
      <c r="A21" s="314">
        <v>45662</v>
      </c>
      <c r="B21" s="16" t="s">
        <v>1536</v>
      </c>
      <c r="C21" s="315">
        <v>4112.3</v>
      </c>
      <c r="D21" s="316" t="s">
        <v>1537</v>
      </c>
    </row>
    <row r="22" spans="1:4" x14ac:dyDescent="0.25">
      <c r="A22" s="314">
        <v>45662</v>
      </c>
      <c r="B22" s="16" t="s">
        <v>1536</v>
      </c>
      <c r="C22" s="315">
        <v>4867.66</v>
      </c>
      <c r="D22" s="316" t="s">
        <v>1537</v>
      </c>
    </row>
    <row r="23" spans="1:4" x14ac:dyDescent="0.25">
      <c r="A23" s="314">
        <v>45662</v>
      </c>
      <c r="B23" s="16" t="s">
        <v>1541</v>
      </c>
      <c r="C23" s="315">
        <v>-14062.89</v>
      </c>
      <c r="D23" s="316" t="s">
        <v>1539</v>
      </c>
    </row>
    <row r="24" spans="1:4" x14ac:dyDescent="0.25">
      <c r="A24" s="314">
        <v>45662</v>
      </c>
      <c r="B24" s="16" t="s">
        <v>1548</v>
      </c>
      <c r="C24" s="315">
        <v>-21691.25</v>
      </c>
      <c r="D24" s="316" t="s">
        <v>1539</v>
      </c>
    </row>
    <row r="25" spans="1:4" x14ac:dyDescent="0.25">
      <c r="A25" s="314">
        <v>45662</v>
      </c>
      <c r="B25" s="16" t="s">
        <v>1548</v>
      </c>
      <c r="C25" s="315">
        <v>-7428.06</v>
      </c>
      <c r="D25" s="316" t="s">
        <v>1539</v>
      </c>
    </row>
    <row r="26" spans="1:4" x14ac:dyDescent="0.25">
      <c r="A26" s="314">
        <v>45662</v>
      </c>
      <c r="B26" s="16" t="s">
        <v>1545</v>
      </c>
      <c r="C26" s="315">
        <v>2526.34</v>
      </c>
      <c r="D26" s="316" t="s">
        <v>1537</v>
      </c>
    </row>
    <row r="27" spans="1:4" x14ac:dyDescent="0.25">
      <c r="A27" s="314">
        <v>45662</v>
      </c>
      <c r="B27" s="16" t="s">
        <v>1545</v>
      </c>
      <c r="C27" s="315">
        <v>2580.26</v>
      </c>
      <c r="D27" s="316" t="s">
        <v>1537</v>
      </c>
    </row>
    <row r="28" spans="1:4" x14ac:dyDescent="0.25">
      <c r="A28" s="314">
        <v>45663</v>
      </c>
      <c r="B28" s="16" t="s">
        <v>1542</v>
      </c>
      <c r="C28" s="315">
        <v>1902.22</v>
      </c>
      <c r="D28" s="316" t="s">
        <v>1537</v>
      </c>
    </row>
    <row r="29" spans="1:4" x14ac:dyDescent="0.25">
      <c r="A29" s="314">
        <v>45663</v>
      </c>
      <c r="B29" s="16" t="s">
        <v>1546</v>
      </c>
      <c r="C29" s="315">
        <v>-19640.54</v>
      </c>
      <c r="D29" s="316" t="s">
        <v>1539</v>
      </c>
    </row>
    <row r="30" spans="1:4" x14ac:dyDescent="0.25">
      <c r="A30" s="314">
        <v>45663</v>
      </c>
      <c r="B30" s="16" t="s">
        <v>1546</v>
      </c>
      <c r="C30" s="315">
        <v>-8125.37</v>
      </c>
      <c r="D30" s="316" t="s">
        <v>1539</v>
      </c>
    </row>
    <row r="31" spans="1:4" x14ac:dyDescent="0.25">
      <c r="A31" s="314">
        <v>45664</v>
      </c>
      <c r="B31" s="16" t="s">
        <v>1542</v>
      </c>
      <c r="C31" s="315">
        <v>5130.32</v>
      </c>
      <c r="D31" s="316" t="s">
        <v>1537</v>
      </c>
    </row>
    <row r="32" spans="1:4" x14ac:dyDescent="0.25">
      <c r="A32" s="314">
        <v>45664</v>
      </c>
      <c r="B32" s="16" t="s">
        <v>1541</v>
      </c>
      <c r="C32" s="315">
        <v>-5314.12</v>
      </c>
      <c r="D32" s="316" t="s">
        <v>1539</v>
      </c>
    </row>
    <row r="33" spans="1:4" x14ac:dyDescent="0.25">
      <c r="A33" s="314">
        <v>45665</v>
      </c>
      <c r="B33" s="16" t="s">
        <v>1545</v>
      </c>
      <c r="C33" s="315">
        <v>3735.84</v>
      </c>
      <c r="D33" s="316" t="s">
        <v>1537</v>
      </c>
    </row>
    <row r="34" spans="1:4" x14ac:dyDescent="0.25">
      <c r="A34" s="314">
        <v>45666</v>
      </c>
      <c r="B34" s="16" t="s">
        <v>1536</v>
      </c>
      <c r="C34" s="315">
        <v>4427.82</v>
      </c>
      <c r="D34" s="316" t="s">
        <v>1537</v>
      </c>
    </row>
    <row r="35" spans="1:4" x14ac:dyDescent="0.25">
      <c r="A35" s="314">
        <v>45666</v>
      </c>
      <c r="B35" s="16" t="s">
        <v>1536</v>
      </c>
      <c r="C35" s="315">
        <v>5225.7</v>
      </c>
      <c r="D35" s="316" t="s">
        <v>1537</v>
      </c>
    </row>
    <row r="36" spans="1:4" x14ac:dyDescent="0.25">
      <c r="A36" s="314">
        <v>45667</v>
      </c>
      <c r="B36" s="16" t="s">
        <v>1536</v>
      </c>
      <c r="C36" s="315">
        <v>4118.73</v>
      </c>
      <c r="D36" s="316" t="s">
        <v>1537</v>
      </c>
    </row>
    <row r="37" spans="1:4" x14ac:dyDescent="0.25">
      <c r="A37" s="314">
        <v>45667</v>
      </c>
      <c r="B37" s="16" t="s">
        <v>1544</v>
      </c>
      <c r="C37" s="315">
        <v>1651.69</v>
      </c>
      <c r="D37" s="316" t="s">
        <v>1537</v>
      </c>
    </row>
    <row r="38" spans="1:4" x14ac:dyDescent="0.25">
      <c r="A38" s="314">
        <v>45667</v>
      </c>
      <c r="B38" s="16" t="s">
        <v>1544</v>
      </c>
      <c r="C38" s="315">
        <v>5207.38</v>
      </c>
      <c r="D38" s="316" t="s">
        <v>1537</v>
      </c>
    </row>
    <row r="39" spans="1:4" x14ac:dyDescent="0.25">
      <c r="A39" s="314">
        <v>45667</v>
      </c>
      <c r="B39" s="16" t="s">
        <v>1548</v>
      </c>
      <c r="C39" s="315">
        <v>-21788.14</v>
      </c>
      <c r="D39" s="316" t="s">
        <v>1539</v>
      </c>
    </row>
    <row r="40" spans="1:4" x14ac:dyDescent="0.25">
      <c r="A40" s="314">
        <v>45668</v>
      </c>
      <c r="B40" s="16" t="s">
        <v>1538</v>
      </c>
      <c r="C40" s="315">
        <v>-2735.53</v>
      </c>
      <c r="D40" s="316" t="s">
        <v>1539</v>
      </c>
    </row>
    <row r="41" spans="1:4" x14ac:dyDescent="0.25">
      <c r="A41" s="314">
        <v>45668</v>
      </c>
      <c r="B41" s="16" t="s">
        <v>1542</v>
      </c>
      <c r="C41" s="315">
        <v>7633.24</v>
      </c>
      <c r="D41" s="316" t="s">
        <v>1537</v>
      </c>
    </row>
    <row r="42" spans="1:4" x14ac:dyDescent="0.25">
      <c r="A42" s="314">
        <v>45668</v>
      </c>
      <c r="B42" s="16" t="s">
        <v>1548</v>
      </c>
      <c r="C42" s="315">
        <v>-7721.79</v>
      </c>
      <c r="D42" s="316" t="s">
        <v>1539</v>
      </c>
    </row>
    <row r="43" spans="1:4" x14ac:dyDescent="0.25">
      <c r="A43" s="314">
        <v>45669</v>
      </c>
      <c r="B43" s="16" t="s">
        <v>1536</v>
      </c>
      <c r="C43" s="315">
        <v>7473.53</v>
      </c>
      <c r="D43" s="316" t="s">
        <v>1537</v>
      </c>
    </row>
    <row r="44" spans="1:4" x14ac:dyDescent="0.25">
      <c r="A44" s="314">
        <v>45669</v>
      </c>
      <c r="B44" s="16" t="s">
        <v>1538</v>
      </c>
      <c r="C44" s="315">
        <v>-10057.84</v>
      </c>
      <c r="D44" s="316" t="s">
        <v>1539</v>
      </c>
    </row>
    <row r="45" spans="1:4" x14ac:dyDescent="0.25">
      <c r="A45" s="314">
        <v>45669</v>
      </c>
      <c r="B45" s="16" t="s">
        <v>1545</v>
      </c>
      <c r="C45" s="315">
        <v>5057.5</v>
      </c>
      <c r="D45" s="316" t="s">
        <v>1537</v>
      </c>
    </row>
    <row r="46" spans="1:4" x14ac:dyDescent="0.25">
      <c r="A46" s="314">
        <v>45670</v>
      </c>
      <c r="B46" s="16" t="s">
        <v>1536</v>
      </c>
      <c r="C46" s="315">
        <v>1978.61</v>
      </c>
      <c r="D46" s="316" t="s">
        <v>1537</v>
      </c>
    </row>
    <row r="47" spans="1:4" x14ac:dyDescent="0.25">
      <c r="A47" s="314">
        <v>45670</v>
      </c>
      <c r="B47" s="16" t="s">
        <v>1541</v>
      </c>
      <c r="C47" s="315">
        <v>-10876</v>
      </c>
      <c r="D47" s="316" t="s">
        <v>1539</v>
      </c>
    </row>
    <row r="48" spans="1:4" x14ac:dyDescent="0.25">
      <c r="A48" s="314">
        <v>45671</v>
      </c>
      <c r="B48" s="16" t="s">
        <v>1543</v>
      </c>
      <c r="C48" s="315">
        <v>2931.45</v>
      </c>
      <c r="D48" s="316" t="s">
        <v>1537</v>
      </c>
    </row>
    <row r="49" spans="1:4" x14ac:dyDescent="0.25">
      <c r="A49" s="314">
        <v>45672</v>
      </c>
      <c r="B49" s="16" t="s">
        <v>1536</v>
      </c>
      <c r="C49" s="315">
        <v>5448.34</v>
      </c>
      <c r="D49" s="316" t="s">
        <v>1537</v>
      </c>
    </row>
    <row r="50" spans="1:4" x14ac:dyDescent="0.25">
      <c r="A50" s="314">
        <v>45672</v>
      </c>
      <c r="B50" s="16" t="s">
        <v>1541</v>
      </c>
      <c r="C50" s="315">
        <v>-12870.11</v>
      </c>
      <c r="D50" s="316" t="s">
        <v>1539</v>
      </c>
    </row>
    <row r="51" spans="1:4" x14ac:dyDescent="0.25">
      <c r="A51" s="314">
        <v>45672</v>
      </c>
      <c r="B51" s="16" t="s">
        <v>1549</v>
      </c>
      <c r="C51" s="315">
        <v>14877.75</v>
      </c>
      <c r="D51" s="316" t="s">
        <v>1550</v>
      </c>
    </row>
    <row r="52" spans="1:4" x14ac:dyDescent="0.25">
      <c r="A52" s="314">
        <v>45673</v>
      </c>
      <c r="B52" s="16" t="s">
        <v>1542</v>
      </c>
      <c r="C52" s="315">
        <v>6793.88</v>
      </c>
      <c r="D52" s="316" t="s">
        <v>1537</v>
      </c>
    </row>
    <row r="53" spans="1:4" x14ac:dyDescent="0.25">
      <c r="A53" s="314">
        <v>45673</v>
      </c>
      <c r="B53" s="16" t="s">
        <v>1543</v>
      </c>
      <c r="C53" s="315">
        <v>2016.03</v>
      </c>
      <c r="D53" s="316" t="s">
        <v>1537</v>
      </c>
    </row>
    <row r="54" spans="1:4" x14ac:dyDescent="0.25">
      <c r="A54" s="314">
        <v>45674</v>
      </c>
      <c r="B54" s="16" t="s">
        <v>1536</v>
      </c>
      <c r="C54" s="315">
        <v>2758.72</v>
      </c>
      <c r="D54" s="316" t="s">
        <v>1537</v>
      </c>
    </row>
    <row r="55" spans="1:4" x14ac:dyDescent="0.25">
      <c r="A55" s="314">
        <v>45674</v>
      </c>
      <c r="B55" s="16" t="s">
        <v>1546</v>
      </c>
      <c r="C55" s="315">
        <v>-4945.16</v>
      </c>
      <c r="D55" s="316" t="s">
        <v>1539</v>
      </c>
    </row>
    <row r="56" spans="1:4" x14ac:dyDescent="0.25">
      <c r="A56" s="314">
        <v>45675</v>
      </c>
      <c r="B56" s="16" t="s">
        <v>1538</v>
      </c>
      <c r="C56" s="315">
        <v>-19807.79</v>
      </c>
      <c r="D56" s="316" t="s">
        <v>1539</v>
      </c>
    </row>
    <row r="57" spans="1:4" x14ac:dyDescent="0.25">
      <c r="A57" s="314">
        <v>45675</v>
      </c>
      <c r="B57" s="16" t="s">
        <v>1542</v>
      </c>
      <c r="C57" s="315">
        <v>4632.8</v>
      </c>
      <c r="D57" s="316" t="s">
        <v>1537</v>
      </c>
    </row>
    <row r="58" spans="1:4" x14ac:dyDescent="0.25">
      <c r="A58" s="314">
        <v>45675</v>
      </c>
      <c r="B58" s="16" t="s">
        <v>1547</v>
      </c>
      <c r="C58" s="315">
        <v>-19316.36</v>
      </c>
      <c r="D58" s="316" t="s">
        <v>1539</v>
      </c>
    </row>
    <row r="59" spans="1:4" x14ac:dyDescent="0.25">
      <c r="A59" s="314">
        <v>45676</v>
      </c>
      <c r="B59" s="16" t="s">
        <v>1536</v>
      </c>
      <c r="C59" s="315">
        <v>5208.77</v>
      </c>
      <c r="D59" s="316" t="s">
        <v>1537</v>
      </c>
    </row>
    <row r="60" spans="1:4" x14ac:dyDescent="0.25">
      <c r="A60" s="314">
        <v>45676</v>
      </c>
      <c r="B60" s="16" t="s">
        <v>1542</v>
      </c>
      <c r="C60" s="315">
        <v>5092.07</v>
      </c>
      <c r="D60" s="316" t="s">
        <v>1537</v>
      </c>
    </row>
    <row r="61" spans="1:4" x14ac:dyDescent="0.25">
      <c r="A61" s="314">
        <v>45677</v>
      </c>
      <c r="B61" s="16" t="s">
        <v>1536</v>
      </c>
      <c r="C61" s="315">
        <v>5525.62</v>
      </c>
      <c r="D61" s="316" t="s">
        <v>1537</v>
      </c>
    </row>
    <row r="62" spans="1:4" x14ac:dyDescent="0.25">
      <c r="A62" s="314">
        <v>45677</v>
      </c>
      <c r="B62" s="16" t="s">
        <v>1538</v>
      </c>
      <c r="C62" s="315">
        <v>-8987.37</v>
      </c>
      <c r="D62" s="316" t="s">
        <v>1539</v>
      </c>
    </row>
    <row r="63" spans="1:4" x14ac:dyDescent="0.25">
      <c r="A63" s="314">
        <v>45677</v>
      </c>
      <c r="B63" s="16" t="s">
        <v>1543</v>
      </c>
      <c r="C63" s="315">
        <v>5867.39</v>
      </c>
      <c r="D63" s="316" t="s">
        <v>1537</v>
      </c>
    </row>
    <row r="64" spans="1:4" x14ac:dyDescent="0.25">
      <c r="A64" s="314">
        <v>45677</v>
      </c>
      <c r="B64" s="16" t="s">
        <v>1548</v>
      </c>
      <c r="C64" s="315">
        <v>-17390.7</v>
      </c>
      <c r="D64" s="316" t="s">
        <v>1539</v>
      </c>
    </row>
    <row r="65" spans="1:4" x14ac:dyDescent="0.25">
      <c r="A65" s="314">
        <v>45678</v>
      </c>
      <c r="B65" s="16" t="s">
        <v>1544</v>
      </c>
      <c r="C65" s="315">
        <v>5033.6</v>
      </c>
      <c r="D65" s="316" t="s">
        <v>1537</v>
      </c>
    </row>
    <row r="66" spans="1:4" x14ac:dyDescent="0.25">
      <c r="A66" s="314">
        <v>45679</v>
      </c>
      <c r="B66" s="16" t="s">
        <v>1536</v>
      </c>
      <c r="C66" s="315">
        <v>2216.4</v>
      </c>
      <c r="D66" s="316" t="s">
        <v>1537</v>
      </c>
    </row>
    <row r="67" spans="1:4" x14ac:dyDescent="0.25">
      <c r="A67" s="314">
        <v>45679</v>
      </c>
      <c r="B67" s="16" t="s">
        <v>1542</v>
      </c>
      <c r="C67" s="315">
        <v>4927.3</v>
      </c>
      <c r="D67" s="316" t="s">
        <v>1537</v>
      </c>
    </row>
    <row r="68" spans="1:4" x14ac:dyDescent="0.25">
      <c r="A68" s="314">
        <v>45679</v>
      </c>
      <c r="B68" s="16" t="s">
        <v>1543</v>
      </c>
      <c r="C68" s="315">
        <v>4996.23</v>
      </c>
      <c r="D68" s="316" t="s">
        <v>1537</v>
      </c>
    </row>
    <row r="69" spans="1:4" x14ac:dyDescent="0.25">
      <c r="A69" s="314">
        <v>45680</v>
      </c>
      <c r="B69" s="16" t="s">
        <v>1546</v>
      </c>
      <c r="C69" s="315">
        <v>-13682.33</v>
      </c>
      <c r="D69" s="316" t="s">
        <v>1539</v>
      </c>
    </row>
    <row r="70" spans="1:4" x14ac:dyDescent="0.25">
      <c r="A70" s="314">
        <v>45680</v>
      </c>
      <c r="B70" s="16" t="s">
        <v>1543</v>
      </c>
      <c r="C70" s="315">
        <v>1660.36</v>
      </c>
      <c r="D70" s="316" t="s">
        <v>1537</v>
      </c>
    </row>
    <row r="71" spans="1:4" x14ac:dyDescent="0.25">
      <c r="A71" s="314">
        <v>45681</v>
      </c>
      <c r="B71" s="16" t="s">
        <v>1536</v>
      </c>
      <c r="C71" s="315">
        <v>1956.66</v>
      </c>
      <c r="D71" s="316" t="s">
        <v>1537</v>
      </c>
    </row>
    <row r="72" spans="1:4" x14ac:dyDescent="0.25">
      <c r="A72" s="314">
        <v>45682</v>
      </c>
      <c r="B72" s="16" t="s">
        <v>1544</v>
      </c>
      <c r="C72" s="315">
        <v>1723.69</v>
      </c>
      <c r="D72" s="316" t="s">
        <v>1537</v>
      </c>
    </row>
    <row r="73" spans="1:4" x14ac:dyDescent="0.25">
      <c r="A73" s="314">
        <v>45682</v>
      </c>
      <c r="B73" s="16" t="s">
        <v>1548</v>
      </c>
      <c r="C73" s="315">
        <v>-20250.02</v>
      </c>
      <c r="D73" s="316" t="s">
        <v>1539</v>
      </c>
    </row>
    <row r="74" spans="1:4" x14ac:dyDescent="0.25">
      <c r="A74" s="314">
        <v>45682</v>
      </c>
      <c r="B74" s="16" t="s">
        <v>1545</v>
      </c>
      <c r="C74" s="315">
        <v>7636.01</v>
      </c>
      <c r="D74" s="316" t="s">
        <v>1537</v>
      </c>
    </row>
    <row r="75" spans="1:4" x14ac:dyDescent="0.25">
      <c r="A75" s="314">
        <v>45684</v>
      </c>
      <c r="B75" s="16" t="s">
        <v>1548</v>
      </c>
      <c r="C75" s="315">
        <v>-5293.81</v>
      </c>
      <c r="D75" s="316" t="s">
        <v>1539</v>
      </c>
    </row>
    <row r="76" spans="1:4" x14ac:dyDescent="0.25">
      <c r="A76" s="314">
        <v>45685</v>
      </c>
      <c r="B76" s="16" t="s">
        <v>1536</v>
      </c>
      <c r="C76" s="315">
        <v>6067.68</v>
      </c>
      <c r="D76" s="316" t="s">
        <v>1537</v>
      </c>
    </row>
    <row r="77" spans="1:4" x14ac:dyDescent="0.25">
      <c r="A77" s="314">
        <v>45685</v>
      </c>
      <c r="B77" s="16" t="s">
        <v>1544</v>
      </c>
      <c r="C77" s="315">
        <v>6500.87</v>
      </c>
      <c r="D77" s="316" t="s">
        <v>1537</v>
      </c>
    </row>
    <row r="78" spans="1:4" x14ac:dyDescent="0.25">
      <c r="A78" s="314">
        <v>45689</v>
      </c>
      <c r="B78" s="16" t="s">
        <v>1542</v>
      </c>
      <c r="C78" s="315">
        <v>3400.19</v>
      </c>
      <c r="D78" s="316" t="s">
        <v>1537</v>
      </c>
    </row>
    <row r="79" spans="1:4" x14ac:dyDescent="0.25">
      <c r="A79" s="314">
        <v>45689</v>
      </c>
      <c r="B79" s="16" t="s">
        <v>1541</v>
      </c>
      <c r="C79" s="315">
        <v>-9290.2</v>
      </c>
      <c r="D79" s="316" t="s">
        <v>1539</v>
      </c>
    </row>
    <row r="80" spans="1:4" x14ac:dyDescent="0.25">
      <c r="A80" s="314">
        <v>45689</v>
      </c>
      <c r="B80" s="16" t="s">
        <v>1543</v>
      </c>
      <c r="C80" s="315">
        <v>7431.6</v>
      </c>
      <c r="D80" s="316" t="s">
        <v>1537</v>
      </c>
    </row>
    <row r="81" spans="1:4" x14ac:dyDescent="0.25">
      <c r="A81" s="314">
        <v>45689</v>
      </c>
      <c r="B81" s="16" t="s">
        <v>1545</v>
      </c>
      <c r="C81" s="315">
        <v>2468.53</v>
      </c>
      <c r="D81" s="316" t="s">
        <v>1537</v>
      </c>
    </row>
    <row r="82" spans="1:4" x14ac:dyDescent="0.25">
      <c r="A82" s="314">
        <v>45690</v>
      </c>
      <c r="B82" s="16" t="s">
        <v>1542</v>
      </c>
      <c r="C82" s="315">
        <v>4186.07</v>
      </c>
      <c r="D82" s="316" t="s">
        <v>1537</v>
      </c>
    </row>
    <row r="83" spans="1:4" x14ac:dyDescent="0.25">
      <c r="A83" s="314">
        <v>45690</v>
      </c>
      <c r="B83" s="16" t="s">
        <v>1540</v>
      </c>
      <c r="C83" s="315">
        <v>-7855.48</v>
      </c>
      <c r="D83" s="316" t="s">
        <v>1539</v>
      </c>
    </row>
    <row r="84" spans="1:4" x14ac:dyDescent="0.25">
      <c r="A84" s="314">
        <v>45691</v>
      </c>
      <c r="B84" s="16" t="s">
        <v>1540</v>
      </c>
      <c r="C84" s="315">
        <v>-17232.6</v>
      </c>
      <c r="D84" s="316" t="s">
        <v>1539</v>
      </c>
    </row>
    <row r="85" spans="1:4" x14ac:dyDescent="0.25">
      <c r="A85" s="314">
        <v>45691</v>
      </c>
      <c r="B85" s="16" t="s">
        <v>1541</v>
      </c>
      <c r="C85" s="315">
        <v>-9151.92</v>
      </c>
      <c r="D85" s="316" t="s">
        <v>1539</v>
      </c>
    </row>
    <row r="86" spans="1:4" x14ac:dyDescent="0.25">
      <c r="A86" s="314">
        <v>45691</v>
      </c>
      <c r="B86" s="16" t="s">
        <v>1547</v>
      </c>
      <c r="C86" s="315">
        <v>-24649.46</v>
      </c>
      <c r="D86" s="316" t="s">
        <v>1539</v>
      </c>
    </row>
    <row r="87" spans="1:4" x14ac:dyDescent="0.25">
      <c r="A87" s="314">
        <v>45691</v>
      </c>
      <c r="B87" s="16" t="s">
        <v>1548</v>
      </c>
      <c r="C87" s="315">
        <v>-7155.01</v>
      </c>
      <c r="D87" s="316" t="s">
        <v>1539</v>
      </c>
    </row>
    <row r="88" spans="1:4" x14ac:dyDescent="0.25">
      <c r="A88" s="314">
        <v>45692</v>
      </c>
      <c r="B88" s="16" t="s">
        <v>1541</v>
      </c>
      <c r="C88" s="315">
        <v>-22295.92</v>
      </c>
      <c r="D88" s="316" t="s">
        <v>1539</v>
      </c>
    </row>
    <row r="89" spans="1:4" x14ac:dyDescent="0.25">
      <c r="A89" s="314">
        <v>45692</v>
      </c>
      <c r="B89" s="16" t="s">
        <v>1541</v>
      </c>
      <c r="C89" s="315">
        <v>-11889.78</v>
      </c>
      <c r="D89" s="316" t="s">
        <v>1539</v>
      </c>
    </row>
    <row r="90" spans="1:4" x14ac:dyDescent="0.25">
      <c r="A90" s="314">
        <v>45692</v>
      </c>
      <c r="B90" s="16" t="s">
        <v>1547</v>
      </c>
      <c r="C90" s="315">
        <v>-7740.76</v>
      </c>
      <c r="D90" s="316" t="s">
        <v>1539</v>
      </c>
    </row>
    <row r="91" spans="1:4" x14ac:dyDescent="0.25">
      <c r="A91" s="314">
        <v>45693</v>
      </c>
      <c r="B91" s="16" t="s">
        <v>1541</v>
      </c>
      <c r="C91" s="315">
        <v>-21465.31</v>
      </c>
      <c r="D91" s="316" t="s">
        <v>1539</v>
      </c>
    </row>
    <row r="92" spans="1:4" x14ac:dyDescent="0.25">
      <c r="A92" s="314">
        <v>45693</v>
      </c>
      <c r="B92" s="16" t="s">
        <v>1541</v>
      </c>
      <c r="C92" s="315">
        <v>-6660.31</v>
      </c>
      <c r="D92" s="316" t="s">
        <v>1539</v>
      </c>
    </row>
    <row r="93" spans="1:4" x14ac:dyDescent="0.25">
      <c r="A93" s="314">
        <v>45693</v>
      </c>
      <c r="B93" s="16" t="s">
        <v>1544</v>
      </c>
      <c r="C93" s="315">
        <v>1261.35</v>
      </c>
      <c r="D93" s="316" t="s">
        <v>1537</v>
      </c>
    </row>
    <row r="94" spans="1:4" x14ac:dyDescent="0.25">
      <c r="A94" s="314">
        <v>45693</v>
      </c>
      <c r="B94" s="16" t="s">
        <v>1544</v>
      </c>
      <c r="C94" s="315">
        <v>4327.9</v>
      </c>
      <c r="D94" s="316" t="s">
        <v>1537</v>
      </c>
    </row>
    <row r="95" spans="1:4" x14ac:dyDescent="0.25">
      <c r="A95" s="314">
        <v>45693</v>
      </c>
      <c r="B95" s="16" t="s">
        <v>1544</v>
      </c>
      <c r="C95" s="315">
        <v>5061.81</v>
      </c>
      <c r="D95" s="316" t="s">
        <v>1537</v>
      </c>
    </row>
    <row r="96" spans="1:4" x14ac:dyDescent="0.25">
      <c r="A96" s="314">
        <v>45693</v>
      </c>
      <c r="B96" s="16" t="s">
        <v>1548</v>
      </c>
      <c r="C96" s="315">
        <v>-16621.26</v>
      </c>
      <c r="D96" s="316" t="s">
        <v>1539</v>
      </c>
    </row>
    <row r="97" spans="1:4" x14ac:dyDescent="0.25">
      <c r="A97" s="314">
        <v>45694</v>
      </c>
      <c r="B97" s="16" t="s">
        <v>1548</v>
      </c>
      <c r="C97" s="315">
        <v>-21062.45</v>
      </c>
      <c r="D97" s="316" t="s">
        <v>1539</v>
      </c>
    </row>
    <row r="98" spans="1:4" x14ac:dyDescent="0.25">
      <c r="A98" s="314">
        <v>45694</v>
      </c>
      <c r="B98" s="16" t="s">
        <v>1548</v>
      </c>
      <c r="C98" s="315">
        <v>-11640.76</v>
      </c>
      <c r="D98" s="316" t="s">
        <v>1539</v>
      </c>
    </row>
    <row r="99" spans="1:4" x14ac:dyDescent="0.25">
      <c r="A99" s="314">
        <v>45694</v>
      </c>
      <c r="B99" s="16" t="s">
        <v>1545</v>
      </c>
      <c r="C99" s="315">
        <v>3676.66</v>
      </c>
      <c r="D99" s="316" t="s">
        <v>1537</v>
      </c>
    </row>
    <row r="100" spans="1:4" x14ac:dyDescent="0.25">
      <c r="A100" s="314">
        <v>45694</v>
      </c>
      <c r="B100" s="16" t="s">
        <v>1545</v>
      </c>
      <c r="C100" s="315">
        <v>5986.76</v>
      </c>
      <c r="D100" s="316" t="s">
        <v>1537</v>
      </c>
    </row>
    <row r="101" spans="1:4" x14ac:dyDescent="0.25">
      <c r="A101" s="314">
        <v>45695</v>
      </c>
      <c r="B101" s="16" t="s">
        <v>1542</v>
      </c>
      <c r="C101" s="315">
        <v>6300.64</v>
      </c>
      <c r="D101" s="316" t="s">
        <v>1537</v>
      </c>
    </row>
    <row r="102" spans="1:4" x14ac:dyDescent="0.25">
      <c r="A102" s="314">
        <v>45695</v>
      </c>
      <c r="B102" s="16" t="s">
        <v>1541</v>
      </c>
      <c r="C102" s="315">
        <v>-4722.66</v>
      </c>
      <c r="D102" s="316" t="s">
        <v>1539</v>
      </c>
    </row>
    <row r="103" spans="1:4" x14ac:dyDescent="0.25">
      <c r="A103" s="314">
        <v>45695</v>
      </c>
      <c r="B103" s="16" t="s">
        <v>1546</v>
      </c>
      <c r="C103" s="315">
        <v>-8985.35</v>
      </c>
      <c r="D103" s="316" t="s">
        <v>1539</v>
      </c>
    </row>
    <row r="104" spans="1:4" x14ac:dyDescent="0.25">
      <c r="A104" s="314">
        <v>45696</v>
      </c>
      <c r="B104" s="16" t="s">
        <v>1548</v>
      </c>
      <c r="C104" s="315">
        <v>-13795.43</v>
      </c>
      <c r="D104" s="316" t="s">
        <v>1539</v>
      </c>
    </row>
    <row r="105" spans="1:4" x14ac:dyDescent="0.25">
      <c r="A105" s="314">
        <v>45696</v>
      </c>
      <c r="B105" s="16" t="s">
        <v>1545</v>
      </c>
      <c r="C105" s="315">
        <v>5758.76</v>
      </c>
      <c r="D105" s="316" t="s">
        <v>1537</v>
      </c>
    </row>
    <row r="106" spans="1:4" x14ac:dyDescent="0.25">
      <c r="A106" s="314">
        <v>45697</v>
      </c>
      <c r="B106" s="16" t="s">
        <v>1538</v>
      </c>
      <c r="C106" s="315">
        <v>-22479.74</v>
      </c>
      <c r="D106" s="316" t="s">
        <v>1539</v>
      </c>
    </row>
    <row r="107" spans="1:4" x14ac:dyDescent="0.25">
      <c r="A107" s="314">
        <v>45699</v>
      </c>
      <c r="B107" s="16" t="s">
        <v>1542</v>
      </c>
      <c r="C107" s="315">
        <v>7337.34</v>
      </c>
      <c r="D107" s="316" t="s">
        <v>1537</v>
      </c>
    </row>
    <row r="108" spans="1:4" x14ac:dyDescent="0.25">
      <c r="A108" s="314">
        <v>45699</v>
      </c>
      <c r="B108" s="16" t="s">
        <v>1544</v>
      </c>
      <c r="C108" s="315">
        <v>3960.21</v>
      </c>
      <c r="D108" s="316" t="s">
        <v>1537</v>
      </c>
    </row>
    <row r="109" spans="1:4" x14ac:dyDescent="0.25">
      <c r="A109" s="314">
        <v>45700</v>
      </c>
      <c r="B109" s="16" t="s">
        <v>1540</v>
      </c>
      <c r="C109" s="315">
        <v>-7448.03</v>
      </c>
      <c r="D109" s="316" t="s">
        <v>1539</v>
      </c>
    </row>
    <row r="110" spans="1:4" x14ac:dyDescent="0.25">
      <c r="A110" s="314">
        <v>45702</v>
      </c>
      <c r="B110" s="16" t="s">
        <v>1544</v>
      </c>
      <c r="C110" s="315">
        <v>7404.4</v>
      </c>
      <c r="D110" s="316" t="s">
        <v>1537</v>
      </c>
    </row>
    <row r="111" spans="1:4" x14ac:dyDescent="0.25">
      <c r="A111" s="314">
        <v>45702</v>
      </c>
      <c r="B111" s="16" t="s">
        <v>1545</v>
      </c>
      <c r="C111" s="315">
        <v>2459.15</v>
      </c>
      <c r="D111" s="316" t="s">
        <v>1537</v>
      </c>
    </row>
    <row r="112" spans="1:4" x14ac:dyDescent="0.25">
      <c r="A112" s="314">
        <v>45703</v>
      </c>
      <c r="B112" s="16" t="s">
        <v>1536</v>
      </c>
      <c r="C112" s="315">
        <v>5225.36</v>
      </c>
      <c r="D112" s="316" t="s">
        <v>1537</v>
      </c>
    </row>
    <row r="113" spans="1:4" x14ac:dyDescent="0.25">
      <c r="A113" s="314">
        <v>45703</v>
      </c>
      <c r="B113" s="16" t="s">
        <v>1549</v>
      </c>
      <c r="C113" s="315">
        <v>9153.76</v>
      </c>
      <c r="D113" s="316" t="s">
        <v>1550</v>
      </c>
    </row>
    <row r="114" spans="1:4" x14ac:dyDescent="0.25">
      <c r="A114" s="314">
        <v>45703</v>
      </c>
      <c r="B114" s="16" t="s">
        <v>1544</v>
      </c>
      <c r="C114" s="315">
        <v>3359.31</v>
      </c>
      <c r="D114" s="316" t="s">
        <v>1537</v>
      </c>
    </row>
    <row r="115" spans="1:4" x14ac:dyDescent="0.25">
      <c r="A115" s="314">
        <v>45704</v>
      </c>
      <c r="B115" s="16" t="s">
        <v>1542</v>
      </c>
      <c r="C115" s="315">
        <v>2498.34</v>
      </c>
      <c r="D115" s="316" t="s">
        <v>1537</v>
      </c>
    </row>
    <row r="116" spans="1:4" x14ac:dyDescent="0.25">
      <c r="A116" s="314">
        <v>45704</v>
      </c>
      <c r="B116" s="16" t="s">
        <v>1543</v>
      </c>
      <c r="C116" s="315">
        <v>1791.36</v>
      </c>
      <c r="D116" s="316" t="s">
        <v>1537</v>
      </c>
    </row>
    <row r="117" spans="1:4" x14ac:dyDescent="0.25">
      <c r="A117" s="314">
        <v>45704</v>
      </c>
      <c r="B117" s="16" t="s">
        <v>1544</v>
      </c>
      <c r="C117" s="315">
        <v>5694.21</v>
      </c>
      <c r="D117" s="316" t="s">
        <v>1537</v>
      </c>
    </row>
    <row r="118" spans="1:4" x14ac:dyDescent="0.25">
      <c r="A118" s="314">
        <v>45705</v>
      </c>
      <c r="B118" s="16" t="s">
        <v>1538</v>
      </c>
      <c r="C118" s="315">
        <v>-13535.79</v>
      </c>
      <c r="D118" s="316" t="s">
        <v>1539</v>
      </c>
    </row>
    <row r="119" spans="1:4" x14ac:dyDescent="0.25">
      <c r="A119" s="314">
        <v>45705</v>
      </c>
      <c r="B119" s="16" t="s">
        <v>1541</v>
      </c>
      <c r="C119" s="315">
        <v>-9469.23</v>
      </c>
      <c r="D119" s="316" t="s">
        <v>1539</v>
      </c>
    </row>
    <row r="120" spans="1:4" x14ac:dyDescent="0.25">
      <c r="A120" s="314">
        <v>45705</v>
      </c>
      <c r="B120" s="16" t="s">
        <v>1543</v>
      </c>
      <c r="C120" s="315">
        <v>6929.31</v>
      </c>
      <c r="D120" s="316" t="s">
        <v>1537</v>
      </c>
    </row>
    <row r="121" spans="1:4" x14ac:dyDescent="0.25">
      <c r="A121" s="314">
        <v>45705</v>
      </c>
      <c r="B121" s="16" t="s">
        <v>1544</v>
      </c>
      <c r="C121" s="315">
        <v>5221.61</v>
      </c>
      <c r="D121" s="316" t="s">
        <v>1537</v>
      </c>
    </row>
    <row r="122" spans="1:4" x14ac:dyDescent="0.25">
      <c r="A122" s="314">
        <v>45705</v>
      </c>
      <c r="B122" s="16" t="s">
        <v>1545</v>
      </c>
      <c r="C122" s="315">
        <v>4199.57</v>
      </c>
      <c r="D122" s="316" t="s">
        <v>1537</v>
      </c>
    </row>
    <row r="123" spans="1:4" x14ac:dyDescent="0.25">
      <c r="A123" s="314">
        <v>45705</v>
      </c>
      <c r="B123" s="16" t="s">
        <v>1545</v>
      </c>
      <c r="C123" s="315">
        <v>5766.9</v>
      </c>
      <c r="D123" s="316" t="s">
        <v>1537</v>
      </c>
    </row>
    <row r="124" spans="1:4" x14ac:dyDescent="0.25">
      <c r="A124" s="314">
        <v>45706</v>
      </c>
      <c r="B124" s="16" t="s">
        <v>1536</v>
      </c>
      <c r="C124" s="315">
        <v>1752.56</v>
      </c>
      <c r="D124" s="316" t="s">
        <v>1537</v>
      </c>
    </row>
    <row r="125" spans="1:4" x14ac:dyDescent="0.25">
      <c r="A125" s="314">
        <v>45706</v>
      </c>
      <c r="B125" s="16" t="s">
        <v>1541</v>
      </c>
      <c r="C125" s="315">
        <v>-13432.17</v>
      </c>
      <c r="D125" s="316" t="s">
        <v>1539</v>
      </c>
    </row>
    <row r="126" spans="1:4" x14ac:dyDescent="0.25">
      <c r="A126" s="314">
        <v>45706</v>
      </c>
      <c r="B126" s="16" t="s">
        <v>1541</v>
      </c>
      <c r="C126" s="315">
        <v>-11850.77</v>
      </c>
      <c r="D126" s="316" t="s">
        <v>1539</v>
      </c>
    </row>
    <row r="127" spans="1:4" x14ac:dyDescent="0.25">
      <c r="A127" s="314">
        <v>45706</v>
      </c>
      <c r="B127" s="16" t="s">
        <v>1543</v>
      </c>
      <c r="C127" s="315">
        <v>6803.19</v>
      </c>
      <c r="D127" s="316" t="s">
        <v>1537</v>
      </c>
    </row>
    <row r="128" spans="1:4" x14ac:dyDescent="0.25">
      <c r="A128" s="314">
        <v>45706</v>
      </c>
      <c r="B128" s="16" t="s">
        <v>1543</v>
      </c>
      <c r="C128" s="315">
        <v>7160.24</v>
      </c>
      <c r="D128" s="316" t="s">
        <v>1537</v>
      </c>
    </row>
    <row r="129" spans="1:4" x14ac:dyDescent="0.25">
      <c r="A129" s="314">
        <v>45706</v>
      </c>
      <c r="B129" s="16" t="s">
        <v>1547</v>
      </c>
      <c r="C129" s="315">
        <v>-19359.84</v>
      </c>
      <c r="D129" s="316" t="s">
        <v>1539</v>
      </c>
    </row>
    <row r="130" spans="1:4" x14ac:dyDescent="0.25">
      <c r="A130" s="314">
        <v>45706</v>
      </c>
      <c r="B130" s="16" t="s">
        <v>1545</v>
      </c>
      <c r="C130" s="315">
        <v>5816.1</v>
      </c>
      <c r="D130" s="316" t="s">
        <v>1537</v>
      </c>
    </row>
    <row r="131" spans="1:4" x14ac:dyDescent="0.25">
      <c r="A131" s="314">
        <v>45707</v>
      </c>
      <c r="B131" s="16" t="s">
        <v>1536</v>
      </c>
      <c r="C131" s="315">
        <v>2744.91</v>
      </c>
      <c r="D131" s="316" t="s">
        <v>1537</v>
      </c>
    </row>
    <row r="132" spans="1:4" x14ac:dyDescent="0.25">
      <c r="A132" s="314">
        <v>45708</v>
      </c>
      <c r="B132" s="16" t="s">
        <v>1546</v>
      </c>
      <c r="C132" s="315">
        <v>-13538.16</v>
      </c>
      <c r="D132" s="316" t="s">
        <v>1539</v>
      </c>
    </row>
    <row r="133" spans="1:4" x14ac:dyDescent="0.25">
      <c r="A133" s="314">
        <v>45708</v>
      </c>
      <c r="B133" s="16" t="s">
        <v>1543</v>
      </c>
      <c r="C133" s="315">
        <v>6463.58</v>
      </c>
      <c r="D133" s="316" t="s">
        <v>1537</v>
      </c>
    </row>
    <row r="134" spans="1:4" x14ac:dyDescent="0.25">
      <c r="A134" s="314">
        <v>45708</v>
      </c>
      <c r="B134" s="16" t="s">
        <v>1544</v>
      </c>
      <c r="C134" s="315">
        <v>6267.9</v>
      </c>
      <c r="D134" s="316" t="s">
        <v>1537</v>
      </c>
    </row>
    <row r="135" spans="1:4" x14ac:dyDescent="0.25">
      <c r="A135" s="314">
        <v>45711</v>
      </c>
      <c r="B135" s="16" t="s">
        <v>1546</v>
      </c>
      <c r="C135" s="315">
        <v>-12130.13</v>
      </c>
      <c r="D135" s="316" t="s">
        <v>1539</v>
      </c>
    </row>
    <row r="136" spans="1:4" x14ac:dyDescent="0.25">
      <c r="A136" s="314">
        <v>45712</v>
      </c>
      <c r="B136" s="16" t="s">
        <v>1546</v>
      </c>
      <c r="C136" s="315">
        <v>-1957.85</v>
      </c>
      <c r="D136" s="316" t="s">
        <v>1539</v>
      </c>
    </row>
    <row r="137" spans="1:4" x14ac:dyDescent="0.25">
      <c r="A137" s="314">
        <v>45712</v>
      </c>
      <c r="B137" s="16" t="s">
        <v>1543</v>
      </c>
      <c r="C137" s="315">
        <v>2494.6</v>
      </c>
      <c r="D137" s="316" t="s">
        <v>1537</v>
      </c>
    </row>
    <row r="138" spans="1:4" x14ac:dyDescent="0.25">
      <c r="A138" s="314">
        <v>45712</v>
      </c>
      <c r="B138" s="16" t="s">
        <v>1543</v>
      </c>
      <c r="C138" s="315">
        <v>5080.34</v>
      </c>
      <c r="D138" s="316" t="s">
        <v>1537</v>
      </c>
    </row>
    <row r="139" spans="1:4" x14ac:dyDescent="0.25">
      <c r="A139" s="314">
        <v>45712</v>
      </c>
      <c r="B139" s="16" t="s">
        <v>1545</v>
      </c>
      <c r="C139" s="315">
        <v>6174.66</v>
      </c>
      <c r="D139" s="316" t="s">
        <v>1537</v>
      </c>
    </row>
    <row r="140" spans="1:4" x14ac:dyDescent="0.25">
      <c r="A140" s="314">
        <v>45713</v>
      </c>
      <c r="B140" s="16" t="s">
        <v>1547</v>
      </c>
      <c r="C140" s="315">
        <v>-13431.28</v>
      </c>
      <c r="D140" s="316" t="s">
        <v>1539</v>
      </c>
    </row>
    <row r="141" spans="1:4" x14ac:dyDescent="0.25">
      <c r="A141" s="314">
        <v>45713</v>
      </c>
      <c r="B141" s="16" t="s">
        <v>1544</v>
      </c>
      <c r="C141" s="315">
        <v>3432.92</v>
      </c>
      <c r="D141" s="316" t="s">
        <v>1537</v>
      </c>
    </row>
    <row r="142" spans="1:4" x14ac:dyDescent="0.25">
      <c r="A142" s="314">
        <v>45713</v>
      </c>
      <c r="B142" s="16" t="s">
        <v>1545</v>
      </c>
      <c r="C142" s="315">
        <v>1998.48</v>
      </c>
      <c r="D142" s="316" t="s">
        <v>1537</v>
      </c>
    </row>
    <row r="143" spans="1:4" x14ac:dyDescent="0.25">
      <c r="A143" s="314">
        <v>45713</v>
      </c>
      <c r="B143" s="16" t="s">
        <v>1545</v>
      </c>
      <c r="C143" s="315">
        <v>5267.16</v>
      </c>
      <c r="D143" s="316" t="s">
        <v>1537</v>
      </c>
    </row>
    <row r="144" spans="1:4" x14ac:dyDescent="0.25">
      <c r="A144" s="314">
        <v>45714</v>
      </c>
      <c r="B144" s="16" t="s">
        <v>1540</v>
      </c>
      <c r="C144" s="315">
        <v>-24334.86</v>
      </c>
      <c r="D144" s="316" t="s">
        <v>1539</v>
      </c>
    </row>
    <row r="145" spans="1:4" x14ac:dyDescent="0.25">
      <c r="A145" s="314">
        <v>45714</v>
      </c>
      <c r="B145" s="16" t="s">
        <v>1543</v>
      </c>
      <c r="C145" s="315">
        <v>6185.37</v>
      </c>
      <c r="D145" s="316" t="s">
        <v>1537</v>
      </c>
    </row>
    <row r="146" spans="1:4" x14ac:dyDescent="0.25">
      <c r="A146" s="314">
        <v>45714</v>
      </c>
      <c r="B146" s="16" t="s">
        <v>1547</v>
      </c>
      <c r="C146" s="315">
        <v>-22580.12</v>
      </c>
      <c r="D146" s="316" t="s">
        <v>1539</v>
      </c>
    </row>
    <row r="147" spans="1:4" x14ac:dyDescent="0.25">
      <c r="A147" s="314">
        <v>45714</v>
      </c>
      <c r="B147" s="16" t="s">
        <v>1545</v>
      </c>
      <c r="C147" s="315">
        <v>3752.55</v>
      </c>
      <c r="D147" s="316" t="s">
        <v>1537</v>
      </c>
    </row>
    <row r="148" spans="1:4" x14ac:dyDescent="0.25">
      <c r="A148" s="314">
        <v>45715</v>
      </c>
      <c r="B148" s="16" t="s">
        <v>1544</v>
      </c>
      <c r="C148" s="315">
        <v>4264.62</v>
      </c>
      <c r="D148" s="316" t="s">
        <v>1537</v>
      </c>
    </row>
    <row r="149" spans="1:4" x14ac:dyDescent="0.25">
      <c r="A149" s="314">
        <v>45715</v>
      </c>
      <c r="B149" s="16" t="s">
        <v>1545</v>
      </c>
      <c r="C149" s="315">
        <v>1887.61</v>
      </c>
      <c r="D149" s="316" t="s">
        <v>1537</v>
      </c>
    </row>
    <row r="150" spans="1:4" x14ac:dyDescent="0.25">
      <c r="A150" s="314">
        <v>45715</v>
      </c>
      <c r="B150" s="16" t="s">
        <v>1545</v>
      </c>
      <c r="C150" s="315">
        <v>5029.81</v>
      </c>
      <c r="D150" s="316" t="s">
        <v>1537</v>
      </c>
    </row>
    <row r="151" spans="1:4" x14ac:dyDescent="0.25">
      <c r="A151" s="314">
        <v>45716</v>
      </c>
      <c r="B151" s="16" t="s">
        <v>1536</v>
      </c>
      <c r="C151" s="315">
        <v>3398.48</v>
      </c>
      <c r="D151" s="316" t="s">
        <v>1537</v>
      </c>
    </row>
    <row r="152" spans="1:4" x14ac:dyDescent="0.25">
      <c r="A152" s="314">
        <v>45717</v>
      </c>
      <c r="B152" s="16" t="s">
        <v>1542</v>
      </c>
      <c r="C152" s="315">
        <v>1931.23</v>
      </c>
      <c r="D152" s="316" t="s">
        <v>1537</v>
      </c>
    </row>
    <row r="153" spans="1:4" x14ac:dyDescent="0.25">
      <c r="A153" s="314">
        <v>45717</v>
      </c>
      <c r="B153" s="16" t="s">
        <v>1542</v>
      </c>
      <c r="C153" s="315">
        <v>8990.87</v>
      </c>
      <c r="D153" s="316" t="s">
        <v>1537</v>
      </c>
    </row>
    <row r="154" spans="1:4" x14ac:dyDescent="0.25">
      <c r="A154" s="314">
        <v>45717</v>
      </c>
      <c r="B154" s="16" t="s">
        <v>1543</v>
      </c>
      <c r="C154" s="315">
        <v>1721.8</v>
      </c>
      <c r="D154" s="316" t="s">
        <v>1537</v>
      </c>
    </row>
    <row r="155" spans="1:4" x14ac:dyDescent="0.25">
      <c r="A155" s="314">
        <v>45717</v>
      </c>
      <c r="B155" s="16" t="s">
        <v>1547</v>
      </c>
      <c r="C155" s="315">
        <v>-4627.69</v>
      </c>
      <c r="D155" s="316" t="s">
        <v>1539</v>
      </c>
    </row>
    <row r="156" spans="1:4" x14ac:dyDescent="0.25">
      <c r="A156" s="314">
        <v>45717</v>
      </c>
      <c r="B156" s="16" t="s">
        <v>1548</v>
      </c>
      <c r="C156" s="315">
        <v>-13988.93</v>
      </c>
      <c r="D156" s="316" t="s">
        <v>1539</v>
      </c>
    </row>
    <row r="157" spans="1:4" x14ac:dyDescent="0.25">
      <c r="A157" s="314">
        <v>45718</v>
      </c>
      <c r="B157" s="16" t="s">
        <v>1536</v>
      </c>
      <c r="C157" s="315">
        <v>4905.47</v>
      </c>
      <c r="D157" s="316" t="s">
        <v>1537</v>
      </c>
    </row>
    <row r="158" spans="1:4" x14ac:dyDescent="0.25">
      <c r="A158" s="314">
        <v>45718</v>
      </c>
      <c r="B158" s="16" t="s">
        <v>1543</v>
      </c>
      <c r="C158" s="315">
        <v>6417.52</v>
      </c>
      <c r="D158" s="316" t="s">
        <v>1537</v>
      </c>
    </row>
    <row r="159" spans="1:4" x14ac:dyDescent="0.25">
      <c r="A159" s="314">
        <v>45718</v>
      </c>
      <c r="B159" s="16" t="s">
        <v>1545</v>
      </c>
      <c r="C159" s="315">
        <v>3723.6</v>
      </c>
      <c r="D159" s="316" t="s">
        <v>1537</v>
      </c>
    </row>
    <row r="160" spans="1:4" x14ac:dyDescent="0.25">
      <c r="A160" s="314">
        <v>45719</v>
      </c>
      <c r="B160" s="16" t="s">
        <v>1538</v>
      </c>
      <c r="C160" s="315">
        <v>-4964.49</v>
      </c>
      <c r="D160" s="316" t="s">
        <v>1539</v>
      </c>
    </row>
    <row r="161" spans="1:4" x14ac:dyDescent="0.25">
      <c r="A161" s="314">
        <v>45719</v>
      </c>
      <c r="B161" s="16" t="s">
        <v>1542</v>
      </c>
      <c r="C161" s="315">
        <v>3736.29</v>
      </c>
      <c r="D161" s="316" t="s">
        <v>1537</v>
      </c>
    </row>
    <row r="162" spans="1:4" x14ac:dyDescent="0.25">
      <c r="A162" s="314">
        <v>45719</v>
      </c>
      <c r="B162" s="16" t="s">
        <v>1544</v>
      </c>
      <c r="C162" s="315">
        <v>5671.55</v>
      </c>
      <c r="D162" s="316" t="s">
        <v>1537</v>
      </c>
    </row>
    <row r="163" spans="1:4" x14ac:dyDescent="0.25">
      <c r="A163" s="314">
        <v>45720</v>
      </c>
      <c r="B163" s="16" t="s">
        <v>1536</v>
      </c>
      <c r="C163" s="315">
        <v>5849.14</v>
      </c>
      <c r="D163" s="316" t="s">
        <v>1537</v>
      </c>
    </row>
    <row r="164" spans="1:4" x14ac:dyDescent="0.25">
      <c r="A164" s="314">
        <v>45721</v>
      </c>
      <c r="B164" s="16" t="s">
        <v>1536</v>
      </c>
      <c r="C164" s="315">
        <v>9485.2</v>
      </c>
      <c r="D164" s="316" t="s">
        <v>1537</v>
      </c>
    </row>
    <row r="165" spans="1:4" x14ac:dyDescent="0.25">
      <c r="A165" s="314">
        <v>45721</v>
      </c>
      <c r="B165" s="16" t="s">
        <v>1546</v>
      </c>
      <c r="C165" s="315">
        <v>-18517.66</v>
      </c>
      <c r="D165" s="316" t="s">
        <v>1539</v>
      </c>
    </row>
    <row r="166" spans="1:4" x14ac:dyDescent="0.25">
      <c r="A166" s="314">
        <v>45722</v>
      </c>
      <c r="B166" s="16" t="s">
        <v>1545</v>
      </c>
      <c r="C166" s="315">
        <v>8857.31</v>
      </c>
      <c r="D166" s="316" t="s">
        <v>1537</v>
      </c>
    </row>
    <row r="167" spans="1:4" x14ac:dyDescent="0.25">
      <c r="A167" s="314">
        <v>45723</v>
      </c>
      <c r="B167" s="16" t="s">
        <v>1545</v>
      </c>
      <c r="C167" s="315">
        <v>3044.03</v>
      </c>
      <c r="D167" s="316" t="s">
        <v>1537</v>
      </c>
    </row>
    <row r="168" spans="1:4" x14ac:dyDescent="0.25">
      <c r="A168" s="314">
        <v>45724</v>
      </c>
      <c r="B168" s="16" t="s">
        <v>1536</v>
      </c>
      <c r="C168" s="315">
        <v>4811.67</v>
      </c>
      <c r="D168" s="316" t="s">
        <v>1537</v>
      </c>
    </row>
    <row r="169" spans="1:4" x14ac:dyDescent="0.25">
      <c r="A169" s="314">
        <v>45724</v>
      </c>
      <c r="B169" s="16" t="s">
        <v>1542</v>
      </c>
      <c r="C169" s="315">
        <v>7937.46</v>
      </c>
      <c r="D169" s="316" t="s">
        <v>1537</v>
      </c>
    </row>
    <row r="170" spans="1:4" x14ac:dyDescent="0.25">
      <c r="A170" s="314">
        <v>45724</v>
      </c>
      <c r="B170" s="16" t="s">
        <v>1541</v>
      </c>
      <c r="C170" s="315">
        <v>-7699.13</v>
      </c>
      <c r="D170" s="316" t="s">
        <v>1539</v>
      </c>
    </row>
    <row r="171" spans="1:4" x14ac:dyDescent="0.25">
      <c r="A171" s="314">
        <v>45724</v>
      </c>
      <c r="B171" s="16" t="s">
        <v>1543</v>
      </c>
      <c r="C171" s="315">
        <v>9284.41</v>
      </c>
      <c r="D171" s="316" t="s">
        <v>1537</v>
      </c>
    </row>
    <row r="172" spans="1:4" x14ac:dyDescent="0.25">
      <c r="A172" s="314">
        <v>45724</v>
      </c>
      <c r="B172" s="16" t="s">
        <v>1544</v>
      </c>
      <c r="C172" s="315">
        <v>5127.23</v>
      </c>
      <c r="D172" s="316" t="s">
        <v>1537</v>
      </c>
    </row>
    <row r="173" spans="1:4" x14ac:dyDescent="0.25">
      <c r="A173" s="314">
        <v>45725</v>
      </c>
      <c r="B173" s="16" t="s">
        <v>1536</v>
      </c>
      <c r="C173" s="315">
        <v>6524.93</v>
      </c>
      <c r="D173" s="316" t="s">
        <v>1537</v>
      </c>
    </row>
    <row r="174" spans="1:4" x14ac:dyDescent="0.25">
      <c r="A174" s="314">
        <v>45725</v>
      </c>
      <c r="B174" s="16" t="s">
        <v>1548</v>
      </c>
      <c r="C174" s="315">
        <v>-18965.61</v>
      </c>
      <c r="D174" s="316" t="s">
        <v>1539</v>
      </c>
    </row>
    <row r="175" spans="1:4" x14ac:dyDescent="0.25">
      <c r="A175" s="314">
        <v>45726</v>
      </c>
      <c r="B175" s="16" t="s">
        <v>1538</v>
      </c>
      <c r="C175" s="315">
        <v>-14842.4</v>
      </c>
      <c r="D175" s="316" t="s">
        <v>1539</v>
      </c>
    </row>
    <row r="176" spans="1:4" x14ac:dyDescent="0.25">
      <c r="A176" s="314">
        <v>45726</v>
      </c>
      <c r="B176" s="16" t="s">
        <v>1542</v>
      </c>
      <c r="C176" s="315">
        <v>5603.41</v>
      </c>
      <c r="D176" s="316" t="s">
        <v>1537</v>
      </c>
    </row>
    <row r="177" spans="1:4" x14ac:dyDescent="0.25">
      <c r="A177" s="314">
        <v>45726</v>
      </c>
      <c r="B177" s="16" t="s">
        <v>1545</v>
      </c>
      <c r="C177" s="315">
        <v>3667.79</v>
      </c>
      <c r="D177" s="316" t="s">
        <v>1537</v>
      </c>
    </row>
    <row r="178" spans="1:4" x14ac:dyDescent="0.25">
      <c r="A178" s="314">
        <v>45727</v>
      </c>
      <c r="B178" s="16" t="s">
        <v>1548</v>
      </c>
      <c r="C178" s="315">
        <v>-24641.13</v>
      </c>
      <c r="D178" s="316" t="s">
        <v>1539</v>
      </c>
    </row>
    <row r="179" spans="1:4" x14ac:dyDescent="0.25">
      <c r="A179" s="314">
        <v>45728</v>
      </c>
      <c r="B179" s="16" t="s">
        <v>1542</v>
      </c>
      <c r="C179" s="315">
        <v>7222.39</v>
      </c>
      <c r="D179" s="316" t="s">
        <v>1537</v>
      </c>
    </row>
    <row r="180" spans="1:4" x14ac:dyDescent="0.25">
      <c r="A180" s="314">
        <v>45728</v>
      </c>
      <c r="B180" s="16" t="s">
        <v>1547</v>
      </c>
      <c r="C180" s="315">
        <v>-10350.53</v>
      </c>
      <c r="D180" s="316" t="s">
        <v>1539</v>
      </c>
    </row>
    <row r="181" spans="1:4" x14ac:dyDescent="0.25">
      <c r="A181" s="314">
        <v>45728</v>
      </c>
      <c r="B181" s="16" t="s">
        <v>1545</v>
      </c>
      <c r="C181" s="315">
        <v>3026.58</v>
      </c>
      <c r="D181" s="316" t="s">
        <v>1537</v>
      </c>
    </row>
    <row r="182" spans="1:4" x14ac:dyDescent="0.25">
      <c r="A182" s="314">
        <v>45729</v>
      </c>
      <c r="B182" s="16" t="s">
        <v>1542</v>
      </c>
      <c r="C182" s="315">
        <v>8697.37</v>
      </c>
      <c r="D182" s="316" t="s">
        <v>1537</v>
      </c>
    </row>
    <row r="183" spans="1:4" x14ac:dyDescent="0.25">
      <c r="A183" s="314">
        <v>45729</v>
      </c>
      <c r="B183" s="16" t="s">
        <v>1543</v>
      </c>
      <c r="C183" s="315">
        <v>1734.53</v>
      </c>
      <c r="D183" s="316" t="s">
        <v>1537</v>
      </c>
    </row>
    <row r="184" spans="1:4" x14ac:dyDescent="0.25">
      <c r="A184" s="314">
        <v>45729</v>
      </c>
      <c r="B184" s="16" t="s">
        <v>1543</v>
      </c>
      <c r="C184" s="315">
        <v>6580.26</v>
      </c>
      <c r="D184" s="316" t="s">
        <v>1537</v>
      </c>
    </row>
    <row r="185" spans="1:4" x14ac:dyDescent="0.25">
      <c r="A185" s="314">
        <v>45729</v>
      </c>
      <c r="B185" s="16" t="s">
        <v>1547</v>
      </c>
      <c r="C185" s="315">
        <v>-12756.74</v>
      </c>
      <c r="D185" s="316" t="s">
        <v>1539</v>
      </c>
    </row>
    <row r="186" spans="1:4" x14ac:dyDescent="0.25">
      <c r="A186" s="314">
        <v>45730</v>
      </c>
      <c r="B186" s="16" t="s">
        <v>1545</v>
      </c>
      <c r="C186" s="315">
        <v>3657.12</v>
      </c>
      <c r="D186" s="316" t="s">
        <v>1537</v>
      </c>
    </row>
    <row r="187" spans="1:4" x14ac:dyDescent="0.25">
      <c r="A187" s="314">
        <v>45731</v>
      </c>
      <c r="B187" s="16" t="s">
        <v>1538</v>
      </c>
      <c r="C187" s="315">
        <v>-2693.34</v>
      </c>
      <c r="D187" s="316" t="s">
        <v>1539</v>
      </c>
    </row>
    <row r="188" spans="1:4" x14ac:dyDescent="0.25">
      <c r="A188" s="314">
        <v>45731</v>
      </c>
      <c r="B188" s="16" t="s">
        <v>1549</v>
      </c>
      <c r="C188" s="315">
        <v>19364.56</v>
      </c>
      <c r="D188" s="316" t="s">
        <v>1550</v>
      </c>
    </row>
    <row r="189" spans="1:4" x14ac:dyDescent="0.25">
      <c r="A189" s="314">
        <v>45731</v>
      </c>
      <c r="B189" s="16" t="s">
        <v>1547</v>
      </c>
      <c r="C189" s="315">
        <v>-19084.24</v>
      </c>
      <c r="D189" s="316" t="s">
        <v>1539</v>
      </c>
    </row>
    <row r="190" spans="1:4" x14ac:dyDescent="0.25">
      <c r="A190" s="314">
        <v>45732</v>
      </c>
      <c r="B190" s="16" t="s">
        <v>1542</v>
      </c>
      <c r="C190" s="315">
        <v>5805.36</v>
      </c>
      <c r="D190" s="316" t="s">
        <v>1537</v>
      </c>
    </row>
    <row r="191" spans="1:4" x14ac:dyDescent="0.25">
      <c r="A191" s="314">
        <v>45732</v>
      </c>
      <c r="B191" s="16" t="s">
        <v>1546</v>
      </c>
      <c r="C191" s="315">
        <v>-20516.64</v>
      </c>
      <c r="D191" s="316" t="s">
        <v>1539</v>
      </c>
    </row>
    <row r="192" spans="1:4" x14ac:dyDescent="0.25">
      <c r="A192" s="314">
        <v>45733</v>
      </c>
      <c r="B192" s="16" t="s">
        <v>1538</v>
      </c>
      <c r="C192" s="315">
        <v>-14859.27</v>
      </c>
      <c r="D192" s="316" t="s">
        <v>1539</v>
      </c>
    </row>
    <row r="193" spans="1:4" x14ac:dyDescent="0.25">
      <c r="A193" s="314">
        <v>45733</v>
      </c>
      <c r="B193" s="16" t="s">
        <v>1538</v>
      </c>
      <c r="C193" s="315">
        <v>-3660.64</v>
      </c>
      <c r="D193" s="316" t="s">
        <v>1539</v>
      </c>
    </row>
    <row r="194" spans="1:4" x14ac:dyDescent="0.25">
      <c r="A194" s="314">
        <v>45733</v>
      </c>
      <c r="B194" s="16" t="s">
        <v>1542</v>
      </c>
      <c r="C194" s="315">
        <v>4185.15</v>
      </c>
      <c r="D194" s="316" t="s">
        <v>1537</v>
      </c>
    </row>
    <row r="195" spans="1:4" x14ac:dyDescent="0.25">
      <c r="A195" s="314">
        <v>45733</v>
      </c>
      <c r="B195" s="16" t="s">
        <v>1547</v>
      </c>
      <c r="C195" s="315">
        <v>-19024.61</v>
      </c>
      <c r="D195" s="316" t="s">
        <v>1539</v>
      </c>
    </row>
    <row r="196" spans="1:4" x14ac:dyDescent="0.25">
      <c r="A196" s="314">
        <v>45733</v>
      </c>
      <c r="B196" s="16" t="s">
        <v>1545</v>
      </c>
      <c r="C196" s="315">
        <v>3222.92</v>
      </c>
      <c r="D196" s="316" t="s">
        <v>1537</v>
      </c>
    </row>
    <row r="197" spans="1:4" x14ac:dyDescent="0.25">
      <c r="A197" s="314">
        <v>45734</v>
      </c>
      <c r="B197" s="16" t="s">
        <v>1536</v>
      </c>
      <c r="C197" s="315">
        <v>5515.73</v>
      </c>
      <c r="D197" s="316" t="s">
        <v>1537</v>
      </c>
    </row>
    <row r="198" spans="1:4" x14ac:dyDescent="0.25">
      <c r="A198" s="314">
        <v>45734</v>
      </c>
      <c r="B198" s="16" t="s">
        <v>1542</v>
      </c>
      <c r="C198" s="315">
        <v>9037.55</v>
      </c>
      <c r="D198" s="316" t="s">
        <v>1537</v>
      </c>
    </row>
    <row r="199" spans="1:4" x14ac:dyDescent="0.25">
      <c r="A199" s="314">
        <v>45735</v>
      </c>
      <c r="B199" s="16" t="s">
        <v>1543</v>
      </c>
      <c r="C199" s="315">
        <v>1881.55</v>
      </c>
      <c r="D199" s="316" t="s">
        <v>1537</v>
      </c>
    </row>
    <row r="200" spans="1:4" x14ac:dyDescent="0.25">
      <c r="A200" s="314">
        <v>45735</v>
      </c>
      <c r="B200" s="16" t="s">
        <v>1548</v>
      </c>
      <c r="C200" s="315">
        <v>-17548.04</v>
      </c>
      <c r="D200" s="316" t="s">
        <v>1539</v>
      </c>
    </row>
    <row r="201" spans="1:4" x14ac:dyDescent="0.25">
      <c r="A201" s="314">
        <v>45736</v>
      </c>
      <c r="B201" s="16" t="s">
        <v>1548</v>
      </c>
      <c r="C201" s="315">
        <v>-16604.93</v>
      </c>
      <c r="D201" s="316" t="s">
        <v>1539</v>
      </c>
    </row>
    <row r="202" spans="1:4" x14ac:dyDescent="0.25">
      <c r="A202" s="314">
        <v>45736</v>
      </c>
      <c r="B202" s="16" t="s">
        <v>1545</v>
      </c>
      <c r="C202" s="315">
        <v>1679.83</v>
      </c>
      <c r="D202" s="316" t="s">
        <v>1537</v>
      </c>
    </row>
    <row r="203" spans="1:4" x14ac:dyDescent="0.25">
      <c r="A203" s="314">
        <v>45737</v>
      </c>
      <c r="B203" s="16" t="s">
        <v>1542</v>
      </c>
      <c r="C203" s="315">
        <v>2291.43</v>
      </c>
      <c r="D203" s="316" t="s">
        <v>1537</v>
      </c>
    </row>
    <row r="204" spans="1:4" x14ac:dyDescent="0.25">
      <c r="A204" s="314">
        <v>45737</v>
      </c>
      <c r="B204" s="16" t="s">
        <v>1540</v>
      </c>
      <c r="C204" s="315">
        <v>-2529.02</v>
      </c>
      <c r="D204" s="316" t="s">
        <v>1539</v>
      </c>
    </row>
    <row r="205" spans="1:4" x14ac:dyDescent="0.25">
      <c r="A205" s="314">
        <v>45737</v>
      </c>
      <c r="B205" s="16" t="s">
        <v>1541</v>
      </c>
      <c r="C205" s="315">
        <v>-18745.52</v>
      </c>
      <c r="D205" s="316" t="s">
        <v>1539</v>
      </c>
    </row>
    <row r="206" spans="1:4" x14ac:dyDescent="0.25">
      <c r="A206" s="314">
        <v>45737</v>
      </c>
      <c r="B206" s="16" t="s">
        <v>1541</v>
      </c>
      <c r="C206" s="315">
        <v>-13107.8</v>
      </c>
      <c r="D206" s="316" t="s">
        <v>1539</v>
      </c>
    </row>
    <row r="207" spans="1:4" x14ac:dyDescent="0.25">
      <c r="A207" s="314">
        <v>45737</v>
      </c>
      <c r="B207" s="16" t="s">
        <v>1545</v>
      </c>
      <c r="C207" s="315">
        <v>9354.59</v>
      </c>
      <c r="D207" s="316" t="s">
        <v>1537</v>
      </c>
    </row>
    <row r="208" spans="1:4" x14ac:dyDescent="0.25">
      <c r="A208" s="314">
        <v>45738</v>
      </c>
      <c r="B208" s="16" t="s">
        <v>1536</v>
      </c>
      <c r="C208" s="315">
        <v>3354.23</v>
      </c>
      <c r="D208" s="316" t="s">
        <v>1537</v>
      </c>
    </row>
    <row r="209" spans="1:4" x14ac:dyDescent="0.25">
      <c r="A209" s="314">
        <v>45738</v>
      </c>
      <c r="B209" s="16" t="s">
        <v>1536</v>
      </c>
      <c r="C209" s="315">
        <v>5675.9</v>
      </c>
      <c r="D209" s="316" t="s">
        <v>1537</v>
      </c>
    </row>
    <row r="210" spans="1:4" x14ac:dyDescent="0.25">
      <c r="A210" s="314">
        <v>45738</v>
      </c>
      <c r="B210" s="16" t="s">
        <v>1542</v>
      </c>
      <c r="C210" s="315">
        <v>2554.36</v>
      </c>
      <c r="D210" s="316" t="s">
        <v>1537</v>
      </c>
    </row>
    <row r="211" spans="1:4" x14ac:dyDescent="0.25">
      <c r="A211" s="314">
        <v>45738</v>
      </c>
      <c r="B211" s="16" t="s">
        <v>1546</v>
      </c>
      <c r="C211" s="315">
        <v>-19523.8</v>
      </c>
      <c r="D211" s="316" t="s">
        <v>1539</v>
      </c>
    </row>
    <row r="212" spans="1:4" x14ac:dyDescent="0.25">
      <c r="A212" s="314">
        <v>45739</v>
      </c>
      <c r="B212" s="16" t="s">
        <v>1538</v>
      </c>
      <c r="C212" s="315">
        <v>-10653.64</v>
      </c>
      <c r="D212" s="316" t="s">
        <v>1539</v>
      </c>
    </row>
    <row r="213" spans="1:4" x14ac:dyDescent="0.25">
      <c r="A213" s="314">
        <v>45739</v>
      </c>
      <c r="B213" s="16" t="s">
        <v>1542</v>
      </c>
      <c r="C213" s="315">
        <v>9483.66</v>
      </c>
      <c r="D213" s="316" t="s">
        <v>1537</v>
      </c>
    </row>
    <row r="214" spans="1:4" x14ac:dyDescent="0.25">
      <c r="A214" s="314">
        <v>45739</v>
      </c>
      <c r="B214" s="16" t="s">
        <v>1548</v>
      </c>
      <c r="C214" s="315">
        <v>-6903.61</v>
      </c>
      <c r="D214" s="316" t="s">
        <v>1539</v>
      </c>
    </row>
    <row r="215" spans="1:4" x14ac:dyDescent="0.25">
      <c r="A215" s="314">
        <v>45739</v>
      </c>
      <c r="B215" s="16" t="s">
        <v>1545</v>
      </c>
      <c r="C215" s="315">
        <v>3804.11</v>
      </c>
      <c r="D215" s="316" t="s">
        <v>1537</v>
      </c>
    </row>
    <row r="216" spans="1:4" x14ac:dyDescent="0.25">
      <c r="A216" s="314">
        <v>45741</v>
      </c>
      <c r="B216" s="16" t="s">
        <v>1540</v>
      </c>
      <c r="C216" s="315">
        <v>-6922.3</v>
      </c>
      <c r="D216" s="316" t="s">
        <v>1539</v>
      </c>
    </row>
    <row r="217" spans="1:4" x14ac:dyDescent="0.25">
      <c r="A217" s="314">
        <v>45741</v>
      </c>
      <c r="B217" s="16" t="s">
        <v>1543</v>
      </c>
      <c r="C217" s="315">
        <v>6925.57</v>
      </c>
      <c r="D217" s="316" t="s">
        <v>1537</v>
      </c>
    </row>
    <row r="218" spans="1:4" x14ac:dyDescent="0.25">
      <c r="A218" s="314">
        <v>45742</v>
      </c>
      <c r="B218" s="16" t="s">
        <v>1538</v>
      </c>
      <c r="C218" s="315">
        <v>-4773.73</v>
      </c>
      <c r="D218" s="316" t="s">
        <v>1539</v>
      </c>
    </row>
    <row r="219" spans="1:4" x14ac:dyDescent="0.25">
      <c r="A219" s="314">
        <v>45743</v>
      </c>
      <c r="B219" s="16" t="s">
        <v>1543</v>
      </c>
      <c r="C219" s="315">
        <v>7969.95</v>
      </c>
      <c r="D219" s="316" t="s">
        <v>1537</v>
      </c>
    </row>
    <row r="220" spans="1:4" x14ac:dyDescent="0.25">
      <c r="A220" s="314">
        <v>45743</v>
      </c>
      <c r="B220" s="16" t="s">
        <v>1547</v>
      </c>
      <c r="C220" s="315">
        <v>-20920.61</v>
      </c>
      <c r="D220" s="316" t="s">
        <v>1539</v>
      </c>
    </row>
    <row r="221" spans="1:4" x14ac:dyDescent="0.25">
      <c r="A221" s="314">
        <v>45743</v>
      </c>
      <c r="B221" s="16" t="s">
        <v>1548</v>
      </c>
      <c r="C221" s="315">
        <v>-22460.65</v>
      </c>
      <c r="D221" s="316" t="s">
        <v>1539</v>
      </c>
    </row>
    <row r="222" spans="1:4" x14ac:dyDescent="0.25">
      <c r="A222" s="314">
        <v>45744</v>
      </c>
      <c r="B222" s="16" t="s">
        <v>1540</v>
      </c>
      <c r="C222" s="315">
        <v>-16952.28</v>
      </c>
      <c r="D222" s="316" t="s">
        <v>1539</v>
      </c>
    </row>
    <row r="223" spans="1:4" x14ac:dyDescent="0.25">
      <c r="A223" s="314">
        <v>45744</v>
      </c>
      <c r="B223" s="16" t="s">
        <v>1546</v>
      </c>
      <c r="C223" s="315">
        <v>-7017.46</v>
      </c>
      <c r="D223" s="316" t="s">
        <v>1539</v>
      </c>
    </row>
    <row r="224" spans="1:4" x14ac:dyDescent="0.25">
      <c r="A224" s="314">
        <v>45744</v>
      </c>
      <c r="B224" s="16" t="s">
        <v>1544</v>
      </c>
      <c r="C224" s="315">
        <v>3688.08</v>
      </c>
      <c r="D224" s="316" t="s">
        <v>1537</v>
      </c>
    </row>
    <row r="225" spans="1:4" x14ac:dyDescent="0.25">
      <c r="A225" s="314">
        <v>45748</v>
      </c>
      <c r="B225" s="16" t="s">
        <v>1536</v>
      </c>
      <c r="C225" s="315">
        <v>4177.85</v>
      </c>
      <c r="D225" s="316" t="s">
        <v>1537</v>
      </c>
    </row>
    <row r="226" spans="1:4" x14ac:dyDescent="0.25">
      <c r="A226" s="314">
        <v>45748</v>
      </c>
      <c r="B226" s="16" t="s">
        <v>1542</v>
      </c>
      <c r="C226" s="315">
        <v>8222.29</v>
      </c>
      <c r="D226" s="316" t="s">
        <v>1537</v>
      </c>
    </row>
    <row r="227" spans="1:4" x14ac:dyDescent="0.25">
      <c r="A227" s="314">
        <v>45748</v>
      </c>
      <c r="B227" s="16" t="s">
        <v>1548</v>
      </c>
      <c r="C227" s="315">
        <v>-21959.46</v>
      </c>
      <c r="D227" s="316" t="s">
        <v>1539</v>
      </c>
    </row>
    <row r="228" spans="1:4" x14ac:dyDescent="0.25">
      <c r="A228" s="314">
        <v>45749</v>
      </c>
      <c r="B228" s="16" t="s">
        <v>1536</v>
      </c>
      <c r="C228" s="315">
        <v>7523.86</v>
      </c>
      <c r="D228" s="316" t="s">
        <v>1537</v>
      </c>
    </row>
    <row r="229" spans="1:4" x14ac:dyDescent="0.25">
      <c r="A229" s="314">
        <v>45749</v>
      </c>
      <c r="B229" s="16" t="s">
        <v>1542</v>
      </c>
      <c r="C229" s="315">
        <v>10801.47</v>
      </c>
      <c r="D229" s="316" t="s">
        <v>1537</v>
      </c>
    </row>
    <row r="230" spans="1:4" x14ac:dyDescent="0.25">
      <c r="A230" s="314">
        <v>45750</v>
      </c>
      <c r="B230" s="16" t="s">
        <v>1536</v>
      </c>
      <c r="C230" s="315">
        <v>2586.04</v>
      </c>
      <c r="D230" s="316" t="s">
        <v>1537</v>
      </c>
    </row>
    <row r="231" spans="1:4" x14ac:dyDescent="0.25">
      <c r="A231" s="314">
        <v>45750</v>
      </c>
      <c r="B231" s="16" t="s">
        <v>1542</v>
      </c>
      <c r="C231" s="315">
        <v>4429.17</v>
      </c>
      <c r="D231" s="316" t="s">
        <v>1537</v>
      </c>
    </row>
    <row r="232" spans="1:4" x14ac:dyDescent="0.25">
      <c r="A232" s="314">
        <v>45751</v>
      </c>
      <c r="B232" s="16" t="s">
        <v>1542</v>
      </c>
      <c r="C232" s="315">
        <v>6238.74</v>
      </c>
      <c r="D232" s="316" t="s">
        <v>1537</v>
      </c>
    </row>
    <row r="233" spans="1:4" x14ac:dyDescent="0.25">
      <c r="A233" s="314">
        <v>45751</v>
      </c>
      <c r="B233" s="16" t="s">
        <v>1545</v>
      </c>
      <c r="C233" s="315">
        <v>8749.7</v>
      </c>
      <c r="D233" s="316" t="s">
        <v>1537</v>
      </c>
    </row>
    <row r="234" spans="1:4" x14ac:dyDescent="0.25">
      <c r="A234" s="314">
        <v>45753</v>
      </c>
      <c r="B234" s="16" t="s">
        <v>1536</v>
      </c>
      <c r="C234" s="315">
        <v>5374.47</v>
      </c>
      <c r="D234" s="316" t="s">
        <v>1537</v>
      </c>
    </row>
    <row r="235" spans="1:4" x14ac:dyDescent="0.25">
      <c r="A235" s="314">
        <v>45753</v>
      </c>
      <c r="B235" s="16" t="s">
        <v>1546</v>
      </c>
      <c r="C235" s="315">
        <v>-14563.04</v>
      </c>
      <c r="D235" s="316" t="s">
        <v>1539</v>
      </c>
    </row>
    <row r="236" spans="1:4" x14ac:dyDescent="0.25">
      <c r="A236" s="314">
        <v>45753</v>
      </c>
      <c r="B236" s="16" t="s">
        <v>1548</v>
      </c>
      <c r="C236" s="315">
        <v>-5298.94</v>
      </c>
      <c r="D236" s="316" t="s">
        <v>1539</v>
      </c>
    </row>
    <row r="237" spans="1:4" x14ac:dyDescent="0.25">
      <c r="A237" s="314">
        <v>45754</v>
      </c>
      <c r="B237" s="16" t="s">
        <v>1538</v>
      </c>
      <c r="C237" s="315">
        <v>-22790.06</v>
      </c>
      <c r="D237" s="316" t="s">
        <v>1539</v>
      </c>
    </row>
    <row r="238" spans="1:4" x14ac:dyDescent="0.25">
      <c r="A238" s="314">
        <v>45754</v>
      </c>
      <c r="B238" s="16" t="s">
        <v>1541</v>
      </c>
      <c r="C238" s="315">
        <v>-7850.64</v>
      </c>
      <c r="D238" s="316" t="s">
        <v>1539</v>
      </c>
    </row>
    <row r="239" spans="1:4" x14ac:dyDescent="0.25">
      <c r="A239" s="314">
        <v>45754</v>
      </c>
      <c r="B239" s="16" t="s">
        <v>1543</v>
      </c>
      <c r="C239" s="315">
        <v>7267.81</v>
      </c>
      <c r="D239" s="316" t="s">
        <v>1537</v>
      </c>
    </row>
    <row r="240" spans="1:4" x14ac:dyDescent="0.25">
      <c r="A240" s="314">
        <v>45755</v>
      </c>
      <c r="B240" s="16" t="s">
        <v>1542</v>
      </c>
      <c r="C240" s="315">
        <v>10101.14</v>
      </c>
      <c r="D240" s="316" t="s">
        <v>1537</v>
      </c>
    </row>
    <row r="241" spans="1:4" x14ac:dyDescent="0.25">
      <c r="A241" s="314">
        <v>45755</v>
      </c>
      <c r="B241" s="16" t="s">
        <v>1540</v>
      </c>
      <c r="C241" s="315">
        <v>-5073.6</v>
      </c>
      <c r="D241" s="316" t="s">
        <v>1539</v>
      </c>
    </row>
    <row r="242" spans="1:4" x14ac:dyDescent="0.25">
      <c r="A242" s="314">
        <v>45755</v>
      </c>
      <c r="B242" s="16" t="s">
        <v>1541</v>
      </c>
      <c r="C242" s="315">
        <v>-10894.29</v>
      </c>
      <c r="D242" s="316" t="s">
        <v>1539</v>
      </c>
    </row>
    <row r="243" spans="1:4" x14ac:dyDescent="0.25">
      <c r="A243" s="314">
        <v>45756</v>
      </c>
      <c r="B243" s="16" t="s">
        <v>1542</v>
      </c>
      <c r="C243" s="315">
        <v>4628.97</v>
      </c>
      <c r="D243" s="316" t="s">
        <v>1537</v>
      </c>
    </row>
    <row r="244" spans="1:4" x14ac:dyDescent="0.25">
      <c r="A244" s="314">
        <v>45756</v>
      </c>
      <c r="B244" s="16" t="s">
        <v>1543</v>
      </c>
      <c r="C244" s="315">
        <v>10807.28</v>
      </c>
      <c r="D244" s="316" t="s">
        <v>1537</v>
      </c>
    </row>
    <row r="245" spans="1:4" x14ac:dyDescent="0.25">
      <c r="A245" s="314">
        <v>45757</v>
      </c>
      <c r="B245" s="16" t="s">
        <v>1542</v>
      </c>
      <c r="C245" s="315">
        <v>10403.34</v>
      </c>
      <c r="D245" s="316" t="s">
        <v>1537</v>
      </c>
    </row>
    <row r="246" spans="1:4" x14ac:dyDescent="0.25">
      <c r="A246" s="314">
        <v>45758</v>
      </c>
      <c r="B246" s="16" t="s">
        <v>1540</v>
      </c>
      <c r="C246" s="315">
        <v>-10155.18</v>
      </c>
      <c r="D246" s="316" t="s">
        <v>1539</v>
      </c>
    </row>
    <row r="247" spans="1:4" x14ac:dyDescent="0.25">
      <c r="A247" s="314">
        <v>45758</v>
      </c>
      <c r="B247" s="16" t="s">
        <v>1541</v>
      </c>
      <c r="C247" s="315">
        <v>-11544.44</v>
      </c>
      <c r="D247" s="316" t="s">
        <v>1539</v>
      </c>
    </row>
    <row r="248" spans="1:4" x14ac:dyDescent="0.25">
      <c r="A248" s="314">
        <v>45758</v>
      </c>
      <c r="B248" s="16" t="s">
        <v>1545</v>
      </c>
      <c r="C248" s="315">
        <v>2484.34</v>
      </c>
      <c r="D248" s="316" t="s">
        <v>1537</v>
      </c>
    </row>
    <row r="249" spans="1:4" x14ac:dyDescent="0.25">
      <c r="A249" s="314">
        <v>45760</v>
      </c>
      <c r="B249" s="16" t="s">
        <v>1542</v>
      </c>
      <c r="C249" s="315">
        <v>3778.75</v>
      </c>
      <c r="D249" s="316" t="s">
        <v>1537</v>
      </c>
    </row>
    <row r="250" spans="1:4" x14ac:dyDescent="0.25">
      <c r="A250" s="314">
        <v>45760</v>
      </c>
      <c r="B250" s="16" t="s">
        <v>1542</v>
      </c>
      <c r="C250" s="315">
        <v>6204.21</v>
      </c>
      <c r="D250" s="316" t="s">
        <v>1537</v>
      </c>
    </row>
    <row r="251" spans="1:4" x14ac:dyDescent="0.25">
      <c r="A251" s="314">
        <v>45760</v>
      </c>
      <c r="B251" s="16" t="s">
        <v>1541</v>
      </c>
      <c r="C251" s="315">
        <v>-19027.25</v>
      </c>
      <c r="D251" s="316" t="s">
        <v>1539</v>
      </c>
    </row>
    <row r="252" spans="1:4" x14ac:dyDescent="0.25">
      <c r="A252" s="314">
        <v>45760</v>
      </c>
      <c r="B252" s="16" t="s">
        <v>1544</v>
      </c>
      <c r="C252" s="315">
        <v>6087.94</v>
      </c>
      <c r="D252" s="316" t="s">
        <v>1537</v>
      </c>
    </row>
    <row r="253" spans="1:4" x14ac:dyDescent="0.25">
      <c r="A253" s="314">
        <v>45761</v>
      </c>
      <c r="B253" s="16" t="s">
        <v>1542</v>
      </c>
      <c r="C253" s="315">
        <v>2501.09</v>
      </c>
      <c r="D253" s="316" t="s">
        <v>1537</v>
      </c>
    </row>
    <row r="254" spans="1:4" x14ac:dyDescent="0.25">
      <c r="A254" s="314">
        <v>45761</v>
      </c>
      <c r="B254" s="16" t="s">
        <v>1542</v>
      </c>
      <c r="C254" s="315">
        <v>2709.66</v>
      </c>
      <c r="D254" s="316" t="s">
        <v>1537</v>
      </c>
    </row>
    <row r="255" spans="1:4" x14ac:dyDescent="0.25">
      <c r="A255" s="314">
        <v>45761</v>
      </c>
      <c r="B255" s="16" t="s">
        <v>1542</v>
      </c>
      <c r="C255" s="315">
        <v>3248.36</v>
      </c>
      <c r="D255" s="316" t="s">
        <v>1537</v>
      </c>
    </row>
    <row r="256" spans="1:4" x14ac:dyDescent="0.25">
      <c r="A256" s="314">
        <v>45761</v>
      </c>
      <c r="B256" s="16" t="s">
        <v>1544</v>
      </c>
      <c r="C256" s="315">
        <v>10227.63</v>
      </c>
      <c r="D256" s="316" t="s">
        <v>1537</v>
      </c>
    </row>
    <row r="257" spans="1:4" x14ac:dyDescent="0.25">
      <c r="A257" s="314">
        <v>45761</v>
      </c>
      <c r="B257" s="16" t="s">
        <v>1548</v>
      </c>
      <c r="C257" s="315">
        <v>-19446.73</v>
      </c>
      <c r="D257" s="316" t="s">
        <v>1539</v>
      </c>
    </row>
    <row r="258" spans="1:4" x14ac:dyDescent="0.25">
      <c r="A258" s="314">
        <v>45762</v>
      </c>
      <c r="B258" s="16" t="s">
        <v>1540</v>
      </c>
      <c r="C258" s="315">
        <v>-19903.02</v>
      </c>
      <c r="D258" s="316" t="s">
        <v>1539</v>
      </c>
    </row>
    <row r="259" spans="1:4" x14ac:dyDescent="0.25">
      <c r="A259" s="314">
        <v>45762</v>
      </c>
      <c r="B259" s="16" t="s">
        <v>1541</v>
      </c>
      <c r="C259" s="315">
        <v>-23917.67</v>
      </c>
      <c r="D259" s="316" t="s">
        <v>1539</v>
      </c>
    </row>
    <row r="260" spans="1:4" x14ac:dyDescent="0.25">
      <c r="A260" s="314">
        <v>45762</v>
      </c>
      <c r="B260" s="16" t="s">
        <v>1549</v>
      </c>
      <c r="C260" s="315">
        <v>8836.14</v>
      </c>
      <c r="D260" s="316" t="s">
        <v>1550</v>
      </c>
    </row>
    <row r="261" spans="1:4" x14ac:dyDescent="0.25">
      <c r="A261" s="314">
        <v>45762</v>
      </c>
      <c r="B261" s="16" t="s">
        <v>1544</v>
      </c>
      <c r="C261" s="315">
        <v>4338.51</v>
      </c>
      <c r="D261" s="316" t="s">
        <v>1537</v>
      </c>
    </row>
    <row r="262" spans="1:4" x14ac:dyDescent="0.25">
      <c r="A262" s="314">
        <v>45763</v>
      </c>
      <c r="B262" s="16" t="s">
        <v>1538</v>
      </c>
      <c r="C262" s="315">
        <v>-6670.59</v>
      </c>
      <c r="D262" s="316" t="s">
        <v>1539</v>
      </c>
    </row>
    <row r="263" spans="1:4" x14ac:dyDescent="0.25">
      <c r="A263" s="314">
        <v>45763</v>
      </c>
      <c r="B263" s="16" t="s">
        <v>1543</v>
      </c>
      <c r="C263" s="315">
        <v>6313.59</v>
      </c>
      <c r="D263" s="316" t="s">
        <v>1537</v>
      </c>
    </row>
    <row r="264" spans="1:4" x14ac:dyDescent="0.25">
      <c r="A264" s="314">
        <v>45763</v>
      </c>
      <c r="B264" s="16" t="s">
        <v>1547</v>
      </c>
      <c r="C264" s="315">
        <v>-3218.74</v>
      </c>
      <c r="D264" s="316" t="s">
        <v>1539</v>
      </c>
    </row>
    <row r="265" spans="1:4" x14ac:dyDescent="0.25">
      <c r="A265" s="314">
        <v>45764</v>
      </c>
      <c r="B265" s="16" t="s">
        <v>1538</v>
      </c>
      <c r="C265" s="315">
        <v>-16296.23</v>
      </c>
      <c r="D265" s="316" t="s">
        <v>1539</v>
      </c>
    </row>
    <row r="266" spans="1:4" x14ac:dyDescent="0.25">
      <c r="A266" s="314">
        <v>45765</v>
      </c>
      <c r="B266" s="16" t="s">
        <v>1540</v>
      </c>
      <c r="C266" s="315">
        <v>-7236.01</v>
      </c>
      <c r="D266" s="316" t="s">
        <v>1539</v>
      </c>
    </row>
    <row r="267" spans="1:4" x14ac:dyDescent="0.25">
      <c r="A267" s="314">
        <v>45765</v>
      </c>
      <c r="B267" s="16" t="s">
        <v>1544</v>
      </c>
      <c r="C267" s="315">
        <v>5062.12</v>
      </c>
      <c r="D267" s="316" t="s">
        <v>1537</v>
      </c>
    </row>
    <row r="268" spans="1:4" x14ac:dyDescent="0.25">
      <c r="A268" s="314">
        <v>45765</v>
      </c>
      <c r="B268" s="16" t="s">
        <v>1548</v>
      </c>
      <c r="C268" s="315">
        <v>-10767.64</v>
      </c>
      <c r="D268" s="316" t="s">
        <v>1539</v>
      </c>
    </row>
    <row r="269" spans="1:4" x14ac:dyDescent="0.25">
      <c r="A269" s="314">
        <v>45765</v>
      </c>
      <c r="B269" s="16" t="s">
        <v>1545</v>
      </c>
      <c r="C269" s="315">
        <v>9735.57</v>
      </c>
      <c r="D269" s="316" t="s">
        <v>1537</v>
      </c>
    </row>
    <row r="270" spans="1:4" x14ac:dyDescent="0.25">
      <c r="A270" s="314">
        <v>45766</v>
      </c>
      <c r="B270" s="16" t="s">
        <v>1546</v>
      </c>
      <c r="C270" s="315">
        <v>-4458.03</v>
      </c>
      <c r="D270" s="316" t="s">
        <v>1539</v>
      </c>
    </row>
    <row r="271" spans="1:4" x14ac:dyDescent="0.25">
      <c r="A271" s="314">
        <v>45768</v>
      </c>
      <c r="B271" s="16" t="s">
        <v>1542</v>
      </c>
      <c r="C271" s="315">
        <v>5113.09</v>
      </c>
      <c r="D271" s="316" t="s">
        <v>1537</v>
      </c>
    </row>
    <row r="272" spans="1:4" x14ac:dyDescent="0.25">
      <c r="A272" s="314">
        <v>45768</v>
      </c>
      <c r="B272" s="16" t="s">
        <v>1540</v>
      </c>
      <c r="C272" s="315">
        <v>-8569.65</v>
      </c>
      <c r="D272" s="316" t="s">
        <v>1539</v>
      </c>
    </row>
    <row r="273" spans="1:4" x14ac:dyDescent="0.25">
      <c r="A273" s="314">
        <v>45768</v>
      </c>
      <c r="B273" s="16" t="s">
        <v>1545</v>
      </c>
      <c r="C273" s="315">
        <v>5309.04</v>
      </c>
      <c r="D273" s="316" t="s">
        <v>1537</v>
      </c>
    </row>
    <row r="274" spans="1:4" x14ac:dyDescent="0.25">
      <c r="A274" s="314">
        <v>45769</v>
      </c>
      <c r="B274" s="16" t="s">
        <v>1536</v>
      </c>
      <c r="C274" s="315">
        <v>6173.66</v>
      </c>
      <c r="D274" s="316" t="s">
        <v>1537</v>
      </c>
    </row>
    <row r="275" spans="1:4" x14ac:dyDescent="0.25">
      <c r="A275" s="314">
        <v>45769</v>
      </c>
      <c r="B275" s="16" t="s">
        <v>1547</v>
      </c>
      <c r="C275" s="315">
        <v>-23625.03</v>
      </c>
      <c r="D275" s="316" t="s">
        <v>1539</v>
      </c>
    </row>
    <row r="276" spans="1:4" x14ac:dyDescent="0.25">
      <c r="A276" s="314">
        <v>45770</v>
      </c>
      <c r="B276" s="16" t="s">
        <v>1543</v>
      </c>
      <c r="C276" s="315">
        <v>10795.44</v>
      </c>
      <c r="D276" s="316" t="s">
        <v>1537</v>
      </c>
    </row>
    <row r="277" spans="1:4" x14ac:dyDescent="0.25">
      <c r="A277" s="314">
        <v>45771</v>
      </c>
      <c r="B277" s="16" t="s">
        <v>1542</v>
      </c>
      <c r="C277" s="315">
        <v>6776.67</v>
      </c>
      <c r="D277" s="316" t="s">
        <v>1537</v>
      </c>
    </row>
    <row r="278" spans="1:4" x14ac:dyDescent="0.25">
      <c r="A278" s="314">
        <v>45771</v>
      </c>
      <c r="B278" s="16" t="s">
        <v>1548</v>
      </c>
      <c r="C278" s="315">
        <v>-16712.68</v>
      </c>
      <c r="D278" s="316" t="s">
        <v>1539</v>
      </c>
    </row>
    <row r="279" spans="1:4" x14ac:dyDescent="0.25">
      <c r="A279" s="314">
        <v>45771</v>
      </c>
      <c r="B279" s="16" t="s">
        <v>1548</v>
      </c>
      <c r="C279" s="315">
        <v>-7613.97</v>
      </c>
      <c r="D279" s="316" t="s">
        <v>1539</v>
      </c>
    </row>
    <row r="280" spans="1:4" x14ac:dyDescent="0.25">
      <c r="A280" s="314">
        <v>45771</v>
      </c>
      <c r="B280" s="16" t="s">
        <v>1545</v>
      </c>
      <c r="C280" s="315">
        <v>10607.34</v>
      </c>
      <c r="D280" s="316" t="s">
        <v>1537</v>
      </c>
    </row>
    <row r="281" spans="1:4" x14ac:dyDescent="0.25">
      <c r="A281" s="314">
        <v>45772</v>
      </c>
      <c r="B281" s="16" t="s">
        <v>1542</v>
      </c>
      <c r="C281" s="315">
        <v>2626.29</v>
      </c>
      <c r="D281" s="316" t="s">
        <v>1537</v>
      </c>
    </row>
    <row r="282" spans="1:4" x14ac:dyDescent="0.25">
      <c r="A282" s="314">
        <v>45772</v>
      </c>
      <c r="B282" s="16" t="s">
        <v>1542</v>
      </c>
      <c r="C282" s="315">
        <v>4392.57</v>
      </c>
      <c r="D282" s="316" t="s">
        <v>1537</v>
      </c>
    </row>
    <row r="283" spans="1:4" x14ac:dyDescent="0.25">
      <c r="A283" s="314">
        <v>45772</v>
      </c>
      <c r="B283" s="16" t="s">
        <v>1541</v>
      </c>
      <c r="C283" s="315">
        <v>-3497.58</v>
      </c>
      <c r="D283" s="316" t="s">
        <v>1539</v>
      </c>
    </row>
    <row r="284" spans="1:4" x14ac:dyDescent="0.25">
      <c r="A284" s="314">
        <v>45772</v>
      </c>
      <c r="B284" s="16" t="s">
        <v>1547</v>
      </c>
      <c r="C284" s="315">
        <v>-13206.43</v>
      </c>
      <c r="D284" s="316" t="s">
        <v>1539</v>
      </c>
    </row>
    <row r="285" spans="1:4" x14ac:dyDescent="0.25">
      <c r="A285" s="314">
        <v>45772</v>
      </c>
      <c r="B285" s="16" t="s">
        <v>1545</v>
      </c>
      <c r="C285" s="315">
        <v>2828.7</v>
      </c>
      <c r="D285" s="316" t="s">
        <v>1537</v>
      </c>
    </row>
    <row r="286" spans="1:4" x14ac:dyDescent="0.25">
      <c r="A286" s="314">
        <v>45773</v>
      </c>
      <c r="B286" s="16" t="s">
        <v>1536</v>
      </c>
      <c r="C286" s="315">
        <v>8571.63</v>
      </c>
      <c r="D286" s="316" t="s">
        <v>1537</v>
      </c>
    </row>
    <row r="287" spans="1:4" x14ac:dyDescent="0.25">
      <c r="A287" s="314">
        <v>45773</v>
      </c>
      <c r="B287" s="16" t="s">
        <v>1538</v>
      </c>
      <c r="C287" s="315">
        <v>-6250.33</v>
      </c>
      <c r="D287" s="316" t="s">
        <v>1539</v>
      </c>
    </row>
    <row r="288" spans="1:4" x14ac:dyDescent="0.25">
      <c r="A288" s="314">
        <v>45773</v>
      </c>
      <c r="B288" s="16" t="s">
        <v>1541</v>
      </c>
      <c r="C288" s="315">
        <v>-24254.61</v>
      </c>
      <c r="D288" s="316" t="s">
        <v>1539</v>
      </c>
    </row>
    <row r="289" spans="1:4" x14ac:dyDescent="0.25">
      <c r="A289" s="314">
        <v>45774</v>
      </c>
      <c r="B289" s="16" t="s">
        <v>1536</v>
      </c>
      <c r="C289" s="315">
        <v>6024.18</v>
      </c>
      <c r="D289" s="316" t="s">
        <v>1537</v>
      </c>
    </row>
    <row r="290" spans="1:4" x14ac:dyDescent="0.25">
      <c r="A290" s="314">
        <v>45774</v>
      </c>
      <c r="B290" s="16" t="s">
        <v>1538</v>
      </c>
      <c r="C290" s="315">
        <v>-21603.37</v>
      </c>
      <c r="D290" s="316" t="s">
        <v>1539</v>
      </c>
    </row>
    <row r="291" spans="1:4" x14ac:dyDescent="0.25">
      <c r="A291" s="314">
        <v>45775</v>
      </c>
      <c r="B291" s="16" t="s">
        <v>1540</v>
      </c>
      <c r="C291" s="315">
        <v>-3676.06</v>
      </c>
      <c r="D291" s="316" t="s">
        <v>1539</v>
      </c>
    </row>
    <row r="292" spans="1:4" x14ac:dyDescent="0.25">
      <c r="A292" s="314">
        <v>45775</v>
      </c>
      <c r="B292" s="16" t="s">
        <v>1543</v>
      </c>
      <c r="C292" s="315">
        <v>6392.57</v>
      </c>
      <c r="D292" s="316" t="s">
        <v>1537</v>
      </c>
    </row>
    <row r="293" spans="1:4" x14ac:dyDescent="0.25">
      <c r="A293" s="314">
        <v>45775</v>
      </c>
      <c r="B293" s="16" t="s">
        <v>1547</v>
      </c>
      <c r="C293" s="315">
        <v>-4490.3</v>
      </c>
      <c r="D293" s="316" t="s">
        <v>1539</v>
      </c>
    </row>
    <row r="294" spans="1:4" x14ac:dyDescent="0.25">
      <c r="A294" s="314">
        <v>45778</v>
      </c>
      <c r="B294" s="16" t="s">
        <v>1543</v>
      </c>
      <c r="C294" s="315">
        <v>6896.48</v>
      </c>
      <c r="D294" s="316" t="s">
        <v>1537</v>
      </c>
    </row>
    <row r="295" spans="1:4" x14ac:dyDescent="0.25">
      <c r="A295" s="314">
        <v>45779</v>
      </c>
      <c r="B295" s="16" t="s">
        <v>1542</v>
      </c>
      <c r="C295" s="315">
        <v>4353.53</v>
      </c>
      <c r="D295" s="316" t="s">
        <v>1537</v>
      </c>
    </row>
    <row r="296" spans="1:4" x14ac:dyDescent="0.25">
      <c r="A296" s="314">
        <v>45779</v>
      </c>
      <c r="B296" s="16" t="s">
        <v>1541</v>
      </c>
      <c r="C296" s="315">
        <v>-14485.97</v>
      </c>
      <c r="D296" s="316" t="s">
        <v>1539</v>
      </c>
    </row>
    <row r="297" spans="1:4" x14ac:dyDescent="0.25">
      <c r="A297" s="314">
        <v>45779</v>
      </c>
      <c r="B297" s="16" t="s">
        <v>1541</v>
      </c>
      <c r="C297" s="315">
        <v>-2970.63</v>
      </c>
      <c r="D297" s="316" t="s">
        <v>1539</v>
      </c>
    </row>
    <row r="298" spans="1:4" x14ac:dyDescent="0.25">
      <c r="A298" s="314">
        <v>45779</v>
      </c>
      <c r="B298" s="16" t="s">
        <v>1546</v>
      </c>
      <c r="C298" s="315">
        <v>-6081.12</v>
      </c>
      <c r="D298" s="316" t="s">
        <v>1539</v>
      </c>
    </row>
    <row r="299" spans="1:4" x14ac:dyDescent="0.25">
      <c r="A299" s="314">
        <v>45780</v>
      </c>
      <c r="B299" s="16" t="s">
        <v>1538</v>
      </c>
      <c r="C299" s="315">
        <v>-9468.13</v>
      </c>
      <c r="D299" s="316" t="s">
        <v>1539</v>
      </c>
    </row>
    <row r="300" spans="1:4" x14ac:dyDescent="0.25">
      <c r="A300" s="314">
        <v>45780</v>
      </c>
      <c r="B300" s="16" t="s">
        <v>1545</v>
      </c>
      <c r="C300" s="315">
        <v>2532.71</v>
      </c>
      <c r="D300" s="316" t="s">
        <v>1537</v>
      </c>
    </row>
    <row r="301" spans="1:4" x14ac:dyDescent="0.25">
      <c r="A301" s="314">
        <v>45780</v>
      </c>
      <c r="B301" s="16" t="s">
        <v>1545</v>
      </c>
      <c r="C301" s="315">
        <v>12840.65</v>
      </c>
      <c r="D301" s="316" t="s">
        <v>1537</v>
      </c>
    </row>
    <row r="302" spans="1:4" x14ac:dyDescent="0.25">
      <c r="A302" s="314">
        <v>45781</v>
      </c>
      <c r="B302" s="16" t="s">
        <v>1547</v>
      </c>
      <c r="C302" s="315">
        <v>-7724.95</v>
      </c>
      <c r="D302" s="316" t="s">
        <v>1539</v>
      </c>
    </row>
    <row r="303" spans="1:4" x14ac:dyDescent="0.25">
      <c r="A303" s="314">
        <v>45781</v>
      </c>
      <c r="B303" s="16" t="s">
        <v>1544</v>
      </c>
      <c r="C303" s="315">
        <v>5527.03</v>
      </c>
      <c r="D303" s="316" t="s">
        <v>1537</v>
      </c>
    </row>
    <row r="304" spans="1:4" x14ac:dyDescent="0.25">
      <c r="A304" s="314">
        <v>45781</v>
      </c>
      <c r="B304" s="16" t="s">
        <v>1544</v>
      </c>
      <c r="C304" s="315">
        <v>9895.56</v>
      </c>
      <c r="D304" s="316" t="s">
        <v>1537</v>
      </c>
    </row>
    <row r="305" spans="1:4" x14ac:dyDescent="0.25">
      <c r="A305" s="314">
        <v>45783</v>
      </c>
      <c r="B305" s="16" t="s">
        <v>1536</v>
      </c>
      <c r="C305" s="315">
        <v>4886.43</v>
      </c>
      <c r="D305" s="316" t="s">
        <v>1537</v>
      </c>
    </row>
    <row r="306" spans="1:4" x14ac:dyDescent="0.25">
      <c r="A306" s="314">
        <v>45783</v>
      </c>
      <c r="B306" s="16" t="s">
        <v>1543</v>
      </c>
      <c r="C306" s="315">
        <v>4726.07</v>
      </c>
      <c r="D306" s="316" t="s">
        <v>1537</v>
      </c>
    </row>
    <row r="307" spans="1:4" x14ac:dyDescent="0.25">
      <c r="A307" s="314">
        <v>45783</v>
      </c>
      <c r="B307" s="16" t="s">
        <v>1544</v>
      </c>
      <c r="C307" s="315">
        <v>9385.52</v>
      </c>
      <c r="D307" s="316" t="s">
        <v>1537</v>
      </c>
    </row>
    <row r="308" spans="1:4" x14ac:dyDescent="0.25">
      <c r="A308" s="314">
        <v>45783</v>
      </c>
      <c r="B308" s="16" t="s">
        <v>1545</v>
      </c>
      <c r="C308" s="315">
        <v>4326.87</v>
      </c>
      <c r="D308" s="316" t="s">
        <v>1537</v>
      </c>
    </row>
    <row r="309" spans="1:4" x14ac:dyDescent="0.25">
      <c r="A309" s="314">
        <v>45784</v>
      </c>
      <c r="B309" s="16" t="s">
        <v>1541</v>
      </c>
      <c r="C309" s="315">
        <v>-19192.81</v>
      </c>
      <c r="D309" s="316" t="s">
        <v>1539</v>
      </c>
    </row>
    <row r="310" spans="1:4" x14ac:dyDescent="0.25">
      <c r="A310" s="314">
        <v>45784</v>
      </c>
      <c r="B310" s="16" t="s">
        <v>1541</v>
      </c>
      <c r="C310" s="315">
        <v>-9880.79</v>
      </c>
      <c r="D310" s="316" t="s">
        <v>1539</v>
      </c>
    </row>
    <row r="311" spans="1:4" x14ac:dyDescent="0.25">
      <c r="A311" s="314">
        <v>45784</v>
      </c>
      <c r="B311" s="16" t="s">
        <v>1543</v>
      </c>
      <c r="C311" s="315">
        <v>8498.86</v>
      </c>
      <c r="D311" s="316" t="s">
        <v>1537</v>
      </c>
    </row>
    <row r="312" spans="1:4" x14ac:dyDescent="0.25">
      <c r="A312" s="314">
        <v>45784</v>
      </c>
      <c r="B312" s="16" t="s">
        <v>1543</v>
      </c>
      <c r="C312" s="315">
        <v>13215.55</v>
      </c>
      <c r="D312" s="316" t="s">
        <v>1537</v>
      </c>
    </row>
    <row r="313" spans="1:4" x14ac:dyDescent="0.25">
      <c r="A313" s="314">
        <v>45785</v>
      </c>
      <c r="B313" s="16" t="s">
        <v>1536</v>
      </c>
      <c r="C313" s="315">
        <v>7041.27</v>
      </c>
      <c r="D313" s="316" t="s">
        <v>1537</v>
      </c>
    </row>
    <row r="314" spans="1:4" x14ac:dyDescent="0.25">
      <c r="A314" s="314">
        <v>45785</v>
      </c>
      <c r="B314" s="16" t="s">
        <v>1542</v>
      </c>
      <c r="C314" s="315">
        <v>10646.95</v>
      </c>
      <c r="D314" s="316" t="s">
        <v>1537</v>
      </c>
    </row>
    <row r="315" spans="1:4" x14ac:dyDescent="0.25">
      <c r="A315" s="314">
        <v>45785</v>
      </c>
      <c r="B315" s="16" t="s">
        <v>1541</v>
      </c>
      <c r="C315" s="315">
        <v>-3021.23</v>
      </c>
      <c r="D315" s="316" t="s">
        <v>1539</v>
      </c>
    </row>
    <row r="316" spans="1:4" x14ac:dyDescent="0.25">
      <c r="A316" s="314">
        <v>45785</v>
      </c>
      <c r="B316" s="16" t="s">
        <v>1547</v>
      </c>
      <c r="C316" s="315">
        <v>-12666.94</v>
      </c>
      <c r="D316" s="316" t="s">
        <v>1539</v>
      </c>
    </row>
    <row r="317" spans="1:4" x14ac:dyDescent="0.25">
      <c r="A317" s="314">
        <v>45786</v>
      </c>
      <c r="B317" s="16" t="s">
        <v>1546</v>
      </c>
      <c r="C317" s="315">
        <v>-24005.71</v>
      </c>
      <c r="D317" s="316" t="s">
        <v>1539</v>
      </c>
    </row>
    <row r="318" spans="1:4" x14ac:dyDescent="0.25">
      <c r="A318" s="314">
        <v>45786</v>
      </c>
      <c r="B318" s="16" t="s">
        <v>1546</v>
      </c>
      <c r="C318" s="315">
        <v>-1588.63</v>
      </c>
      <c r="D318" s="316" t="s">
        <v>1539</v>
      </c>
    </row>
    <row r="319" spans="1:4" x14ac:dyDescent="0.25">
      <c r="A319" s="314">
        <v>45786</v>
      </c>
      <c r="B319" s="16" t="s">
        <v>1543</v>
      </c>
      <c r="C319" s="315">
        <v>6298.82</v>
      </c>
      <c r="D319" s="316" t="s">
        <v>1537</v>
      </c>
    </row>
    <row r="320" spans="1:4" x14ac:dyDescent="0.25">
      <c r="A320" s="314">
        <v>45787</v>
      </c>
      <c r="B320" s="16" t="s">
        <v>1545</v>
      </c>
      <c r="C320" s="315">
        <v>8044.53</v>
      </c>
      <c r="D320" s="316" t="s">
        <v>1537</v>
      </c>
    </row>
    <row r="321" spans="1:4" x14ac:dyDescent="0.25">
      <c r="A321" s="314">
        <v>45788</v>
      </c>
      <c r="B321" s="16" t="s">
        <v>1536</v>
      </c>
      <c r="C321" s="315">
        <v>3105.04</v>
      </c>
      <c r="D321" s="316" t="s">
        <v>1537</v>
      </c>
    </row>
    <row r="322" spans="1:4" x14ac:dyDescent="0.25">
      <c r="A322" s="314">
        <v>45788</v>
      </c>
      <c r="B322" s="16" t="s">
        <v>1540</v>
      </c>
      <c r="C322" s="315">
        <v>-24536.01</v>
      </c>
      <c r="D322" s="316" t="s">
        <v>1539</v>
      </c>
    </row>
    <row r="323" spans="1:4" x14ac:dyDescent="0.25">
      <c r="A323" s="314">
        <v>45788</v>
      </c>
      <c r="B323" s="16" t="s">
        <v>1546</v>
      </c>
      <c r="C323" s="315">
        <v>-12328.36</v>
      </c>
      <c r="D323" s="316" t="s">
        <v>1539</v>
      </c>
    </row>
    <row r="324" spans="1:4" x14ac:dyDescent="0.25">
      <c r="A324" s="314">
        <v>45788</v>
      </c>
      <c r="B324" s="16" t="s">
        <v>1545</v>
      </c>
      <c r="C324" s="315">
        <v>6758.26</v>
      </c>
      <c r="D324" s="316" t="s">
        <v>1537</v>
      </c>
    </row>
    <row r="325" spans="1:4" x14ac:dyDescent="0.25">
      <c r="A325" s="314">
        <v>45789</v>
      </c>
      <c r="B325" s="16" t="s">
        <v>1536</v>
      </c>
      <c r="C325" s="315">
        <v>3597.26</v>
      </c>
      <c r="D325" s="316" t="s">
        <v>1537</v>
      </c>
    </row>
    <row r="326" spans="1:4" x14ac:dyDescent="0.25">
      <c r="A326" s="314">
        <v>45789</v>
      </c>
      <c r="B326" s="16" t="s">
        <v>1536</v>
      </c>
      <c r="C326" s="315">
        <v>7654.49</v>
      </c>
      <c r="D326" s="316" t="s">
        <v>1537</v>
      </c>
    </row>
    <row r="327" spans="1:4" x14ac:dyDescent="0.25">
      <c r="A327" s="314">
        <v>45790</v>
      </c>
      <c r="B327" s="16" t="s">
        <v>1543</v>
      </c>
      <c r="C327" s="315">
        <v>8146.41</v>
      </c>
      <c r="D327" s="316" t="s">
        <v>1537</v>
      </c>
    </row>
    <row r="328" spans="1:4" x14ac:dyDescent="0.25">
      <c r="A328" s="314">
        <v>45791</v>
      </c>
      <c r="B328" s="16" t="s">
        <v>1540</v>
      </c>
      <c r="C328" s="315">
        <v>-20577.88</v>
      </c>
      <c r="D328" s="316" t="s">
        <v>1539</v>
      </c>
    </row>
    <row r="329" spans="1:4" x14ac:dyDescent="0.25">
      <c r="A329" s="314">
        <v>45791</v>
      </c>
      <c r="B329" s="16" t="s">
        <v>1541</v>
      </c>
      <c r="C329" s="315">
        <v>-4618.62</v>
      </c>
      <c r="D329" s="316" t="s">
        <v>1539</v>
      </c>
    </row>
    <row r="330" spans="1:4" x14ac:dyDescent="0.25">
      <c r="A330" s="314">
        <v>45791</v>
      </c>
      <c r="B330" s="16" t="s">
        <v>1543</v>
      </c>
      <c r="C330" s="315">
        <v>5703.85</v>
      </c>
      <c r="D330" s="316" t="s">
        <v>1537</v>
      </c>
    </row>
    <row r="331" spans="1:4" x14ac:dyDescent="0.25">
      <c r="A331" s="314">
        <v>45791</v>
      </c>
      <c r="B331" s="16" t="s">
        <v>1547</v>
      </c>
      <c r="C331" s="315">
        <v>-2657.55</v>
      </c>
      <c r="D331" s="316" t="s">
        <v>1539</v>
      </c>
    </row>
    <row r="332" spans="1:4" x14ac:dyDescent="0.25">
      <c r="A332" s="314">
        <v>45792</v>
      </c>
      <c r="B332" s="16" t="s">
        <v>1542</v>
      </c>
      <c r="C332" s="315">
        <v>8022.71</v>
      </c>
      <c r="D332" s="316" t="s">
        <v>1537</v>
      </c>
    </row>
    <row r="333" spans="1:4" x14ac:dyDescent="0.25">
      <c r="A333" s="314">
        <v>45792</v>
      </c>
      <c r="B333" s="16" t="s">
        <v>1540</v>
      </c>
      <c r="C333" s="315">
        <v>-9097.77</v>
      </c>
      <c r="D333" s="316" t="s">
        <v>1539</v>
      </c>
    </row>
    <row r="334" spans="1:4" x14ac:dyDescent="0.25">
      <c r="A334" s="314">
        <v>45792</v>
      </c>
      <c r="B334" s="16" t="s">
        <v>1541</v>
      </c>
      <c r="C334" s="315">
        <v>-20060.27</v>
      </c>
      <c r="D334" s="316" t="s">
        <v>1539</v>
      </c>
    </row>
    <row r="335" spans="1:4" x14ac:dyDescent="0.25">
      <c r="A335" s="314">
        <v>45792</v>
      </c>
      <c r="B335" s="16" t="s">
        <v>1549</v>
      </c>
      <c r="C335" s="315">
        <v>19464.07</v>
      </c>
      <c r="D335" s="316" t="s">
        <v>1550</v>
      </c>
    </row>
    <row r="336" spans="1:4" x14ac:dyDescent="0.25">
      <c r="A336" s="314">
        <v>45793</v>
      </c>
      <c r="B336" s="16" t="s">
        <v>1536</v>
      </c>
      <c r="C336" s="315">
        <v>5091.06</v>
      </c>
      <c r="D336" s="316" t="s">
        <v>1537</v>
      </c>
    </row>
    <row r="337" spans="1:4" x14ac:dyDescent="0.25">
      <c r="A337" s="314">
        <v>45793</v>
      </c>
      <c r="B337" s="16" t="s">
        <v>1540</v>
      </c>
      <c r="C337" s="315">
        <v>-10258.79</v>
      </c>
      <c r="D337" s="316" t="s">
        <v>1539</v>
      </c>
    </row>
    <row r="338" spans="1:4" x14ac:dyDescent="0.25">
      <c r="A338" s="314">
        <v>45793</v>
      </c>
      <c r="B338" s="16" t="s">
        <v>1540</v>
      </c>
      <c r="C338" s="315">
        <v>-1704.57</v>
      </c>
      <c r="D338" s="316" t="s">
        <v>1539</v>
      </c>
    </row>
    <row r="339" spans="1:4" x14ac:dyDescent="0.25">
      <c r="A339" s="314">
        <v>45793</v>
      </c>
      <c r="B339" s="16" t="s">
        <v>1544</v>
      </c>
      <c r="C339" s="315">
        <v>12631.93</v>
      </c>
      <c r="D339" s="316" t="s">
        <v>1537</v>
      </c>
    </row>
    <row r="340" spans="1:4" x14ac:dyDescent="0.25">
      <c r="A340" s="314">
        <v>45793</v>
      </c>
      <c r="B340" s="16" t="s">
        <v>1545</v>
      </c>
      <c r="C340" s="315">
        <v>9129.5</v>
      </c>
      <c r="D340" s="316" t="s">
        <v>1537</v>
      </c>
    </row>
    <row r="341" spans="1:4" x14ac:dyDescent="0.25">
      <c r="A341" s="314">
        <v>45797</v>
      </c>
      <c r="B341" s="16" t="s">
        <v>1547</v>
      </c>
      <c r="C341" s="315">
        <v>-7661.05</v>
      </c>
      <c r="D341" s="316" t="s">
        <v>1539</v>
      </c>
    </row>
    <row r="342" spans="1:4" x14ac:dyDescent="0.25">
      <c r="A342" s="314">
        <v>45797</v>
      </c>
      <c r="B342" s="16" t="s">
        <v>1545</v>
      </c>
      <c r="C342" s="315">
        <v>2221.99</v>
      </c>
      <c r="D342" s="316" t="s">
        <v>1537</v>
      </c>
    </row>
    <row r="343" spans="1:4" x14ac:dyDescent="0.25">
      <c r="A343" s="314">
        <v>45797</v>
      </c>
      <c r="B343" s="16" t="s">
        <v>1545</v>
      </c>
      <c r="C343" s="315">
        <v>5286.82</v>
      </c>
      <c r="D343" s="316" t="s">
        <v>1537</v>
      </c>
    </row>
    <row r="344" spans="1:4" x14ac:dyDescent="0.25">
      <c r="A344" s="314">
        <v>45798</v>
      </c>
      <c r="B344" s="16" t="s">
        <v>1547</v>
      </c>
      <c r="C344" s="315">
        <v>-2070.03</v>
      </c>
      <c r="D344" s="316" t="s">
        <v>1539</v>
      </c>
    </row>
    <row r="345" spans="1:4" x14ac:dyDescent="0.25">
      <c r="A345" s="314">
        <v>45799</v>
      </c>
      <c r="B345" s="16" t="s">
        <v>1536</v>
      </c>
      <c r="C345" s="315">
        <v>11983.6</v>
      </c>
      <c r="D345" s="316" t="s">
        <v>1537</v>
      </c>
    </row>
    <row r="346" spans="1:4" x14ac:dyDescent="0.25">
      <c r="A346" s="314">
        <v>45799</v>
      </c>
      <c r="B346" s="16" t="s">
        <v>1543</v>
      </c>
      <c r="C346" s="315">
        <v>10941.25</v>
      </c>
      <c r="D346" s="316" t="s">
        <v>1537</v>
      </c>
    </row>
    <row r="347" spans="1:4" x14ac:dyDescent="0.25">
      <c r="A347" s="314">
        <v>45800</v>
      </c>
      <c r="B347" s="16" t="s">
        <v>1536</v>
      </c>
      <c r="C347" s="315">
        <v>2224.36</v>
      </c>
      <c r="D347" s="316" t="s">
        <v>1537</v>
      </c>
    </row>
    <row r="348" spans="1:4" x14ac:dyDescent="0.25">
      <c r="A348" s="314">
        <v>45800</v>
      </c>
      <c r="B348" s="16" t="s">
        <v>1543</v>
      </c>
      <c r="C348" s="315">
        <v>11481.69</v>
      </c>
      <c r="D348" s="316" t="s">
        <v>1537</v>
      </c>
    </row>
    <row r="349" spans="1:4" x14ac:dyDescent="0.25">
      <c r="A349" s="314">
        <v>45800</v>
      </c>
      <c r="B349" s="16" t="s">
        <v>1548</v>
      </c>
      <c r="C349" s="315">
        <v>-8937.37</v>
      </c>
      <c r="D349" s="316" t="s">
        <v>1539</v>
      </c>
    </row>
    <row r="350" spans="1:4" x14ac:dyDescent="0.25">
      <c r="A350" s="314">
        <v>45801</v>
      </c>
      <c r="B350" s="16" t="s">
        <v>1536</v>
      </c>
      <c r="C350" s="315">
        <v>2820.23</v>
      </c>
      <c r="D350" s="316" t="s">
        <v>1537</v>
      </c>
    </row>
    <row r="351" spans="1:4" x14ac:dyDescent="0.25">
      <c r="A351" s="314">
        <v>45801</v>
      </c>
      <c r="B351" s="16" t="s">
        <v>1541</v>
      </c>
      <c r="C351" s="315">
        <v>-2211.63</v>
      </c>
      <c r="D351" s="316" t="s">
        <v>1539</v>
      </c>
    </row>
    <row r="352" spans="1:4" x14ac:dyDescent="0.25">
      <c r="A352" s="314">
        <v>45801</v>
      </c>
      <c r="B352" s="16" t="s">
        <v>1546</v>
      </c>
      <c r="C352" s="315">
        <v>-20834.75</v>
      </c>
      <c r="D352" s="316" t="s">
        <v>1539</v>
      </c>
    </row>
    <row r="353" spans="1:4" x14ac:dyDescent="0.25">
      <c r="A353" s="314">
        <v>45801</v>
      </c>
      <c r="B353" s="16" t="s">
        <v>1543</v>
      </c>
      <c r="C353" s="315">
        <v>8251.64</v>
      </c>
      <c r="D353" s="316" t="s">
        <v>1537</v>
      </c>
    </row>
    <row r="354" spans="1:4" x14ac:dyDescent="0.25">
      <c r="A354" s="314">
        <v>45801</v>
      </c>
      <c r="B354" s="16" t="s">
        <v>1544</v>
      </c>
      <c r="C354" s="315">
        <v>10107.64</v>
      </c>
      <c r="D354" s="316" t="s">
        <v>1537</v>
      </c>
    </row>
    <row r="355" spans="1:4" x14ac:dyDescent="0.25">
      <c r="A355" s="314">
        <v>45802</v>
      </c>
      <c r="B355" s="16" t="s">
        <v>1538</v>
      </c>
      <c r="C355" s="315">
        <v>-23036.8</v>
      </c>
      <c r="D355" s="316" t="s">
        <v>1539</v>
      </c>
    </row>
    <row r="356" spans="1:4" x14ac:dyDescent="0.25">
      <c r="A356" s="314">
        <v>45802</v>
      </c>
      <c r="B356" s="16" t="s">
        <v>1542</v>
      </c>
      <c r="C356" s="315">
        <v>3307.77</v>
      </c>
      <c r="D356" s="316" t="s">
        <v>1537</v>
      </c>
    </row>
    <row r="357" spans="1:4" x14ac:dyDescent="0.25">
      <c r="A357" s="314">
        <v>45802</v>
      </c>
      <c r="B357" s="16" t="s">
        <v>1540</v>
      </c>
      <c r="C357" s="315">
        <v>-15770.47</v>
      </c>
      <c r="D357" s="316" t="s">
        <v>1539</v>
      </c>
    </row>
    <row r="358" spans="1:4" x14ac:dyDescent="0.25">
      <c r="A358" s="314">
        <v>45802</v>
      </c>
      <c r="B358" s="16" t="s">
        <v>1541</v>
      </c>
      <c r="C358" s="315">
        <v>-2455.26</v>
      </c>
      <c r="D358" s="316" t="s">
        <v>1539</v>
      </c>
    </row>
    <row r="359" spans="1:4" x14ac:dyDescent="0.25">
      <c r="A359" s="314">
        <v>45803</v>
      </c>
      <c r="B359" s="16" t="s">
        <v>1538</v>
      </c>
      <c r="C359" s="315">
        <v>-3356.85</v>
      </c>
      <c r="D359" s="316" t="s">
        <v>1539</v>
      </c>
    </row>
    <row r="360" spans="1:4" x14ac:dyDescent="0.25">
      <c r="A360" s="314">
        <v>45803</v>
      </c>
      <c r="B360" s="16" t="s">
        <v>1542</v>
      </c>
      <c r="C360" s="315">
        <v>2624.52</v>
      </c>
      <c r="D360" s="316" t="s">
        <v>1537</v>
      </c>
    </row>
    <row r="361" spans="1:4" x14ac:dyDescent="0.25">
      <c r="A361" s="314">
        <v>45804</v>
      </c>
      <c r="B361" s="16" t="s">
        <v>1542</v>
      </c>
      <c r="C361" s="315">
        <v>9358.11</v>
      </c>
      <c r="D361" s="316" t="s">
        <v>1537</v>
      </c>
    </row>
    <row r="362" spans="1:4" x14ac:dyDescent="0.25">
      <c r="A362" s="314">
        <v>45804</v>
      </c>
      <c r="B362" s="16" t="s">
        <v>1546</v>
      </c>
      <c r="C362" s="315">
        <v>-20817.19</v>
      </c>
      <c r="D362" s="316" t="s">
        <v>1539</v>
      </c>
    </row>
    <row r="363" spans="1:4" x14ac:dyDescent="0.25">
      <c r="A363" s="314">
        <v>45809</v>
      </c>
      <c r="B363" s="16" t="s">
        <v>1538</v>
      </c>
      <c r="C363" s="315">
        <v>-24674.23</v>
      </c>
      <c r="D363" s="316" t="s">
        <v>1539</v>
      </c>
    </row>
    <row r="364" spans="1:4" x14ac:dyDescent="0.25">
      <c r="A364" s="314">
        <v>45810</v>
      </c>
      <c r="B364" s="16" t="s">
        <v>1542</v>
      </c>
      <c r="C364" s="315">
        <v>12215.2</v>
      </c>
      <c r="D364" s="316" t="s">
        <v>1537</v>
      </c>
    </row>
    <row r="365" spans="1:4" x14ac:dyDescent="0.25">
      <c r="A365" s="314">
        <v>45810</v>
      </c>
      <c r="B365" s="16" t="s">
        <v>1545</v>
      </c>
      <c r="C365" s="315">
        <v>5121.78</v>
      </c>
      <c r="D365" s="316" t="s">
        <v>1537</v>
      </c>
    </row>
    <row r="366" spans="1:4" x14ac:dyDescent="0.25">
      <c r="A366" s="314">
        <v>45810</v>
      </c>
      <c r="B366" s="16" t="s">
        <v>1545</v>
      </c>
      <c r="C366" s="315">
        <v>12288.91</v>
      </c>
      <c r="D366" s="316" t="s">
        <v>1537</v>
      </c>
    </row>
    <row r="367" spans="1:4" x14ac:dyDescent="0.25">
      <c r="A367" s="314">
        <v>45811</v>
      </c>
      <c r="B367" s="16" t="s">
        <v>1536</v>
      </c>
      <c r="C367" s="315">
        <v>4869.78</v>
      </c>
      <c r="D367" s="316" t="s">
        <v>1537</v>
      </c>
    </row>
    <row r="368" spans="1:4" x14ac:dyDescent="0.25">
      <c r="A368" s="314">
        <v>45811</v>
      </c>
      <c r="B368" s="16" t="s">
        <v>1541</v>
      </c>
      <c r="C368" s="315">
        <v>-15078.2</v>
      </c>
      <c r="D368" s="316" t="s">
        <v>1539</v>
      </c>
    </row>
    <row r="369" spans="1:4" x14ac:dyDescent="0.25">
      <c r="A369" s="314">
        <v>45811</v>
      </c>
      <c r="B369" s="16" t="s">
        <v>1545</v>
      </c>
      <c r="C369" s="315">
        <v>9110.01</v>
      </c>
      <c r="D369" s="316" t="s">
        <v>1537</v>
      </c>
    </row>
    <row r="370" spans="1:4" x14ac:dyDescent="0.25">
      <c r="A370" s="314">
        <v>45812</v>
      </c>
      <c r="B370" s="16" t="s">
        <v>1536</v>
      </c>
      <c r="C370" s="315">
        <v>3321.41</v>
      </c>
      <c r="D370" s="316" t="s">
        <v>1537</v>
      </c>
    </row>
    <row r="371" spans="1:4" x14ac:dyDescent="0.25">
      <c r="A371" s="314">
        <v>45812</v>
      </c>
      <c r="B371" s="16" t="s">
        <v>1541</v>
      </c>
      <c r="C371" s="315">
        <v>-13026.98</v>
      </c>
      <c r="D371" s="316" t="s">
        <v>1539</v>
      </c>
    </row>
    <row r="372" spans="1:4" x14ac:dyDescent="0.25">
      <c r="A372" s="314">
        <v>45812</v>
      </c>
      <c r="B372" s="16" t="s">
        <v>1544</v>
      </c>
      <c r="C372" s="315">
        <v>13687.59</v>
      </c>
      <c r="D372" s="316" t="s">
        <v>1537</v>
      </c>
    </row>
    <row r="373" spans="1:4" x14ac:dyDescent="0.25">
      <c r="A373" s="314">
        <v>45813</v>
      </c>
      <c r="B373" s="16" t="s">
        <v>1546</v>
      </c>
      <c r="C373" s="315">
        <v>-8157.43</v>
      </c>
      <c r="D373" s="316" t="s">
        <v>1539</v>
      </c>
    </row>
    <row r="374" spans="1:4" x14ac:dyDescent="0.25">
      <c r="A374" s="314">
        <v>45813</v>
      </c>
      <c r="B374" s="16" t="s">
        <v>1547</v>
      </c>
      <c r="C374" s="315">
        <v>-2714.84</v>
      </c>
      <c r="D374" s="316" t="s">
        <v>1539</v>
      </c>
    </row>
    <row r="375" spans="1:4" x14ac:dyDescent="0.25">
      <c r="A375" s="314">
        <v>45813</v>
      </c>
      <c r="B375" s="16" t="s">
        <v>1544</v>
      </c>
      <c r="C375" s="315">
        <v>5593.49</v>
      </c>
      <c r="D375" s="316" t="s">
        <v>1537</v>
      </c>
    </row>
    <row r="376" spans="1:4" x14ac:dyDescent="0.25">
      <c r="A376" s="314">
        <v>45813</v>
      </c>
      <c r="B376" s="16" t="s">
        <v>1548</v>
      </c>
      <c r="C376" s="315">
        <v>-20452</v>
      </c>
      <c r="D376" s="316" t="s">
        <v>1539</v>
      </c>
    </row>
    <row r="377" spans="1:4" x14ac:dyDescent="0.25">
      <c r="A377" s="314">
        <v>45814</v>
      </c>
      <c r="B377" s="16" t="s">
        <v>1538</v>
      </c>
      <c r="C377" s="315">
        <v>-6626.22</v>
      </c>
      <c r="D377" s="316" t="s">
        <v>1539</v>
      </c>
    </row>
    <row r="378" spans="1:4" x14ac:dyDescent="0.25">
      <c r="A378" s="314">
        <v>45814</v>
      </c>
      <c r="B378" s="16" t="s">
        <v>1541</v>
      </c>
      <c r="C378" s="315">
        <v>-4168.17</v>
      </c>
      <c r="D378" s="316" t="s">
        <v>1539</v>
      </c>
    </row>
    <row r="379" spans="1:4" x14ac:dyDescent="0.25">
      <c r="A379" s="314">
        <v>45814</v>
      </c>
      <c r="B379" s="16" t="s">
        <v>1544</v>
      </c>
      <c r="C379" s="315">
        <v>8019.9</v>
      </c>
      <c r="D379" s="316" t="s">
        <v>1537</v>
      </c>
    </row>
    <row r="380" spans="1:4" x14ac:dyDescent="0.25">
      <c r="A380" s="314">
        <v>45814</v>
      </c>
      <c r="B380" s="16" t="s">
        <v>1548</v>
      </c>
      <c r="C380" s="315">
        <v>-19966.9</v>
      </c>
      <c r="D380" s="316" t="s">
        <v>1539</v>
      </c>
    </row>
    <row r="381" spans="1:4" x14ac:dyDescent="0.25">
      <c r="A381" s="314">
        <v>45815</v>
      </c>
      <c r="B381" s="16" t="s">
        <v>1543</v>
      </c>
      <c r="C381" s="315">
        <v>5429.73</v>
      </c>
      <c r="D381" s="316" t="s">
        <v>1537</v>
      </c>
    </row>
    <row r="382" spans="1:4" x14ac:dyDescent="0.25">
      <c r="A382" s="314">
        <v>45815</v>
      </c>
      <c r="B382" s="16" t="s">
        <v>1543</v>
      </c>
      <c r="C382" s="315">
        <v>5462.48</v>
      </c>
      <c r="D382" s="316" t="s">
        <v>1537</v>
      </c>
    </row>
    <row r="383" spans="1:4" x14ac:dyDescent="0.25">
      <c r="A383" s="314">
        <v>45815</v>
      </c>
      <c r="B383" s="16" t="s">
        <v>1543</v>
      </c>
      <c r="C383" s="315">
        <v>14906.38</v>
      </c>
      <c r="D383" s="316" t="s">
        <v>1537</v>
      </c>
    </row>
    <row r="384" spans="1:4" x14ac:dyDescent="0.25">
      <c r="A384" s="314">
        <v>45816</v>
      </c>
      <c r="B384" s="16" t="s">
        <v>1538</v>
      </c>
      <c r="C384" s="315">
        <v>-11005.39</v>
      </c>
      <c r="D384" s="316" t="s">
        <v>1539</v>
      </c>
    </row>
    <row r="385" spans="1:4" x14ac:dyDescent="0.25">
      <c r="A385" s="314">
        <v>45817</v>
      </c>
      <c r="B385" s="16" t="s">
        <v>1543</v>
      </c>
      <c r="C385" s="315">
        <v>6195.23</v>
      </c>
      <c r="D385" s="316" t="s">
        <v>1537</v>
      </c>
    </row>
    <row r="386" spans="1:4" x14ac:dyDescent="0.25">
      <c r="A386" s="314">
        <v>45817</v>
      </c>
      <c r="B386" s="16" t="s">
        <v>1543</v>
      </c>
      <c r="C386" s="315">
        <v>8289.9</v>
      </c>
      <c r="D386" s="316" t="s">
        <v>1537</v>
      </c>
    </row>
    <row r="387" spans="1:4" x14ac:dyDescent="0.25">
      <c r="A387" s="314">
        <v>45818</v>
      </c>
      <c r="B387" s="16" t="s">
        <v>1538</v>
      </c>
      <c r="C387" s="315">
        <v>-7357.58</v>
      </c>
      <c r="D387" s="316" t="s">
        <v>1539</v>
      </c>
    </row>
    <row r="388" spans="1:4" x14ac:dyDescent="0.25">
      <c r="A388" s="314">
        <v>45818</v>
      </c>
      <c r="B388" s="16" t="s">
        <v>1543</v>
      </c>
      <c r="C388" s="315">
        <v>4838.25</v>
      </c>
      <c r="D388" s="316" t="s">
        <v>1537</v>
      </c>
    </row>
    <row r="389" spans="1:4" x14ac:dyDescent="0.25">
      <c r="A389" s="314">
        <v>45818</v>
      </c>
      <c r="B389" s="16" t="s">
        <v>1544</v>
      </c>
      <c r="C389" s="315">
        <v>2564.92</v>
      </c>
      <c r="D389" s="316" t="s">
        <v>1537</v>
      </c>
    </row>
    <row r="390" spans="1:4" x14ac:dyDescent="0.25">
      <c r="A390" s="314">
        <v>45819</v>
      </c>
      <c r="B390" s="16" t="s">
        <v>1545</v>
      </c>
      <c r="C390" s="315">
        <v>12035.74</v>
      </c>
      <c r="D390" s="316" t="s">
        <v>1537</v>
      </c>
    </row>
    <row r="391" spans="1:4" x14ac:dyDescent="0.25">
      <c r="A391" s="314">
        <v>45820</v>
      </c>
      <c r="B391" s="16" t="s">
        <v>1536</v>
      </c>
      <c r="C391" s="315">
        <v>13581.76</v>
      </c>
      <c r="D391" s="316" t="s">
        <v>1537</v>
      </c>
    </row>
    <row r="392" spans="1:4" x14ac:dyDescent="0.25">
      <c r="A392" s="314">
        <v>45820</v>
      </c>
      <c r="B392" s="16" t="s">
        <v>1541</v>
      </c>
      <c r="C392" s="315">
        <v>-19666.78</v>
      </c>
      <c r="D392" s="316" t="s">
        <v>1539</v>
      </c>
    </row>
    <row r="393" spans="1:4" x14ac:dyDescent="0.25">
      <c r="A393" s="314">
        <v>45820</v>
      </c>
      <c r="B393" s="16" t="s">
        <v>1547</v>
      </c>
      <c r="C393" s="315">
        <v>-5012.48</v>
      </c>
      <c r="D393" s="316" t="s">
        <v>1539</v>
      </c>
    </row>
    <row r="394" spans="1:4" x14ac:dyDescent="0.25">
      <c r="A394" s="314">
        <v>45820</v>
      </c>
      <c r="B394" s="16" t="s">
        <v>1544</v>
      </c>
      <c r="C394" s="315">
        <v>14701.74</v>
      </c>
      <c r="D394" s="316" t="s">
        <v>1537</v>
      </c>
    </row>
    <row r="395" spans="1:4" x14ac:dyDescent="0.25">
      <c r="A395" s="314">
        <v>45820</v>
      </c>
      <c r="B395" s="16" t="s">
        <v>1548</v>
      </c>
      <c r="C395" s="315">
        <v>-13354.88</v>
      </c>
      <c r="D395" s="316" t="s">
        <v>1539</v>
      </c>
    </row>
    <row r="396" spans="1:4" x14ac:dyDescent="0.25">
      <c r="A396" s="314">
        <v>45820</v>
      </c>
      <c r="B396" s="16" t="s">
        <v>1545</v>
      </c>
      <c r="C396" s="315">
        <v>9263.74</v>
      </c>
      <c r="D396" s="316" t="s">
        <v>1537</v>
      </c>
    </row>
    <row r="397" spans="1:4" x14ac:dyDescent="0.25">
      <c r="A397" s="314">
        <v>45821</v>
      </c>
      <c r="B397" s="16" t="s">
        <v>1536</v>
      </c>
      <c r="C397" s="315">
        <v>13507.22</v>
      </c>
      <c r="D397" s="316" t="s">
        <v>1537</v>
      </c>
    </row>
    <row r="398" spans="1:4" x14ac:dyDescent="0.25">
      <c r="A398" s="314">
        <v>45821</v>
      </c>
      <c r="B398" s="16" t="s">
        <v>1538</v>
      </c>
      <c r="C398" s="315">
        <v>-5177.25</v>
      </c>
      <c r="D398" s="316" t="s">
        <v>1539</v>
      </c>
    </row>
    <row r="399" spans="1:4" x14ac:dyDescent="0.25">
      <c r="A399" s="314">
        <v>45821</v>
      </c>
      <c r="B399" s="16" t="s">
        <v>1542</v>
      </c>
      <c r="C399" s="315">
        <v>10656.95</v>
      </c>
      <c r="D399" s="316" t="s">
        <v>1537</v>
      </c>
    </row>
    <row r="400" spans="1:4" x14ac:dyDescent="0.25">
      <c r="A400" s="314">
        <v>45821</v>
      </c>
      <c r="B400" s="16" t="s">
        <v>1547</v>
      </c>
      <c r="C400" s="315">
        <v>-14962.32</v>
      </c>
      <c r="D400" s="316" t="s">
        <v>1539</v>
      </c>
    </row>
    <row r="401" spans="1:4" x14ac:dyDescent="0.25">
      <c r="A401" s="314">
        <v>45821</v>
      </c>
      <c r="B401" s="16" t="s">
        <v>1548</v>
      </c>
      <c r="C401" s="315">
        <v>-10135.08</v>
      </c>
      <c r="D401" s="316" t="s">
        <v>1539</v>
      </c>
    </row>
    <row r="402" spans="1:4" x14ac:dyDescent="0.25">
      <c r="A402" s="314">
        <v>45822</v>
      </c>
      <c r="B402" s="16" t="s">
        <v>1542</v>
      </c>
      <c r="C402" s="315">
        <v>3769.67</v>
      </c>
      <c r="D402" s="316" t="s">
        <v>1537</v>
      </c>
    </row>
    <row r="403" spans="1:4" x14ac:dyDescent="0.25">
      <c r="A403" s="314">
        <v>45822</v>
      </c>
      <c r="B403" s="16" t="s">
        <v>1542</v>
      </c>
      <c r="C403" s="315">
        <v>5773.93</v>
      </c>
      <c r="D403" s="316" t="s">
        <v>1537</v>
      </c>
    </row>
    <row r="404" spans="1:4" x14ac:dyDescent="0.25">
      <c r="A404" s="314">
        <v>45822</v>
      </c>
      <c r="B404" s="16" t="s">
        <v>1543</v>
      </c>
      <c r="C404" s="315">
        <v>2972.96</v>
      </c>
      <c r="D404" s="316" t="s">
        <v>1537</v>
      </c>
    </row>
    <row r="405" spans="1:4" x14ac:dyDescent="0.25">
      <c r="A405" s="314">
        <v>45822</v>
      </c>
      <c r="B405" s="16" t="s">
        <v>1543</v>
      </c>
      <c r="C405" s="315">
        <v>5407.41</v>
      </c>
      <c r="D405" s="316" t="s">
        <v>1537</v>
      </c>
    </row>
    <row r="406" spans="1:4" x14ac:dyDescent="0.25">
      <c r="A406" s="314">
        <v>45823</v>
      </c>
      <c r="B406" s="16" t="s">
        <v>1549</v>
      </c>
      <c r="C406" s="315">
        <v>11512.46</v>
      </c>
      <c r="D406" s="316" t="s">
        <v>1550</v>
      </c>
    </row>
    <row r="407" spans="1:4" x14ac:dyDescent="0.25">
      <c r="A407" s="314">
        <v>45823</v>
      </c>
      <c r="B407" s="16" t="s">
        <v>1544</v>
      </c>
      <c r="C407" s="315">
        <v>4175.92</v>
      </c>
      <c r="D407" s="316" t="s">
        <v>1537</v>
      </c>
    </row>
    <row r="408" spans="1:4" x14ac:dyDescent="0.25">
      <c r="A408" s="314">
        <v>45824</v>
      </c>
      <c r="B408" s="16" t="s">
        <v>1546</v>
      </c>
      <c r="C408" s="315">
        <v>-2754.3</v>
      </c>
      <c r="D408" s="316" t="s">
        <v>1539</v>
      </c>
    </row>
    <row r="409" spans="1:4" x14ac:dyDescent="0.25">
      <c r="A409" s="314">
        <v>45825</v>
      </c>
      <c r="B409" s="16" t="s">
        <v>1540</v>
      </c>
      <c r="C409" s="315">
        <v>-23249.25</v>
      </c>
      <c r="D409" s="316" t="s">
        <v>1539</v>
      </c>
    </row>
    <row r="410" spans="1:4" x14ac:dyDescent="0.25">
      <c r="A410" s="314">
        <v>45825</v>
      </c>
      <c r="B410" s="16" t="s">
        <v>1541</v>
      </c>
      <c r="C410" s="315">
        <v>-5700.95</v>
      </c>
      <c r="D410" s="316" t="s">
        <v>1539</v>
      </c>
    </row>
    <row r="411" spans="1:4" x14ac:dyDescent="0.25">
      <c r="A411" s="314">
        <v>45826</v>
      </c>
      <c r="B411" s="16" t="s">
        <v>1536</v>
      </c>
      <c r="C411" s="315">
        <v>13892.11</v>
      </c>
      <c r="D411" s="316" t="s">
        <v>1537</v>
      </c>
    </row>
    <row r="412" spans="1:4" x14ac:dyDescent="0.25">
      <c r="A412" s="314">
        <v>45826</v>
      </c>
      <c r="B412" s="16" t="s">
        <v>1548</v>
      </c>
      <c r="C412" s="315">
        <v>-2396.02</v>
      </c>
      <c r="D412" s="316" t="s">
        <v>1539</v>
      </c>
    </row>
    <row r="413" spans="1:4" x14ac:dyDescent="0.25">
      <c r="A413" s="314">
        <v>45828</v>
      </c>
      <c r="B413" s="16" t="s">
        <v>1541</v>
      </c>
      <c r="C413" s="315">
        <v>-14426.22</v>
      </c>
      <c r="D413" s="316" t="s">
        <v>1539</v>
      </c>
    </row>
    <row r="414" spans="1:4" x14ac:dyDescent="0.25">
      <c r="A414" s="314">
        <v>45828</v>
      </c>
      <c r="B414" s="16" t="s">
        <v>1544</v>
      </c>
      <c r="C414" s="315">
        <v>7789.89</v>
      </c>
      <c r="D414" s="316" t="s">
        <v>1537</v>
      </c>
    </row>
    <row r="415" spans="1:4" x14ac:dyDescent="0.25">
      <c r="A415" s="314">
        <v>45828</v>
      </c>
      <c r="B415" s="16" t="s">
        <v>1545</v>
      </c>
      <c r="C415" s="315">
        <v>6013.03</v>
      </c>
      <c r="D415" s="316" t="s">
        <v>1537</v>
      </c>
    </row>
    <row r="416" spans="1:4" x14ac:dyDescent="0.25">
      <c r="A416" s="314">
        <v>45829</v>
      </c>
      <c r="B416" s="16" t="s">
        <v>1541</v>
      </c>
      <c r="C416" s="315">
        <v>-3527.92</v>
      </c>
      <c r="D416" s="316" t="s">
        <v>1539</v>
      </c>
    </row>
    <row r="417" spans="1:4" x14ac:dyDescent="0.25">
      <c r="A417" s="314">
        <v>45829</v>
      </c>
      <c r="B417" s="16" t="s">
        <v>1546</v>
      </c>
      <c r="C417" s="315">
        <v>-16752.15</v>
      </c>
      <c r="D417" s="316" t="s">
        <v>1539</v>
      </c>
    </row>
    <row r="418" spans="1:4" x14ac:dyDescent="0.25">
      <c r="A418" s="314">
        <v>45829</v>
      </c>
      <c r="B418" s="16" t="s">
        <v>1545</v>
      </c>
      <c r="C418" s="315">
        <v>7198.07</v>
      </c>
      <c r="D418" s="316" t="s">
        <v>1537</v>
      </c>
    </row>
    <row r="419" spans="1:4" x14ac:dyDescent="0.25">
      <c r="A419" s="314">
        <v>45830</v>
      </c>
      <c r="B419" s="16" t="s">
        <v>1542</v>
      </c>
      <c r="C419" s="315">
        <v>8327.43</v>
      </c>
      <c r="D419" s="316" t="s">
        <v>1537</v>
      </c>
    </row>
    <row r="420" spans="1:4" x14ac:dyDescent="0.25">
      <c r="A420" s="314">
        <v>45830</v>
      </c>
      <c r="B420" s="16" t="s">
        <v>1544</v>
      </c>
      <c r="C420" s="315">
        <v>5665.05</v>
      </c>
      <c r="D420" s="316" t="s">
        <v>1537</v>
      </c>
    </row>
    <row r="421" spans="1:4" x14ac:dyDescent="0.25">
      <c r="A421" s="314">
        <v>45831</v>
      </c>
      <c r="B421" s="16" t="s">
        <v>1538</v>
      </c>
      <c r="C421" s="315">
        <v>-17673.09</v>
      </c>
      <c r="D421" s="316" t="s">
        <v>1539</v>
      </c>
    </row>
    <row r="422" spans="1:4" x14ac:dyDescent="0.25">
      <c r="A422" s="314">
        <v>45831</v>
      </c>
      <c r="B422" s="16" t="s">
        <v>1544</v>
      </c>
      <c r="C422" s="315">
        <v>5455.32</v>
      </c>
      <c r="D422" s="316" t="s">
        <v>1537</v>
      </c>
    </row>
    <row r="423" spans="1:4" x14ac:dyDescent="0.25">
      <c r="A423" s="314">
        <v>45832</v>
      </c>
      <c r="B423" s="16" t="s">
        <v>1540</v>
      </c>
      <c r="C423" s="315">
        <v>-2465.83</v>
      </c>
      <c r="D423" s="316" t="s">
        <v>1539</v>
      </c>
    </row>
    <row r="424" spans="1:4" x14ac:dyDescent="0.25">
      <c r="A424" s="314">
        <v>45834</v>
      </c>
      <c r="B424" s="16" t="s">
        <v>1536</v>
      </c>
      <c r="C424" s="315">
        <v>6037.57</v>
      </c>
      <c r="D424" s="316" t="s">
        <v>1537</v>
      </c>
    </row>
    <row r="425" spans="1:4" x14ac:dyDescent="0.25">
      <c r="A425" s="314">
        <v>45834</v>
      </c>
      <c r="B425" s="16" t="s">
        <v>1540</v>
      </c>
      <c r="C425" s="315">
        <v>-8587.96</v>
      </c>
      <c r="D425" s="316" t="s">
        <v>1539</v>
      </c>
    </row>
    <row r="426" spans="1:4" x14ac:dyDescent="0.25">
      <c r="A426" s="314">
        <v>45835</v>
      </c>
      <c r="B426" s="16" t="s">
        <v>1542</v>
      </c>
      <c r="C426" s="315">
        <v>5695.18</v>
      </c>
      <c r="D426" s="316" t="s">
        <v>1537</v>
      </c>
    </row>
    <row r="427" spans="1:4" x14ac:dyDescent="0.25">
      <c r="A427" s="314">
        <v>45835</v>
      </c>
      <c r="B427" s="16" t="s">
        <v>1546</v>
      </c>
      <c r="C427" s="315">
        <v>-4266.68</v>
      </c>
      <c r="D427" s="316" t="s">
        <v>1539</v>
      </c>
    </row>
    <row r="428" spans="1:4" x14ac:dyDescent="0.25">
      <c r="A428" s="314">
        <v>45835</v>
      </c>
      <c r="B428" s="16" t="s">
        <v>1543</v>
      </c>
      <c r="C428" s="315">
        <v>5865.88</v>
      </c>
      <c r="D428" s="316" t="s">
        <v>1537</v>
      </c>
    </row>
    <row r="429" spans="1:4" x14ac:dyDescent="0.25">
      <c r="A429" s="314">
        <v>45835</v>
      </c>
      <c r="B429" s="16" t="s">
        <v>1547</v>
      </c>
      <c r="C429" s="315">
        <v>-24425.34</v>
      </c>
      <c r="D429" s="316" t="s">
        <v>1539</v>
      </c>
    </row>
    <row r="430" spans="1:4" x14ac:dyDescent="0.25">
      <c r="A430" s="314">
        <v>45836</v>
      </c>
      <c r="B430" s="16" t="s">
        <v>1542</v>
      </c>
      <c r="C430" s="315">
        <v>8131.52</v>
      </c>
      <c r="D430" s="316" t="s">
        <v>1537</v>
      </c>
    </row>
    <row r="431" spans="1:4" x14ac:dyDescent="0.25">
      <c r="A431" s="314">
        <v>45836</v>
      </c>
      <c r="B431" s="16" t="s">
        <v>1540</v>
      </c>
      <c r="C431" s="315">
        <v>-20985.91</v>
      </c>
      <c r="D431" s="316" t="s">
        <v>1539</v>
      </c>
    </row>
    <row r="432" spans="1:4" x14ac:dyDescent="0.25">
      <c r="A432" s="314">
        <v>45836</v>
      </c>
      <c r="B432" s="16" t="s">
        <v>1545</v>
      </c>
      <c r="C432" s="315">
        <v>4680.91</v>
      </c>
      <c r="D432" s="316" t="s">
        <v>1537</v>
      </c>
    </row>
    <row r="433" spans="1:4" x14ac:dyDescent="0.25">
      <c r="A433" s="314">
        <v>45839</v>
      </c>
      <c r="B433" s="16" t="s">
        <v>1540</v>
      </c>
      <c r="C433" s="315">
        <v>-18125.61</v>
      </c>
      <c r="D433" s="316" t="s">
        <v>1539</v>
      </c>
    </row>
    <row r="434" spans="1:4" x14ac:dyDescent="0.25">
      <c r="A434" s="314">
        <v>45839</v>
      </c>
      <c r="B434" s="16" t="s">
        <v>1541</v>
      </c>
      <c r="C434" s="315">
        <v>-5862.96</v>
      </c>
      <c r="D434" s="316" t="s">
        <v>1539</v>
      </c>
    </row>
    <row r="435" spans="1:4" x14ac:dyDescent="0.25">
      <c r="A435" s="314">
        <v>45839</v>
      </c>
      <c r="B435" s="16" t="s">
        <v>1543</v>
      </c>
      <c r="C435" s="315">
        <v>11045.44</v>
      </c>
      <c r="D435" s="316" t="s">
        <v>1537</v>
      </c>
    </row>
    <row r="436" spans="1:4" x14ac:dyDescent="0.25">
      <c r="A436" s="314">
        <v>45839</v>
      </c>
      <c r="B436" s="16" t="s">
        <v>1547</v>
      </c>
      <c r="C436" s="315">
        <v>-2945.92</v>
      </c>
      <c r="D436" s="316" t="s">
        <v>1539</v>
      </c>
    </row>
    <row r="437" spans="1:4" x14ac:dyDescent="0.25">
      <c r="A437" s="314">
        <v>45839</v>
      </c>
      <c r="B437" s="16" t="s">
        <v>1544</v>
      </c>
      <c r="C437" s="315">
        <v>4784.61</v>
      </c>
      <c r="D437" s="316" t="s">
        <v>1537</v>
      </c>
    </row>
    <row r="438" spans="1:4" x14ac:dyDescent="0.25">
      <c r="A438" s="314">
        <v>45840</v>
      </c>
      <c r="B438" s="16" t="s">
        <v>1542</v>
      </c>
      <c r="C438" s="315">
        <v>7153.47</v>
      </c>
      <c r="D438" s="316" t="s">
        <v>1537</v>
      </c>
    </row>
    <row r="439" spans="1:4" x14ac:dyDescent="0.25">
      <c r="A439" s="314">
        <v>45840</v>
      </c>
      <c r="B439" s="16" t="s">
        <v>1547</v>
      </c>
      <c r="C439" s="315">
        <v>-9384.63</v>
      </c>
      <c r="D439" s="316" t="s">
        <v>1539</v>
      </c>
    </row>
    <row r="440" spans="1:4" x14ac:dyDescent="0.25">
      <c r="A440" s="314">
        <v>45840</v>
      </c>
      <c r="B440" s="16" t="s">
        <v>1548</v>
      </c>
      <c r="C440" s="315">
        <v>-20790.7</v>
      </c>
      <c r="D440" s="316" t="s">
        <v>1539</v>
      </c>
    </row>
    <row r="441" spans="1:4" x14ac:dyDescent="0.25">
      <c r="A441" s="314">
        <v>45840</v>
      </c>
      <c r="B441" s="16" t="s">
        <v>1548</v>
      </c>
      <c r="C441" s="315">
        <v>-19899.89</v>
      </c>
      <c r="D441" s="316" t="s">
        <v>1539</v>
      </c>
    </row>
    <row r="442" spans="1:4" x14ac:dyDescent="0.25">
      <c r="A442" s="314">
        <v>45840</v>
      </c>
      <c r="B442" s="16" t="s">
        <v>1545</v>
      </c>
      <c r="C442" s="315">
        <v>3823.41</v>
      </c>
      <c r="D442" s="316" t="s">
        <v>1537</v>
      </c>
    </row>
    <row r="443" spans="1:4" x14ac:dyDescent="0.25">
      <c r="A443" s="314">
        <v>45842</v>
      </c>
      <c r="B443" s="16" t="s">
        <v>1546</v>
      </c>
      <c r="C443" s="315">
        <v>-6958.97</v>
      </c>
      <c r="D443" s="316" t="s">
        <v>1539</v>
      </c>
    </row>
    <row r="444" spans="1:4" x14ac:dyDescent="0.25">
      <c r="A444" s="314">
        <v>45842</v>
      </c>
      <c r="B444" s="16" t="s">
        <v>1547</v>
      </c>
      <c r="C444" s="315">
        <v>-15897.03</v>
      </c>
      <c r="D444" s="316" t="s">
        <v>1539</v>
      </c>
    </row>
    <row r="445" spans="1:4" x14ac:dyDescent="0.25">
      <c r="A445" s="314">
        <v>45842</v>
      </c>
      <c r="B445" s="16" t="s">
        <v>1544</v>
      </c>
      <c r="C445" s="315">
        <v>3460.81</v>
      </c>
      <c r="D445" s="316" t="s">
        <v>1537</v>
      </c>
    </row>
    <row r="446" spans="1:4" x14ac:dyDescent="0.25">
      <c r="A446" s="314">
        <v>45842</v>
      </c>
      <c r="B446" s="16" t="s">
        <v>1544</v>
      </c>
      <c r="C446" s="315">
        <v>6466.55</v>
      </c>
      <c r="D446" s="316" t="s">
        <v>1537</v>
      </c>
    </row>
    <row r="447" spans="1:4" x14ac:dyDescent="0.25">
      <c r="A447" s="314">
        <v>45843</v>
      </c>
      <c r="B447" s="16" t="s">
        <v>1536</v>
      </c>
      <c r="C447" s="315">
        <v>5549.2</v>
      </c>
      <c r="D447" s="316" t="s">
        <v>1537</v>
      </c>
    </row>
    <row r="448" spans="1:4" x14ac:dyDescent="0.25">
      <c r="A448" s="314">
        <v>45843</v>
      </c>
      <c r="B448" s="16" t="s">
        <v>1542</v>
      </c>
      <c r="C448" s="315">
        <v>5820.82</v>
      </c>
      <c r="D448" s="316" t="s">
        <v>1537</v>
      </c>
    </row>
    <row r="449" spans="1:4" x14ac:dyDescent="0.25">
      <c r="A449" s="314">
        <v>45843</v>
      </c>
      <c r="B449" s="16" t="s">
        <v>1548</v>
      </c>
      <c r="C449" s="315">
        <v>-19880.67</v>
      </c>
      <c r="D449" s="316" t="s">
        <v>1539</v>
      </c>
    </row>
    <row r="450" spans="1:4" x14ac:dyDescent="0.25">
      <c r="A450" s="314">
        <v>45844</v>
      </c>
      <c r="B450" s="16" t="s">
        <v>1536</v>
      </c>
      <c r="C450" s="315">
        <v>6781.35</v>
      </c>
      <c r="D450" s="316" t="s">
        <v>1537</v>
      </c>
    </row>
    <row r="451" spans="1:4" x14ac:dyDescent="0.25">
      <c r="A451" s="314">
        <v>45844</v>
      </c>
      <c r="B451" s="16" t="s">
        <v>1542</v>
      </c>
      <c r="C451" s="315">
        <v>3093.18</v>
      </c>
      <c r="D451" s="316" t="s">
        <v>1537</v>
      </c>
    </row>
    <row r="452" spans="1:4" x14ac:dyDescent="0.25">
      <c r="A452" s="314">
        <v>45844</v>
      </c>
      <c r="B452" s="16" t="s">
        <v>1547</v>
      </c>
      <c r="C452" s="315">
        <v>-22925.94</v>
      </c>
      <c r="D452" s="316" t="s">
        <v>1539</v>
      </c>
    </row>
    <row r="453" spans="1:4" x14ac:dyDescent="0.25">
      <c r="A453" s="314">
        <v>45844</v>
      </c>
      <c r="B453" s="16" t="s">
        <v>1544</v>
      </c>
      <c r="C453" s="315">
        <v>10647.89</v>
      </c>
      <c r="D453" s="316" t="s">
        <v>1537</v>
      </c>
    </row>
    <row r="454" spans="1:4" x14ac:dyDescent="0.25">
      <c r="A454" s="314">
        <v>45845</v>
      </c>
      <c r="B454" s="16" t="s">
        <v>1538</v>
      </c>
      <c r="C454" s="315">
        <v>-15789.95</v>
      </c>
      <c r="D454" s="316" t="s">
        <v>1539</v>
      </c>
    </row>
    <row r="455" spans="1:4" x14ac:dyDescent="0.25">
      <c r="A455" s="314">
        <v>45845</v>
      </c>
      <c r="B455" s="16" t="s">
        <v>1544</v>
      </c>
      <c r="C455" s="315">
        <v>4384.29</v>
      </c>
      <c r="D455" s="316" t="s">
        <v>1537</v>
      </c>
    </row>
    <row r="456" spans="1:4" x14ac:dyDescent="0.25">
      <c r="A456" s="314">
        <v>45846</v>
      </c>
      <c r="B456" s="16" t="s">
        <v>1536</v>
      </c>
      <c r="C456" s="315">
        <v>11280.85</v>
      </c>
      <c r="D456" s="316" t="s">
        <v>1537</v>
      </c>
    </row>
    <row r="457" spans="1:4" x14ac:dyDescent="0.25">
      <c r="A457" s="314">
        <v>45846</v>
      </c>
      <c r="B457" s="16" t="s">
        <v>1544</v>
      </c>
      <c r="C457" s="315">
        <v>9631.62</v>
      </c>
      <c r="D457" s="316" t="s">
        <v>1537</v>
      </c>
    </row>
    <row r="458" spans="1:4" x14ac:dyDescent="0.25">
      <c r="A458" s="314">
        <v>45846</v>
      </c>
      <c r="B458" s="16" t="s">
        <v>1545</v>
      </c>
      <c r="C458" s="315">
        <v>11241.91</v>
      </c>
      <c r="D458" s="316" t="s">
        <v>1537</v>
      </c>
    </row>
    <row r="459" spans="1:4" x14ac:dyDescent="0.25">
      <c r="A459" s="314">
        <v>45847</v>
      </c>
      <c r="B459" s="16" t="s">
        <v>1536</v>
      </c>
      <c r="C459" s="315">
        <v>2561.22</v>
      </c>
      <c r="D459" s="316" t="s">
        <v>1537</v>
      </c>
    </row>
    <row r="460" spans="1:4" x14ac:dyDescent="0.25">
      <c r="A460" s="314">
        <v>45847</v>
      </c>
      <c r="B460" s="16" t="s">
        <v>1542</v>
      </c>
      <c r="C460" s="315">
        <v>10224.01</v>
      </c>
      <c r="D460" s="316" t="s">
        <v>1537</v>
      </c>
    </row>
    <row r="461" spans="1:4" x14ac:dyDescent="0.25">
      <c r="A461" s="314">
        <v>45847</v>
      </c>
      <c r="B461" s="16" t="s">
        <v>1544</v>
      </c>
      <c r="C461" s="315">
        <v>9402.97</v>
      </c>
      <c r="D461" s="316" t="s">
        <v>1537</v>
      </c>
    </row>
    <row r="462" spans="1:4" x14ac:dyDescent="0.25">
      <c r="A462" s="314">
        <v>45847</v>
      </c>
      <c r="B462" s="16" t="s">
        <v>1544</v>
      </c>
      <c r="C462" s="315">
        <v>9706.01</v>
      </c>
      <c r="D462" s="316" t="s">
        <v>1537</v>
      </c>
    </row>
    <row r="463" spans="1:4" x14ac:dyDescent="0.25">
      <c r="A463" s="314">
        <v>45847</v>
      </c>
      <c r="B463" s="16" t="s">
        <v>1548</v>
      </c>
      <c r="C463" s="315">
        <v>-2734.52</v>
      </c>
      <c r="D463" s="316" t="s">
        <v>1539</v>
      </c>
    </row>
    <row r="464" spans="1:4" x14ac:dyDescent="0.25">
      <c r="A464" s="314">
        <v>45848</v>
      </c>
      <c r="B464" s="16" t="s">
        <v>1547</v>
      </c>
      <c r="C464" s="315">
        <v>-8556.25</v>
      </c>
      <c r="D464" s="316" t="s">
        <v>1539</v>
      </c>
    </row>
    <row r="465" spans="1:4" x14ac:dyDescent="0.25">
      <c r="A465" s="314">
        <v>45848</v>
      </c>
      <c r="B465" s="16" t="s">
        <v>1544</v>
      </c>
      <c r="C465" s="315">
        <v>3677.78</v>
      </c>
      <c r="D465" s="316" t="s">
        <v>1537</v>
      </c>
    </row>
    <row r="466" spans="1:4" x14ac:dyDescent="0.25">
      <c r="A466" s="314">
        <v>45848</v>
      </c>
      <c r="B466" s="16" t="s">
        <v>1544</v>
      </c>
      <c r="C466" s="315">
        <v>9388.91</v>
      </c>
      <c r="D466" s="316" t="s">
        <v>1537</v>
      </c>
    </row>
    <row r="467" spans="1:4" x14ac:dyDescent="0.25">
      <c r="A467" s="314">
        <v>45849</v>
      </c>
      <c r="B467" s="16" t="s">
        <v>1542</v>
      </c>
      <c r="C467" s="315">
        <v>6630.96</v>
      </c>
      <c r="D467" s="316" t="s">
        <v>1537</v>
      </c>
    </row>
    <row r="468" spans="1:4" x14ac:dyDescent="0.25">
      <c r="A468" s="314">
        <v>45849</v>
      </c>
      <c r="B468" s="16" t="s">
        <v>1543</v>
      </c>
      <c r="C468" s="315">
        <v>11592.72</v>
      </c>
      <c r="D468" s="316" t="s">
        <v>1537</v>
      </c>
    </row>
    <row r="469" spans="1:4" x14ac:dyDescent="0.25">
      <c r="A469" s="314">
        <v>45850</v>
      </c>
      <c r="B469" s="16" t="s">
        <v>1538</v>
      </c>
      <c r="C469" s="315">
        <v>-16671.7</v>
      </c>
      <c r="D469" s="316" t="s">
        <v>1539</v>
      </c>
    </row>
    <row r="470" spans="1:4" x14ac:dyDescent="0.25">
      <c r="A470" s="314">
        <v>45850</v>
      </c>
      <c r="B470" s="16" t="s">
        <v>1542</v>
      </c>
      <c r="C470" s="315">
        <v>10230.43</v>
      </c>
      <c r="D470" s="316" t="s">
        <v>1537</v>
      </c>
    </row>
    <row r="471" spans="1:4" x14ac:dyDescent="0.25">
      <c r="A471" s="314">
        <v>45850</v>
      </c>
      <c r="B471" s="16" t="s">
        <v>1543</v>
      </c>
      <c r="C471" s="315">
        <v>2674.55</v>
      </c>
      <c r="D471" s="316" t="s">
        <v>1537</v>
      </c>
    </row>
    <row r="472" spans="1:4" x14ac:dyDescent="0.25">
      <c r="A472" s="314">
        <v>45850</v>
      </c>
      <c r="B472" s="16" t="s">
        <v>1544</v>
      </c>
      <c r="C472" s="315">
        <v>7073.46</v>
      </c>
      <c r="D472" s="316" t="s">
        <v>1537</v>
      </c>
    </row>
    <row r="473" spans="1:4" x14ac:dyDescent="0.25">
      <c r="A473" s="314">
        <v>45850</v>
      </c>
      <c r="B473" s="16" t="s">
        <v>1544</v>
      </c>
      <c r="C473" s="315">
        <v>7090.64</v>
      </c>
      <c r="D473" s="316" t="s">
        <v>1537</v>
      </c>
    </row>
    <row r="474" spans="1:4" x14ac:dyDescent="0.25">
      <c r="A474" s="314">
        <v>45851</v>
      </c>
      <c r="B474" s="16" t="s">
        <v>1546</v>
      </c>
      <c r="C474" s="315">
        <v>-24227.68</v>
      </c>
      <c r="D474" s="316" t="s">
        <v>1539</v>
      </c>
    </row>
    <row r="475" spans="1:4" x14ac:dyDescent="0.25">
      <c r="A475" s="314">
        <v>45851</v>
      </c>
      <c r="B475" s="16" t="s">
        <v>1545</v>
      </c>
      <c r="C475" s="315">
        <v>6352.04</v>
      </c>
      <c r="D475" s="316" t="s">
        <v>1537</v>
      </c>
    </row>
    <row r="476" spans="1:4" x14ac:dyDescent="0.25">
      <c r="A476" s="314">
        <v>45852</v>
      </c>
      <c r="B476" s="16" t="s">
        <v>1544</v>
      </c>
      <c r="C476" s="315">
        <v>11388.39</v>
      </c>
      <c r="D476" s="316" t="s">
        <v>1537</v>
      </c>
    </row>
    <row r="477" spans="1:4" x14ac:dyDescent="0.25">
      <c r="A477" s="314">
        <v>45853</v>
      </c>
      <c r="B477" s="16" t="s">
        <v>1538</v>
      </c>
      <c r="C477" s="315">
        <v>-23523.19</v>
      </c>
      <c r="D477" s="316" t="s">
        <v>1539</v>
      </c>
    </row>
    <row r="478" spans="1:4" x14ac:dyDescent="0.25">
      <c r="A478" s="314">
        <v>45853</v>
      </c>
      <c r="B478" s="16" t="s">
        <v>1540</v>
      </c>
      <c r="C478" s="315">
        <v>-6809.79</v>
      </c>
      <c r="D478" s="316" t="s">
        <v>1539</v>
      </c>
    </row>
    <row r="479" spans="1:4" x14ac:dyDescent="0.25">
      <c r="A479" s="314">
        <v>45853</v>
      </c>
      <c r="B479" s="16" t="s">
        <v>1549</v>
      </c>
      <c r="C479" s="315">
        <v>13753.86</v>
      </c>
      <c r="D479" s="316" t="s">
        <v>1550</v>
      </c>
    </row>
    <row r="480" spans="1:4" x14ac:dyDescent="0.25">
      <c r="A480" s="314">
        <v>45853</v>
      </c>
      <c r="B480" s="16" t="s">
        <v>1547</v>
      </c>
      <c r="C480" s="315">
        <v>-18931.24</v>
      </c>
      <c r="D480" s="316" t="s">
        <v>1539</v>
      </c>
    </row>
    <row r="481" spans="1:4" x14ac:dyDescent="0.25">
      <c r="A481" s="314">
        <v>45853</v>
      </c>
      <c r="B481" s="16" t="s">
        <v>1547</v>
      </c>
      <c r="C481" s="315">
        <v>-2996.21</v>
      </c>
      <c r="D481" s="316" t="s">
        <v>1539</v>
      </c>
    </row>
    <row r="482" spans="1:4" x14ac:dyDescent="0.25">
      <c r="A482" s="314">
        <v>45853</v>
      </c>
      <c r="B482" s="16" t="s">
        <v>1545</v>
      </c>
      <c r="C482" s="315">
        <v>3386.41</v>
      </c>
      <c r="D482" s="316" t="s">
        <v>1537</v>
      </c>
    </row>
    <row r="483" spans="1:4" x14ac:dyDescent="0.25">
      <c r="A483" s="314">
        <v>45855</v>
      </c>
      <c r="B483" s="16" t="s">
        <v>1548</v>
      </c>
      <c r="C483" s="315">
        <v>-16576.89</v>
      </c>
      <c r="D483" s="316" t="s">
        <v>1539</v>
      </c>
    </row>
    <row r="484" spans="1:4" x14ac:dyDescent="0.25">
      <c r="A484" s="314">
        <v>45855</v>
      </c>
      <c r="B484" s="16" t="s">
        <v>1545</v>
      </c>
      <c r="C484" s="315">
        <v>9871.31</v>
      </c>
      <c r="D484" s="316" t="s">
        <v>1537</v>
      </c>
    </row>
    <row r="485" spans="1:4" x14ac:dyDescent="0.25">
      <c r="A485" s="314">
        <v>45856</v>
      </c>
      <c r="B485" s="16" t="s">
        <v>1544</v>
      </c>
      <c r="C485" s="315">
        <v>8425.45</v>
      </c>
      <c r="D485" s="316" t="s">
        <v>1537</v>
      </c>
    </row>
    <row r="486" spans="1:4" x14ac:dyDescent="0.25">
      <c r="A486" s="314">
        <v>45857</v>
      </c>
      <c r="B486" s="16" t="s">
        <v>1540</v>
      </c>
      <c r="C486" s="315">
        <v>-6298.33</v>
      </c>
      <c r="D486" s="316" t="s">
        <v>1539</v>
      </c>
    </row>
    <row r="487" spans="1:4" x14ac:dyDescent="0.25">
      <c r="A487" s="314">
        <v>45857</v>
      </c>
      <c r="B487" s="16" t="s">
        <v>1543</v>
      </c>
      <c r="C487" s="315">
        <v>2843.02</v>
      </c>
      <c r="D487" s="316" t="s">
        <v>1537</v>
      </c>
    </row>
    <row r="488" spans="1:4" x14ac:dyDescent="0.25">
      <c r="A488" s="314">
        <v>45858</v>
      </c>
      <c r="B488" s="16" t="s">
        <v>1541</v>
      </c>
      <c r="C488" s="315">
        <v>-5227.65</v>
      </c>
      <c r="D488" s="316" t="s">
        <v>1539</v>
      </c>
    </row>
    <row r="489" spans="1:4" x14ac:dyDescent="0.25">
      <c r="A489" s="314">
        <v>45859</v>
      </c>
      <c r="B489" s="16" t="s">
        <v>1536</v>
      </c>
      <c r="C489" s="315">
        <v>9847.75</v>
      </c>
      <c r="D489" s="316" t="s">
        <v>1537</v>
      </c>
    </row>
    <row r="490" spans="1:4" x14ac:dyDescent="0.25">
      <c r="A490" s="314">
        <v>45859</v>
      </c>
      <c r="B490" s="16" t="s">
        <v>1536</v>
      </c>
      <c r="C490" s="315">
        <v>9955.99</v>
      </c>
      <c r="D490" s="316" t="s">
        <v>1537</v>
      </c>
    </row>
    <row r="491" spans="1:4" x14ac:dyDescent="0.25">
      <c r="A491" s="314">
        <v>45859</v>
      </c>
      <c r="B491" s="16" t="s">
        <v>1538</v>
      </c>
      <c r="C491" s="315">
        <v>-17462.02</v>
      </c>
      <c r="D491" s="316" t="s">
        <v>1539</v>
      </c>
    </row>
    <row r="492" spans="1:4" x14ac:dyDescent="0.25">
      <c r="A492" s="314">
        <v>45859</v>
      </c>
      <c r="B492" s="16" t="s">
        <v>1543</v>
      </c>
      <c r="C492" s="315">
        <v>3613.87</v>
      </c>
      <c r="D492" s="316" t="s">
        <v>1537</v>
      </c>
    </row>
    <row r="493" spans="1:4" x14ac:dyDescent="0.25">
      <c r="A493" s="314">
        <v>45859</v>
      </c>
      <c r="B493" s="16" t="s">
        <v>1544</v>
      </c>
      <c r="C493" s="315">
        <v>3965.82</v>
      </c>
      <c r="D493" s="316" t="s">
        <v>1537</v>
      </c>
    </row>
    <row r="494" spans="1:4" x14ac:dyDescent="0.25">
      <c r="A494" s="314">
        <v>45860</v>
      </c>
      <c r="B494" s="16" t="s">
        <v>1538</v>
      </c>
      <c r="C494" s="315">
        <v>-24339.46</v>
      </c>
      <c r="D494" s="316" t="s">
        <v>1539</v>
      </c>
    </row>
    <row r="495" spans="1:4" x14ac:dyDescent="0.25">
      <c r="A495" s="314">
        <v>45860</v>
      </c>
      <c r="B495" s="16" t="s">
        <v>1542</v>
      </c>
      <c r="C495" s="315">
        <v>3308.54</v>
      </c>
      <c r="D495" s="316" t="s">
        <v>1537</v>
      </c>
    </row>
    <row r="496" spans="1:4" x14ac:dyDescent="0.25">
      <c r="A496" s="314">
        <v>45860</v>
      </c>
      <c r="B496" s="16" t="s">
        <v>1542</v>
      </c>
      <c r="C496" s="315">
        <v>11903.57</v>
      </c>
      <c r="D496" s="316" t="s">
        <v>1537</v>
      </c>
    </row>
    <row r="497" spans="1:4" x14ac:dyDescent="0.25">
      <c r="A497" s="314">
        <v>45860</v>
      </c>
      <c r="B497" s="16" t="s">
        <v>1540</v>
      </c>
      <c r="C497" s="315">
        <v>-4843.26</v>
      </c>
      <c r="D497" s="316" t="s">
        <v>1539</v>
      </c>
    </row>
    <row r="498" spans="1:4" x14ac:dyDescent="0.25">
      <c r="A498" s="314">
        <v>45861</v>
      </c>
      <c r="B498" s="16" t="s">
        <v>1538</v>
      </c>
      <c r="C498" s="315">
        <v>-1649.21</v>
      </c>
      <c r="D498" s="316" t="s">
        <v>1539</v>
      </c>
    </row>
    <row r="499" spans="1:4" x14ac:dyDescent="0.25">
      <c r="A499" s="314">
        <v>45862</v>
      </c>
      <c r="B499" s="16" t="s">
        <v>1542</v>
      </c>
      <c r="C499" s="315">
        <v>7166.77</v>
      </c>
      <c r="D499" s="316" t="s">
        <v>1537</v>
      </c>
    </row>
    <row r="500" spans="1:4" x14ac:dyDescent="0.25">
      <c r="A500" s="314">
        <v>45862</v>
      </c>
      <c r="B500" s="16" t="s">
        <v>1541</v>
      </c>
      <c r="C500" s="315">
        <v>-7339.68</v>
      </c>
      <c r="D500" s="316" t="s">
        <v>1539</v>
      </c>
    </row>
    <row r="501" spans="1:4" x14ac:dyDescent="0.25">
      <c r="A501" s="314">
        <v>45862</v>
      </c>
      <c r="B501" s="16" t="s">
        <v>1543</v>
      </c>
      <c r="C501" s="315">
        <v>6969.22</v>
      </c>
      <c r="D501" s="316" t="s">
        <v>1537</v>
      </c>
    </row>
    <row r="502" spans="1:4" x14ac:dyDescent="0.25">
      <c r="A502" s="314">
        <v>45862</v>
      </c>
      <c r="B502" s="16" t="s">
        <v>1543</v>
      </c>
      <c r="C502" s="315">
        <v>11650.85</v>
      </c>
      <c r="D502" s="316" t="s">
        <v>1537</v>
      </c>
    </row>
    <row r="503" spans="1:4" x14ac:dyDescent="0.25">
      <c r="A503" s="314">
        <v>45862</v>
      </c>
      <c r="B503" s="16" t="s">
        <v>1543</v>
      </c>
      <c r="C503" s="315">
        <v>12048.58</v>
      </c>
      <c r="D503" s="316" t="s">
        <v>1537</v>
      </c>
    </row>
    <row r="504" spans="1:4" x14ac:dyDescent="0.25">
      <c r="A504" s="314">
        <v>45862</v>
      </c>
      <c r="B504" s="16" t="s">
        <v>1548</v>
      </c>
      <c r="C504" s="315">
        <v>-23656.99</v>
      </c>
      <c r="D504" s="316" t="s">
        <v>1539</v>
      </c>
    </row>
    <row r="505" spans="1:4" x14ac:dyDescent="0.25">
      <c r="A505" s="314">
        <v>45864</v>
      </c>
      <c r="B505" s="16" t="s">
        <v>1542</v>
      </c>
      <c r="C505" s="315">
        <v>2938.43</v>
      </c>
      <c r="D505" s="316" t="s">
        <v>1537</v>
      </c>
    </row>
    <row r="506" spans="1:4" x14ac:dyDescent="0.25">
      <c r="A506" s="314">
        <v>45865</v>
      </c>
      <c r="B506" s="16" t="s">
        <v>1538</v>
      </c>
      <c r="C506" s="315">
        <v>-5604.03</v>
      </c>
      <c r="D506" s="316" t="s">
        <v>1539</v>
      </c>
    </row>
    <row r="507" spans="1:4" x14ac:dyDescent="0.25">
      <c r="A507" s="314">
        <v>45866</v>
      </c>
      <c r="B507" s="16" t="s">
        <v>1536</v>
      </c>
      <c r="C507" s="315">
        <v>2425.25</v>
      </c>
      <c r="D507" s="316" t="s">
        <v>1537</v>
      </c>
    </row>
    <row r="508" spans="1:4" x14ac:dyDescent="0.25">
      <c r="A508" s="314">
        <v>45866</v>
      </c>
      <c r="B508" s="16" t="s">
        <v>1541</v>
      </c>
      <c r="C508" s="315">
        <v>-19011.9</v>
      </c>
      <c r="D508" s="316" t="s">
        <v>1539</v>
      </c>
    </row>
    <row r="509" spans="1:4" x14ac:dyDescent="0.25">
      <c r="A509" s="314">
        <v>45870</v>
      </c>
      <c r="B509" s="16" t="s">
        <v>1536</v>
      </c>
      <c r="C509" s="315">
        <v>7941.54</v>
      </c>
      <c r="D509" s="316" t="s">
        <v>1537</v>
      </c>
    </row>
    <row r="510" spans="1:4" x14ac:dyDescent="0.25">
      <c r="A510" s="314">
        <v>45870</v>
      </c>
      <c r="B510" s="16" t="s">
        <v>1542</v>
      </c>
      <c r="C510" s="315">
        <v>3524.09</v>
      </c>
      <c r="D510" s="316" t="s">
        <v>1537</v>
      </c>
    </row>
    <row r="511" spans="1:4" x14ac:dyDescent="0.25">
      <c r="A511" s="314">
        <v>45870</v>
      </c>
      <c r="B511" s="16" t="s">
        <v>1544</v>
      </c>
      <c r="C511" s="315">
        <v>3161.59</v>
      </c>
      <c r="D511" s="316" t="s">
        <v>1537</v>
      </c>
    </row>
    <row r="512" spans="1:4" x14ac:dyDescent="0.25">
      <c r="A512" s="314">
        <v>45871</v>
      </c>
      <c r="B512" s="16" t="s">
        <v>1543</v>
      </c>
      <c r="C512" s="315">
        <v>9753.99</v>
      </c>
      <c r="D512" s="316" t="s">
        <v>1537</v>
      </c>
    </row>
    <row r="513" spans="1:4" x14ac:dyDescent="0.25">
      <c r="A513" s="314">
        <v>45872</v>
      </c>
      <c r="B513" s="16" t="s">
        <v>1544</v>
      </c>
      <c r="C513" s="315">
        <v>12011.58</v>
      </c>
      <c r="D513" s="316" t="s">
        <v>1537</v>
      </c>
    </row>
    <row r="514" spans="1:4" x14ac:dyDescent="0.25">
      <c r="A514" s="314">
        <v>45873</v>
      </c>
      <c r="B514" s="16" t="s">
        <v>1543</v>
      </c>
      <c r="C514" s="315">
        <v>11800.83</v>
      </c>
      <c r="D514" s="316" t="s">
        <v>1537</v>
      </c>
    </row>
    <row r="515" spans="1:4" x14ac:dyDescent="0.25">
      <c r="A515" s="314">
        <v>45873</v>
      </c>
      <c r="B515" s="16" t="s">
        <v>1545</v>
      </c>
      <c r="C515" s="315">
        <v>4495.9</v>
      </c>
      <c r="D515" s="316" t="s">
        <v>1537</v>
      </c>
    </row>
    <row r="516" spans="1:4" x14ac:dyDescent="0.25">
      <c r="A516" s="314">
        <v>45874</v>
      </c>
      <c r="B516" s="16" t="s">
        <v>1538</v>
      </c>
      <c r="C516" s="315">
        <v>-15461.08</v>
      </c>
      <c r="D516" s="316" t="s">
        <v>1539</v>
      </c>
    </row>
    <row r="517" spans="1:4" x14ac:dyDescent="0.25">
      <c r="A517" s="314">
        <v>45874</v>
      </c>
      <c r="B517" s="16" t="s">
        <v>1540</v>
      </c>
      <c r="C517" s="315">
        <v>-20179.86</v>
      </c>
      <c r="D517" s="316" t="s">
        <v>1539</v>
      </c>
    </row>
    <row r="518" spans="1:4" x14ac:dyDescent="0.25">
      <c r="A518" s="314">
        <v>45874</v>
      </c>
      <c r="B518" s="16" t="s">
        <v>1541</v>
      </c>
      <c r="C518" s="315">
        <v>-17059.35</v>
      </c>
      <c r="D518" s="316" t="s">
        <v>1539</v>
      </c>
    </row>
    <row r="519" spans="1:4" x14ac:dyDescent="0.25">
      <c r="A519" s="314">
        <v>45874</v>
      </c>
      <c r="B519" s="16" t="s">
        <v>1543</v>
      </c>
      <c r="C519" s="315">
        <v>5448.93</v>
      </c>
      <c r="D519" s="316" t="s">
        <v>1537</v>
      </c>
    </row>
    <row r="520" spans="1:4" x14ac:dyDescent="0.25">
      <c r="A520" s="314">
        <v>45875</v>
      </c>
      <c r="B520" s="16" t="s">
        <v>1536</v>
      </c>
      <c r="C520" s="315">
        <v>2339.17</v>
      </c>
      <c r="D520" s="316" t="s">
        <v>1537</v>
      </c>
    </row>
    <row r="521" spans="1:4" x14ac:dyDescent="0.25">
      <c r="A521" s="314">
        <v>45876</v>
      </c>
      <c r="B521" s="16" t="s">
        <v>1542</v>
      </c>
      <c r="C521" s="315">
        <v>11638.47</v>
      </c>
      <c r="D521" s="316" t="s">
        <v>1537</v>
      </c>
    </row>
    <row r="522" spans="1:4" x14ac:dyDescent="0.25">
      <c r="A522" s="314">
        <v>45876</v>
      </c>
      <c r="B522" s="16" t="s">
        <v>1543</v>
      </c>
      <c r="C522" s="315">
        <v>11451.27</v>
      </c>
      <c r="D522" s="316" t="s">
        <v>1537</v>
      </c>
    </row>
    <row r="523" spans="1:4" x14ac:dyDescent="0.25">
      <c r="A523" s="314">
        <v>45876</v>
      </c>
      <c r="B523" s="16" t="s">
        <v>1547</v>
      </c>
      <c r="C523" s="315">
        <v>-16492.55</v>
      </c>
      <c r="D523" s="316" t="s">
        <v>1539</v>
      </c>
    </row>
    <row r="524" spans="1:4" x14ac:dyDescent="0.25">
      <c r="A524" s="314">
        <v>45876</v>
      </c>
      <c r="B524" s="16" t="s">
        <v>1544</v>
      </c>
      <c r="C524" s="315">
        <v>11134.32</v>
      </c>
      <c r="D524" s="316" t="s">
        <v>1537</v>
      </c>
    </row>
    <row r="525" spans="1:4" x14ac:dyDescent="0.25">
      <c r="A525" s="314">
        <v>45876</v>
      </c>
      <c r="B525" s="16" t="s">
        <v>1545</v>
      </c>
      <c r="C525" s="315">
        <v>9730.56</v>
      </c>
      <c r="D525" s="316" t="s">
        <v>1537</v>
      </c>
    </row>
    <row r="526" spans="1:4" x14ac:dyDescent="0.25">
      <c r="A526" s="314">
        <v>45877</v>
      </c>
      <c r="B526" s="16" t="s">
        <v>1538</v>
      </c>
      <c r="C526" s="315">
        <v>-6001.98</v>
      </c>
      <c r="D526" s="316" t="s">
        <v>1539</v>
      </c>
    </row>
    <row r="527" spans="1:4" x14ac:dyDescent="0.25">
      <c r="A527" s="314">
        <v>45877</v>
      </c>
      <c r="B527" s="16" t="s">
        <v>1541</v>
      </c>
      <c r="C527" s="315">
        <v>-5396.09</v>
      </c>
      <c r="D527" s="316" t="s">
        <v>1539</v>
      </c>
    </row>
    <row r="528" spans="1:4" x14ac:dyDescent="0.25">
      <c r="A528" s="314">
        <v>45877</v>
      </c>
      <c r="B528" s="16" t="s">
        <v>1548</v>
      </c>
      <c r="C528" s="315">
        <v>-9174.22</v>
      </c>
      <c r="D528" s="316" t="s">
        <v>1539</v>
      </c>
    </row>
    <row r="529" spans="1:4" x14ac:dyDescent="0.25">
      <c r="A529" s="314">
        <v>45878</v>
      </c>
      <c r="B529" s="16" t="s">
        <v>1543</v>
      </c>
      <c r="C529" s="315">
        <v>9204.43</v>
      </c>
      <c r="D529" s="316" t="s">
        <v>1537</v>
      </c>
    </row>
    <row r="530" spans="1:4" x14ac:dyDescent="0.25">
      <c r="A530" s="314">
        <v>45878</v>
      </c>
      <c r="B530" s="16" t="s">
        <v>1544</v>
      </c>
      <c r="C530" s="315">
        <v>9247.36</v>
      </c>
      <c r="D530" s="316" t="s">
        <v>1537</v>
      </c>
    </row>
    <row r="531" spans="1:4" x14ac:dyDescent="0.25">
      <c r="A531" s="314">
        <v>45879</v>
      </c>
      <c r="B531" s="16" t="s">
        <v>1542</v>
      </c>
      <c r="C531" s="315">
        <v>11418.06</v>
      </c>
      <c r="D531" s="316" t="s">
        <v>1537</v>
      </c>
    </row>
    <row r="532" spans="1:4" x14ac:dyDescent="0.25">
      <c r="A532" s="314">
        <v>45879</v>
      </c>
      <c r="B532" s="16" t="s">
        <v>1540</v>
      </c>
      <c r="C532" s="315">
        <v>-23549.8</v>
      </c>
      <c r="D532" s="316" t="s">
        <v>1539</v>
      </c>
    </row>
    <row r="533" spans="1:4" x14ac:dyDescent="0.25">
      <c r="A533" s="314">
        <v>45879</v>
      </c>
      <c r="B533" s="16" t="s">
        <v>1546</v>
      </c>
      <c r="C533" s="315">
        <v>-11559.43</v>
      </c>
      <c r="D533" s="316" t="s">
        <v>1539</v>
      </c>
    </row>
    <row r="534" spans="1:4" x14ac:dyDescent="0.25">
      <c r="A534" s="314">
        <v>45879</v>
      </c>
      <c r="B534" s="16" t="s">
        <v>1543</v>
      </c>
      <c r="C534" s="315">
        <v>12154.59</v>
      </c>
      <c r="D534" s="316" t="s">
        <v>1537</v>
      </c>
    </row>
    <row r="535" spans="1:4" x14ac:dyDescent="0.25">
      <c r="A535" s="314">
        <v>45879</v>
      </c>
      <c r="B535" s="16" t="s">
        <v>1548</v>
      </c>
      <c r="C535" s="315">
        <v>-20923.32</v>
      </c>
      <c r="D535" s="316" t="s">
        <v>1539</v>
      </c>
    </row>
    <row r="536" spans="1:4" x14ac:dyDescent="0.25">
      <c r="A536" s="314">
        <v>45880</v>
      </c>
      <c r="B536" s="16" t="s">
        <v>1536</v>
      </c>
      <c r="C536" s="315">
        <v>8563.75</v>
      </c>
      <c r="D536" s="316" t="s">
        <v>1537</v>
      </c>
    </row>
    <row r="537" spans="1:4" x14ac:dyDescent="0.25">
      <c r="A537" s="314">
        <v>45880</v>
      </c>
      <c r="B537" s="16" t="s">
        <v>1540</v>
      </c>
      <c r="C537" s="315">
        <v>-7579.17</v>
      </c>
      <c r="D537" s="316" t="s">
        <v>1539</v>
      </c>
    </row>
    <row r="538" spans="1:4" x14ac:dyDescent="0.25">
      <c r="A538" s="314">
        <v>45880</v>
      </c>
      <c r="B538" s="16" t="s">
        <v>1544</v>
      </c>
      <c r="C538" s="315">
        <v>10718.51</v>
      </c>
      <c r="D538" s="316" t="s">
        <v>1537</v>
      </c>
    </row>
    <row r="539" spans="1:4" x14ac:dyDescent="0.25">
      <c r="A539" s="314">
        <v>45881</v>
      </c>
      <c r="B539" s="16" t="s">
        <v>1536</v>
      </c>
      <c r="C539" s="315">
        <v>4247.01</v>
      </c>
      <c r="D539" s="316" t="s">
        <v>1537</v>
      </c>
    </row>
    <row r="540" spans="1:4" x14ac:dyDescent="0.25">
      <c r="A540" s="314">
        <v>45881</v>
      </c>
      <c r="B540" s="16" t="s">
        <v>1538</v>
      </c>
      <c r="C540" s="315">
        <v>-9176.51</v>
      </c>
      <c r="D540" s="316" t="s">
        <v>1539</v>
      </c>
    </row>
    <row r="541" spans="1:4" x14ac:dyDescent="0.25">
      <c r="A541" s="314">
        <v>45881</v>
      </c>
      <c r="B541" s="16" t="s">
        <v>1542</v>
      </c>
      <c r="C541" s="315">
        <v>8919.83</v>
      </c>
      <c r="D541" s="316" t="s">
        <v>1537</v>
      </c>
    </row>
    <row r="542" spans="1:4" x14ac:dyDescent="0.25">
      <c r="A542" s="314">
        <v>45881</v>
      </c>
      <c r="B542" s="16" t="s">
        <v>1544</v>
      </c>
      <c r="C542" s="315">
        <v>8596.55</v>
      </c>
      <c r="D542" s="316" t="s">
        <v>1537</v>
      </c>
    </row>
    <row r="543" spans="1:4" x14ac:dyDescent="0.25">
      <c r="A543" s="314">
        <v>45882</v>
      </c>
      <c r="B543" s="16" t="s">
        <v>1541</v>
      </c>
      <c r="C543" s="315">
        <v>-22458.28</v>
      </c>
      <c r="D543" s="316" t="s">
        <v>1539</v>
      </c>
    </row>
    <row r="544" spans="1:4" x14ac:dyDescent="0.25">
      <c r="A544" s="314">
        <v>45884</v>
      </c>
      <c r="B544" s="16" t="s">
        <v>1549</v>
      </c>
      <c r="C544" s="315">
        <v>19158.05</v>
      </c>
      <c r="D544" s="316" t="s">
        <v>1550</v>
      </c>
    </row>
    <row r="545" spans="1:4" x14ac:dyDescent="0.25">
      <c r="A545" s="314">
        <v>45884</v>
      </c>
      <c r="B545" s="16" t="s">
        <v>1548</v>
      </c>
      <c r="C545" s="315">
        <v>-22300.45</v>
      </c>
      <c r="D545" s="316" t="s">
        <v>1539</v>
      </c>
    </row>
    <row r="546" spans="1:4" x14ac:dyDescent="0.25">
      <c r="A546" s="314">
        <v>45884</v>
      </c>
      <c r="B546" s="16" t="s">
        <v>1548</v>
      </c>
      <c r="C546" s="315">
        <v>-19675.73</v>
      </c>
      <c r="D546" s="316" t="s">
        <v>1539</v>
      </c>
    </row>
    <row r="547" spans="1:4" x14ac:dyDescent="0.25">
      <c r="A547" s="314">
        <v>45885</v>
      </c>
      <c r="B547" s="16" t="s">
        <v>1543</v>
      </c>
      <c r="C547" s="315">
        <v>2358.03</v>
      </c>
      <c r="D547" s="316" t="s">
        <v>1537</v>
      </c>
    </row>
    <row r="548" spans="1:4" x14ac:dyDescent="0.25">
      <c r="A548" s="314">
        <v>45885</v>
      </c>
      <c r="B548" s="16" t="s">
        <v>1543</v>
      </c>
      <c r="C548" s="315">
        <v>11135.55</v>
      </c>
      <c r="D548" s="316" t="s">
        <v>1537</v>
      </c>
    </row>
    <row r="549" spans="1:4" x14ac:dyDescent="0.25">
      <c r="A549" s="314">
        <v>45885</v>
      </c>
      <c r="B549" s="16" t="s">
        <v>1544</v>
      </c>
      <c r="C549" s="315">
        <v>9202.18</v>
      </c>
      <c r="D549" s="316" t="s">
        <v>1537</v>
      </c>
    </row>
    <row r="550" spans="1:4" x14ac:dyDescent="0.25">
      <c r="A550" s="314">
        <v>45885</v>
      </c>
      <c r="B550" s="16" t="s">
        <v>1545</v>
      </c>
      <c r="C550" s="315">
        <v>2491.19</v>
      </c>
      <c r="D550" s="316" t="s">
        <v>1537</v>
      </c>
    </row>
    <row r="551" spans="1:4" x14ac:dyDescent="0.25">
      <c r="A551" s="314">
        <v>45886</v>
      </c>
      <c r="B551" s="16" t="s">
        <v>1536</v>
      </c>
      <c r="C551" s="315">
        <v>9253.66</v>
      </c>
      <c r="D551" s="316" t="s">
        <v>1537</v>
      </c>
    </row>
    <row r="552" spans="1:4" x14ac:dyDescent="0.25">
      <c r="A552" s="314">
        <v>45886</v>
      </c>
      <c r="B552" s="16" t="s">
        <v>1546</v>
      </c>
      <c r="C552" s="315">
        <v>-5281.72</v>
      </c>
      <c r="D552" s="316" t="s">
        <v>1539</v>
      </c>
    </row>
    <row r="553" spans="1:4" x14ac:dyDescent="0.25">
      <c r="A553" s="314">
        <v>45886</v>
      </c>
      <c r="B553" s="16" t="s">
        <v>1543</v>
      </c>
      <c r="C553" s="315">
        <v>5234.47</v>
      </c>
      <c r="D553" s="316" t="s">
        <v>1537</v>
      </c>
    </row>
    <row r="554" spans="1:4" x14ac:dyDescent="0.25">
      <c r="A554" s="314">
        <v>45887</v>
      </c>
      <c r="B554" s="16" t="s">
        <v>1538</v>
      </c>
      <c r="C554" s="315">
        <v>-5520.96</v>
      </c>
      <c r="D554" s="316" t="s">
        <v>1539</v>
      </c>
    </row>
    <row r="555" spans="1:4" x14ac:dyDescent="0.25">
      <c r="A555" s="314">
        <v>45887</v>
      </c>
      <c r="B555" s="16" t="s">
        <v>1544</v>
      </c>
      <c r="C555" s="315">
        <v>2863.9</v>
      </c>
      <c r="D555" s="316" t="s">
        <v>1537</v>
      </c>
    </row>
    <row r="556" spans="1:4" x14ac:dyDescent="0.25">
      <c r="A556" s="314">
        <v>45888</v>
      </c>
      <c r="B556" s="16" t="s">
        <v>1542</v>
      </c>
      <c r="C556" s="315">
        <v>3552.47</v>
      </c>
      <c r="D556" s="316" t="s">
        <v>1537</v>
      </c>
    </row>
    <row r="557" spans="1:4" x14ac:dyDescent="0.25">
      <c r="A557" s="314">
        <v>45888</v>
      </c>
      <c r="B557" s="16" t="s">
        <v>1540</v>
      </c>
      <c r="C557" s="315">
        <v>-4462.34</v>
      </c>
      <c r="D557" s="316" t="s">
        <v>1539</v>
      </c>
    </row>
    <row r="558" spans="1:4" x14ac:dyDescent="0.25">
      <c r="A558" s="314">
        <v>45889</v>
      </c>
      <c r="B558" s="16" t="s">
        <v>1540</v>
      </c>
      <c r="C558" s="315">
        <v>-18498.4</v>
      </c>
      <c r="D558" s="316" t="s">
        <v>1539</v>
      </c>
    </row>
    <row r="559" spans="1:4" x14ac:dyDescent="0.25">
      <c r="A559" s="314">
        <v>45889</v>
      </c>
      <c r="B559" s="16" t="s">
        <v>1543</v>
      </c>
      <c r="C559" s="315">
        <v>6569.12</v>
      </c>
      <c r="D559" s="316" t="s">
        <v>1537</v>
      </c>
    </row>
    <row r="560" spans="1:4" x14ac:dyDescent="0.25">
      <c r="A560" s="314">
        <v>45890</v>
      </c>
      <c r="B560" s="16" t="s">
        <v>1540</v>
      </c>
      <c r="C560" s="315">
        <v>-23682.12</v>
      </c>
      <c r="D560" s="316" t="s">
        <v>1539</v>
      </c>
    </row>
    <row r="561" spans="1:4" x14ac:dyDescent="0.25">
      <c r="A561" s="314">
        <v>45890</v>
      </c>
      <c r="B561" s="16" t="s">
        <v>1546</v>
      </c>
      <c r="C561" s="315">
        <v>-9857</v>
      </c>
      <c r="D561" s="316" t="s">
        <v>1539</v>
      </c>
    </row>
    <row r="562" spans="1:4" x14ac:dyDescent="0.25">
      <c r="A562" s="314">
        <v>45890</v>
      </c>
      <c r="B562" s="16" t="s">
        <v>1547</v>
      </c>
      <c r="C562" s="315">
        <v>-13021.86</v>
      </c>
      <c r="D562" s="316" t="s">
        <v>1539</v>
      </c>
    </row>
    <row r="563" spans="1:4" x14ac:dyDescent="0.25">
      <c r="A563" s="314">
        <v>45890</v>
      </c>
      <c r="B563" s="16" t="s">
        <v>1547</v>
      </c>
      <c r="C563" s="315">
        <v>-10240.82</v>
      </c>
      <c r="D563" s="316" t="s">
        <v>1539</v>
      </c>
    </row>
    <row r="564" spans="1:4" x14ac:dyDescent="0.25">
      <c r="A564" s="314">
        <v>45891</v>
      </c>
      <c r="B564" s="16" t="s">
        <v>1543</v>
      </c>
      <c r="C564" s="315">
        <v>2218.81</v>
      </c>
      <c r="D564" s="316" t="s">
        <v>1537</v>
      </c>
    </row>
    <row r="565" spans="1:4" x14ac:dyDescent="0.25">
      <c r="A565" s="314">
        <v>45891</v>
      </c>
      <c r="B565" s="16" t="s">
        <v>1547</v>
      </c>
      <c r="C565" s="315">
        <v>-6092.65</v>
      </c>
      <c r="D565" s="316" t="s">
        <v>1539</v>
      </c>
    </row>
    <row r="566" spans="1:4" x14ac:dyDescent="0.25">
      <c r="A566" s="314">
        <v>45892</v>
      </c>
      <c r="B566" s="16" t="s">
        <v>1538</v>
      </c>
      <c r="C566" s="315">
        <v>-19992.93</v>
      </c>
      <c r="D566" s="316" t="s">
        <v>1539</v>
      </c>
    </row>
    <row r="567" spans="1:4" x14ac:dyDescent="0.25">
      <c r="A567" s="314">
        <v>45892</v>
      </c>
      <c r="B567" s="16" t="s">
        <v>1538</v>
      </c>
      <c r="C567" s="315">
        <v>-16688.05</v>
      </c>
      <c r="D567" s="316" t="s">
        <v>1539</v>
      </c>
    </row>
    <row r="568" spans="1:4" x14ac:dyDescent="0.25">
      <c r="A568" s="314">
        <v>45892</v>
      </c>
      <c r="B568" s="16" t="s">
        <v>1542</v>
      </c>
      <c r="C568" s="315">
        <v>6901.89</v>
      </c>
      <c r="D568" s="316" t="s">
        <v>1537</v>
      </c>
    </row>
    <row r="569" spans="1:4" x14ac:dyDescent="0.25">
      <c r="A569" s="314">
        <v>45892</v>
      </c>
      <c r="B569" s="16" t="s">
        <v>1543</v>
      </c>
      <c r="C569" s="315">
        <v>8480.51</v>
      </c>
      <c r="D569" s="316" t="s">
        <v>1537</v>
      </c>
    </row>
    <row r="570" spans="1:4" x14ac:dyDescent="0.25">
      <c r="A570" s="314">
        <v>45893</v>
      </c>
      <c r="B570" s="16" t="s">
        <v>1546</v>
      </c>
      <c r="C570" s="315">
        <v>-11720.69</v>
      </c>
      <c r="D570" s="316" t="s">
        <v>1539</v>
      </c>
    </row>
    <row r="571" spans="1:4" x14ac:dyDescent="0.25">
      <c r="A571" s="314">
        <v>45893</v>
      </c>
      <c r="B571" s="16" t="s">
        <v>1546</v>
      </c>
      <c r="C571" s="315">
        <v>-5484.44</v>
      </c>
      <c r="D571" s="316" t="s">
        <v>1539</v>
      </c>
    </row>
    <row r="572" spans="1:4" x14ac:dyDescent="0.25">
      <c r="A572" s="314">
        <v>45893</v>
      </c>
      <c r="B572" s="16" t="s">
        <v>1543</v>
      </c>
      <c r="C572" s="315">
        <v>8680.31</v>
      </c>
      <c r="D572" s="316" t="s">
        <v>1537</v>
      </c>
    </row>
    <row r="573" spans="1:4" x14ac:dyDescent="0.25">
      <c r="A573" s="314">
        <v>45893</v>
      </c>
      <c r="B573" s="16" t="s">
        <v>1547</v>
      </c>
      <c r="C573" s="315">
        <v>-11420.05</v>
      </c>
      <c r="D573" s="316" t="s">
        <v>1539</v>
      </c>
    </row>
    <row r="574" spans="1:4" x14ac:dyDescent="0.25">
      <c r="A574" s="314">
        <v>45893</v>
      </c>
      <c r="B574" s="16" t="s">
        <v>1547</v>
      </c>
      <c r="C574" s="315">
        <v>-5368.14</v>
      </c>
      <c r="D574" s="316" t="s">
        <v>1539</v>
      </c>
    </row>
    <row r="575" spans="1:4" x14ac:dyDescent="0.25">
      <c r="A575" s="314">
        <v>45894</v>
      </c>
      <c r="B575" s="16" t="s">
        <v>1542</v>
      </c>
      <c r="C575" s="315">
        <v>4298.86</v>
      </c>
      <c r="D575" s="316" t="s">
        <v>1537</v>
      </c>
    </row>
    <row r="576" spans="1:4" x14ac:dyDescent="0.25">
      <c r="A576" s="314">
        <v>45894</v>
      </c>
      <c r="B576" s="16" t="s">
        <v>1543</v>
      </c>
      <c r="C576" s="315">
        <v>5617.07</v>
      </c>
      <c r="D576" s="316" t="s">
        <v>1537</v>
      </c>
    </row>
    <row r="577" spans="1:4" x14ac:dyDescent="0.25">
      <c r="A577" s="314">
        <v>45895</v>
      </c>
      <c r="B577" s="16" t="s">
        <v>1536</v>
      </c>
      <c r="C577" s="315">
        <v>9532.06</v>
      </c>
      <c r="D577" s="316" t="s">
        <v>1537</v>
      </c>
    </row>
    <row r="578" spans="1:4" x14ac:dyDescent="0.25">
      <c r="A578" s="314">
        <v>45895</v>
      </c>
      <c r="B578" s="16" t="s">
        <v>1545</v>
      </c>
      <c r="C578" s="315">
        <v>4527.43</v>
      </c>
      <c r="D578" s="316" t="s">
        <v>1537</v>
      </c>
    </row>
    <row r="579" spans="1:4" x14ac:dyDescent="0.25">
      <c r="A579" s="314">
        <v>45896</v>
      </c>
      <c r="B579" s="16" t="s">
        <v>1542</v>
      </c>
      <c r="C579" s="315">
        <v>5431.58</v>
      </c>
      <c r="D579" s="316" t="s">
        <v>1537</v>
      </c>
    </row>
    <row r="580" spans="1:4" x14ac:dyDescent="0.25">
      <c r="A580" s="314">
        <v>45897</v>
      </c>
      <c r="B580" s="16" t="s">
        <v>1536</v>
      </c>
      <c r="C580" s="315">
        <v>4746</v>
      </c>
      <c r="D580" s="316" t="s">
        <v>1537</v>
      </c>
    </row>
    <row r="581" spans="1:4" x14ac:dyDescent="0.25">
      <c r="A581" s="314">
        <v>45897</v>
      </c>
      <c r="B581" s="16" t="s">
        <v>1542</v>
      </c>
      <c r="C581" s="315">
        <v>10902.13</v>
      </c>
      <c r="D581" s="316" t="s">
        <v>1537</v>
      </c>
    </row>
    <row r="582" spans="1:4" x14ac:dyDescent="0.25">
      <c r="A582" s="314">
        <v>45901</v>
      </c>
      <c r="B582" s="16" t="s">
        <v>1548</v>
      </c>
      <c r="C582" s="315">
        <v>-20274.45</v>
      </c>
      <c r="D582" s="316" t="s">
        <v>1539</v>
      </c>
    </row>
    <row r="583" spans="1:4" x14ac:dyDescent="0.25">
      <c r="A583" s="314">
        <v>45902</v>
      </c>
      <c r="B583" s="16" t="s">
        <v>1543</v>
      </c>
      <c r="C583" s="315">
        <v>7622.77</v>
      </c>
      <c r="D583" s="316" t="s">
        <v>1537</v>
      </c>
    </row>
    <row r="584" spans="1:4" x14ac:dyDescent="0.25">
      <c r="A584" s="314">
        <v>45903</v>
      </c>
      <c r="B584" s="16" t="s">
        <v>1536</v>
      </c>
      <c r="C584" s="315">
        <v>4168.57</v>
      </c>
      <c r="D584" s="316" t="s">
        <v>1537</v>
      </c>
    </row>
    <row r="585" spans="1:4" x14ac:dyDescent="0.25">
      <c r="A585" s="314">
        <v>45903</v>
      </c>
      <c r="B585" s="16" t="s">
        <v>1548</v>
      </c>
      <c r="C585" s="315">
        <v>-8385.32</v>
      </c>
      <c r="D585" s="316" t="s">
        <v>1539</v>
      </c>
    </row>
    <row r="586" spans="1:4" x14ac:dyDescent="0.25">
      <c r="A586" s="314">
        <v>45904</v>
      </c>
      <c r="B586" s="16" t="s">
        <v>1543</v>
      </c>
      <c r="C586" s="315">
        <v>10254.26</v>
      </c>
      <c r="D586" s="316" t="s">
        <v>1537</v>
      </c>
    </row>
    <row r="587" spans="1:4" x14ac:dyDescent="0.25">
      <c r="A587" s="314">
        <v>45904</v>
      </c>
      <c r="B587" s="16" t="s">
        <v>1544</v>
      </c>
      <c r="C587" s="315">
        <v>2160.29</v>
      </c>
      <c r="D587" s="316" t="s">
        <v>1537</v>
      </c>
    </row>
    <row r="588" spans="1:4" x14ac:dyDescent="0.25">
      <c r="A588" s="314">
        <v>45904</v>
      </c>
      <c r="B588" s="16" t="s">
        <v>1545</v>
      </c>
      <c r="C588" s="315">
        <v>6151.9</v>
      </c>
      <c r="D588" s="316" t="s">
        <v>1537</v>
      </c>
    </row>
    <row r="589" spans="1:4" x14ac:dyDescent="0.25">
      <c r="A589" s="314">
        <v>45905</v>
      </c>
      <c r="B589" s="16" t="s">
        <v>1548</v>
      </c>
      <c r="C589" s="315">
        <v>-13047.25</v>
      </c>
      <c r="D589" s="316" t="s">
        <v>1539</v>
      </c>
    </row>
    <row r="590" spans="1:4" x14ac:dyDescent="0.25">
      <c r="A590" s="314">
        <v>45906</v>
      </c>
      <c r="B590" s="16" t="s">
        <v>1538</v>
      </c>
      <c r="C590" s="315">
        <v>-22441.68</v>
      </c>
      <c r="D590" s="316" t="s">
        <v>1539</v>
      </c>
    </row>
    <row r="591" spans="1:4" x14ac:dyDescent="0.25">
      <c r="A591" s="314">
        <v>45906</v>
      </c>
      <c r="B591" s="16" t="s">
        <v>1545</v>
      </c>
      <c r="C591" s="315">
        <v>5836.81</v>
      </c>
      <c r="D591" s="316" t="s">
        <v>1537</v>
      </c>
    </row>
    <row r="592" spans="1:4" x14ac:dyDescent="0.25">
      <c r="A592" s="314">
        <v>45907</v>
      </c>
      <c r="B592" s="16" t="s">
        <v>1536</v>
      </c>
      <c r="C592" s="315">
        <v>9125.21</v>
      </c>
      <c r="D592" s="316" t="s">
        <v>1537</v>
      </c>
    </row>
    <row r="593" spans="1:4" x14ac:dyDescent="0.25">
      <c r="A593" s="314">
        <v>45907</v>
      </c>
      <c r="B593" s="16" t="s">
        <v>1541</v>
      </c>
      <c r="C593" s="315">
        <v>-20104.35</v>
      </c>
      <c r="D593" s="316" t="s">
        <v>1539</v>
      </c>
    </row>
    <row r="594" spans="1:4" x14ac:dyDescent="0.25">
      <c r="A594" s="314">
        <v>45907</v>
      </c>
      <c r="B594" s="16" t="s">
        <v>1541</v>
      </c>
      <c r="C594" s="315">
        <v>-17780.63</v>
      </c>
      <c r="D594" s="316" t="s">
        <v>1539</v>
      </c>
    </row>
    <row r="595" spans="1:4" x14ac:dyDescent="0.25">
      <c r="A595" s="314">
        <v>45907</v>
      </c>
      <c r="B595" s="16" t="s">
        <v>1545</v>
      </c>
      <c r="C595" s="315">
        <v>4108.72</v>
      </c>
      <c r="D595" s="316" t="s">
        <v>1537</v>
      </c>
    </row>
    <row r="596" spans="1:4" x14ac:dyDescent="0.25">
      <c r="A596" s="314">
        <v>45907</v>
      </c>
      <c r="B596" s="16" t="s">
        <v>1545</v>
      </c>
      <c r="C596" s="315">
        <v>7658.42</v>
      </c>
      <c r="D596" s="316" t="s">
        <v>1537</v>
      </c>
    </row>
    <row r="597" spans="1:4" x14ac:dyDescent="0.25">
      <c r="A597" s="314">
        <v>45908</v>
      </c>
      <c r="B597" s="16" t="s">
        <v>1540</v>
      </c>
      <c r="C597" s="315">
        <v>-12621.18</v>
      </c>
      <c r="D597" s="316" t="s">
        <v>1539</v>
      </c>
    </row>
    <row r="598" spans="1:4" x14ac:dyDescent="0.25">
      <c r="A598" s="314">
        <v>45909</v>
      </c>
      <c r="B598" s="16" t="s">
        <v>1542</v>
      </c>
      <c r="C598" s="315">
        <v>10480.68</v>
      </c>
      <c r="D598" s="316" t="s">
        <v>1537</v>
      </c>
    </row>
    <row r="599" spans="1:4" x14ac:dyDescent="0.25">
      <c r="A599" s="314">
        <v>45909</v>
      </c>
      <c r="B599" s="16" t="s">
        <v>1544</v>
      </c>
      <c r="C599" s="315">
        <v>6190.79</v>
      </c>
      <c r="D599" s="316" t="s">
        <v>1537</v>
      </c>
    </row>
    <row r="600" spans="1:4" x14ac:dyDescent="0.25">
      <c r="A600" s="314">
        <v>45910</v>
      </c>
      <c r="B600" s="16" t="s">
        <v>1536</v>
      </c>
      <c r="C600" s="315">
        <v>4472.04</v>
      </c>
      <c r="D600" s="316" t="s">
        <v>1537</v>
      </c>
    </row>
    <row r="601" spans="1:4" x14ac:dyDescent="0.25">
      <c r="A601" s="314">
        <v>45910</v>
      </c>
      <c r="B601" s="16" t="s">
        <v>1538</v>
      </c>
      <c r="C601" s="315">
        <v>-16765.78</v>
      </c>
      <c r="D601" s="316" t="s">
        <v>1539</v>
      </c>
    </row>
    <row r="602" spans="1:4" x14ac:dyDescent="0.25">
      <c r="A602" s="314">
        <v>45911</v>
      </c>
      <c r="B602" s="16" t="s">
        <v>1541</v>
      </c>
      <c r="C602" s="315">
        <v>-12895.6</v>
      </c>
      <c r="D602" s="316" t="s">
        <v>1539</v>
      </c>
    </row>
    <row r="603" spans="1:4" x14ac:dyDescent="0.25">
      <c r="A603" s="314">
        <v>45912</v>
      </c>
      <c r="B603" s="16" t="s">
        <v>1536</v>
      </c>
      <c r="C603" s="315">
        <v>10295.21</v>
      </c>
      <c r="D603" s="316" t="s">
        <v>1537</v>
      </c>
    </row>
    <row r="604" spans="1:4" x14ac:dyDescent="0.25">
      <c r="A604" s="314">
        <v>45912</v>
      </c>
      <c r="B604" s="16" t="s">
        <v>1540</v>
      </c>
      <c r="C604" s="315">
        <v>-23325.07</v>
      </c>
      <c r="D604" s="316" t="s">
        <v>1539</v>
      </c>
    </row>
    <row r="605" spans="1:4" x14ac:dyDescent="0.25">
      <c r="A605" s="314">
        <v>45912</v>
      </c>
      <c r="B605" s="16" t="s">
        <v>1540</v>
      </c>
      <c r="C605" s="315">
        <v>-16878.46</v>
      </c>
      <c r="D605" s="316" t="s">
        <v>1539</v>
      </c>
    </row>
    <row r="606" spans="1:4" x14ac:dyDescent="0.25">
      <c r="A606" s="314">
        <v>45912</v>
      </c>
      <c r="B606" s="16" t="s">
        <v>1543</v>
      </c>
      <c r="C606" s="315">
        <v>8291.17</v>
      </c>
      <c r="D606" s="316" t="s">
        <v>1537</v>
      </c>
    </row>
    <row r="607" spans="1:4" x14ac:dyDescent="0.25">
      <c r="A607" s="314">
        <v>45912</v>
      </c>
      <c r="B607" s="16" t="s">
        <v>1548</v>
      </c>
      <c r="C607" s="315">
        <v>-15187.7</v>
      </c>
      <c r="D607" s="316" t="s">
        <v>1539</v>
      </c>
    </row>
    <row r="608" spans="1:4" x14ac:dyDescent="0.25">
      <c r="A608" s="314">
        <v>45913</v>
      </c>
      <c r="B608" s="16" t="s">
        <v>1536</v>
      </c>
      <c r="C608" s="315">
        <v>2067.89</v>
      </c>
      <c r="D608" s="316" t="s">
        <v>1537</v>
      </c>
    </row>
    <row r="609" spans="1:4" x14ac:dyDescent="0.25">
      <c r="A609" s="314">
        <v>45913</v>
      </c>
      <c r="B609" s="16" t="s">
        <v>1536</v>
      </c>
      <c r="C609" s="315">
        <v>8186.2</v>
      </c>
      <c r="D609" s="316" t="s">
        <v>1537</v>
      </c>
    </row>
    <row r="610" spans="1:4" x14ac:dyDescent="0.25">
      <c r="A610" s="314">
        <v>45913</v>
      </c>
      <c r="B610" s="16" t="s">
        <v>1544</v>
      </c>
      <c r="C610" s="315">
        <v>8239.78</v>
      </c>
      <c r="D610" s="316" t="s">
        <v>1537</v>
      </c>
    </row>
    <row r="611" spans="1:4" x14ac:dyDescent="0.25">
      <c r="A611" s="314">
        <v>45913</v>
      </c>
      <c r="B611" s="16" t="s">
        <v>1548</v>
      </c>
      <c r="C611" s="315">
        <v>-7458.41</v>
      </c>
      <c r="D611" s="316" t="s">
        <v>1539</v>
      </c>
    </row>
    <row r="612" spans="1:4" x14ac:dyDescent="0.25">
      <c r="A612" s="314">
        <v>45914</v>
      </c>
      <c r="B612" s="16" t="s">
        <v>1536</v>
      </c>
      <c r="C612" s="315">
        <v>8764.59</v>
      </c>
      <c r="D612" s="316" t="s">
        <v>1537</v>
      </c>
    </row>
    <row r="613" spans="1:4" x14ac:dyDescent="0.25">
      <c r="A613" s="314">
        <v>45914</v>
      </c>
      <c r="B613" s="16" t="s">
        <v>1542</v>
      </c>
      <c r="C613" s="315">
        <v>3710.47</v>
      </c>
      <c r="D613" s="316" t="s">
        <v>1537</v>
      </c>
    </row>
    <row r="614" spans="1:4" x14ac:dyDescent="0.25">
      <c r="A614" s="314">
        <v>45914</v>
      </c>
      <c r="B614" s="16" t="s">
        <v>1548</v>
      </c>
      <c r="C614" s="315">
        <v>-5868.41</v>
      </c>
      <c r="D614" s="316" t="s">
        <v>1539</v>
      </c>
    </row>
    <row r="615" spans="1:4" x14ac:dyDescent="0.25">
      <c r="A615" s="314">
        <v>45915</v>
      </c>
      <c r="B615" s="16" t="s">
        <v>1546</v>
      </c>
      <c r="C615" s="315">
        <v>-19944.8</v>
      </c>
      <c r="D615" s="316" t="s">
        <v>1539</v>
      </c>
    </row>
    <row r="616" spans="1:4" x14ac:dyDescent="0.25">
      <c r="A616" s="314">
        <v>45915</v>
      </c>
      <c r="B616" s="16" t="s">
        <v>1549</v>
      </c>
      <c r="C616" s="315">
        <v>12021.51</v>
      </c>
      <c r="D616" s="316" t="s">
        <v>1550</v>
      </c>
    </row>
    <row r="617" spans="1:4" x14ac:dyDescent="0.25">
      <c r="A617" s="314">
        <v>45915</v>
      </c>
      <c r="B617" s="16" t="s">
        <v>1544</v>
      </c>
      <c r="C617" s="315">
        <v>4446.8</v>
      </c>
      <c r="D617" s="316" t="s">
        <v>1537</v>
      </c>
    </row>
    <row r="618" spans="1:4" x14ac:dyDescent="0.25">
      <c r="A618" s="314">
        <v>45915</v>
      </c>
      <c r="B618" s="16" t="s">
        <v>1548</v>
      </c>
      <c r="C618" s="315">
        <v>-22243.04</v>
      </c>
      <c r="D618" s="316" t="s">
        <v>1539</v>
      </c>
    </row>
    <row r="619" spans="1:4" x14ac:dyDescent="0.25">
      <c r="A619" s="314">
        <v>45915</v>
      </c>
      <c r="B619" s="16" t="s">
        <v>1545</v>
      </c>
      <c r="C619" s="315">
        <v>4302.69</v>
      </c>
      <c r="D619" s="316" t="s">
        <v>1537</v>
      </c>
    </row>
    <row r="620" spans="1:4" x14ac:dyDescent="0.25">
      <c r="A620" s="314">
        <v>45916</v>
      </c>
      <c r="B620" s="16" t="s">
        <v>1544</v>
      </c>
      <c r="C620" s="315">
        <v>10206.74</v>
      </c>
      <c r="D620" s="316" t="s">
        <v>1537</v>
      </c>
    </row>
    <row r="621" spans="1:4" x14ac:dyDescent="0.25">
      <c r="A621" s="314">
        <v>45917</v>
      </c>
      <c r="B621" s="16" t="s">
        <v>1542</v>
      </c>
      <c r="C621" s="315">
        <v>4826.11</v>
      </c>
      <c r="D621" s="316" t="s">
        <v>1537</v>
      </c>
    </row>
    <row r="622" spans="1:4" x14ac:dyDescent="0.25">
      <c r="A622" s="314">
        <v>45917</v>
      </c>
      <c r="B622" s="16" t="s">
        <v>1542</v>
      </c>
      <c r="C622" s="315">
        <v>10240.29</v>
      </c>
      <c r="D622" s="316" t="s">
        <v>1537</v>
      </c>
    </row>
    <row r="623" spans="1:4" x14ac:dyDescent="0.25">
      <c r="A623" s="314">
        <v>45917</v>
      </c>
      <c r="B623" s="16" t="s">
        <v>1543</v>
      </c>
      <c r="C623" s="315">
        <v>1998.84</v>
      </c>
      <c r="D623" s="316" t="s">
        <v>1537</v>
      </c>
    </row>
    <row r="624" spans="1:4" x14ac:dyDescent="0.25">
      <c r="A624" s="314">
        <v>45917</v>
      </c>
      <c r="B624" s="16" t="s">
        <v>1547</v>
      </c>
      <c r="C624" s="315">
        <v>-18934.93</v>
      </c>
      <c r="D624" s="316" t="s">
        <v>1539</v>
      </c>
    </row>
    <row r="625" spans="1:4" x14ac:dyDescent="0.25">
      <c r="A625" s="314">
        <v>45917</v>
      </c>
      <c r="B625" s="16" t="s">
        <v>1545</v>
      </c>
      <c r="C625" s="315">
        <v>4676.25</v>
      </c>
      <c r="D625" s="316" t="s">
        <v>1537</v>
      </c>
    </row>
    <row r="626" spans="1:4" x14ac:dyDescent="0.25">
      <c r="A626" s="314">
        <v>45917</v>
      </c>
      <c r="B626" s="16" t="s">
        <v>1545</v>
      </c>
      <c r="C626" s="315">
        <v>8759.61</v>
      </c>
      <c r="D626" s="316" t="s">
        <v>1537</v>
      </c>
    </row>
    <row r="627" spans="1:4" x14ac:dyDescent="0.25">
      <c r="A627" s="314">
        <v>45918</v>
      </c>
      <c r="B627" s="16" t="s">
        <v>1547</v>
      </c>
      <c r="C627" s="315">
        <v>-12882.71</v>
      </c>
      <c r="D627" s="316" t="s">
        <v>1539</v>
      </c>
    </row>
    <row r="628" spans="1:4" x14ac:dyDescent="0.25">
      <c r="A628" s="314">
        <v>45918</v>
      </c>
      <c r="B628" s="16" t="s">
        <v>1547</v>
      </c>
      <c r="C628" s="315">
        <v>-7715.62</v>
      </c>
      <c r="D628" s="316" t="s">
        <v>1539</v>
      </c>
    </row>
    <row r="629" spans="1:4" x14ac:dyDescent="0.25">
      <c r="A629" s="314">
        <v>45918</v>
      </c>
      <c r="B629" s="16" t="s">
        <v>1548</v>
      </c>
      <c r="C629" s="315">
        <v>-21211.87</v>
      </c>
      <c r="D629" s="316" t="s">
        <v>1539</v>
      </c>
    </row>
    <row r="630" spans="1:4" x14ac:dyDescent="0.25">
      <c r="A630" s="314">
        <v>45919</v>
      </c>
      <c r="B630" s="16" t="s">
        <v>1542</v>
      </c>
      <c r="C630" s="315">
        <v>3153.28</v>
      </c>
      <c r="D630" s="316" t="s">
        <v>1537</v>
      </c>
    </row>
    <row r="631" spans="1:4" x14ac:dyDescent="0.25">
      <c r="A631" s="314">
        <v>45920</v>
      </c>
      <c r="B631" s="16" t="s">
        <v>1547</v>
      </c>
      <c r="C631" s="315">
        <v>-17208.76</v>
      </c>
      <c r="D631" s="316" t="s">
        <v>1539</v>
      </c>
    </row>
    <row r="632" spans="1:4" x14ac:dyDescent="0.25">
      <c r="A632" s="314">
        <v>45920</v>
      </c>
      <c r="B632" s="16" t="s">
        <v>1547</v>
      </c>
      <c r="C632" s="315">
        <v>-15094.45</v>
      </c>
      <c r="D632" s="316" t="s">
        <v>1539</v>
      </c>
    </row>
    <row r="633" spans="1:4" x14ac:dyDescent="0.25">
      <c r="A633" s="314">
        <v>45920</v>
      </c>
      <c r="B633" s="16" t="s">
        <v>1548</v>
      </c>
      <c r="C633" s="315">
        <v>-3507.41</v>
      </c>
      <c r="D633" s="316" t="s">
        <v>1539</v>
      </c>
    </row>
    <row r="634" spans="1:4" x14ac:dyDescent="0.25">
      <c r="A634" s="314">
        <v>45921</v>
      </c>
      <c r="B634" s="16" t="s">
        <v>1542</v>
      </c>
      <c r="C634" s="315">
        <v>4301.6</v>
      </c>
      <c r="D634" s="316" t="s">
        <v>1537</v>
      </c>
    </row>
    <row r="635" spans="1:4" x14ac:dyDescent="0.25">
      <c r="A635" s="314">
        <v>45921</v>
      </c>
      <c r="B635" s="16" t="s">
        <v>1542</v>
      </c>
      <c r="C635" s="315">
        <v>10554.99</v>
      </c>
      <c r="D635" s="316" t="s">
        <v>1537</v>
      </c>
    </row>
    <row r="636" spans="1:4" x14ac:dyDescent="0.25">
      <c r="A636" s="314">
        <v>45922</v>
      </c>
      <c r="B636" s="16" t="s">
        <v>1547</v>
      </c>
      <c r="C636" s="315">
        <v>-6429.11</v>
      </c>
      <c r="D636" s="316" t="s">
        <v>1539</v>
      </c>
    </row>
    <row r="637" spans="1:4" x14ac:dyDescent="0.25">
      <c r="A637" s="314">
        <v>45923</v>
      </c>
      <c r="B637" s="16" t="s">
        <v>1545</v>
      </c>
      <c r="C637" s="315">
        <v>11485.11</v>
      </c>
      <c r="D637" s="316" t="s">
        <v>1537</v>
      </c>
    </row>
    <row r="638" spans="1:4" x14ac:dyDescent="0.25">
      <c r="A638" s="314">
        <v>45924</v>
      </c>
      <c r="B638" s="16" t="s">
        <v>1544</v>
      </c>
      <c r="C638" s="315">
        <v>8441.05</v>
      </c>
      <c r="D638" s="316" t="s">
        <v>1537</v>
      </c>
    </row>
    <row r="639" spans="1:4" x14ac:dyDescent="0.25">
      <c r="A639" s="314">
        <v>45924</v>
      </c>
      <c r="B639" s="16" t="s">
        <v>1545</v>
      </c>
      <c r="C639" s="315">
        <v>6640.28</v>
      </c>
      <c r="D639" s="316" t="s">
        <v>1537</v>
      </c>
    </row>
    <row r="640" spans="1:4" x14ac:dyDescent="0.25">
      <c r="A640" s="314">
        <v>45925</v>
      </c>
      <c r="B640" s="16" t="s">
        <v>1541</v>
      </c>
      <c r="C640" s="315">
        <v>-9836.53</v>
      </c>
      <c r="D640" s="316" t="s">
        <v>1539</v>
      </c>
    </row>
    <row r="641" spans="1:4" x14ac:dyDescent="0.25">
      <c r="A641" s="314">
        <v>45925</v>
      </c>
      <c r="B641" s="16" t="s">
        <v>1543</v>
      </c>
      <c r="C641" s="315">
        <v>6457.17</v>
      </c>
      <c r="D641" s="316" t="s">
        <v>1537</v>
      </c>
    </row>
    <row r="642" spans="1:4" x14ac:dyDescent="0.25">
      <c r="A642" s="314">
        <v>45925</v>
      </c>
      <c r="B642" s="16" t="s">
        <v>1543</v>
      </c>
      <c r="C642" s="315">
        <v>8876.18</v>
      </c>
      <c r="D642" s="316" t="s">
        <v>1537</v>
      </c>
    </row>
    <row r="643" spans="1:4" x14ac:dyDescent="0.25">
      <c r="A643" s="314">
        <v>45925</v>
      </c>
      <c r="B643" s="16" t="s">
        <v>1543</v>
      </c>
      <c r="C643" s="315">
        <v>10173.21</v>
      </c>
      <c r="D643" s="316" t="s">
        <v>1537</v>
      </c>
    </row>
    <row r="644" spans="1:4" x14ac:dyDescent="0.25">
      <c r="A644" s="314">
        <v>45926</v>
      </c>
      <c r="B644" s="16" t="s">
        <v>1536</v>
      </c>
      <c r="C644" s="315">
        <v>10647.35</v>
      </c>
      <c r="D644" s="316" t="s">
        <v>1537</v>
      </c>
    </row>
    <row r="645" spans="1:4" x14ac:dyDescent="0.25">
      <c r="A645" s="314">
        <v>45926</v>
      </c>
      <c r="B645" s="16" t="s">
        <v>1540</v>
      </c>
      <c r="C645" s="315">
        <v>-13970.22</v>
      </c>
      <c r="D645" s="316" t="s">
        <v>1539</v>
      </c>
    </row>
    <row r="646" spans="1:4" x14ac:dyDescent="0.25">
      <c r="A646" s="314">
        <v>45926</v>
      </c>
      <c r="B646" s="16" t="s">
        <v>1545</v>
      </c>
      <c r="C646" s="315">
        <v>3466.87</v>
      </c>
      <c r="D646" s="316" t="s">
        <v>1537</v>
      </c>
    </row>
    <row r="647" spans="1:4" x14ac:dyDescent="0.25">
      <c r="A647" s="314">
        <v>45927</v>
      </c>
      <c r="B647" s="16" t="s">
        <v>1538</v>
      </c>
      <c r="C647" s="315">
        <v>-22786.44</v>
      </c>
      <c r="D647" s="316" t="s">
        <v>1539</v>
      </c>
    </row>
    <row r="648" spans="1:4" x14ac:dyDescent="0.25">
      <c r="A648" s="314">
        <v>45927</v>
      </c>
      <c r="B648" s="16" t="s">
        <v>1545</v>
      </c>
      <c r="C648" s="315">
        <v>2136.36</v>
      </c>
      <c r="D648" s="316" t="s">
        <v>1537</v>
      </c>
    </row>
    <row r="649" spans="1:4" x14ac:dyDescent="0.25">
      <c r="A649" s="314">
        <v>45928</v>
      </c>
      <c r="B649" s="16" t="s">
        <v>1540</v>
      </c>
      <c r="C649" s="315">
        <v>-7784.48</v>
      </c>
      <c r="D649" s="316" t="s">
        <v>1539</v>
      </c>
    </row>
    <row r="650" spans="1:4" x14ac:dyDescent="0.25">
      <c r="A650" s="314">
        <v>45928</v>
      </c>
      <c r="B650" s="16" t="s">
        <v>1540</v>
      </c>
      <c r="C650" s="315">
        <v>-5863.09</v>
      </c>
      <c r="D650" s="316" t="s">
        <v>1539</v>
      </c>
    </row>
    <row r="651" spans="1:4" x14ac:dyDescent="0.25">
      <c r="A651" s="314">
        <v>45928</v>
      </c>
      <c r="B651" s="16" t="s">
        <v>1541</v>
      </c>
      <c r="C651" s="315">
        <v>-2840.98</v>
      </c>
      <c r="D651" s="316" t="s">
        <v>1539</v>
      </c>
    </row>
    <row r="652" spans="1:4" x14ac:dyDescent="0.25">
      <c r="A652" s="314">
        <v>45931</v>
      </c>
      <c r="B652" s="16" t="s">
        <v>1536</v>
      </c>
      <c r="C652" s="315">
        <v>4376.9</v>
      </c>
      <c r="D652" s="316" t="s">
        <v>1537</v>
      </c>
    </row>
    <row r="653" spans="1:4" x14ac:dyDescent="0.25">
      <c r="A653" s="314">
        <v>45931</v>
      </c>
      <c r="B653" s="16" t="s">
        <v>1536</v>
      </c>
      <c r="C653" s="315">
        <v>9121.91</v>
      </c>
      <c r="D653" s="316" t="s">
        <v>1537</v>
      </c>
    </row>
    <row r="654" spans="1:4" x14ac:dyDescent="0.25">
      <c r="A654" s="314">
        <v>45931</v>
      </c>
      <c r="B654" s="16" t="s">
        <v>1548</v>
      </c>
      <c r="C654" s="315">
        <v>-17230.11</v>
      </c>
      <c r="D654" s="316" t="s">
        <v>1539</v>
      </c>
    </row>
    <row r="655" spans="1:4" x14ac:dyDescent="0.25">
      <c r="A655" s="314">
        <v>45932</v>
      </c>
      <c r="B655" s="16" t="s">
        <v>1536</v>
      </c>
      <c r="C655" s="315">
        <v>4444.42</v>
      </c>
      <c r="D655" s="316" t="s">
        <v>1537</v>
      </c>
    </row>
    <row r="656" spans="1:4" x14ac:dyDescent="0.25">
      <c r="A656" s="314">
        <v>45932</v>
      </c>
      <c r="B656" s="16" t="s">
        <v>1538</v>
      </c>
      <c r="C656" s="315">
        <v>-24387.85</v>
      </c>
      <c r="D656" s="316" t="s">
        <v>1539</v>
      </c>
    </row>
    <row r="657" spans="1:4" x14ac:dyDescent="0.25">
      <c r="A657" s="314">
        <v>45932</v>
      </c>
      <c r="B657" s="16" t="s">
        <v>1542</v>
      </c>
      <c r="C657" s="315">
        <v>6184.36</v>
      </c>
      <c r="D657" s="316" t="s">
        <v>1537</v>
      </c>
    </row>
    <row r="658" spans="1:4" x14ac:dyDescent="0.25">
      <c r="A658" s="314">
        <v>45932</v>
      </c>
      <c r="B658" s="16" t="s">
        <v>1546</v>
      </c>
      <c r="C658" s="315">
        <v>-19689.54</v>
      </c>
      <c r="D658" s="316" t="s">
        <v>1539</v>
      </c>
    </row>
    <row r="659" spans="1:4" x14ac:dyDescent="0.25">
      <c r="A659" s="314">
        <v>45932</v>
      </c>
      <c r="B659" s="16" t="s">
        <v>1543</v>
      </c>
      <c r="C659" s="315">
        <v>2072.49</v>
      </c>
      <c r="D659" s="316" t="s">
        <v>1537</v>
      </c>
    </row>
    <row r="660" spans="1:4" x14ac:dyDescent="0.25">
      <c r="A660" s="314">
        <v>45932</v>
      </c>
      <c r="B660" s="16" t="s">
        <v>1547</v>
      </c>
      <c r="C660" s="315">
        <v>-22258.3</v>
      </c>
      <c r="D660" s="316" t="s">
        <v>1539</v>
      </c>
    </row>
    <row r="661" spans="1:4" x14ac:dyDescent="0.25">
      <c r="A661" s="314">
        <v>45932</v>
      </c>
      <c r="B661" s="16" t="s">
        <v>1548</v>
      </c>
      <c r="C661" s="315">
        <v>-2251.27</v>
      </c>
      <c r="D661" s="316" t="s">
        <v>1539</v>
      </c>
    </row>
    <row r="662" spans="1:4" x14ac:dyDescent="0.25">
      <c r="A662" s="314">
        <v>45932</v>
      </c>
      <c r="B662" s="16" t="s">
        <v>1545</v>
      </c>
      <c r="C662" s="315">
        <v>7183.38</v>
      </c>
      <c r="D662" s="316" t="s">
        <v>1537</v>
      </c>
    </row>
    <row r="663" spans="1:4" x14ac:dyDescent="0.25">
      <c r="A663" s="314">
        <v>45934</v>
      </c>
      <c r="B663" s="16" t="s">
        <v>1540</v>
      </c>
      <c r="C663" s="315">
        <v>-12599.8</v>
      </c>
      <c r="D663" s="316" t="s">
        <v>1539</v>
      </c>
    </row>
    <row r="664" spans="1:4" x14ac:dyDescent="0.25">
      <c r="A664" s="314">
        <v>45934</v>
      </c>
      <c r="B664" s="16" t="s">
        <v>1546</v>
      </c>
      <c r="C664" s="315">
        <v>-23916.48</v>
      </c>
      <c r="D664" s="316" t="s">
        <v>1539</v>
      </c>
    </row>
    <row r="665" spans="1:4" x14ac:dyDescent="0.25">
      <c r="A665" s="314">
        <v>45934</v>
      </c>
      <c r="B665" s="16" t="s">
        <v>1543</v>
      </c>
      <c r="C665" s="315">
        <v>9840.44</v>
      </c>
      <c r="D665" s="316" t="s">
        <v>1537</v>
      </c>
    </row>
    <row r="666" spans="1:4" x14ac:dyDescent="0.25">
      <c r="A666" s="314">
        <v>45934</v>
      </c>
      <c r="B666" s="16" t="s">
        <v>1545</v>
      </c>
      <c r="C666" s="315">
        <v>7849.49</v>
      </c>
      <c r="D666" s="316" t="s">
        <v>1537</v>
      </c>
    </row>
    <row r="667" spans="1:4" x14ac:dyDescent="0.25">
      <c r="A667" s="314">
        <v>45935</v>
      </c>
      <c r="B667" s="16" t="s">
        <v>1544</v>
      </c>
      <c r="C667" s="315">
        <v>2955.19</v>
      </c>
      <c r="D667" s="316" t="s">
        <v>1537</v>
      </c>
    </row>
    <row r="668" spans="1:4" x14ac:dyDescent="0.25">
      <c r="A668" s="314">
        <v>45935</v>
      </c>
      <c r="B668" s="16" t="s">
        <v>1544</v>
      </c>
      <c r="C668" s="315">
        <v>7680.3</v>
      </c>
      <c r="D668" s="316" t="s">
        <v>1537</v>
      </c>
    </row>
    <row r="669" spans="1:4" x14ac:dyDescent="0.25">
      <c r="A669" s="314">
        <v>45936</v>
      </c>
      <c r="B669" s="16" t="s">
        <v>1536</v>
      </c>
      <c r="C669" s="315">
        <v>8024.59</v>
      </c>
      <c r="D669" s="316" t="s">
        <v>1537</v>
      </c>
    </row>
    <row r="670" spans="1:4" x14ac:dyDescent="0.25">
      <c r="A670" s="314">
        <v>45936</v>
      </c>
      <c r="B670" s="16" t="s">
        <v>1540</v>
      </c>
      <c r="C670" s="315">
        <v>-24209.35</v>
      </c>
      <c r="D670" s="316" t="s">
        <v>1539</v>
      </c>
    </row>
    <row r="671" spans="1:4" x14ac:dyDescent="0.25">
      <c r="A671" s="314">
        <v>45936</v>
      </c>
      <c r="B671" s="16" t="s">
        <v>1541</v>
      </c>
      <c r="C671" s="315">
        <v>-15810.28</v>
      </c>
      <c r="D671" s="316" t="s">
        <v>1539</v>
      </c>
    </row>
    <row r="672" spans="1:4" x14ac:dyDescent="0.25">
      <c r="A672" s="314">
        <v>45936</v>
      </c>
      <c r="B672" s="16" t="s">
        <v>1548</v>
      </c>
      <c r="C672" s="315">
        <v>-20343.44</v>
      </c>
      <c r="D672" s="316" t="s">
        <v>1539</v>
      </c>
    </row>
    <row r="673" spans="1:4" x14ac:dyDescent="0.25">
      <c r="A673" s="314">
        <v>45937</v>
      </c>
      <c r="B673" s="16" t="s">
        <v>1543</v>
      </c>
      <c r="C673" s="315">
        <v>8271.23</v>
      </c>
      <c r="D673" s="316" t="s">
        <v>1537</v>
      </c>
    </row>
    <row r="674" spans="1:4" x14ac:dyDescent="0.25">
      <c r="A674" s="314">
        <v>45939</v>
      </c>
      <c r="B674" s="16" t="s">
        <v>1548</v>
      </c>
      <c r="C674" s="315">
        <v>-14871.26</v>
      </c>
      <c r="D674" s="316" t="s">
        <v>1539</v>
      </c>
    </row>
    <row r="675" spans="1:4" x14ac:dyDescent="0.25">
      <c r="A675" s="314">
        <v>45940</v>
      </c>
      <c r="B675" s="16" t="s">
        <v>1538</v>
      </c>
      <c r="C675" s="315">
        <v>-11571.2</v>
      </c>
      <c r="D675" s="316" t="s">
        <v>1539</v>
      </c>
    </row>
    <row r="676" spans="1:4" x14ac:dyDescent="0.25">
      <c r="A676" s="314">
        <v>45940</v>
      </c>
      <c r="B676" s="16" t="s">
        <v>1546</v>
      </c>
      <c r="C676" s="315">
        <v>-18641.89</v>
      </c>
      <c r="D676" s="316" t="s">
        <v>1539</v>
      </c>
    </row>
    <row r="677" spans="1:4" x14ac:dyDescent="0.25">
      <c r="A677" s="314">
        <v>45941</v>
      </c>
      <c r="B677" s="16" t="s">
        <v>1542</v>
      </c>
      <c r="C677" s="315">
        <v>7664.29</v>
      </c>
      <c r="D677" s="316" t="s">
        <v>1537</v>
      </c>
    </row>
    <row r="678" spans="1:4" x14ac:dyDescent="0.25">
      <c r="A678" s="314">
        <v>45941</v>
      </c>
      <c r="B678" s="16" t="s">
        <v>1546</v>
      </c>
      <c r="C678" s="315">
        <v>-23795.86</v>
      </c>
      <c r="D678" s="316" t="s">
        <v>1539</v>
      </c>
    </row>
    <row r="679" spans="1:4" x14ac:dyDescent="0.25">
      <c r="A679" s="314">
        <v>45941</v>
      </c>
      <c r="B679" s="16" t="s">
        <v>1545</v>
      </c>
      <c r="C679" s="315">
        <v>6557.3</v>
      </c>
      <c r="D679" s="316" t="s">
        <v>1537</v>
      </c>
    </row>
    <row r="680" spans="1:4" x14ac:dyDescent="0.25">
      <c r="A680" s="314">
        <v>45942</v>
      </c>
      <c r="B680" s="16" t="s">
        <v>1545</v>
      </c>
      <c r="C680" s="315">
        <v>2680.82</v>
      </c>
      <c r="D680" s="316" t="s">
        <v>1537</v>
      </c>
    </row>
    <row r="681" spans="1:4" x14ac:dyDescent="0.25">
      <c r="A681" s="314">
        <v>45943</v>
      </c>
      <c r="B681" s="16" t="s">
        <v>1542</v>
      </c>
      <c r="C681" s="315">
        <v>5132.12</v>
      </c>
      <c r="D681" s="316" t="s">
        <v>1537</v>
      </c>
    </row>
    <row r="682" spans="1:4" x14ac:dyDescent="0.25">
      <c r="A682" s="314">
        <v>45943</v>
      </c>
      <c r="B682" s="16" t="s">
        <v>1544</v>
      </c>
      <c r="C682" s="315">
        <v>2016.31</v>
      </c>
      <c r="D682" s="316" t="s">
        <v>1537</v>
      </c>
    </row>
    <row r="683" spans="1:4" x14ac:dyDescent="0.25">
      <c r="A683" s="314">
        <v>45943</v>
      </c>
      <c r="B683" s="16" t="s">
        <v>1544</v>
      </c>
      <c r="C683" s="315">
        <v>4074.26</v>
      </c>
      <c r="D683" s="316" t="s">
        <v>1537</v>
      </c>
    </row>
    <row r="684" spans="1:4" x14ac:dyDescent="0.25">
      <c r="A684" s="314">
        <v>45943</v>
      </c>
      <c r="B684" s="16" t="s">
        <v>1544</v>
      </c>
      <c r="C684" s="315">
        <v>5720.87</v>
      </c>
      <c r="D684" s="316" t="s">
        <v>1537</v>
      </c>
    </row>
    <row r="685" spans="1:4" x14ac:dyDescent="0.25">
      <c r="A685" s="314">
        <v>45944</v>
      </c>
      <c r="B685" s="16" t="s">
        <v>1543</v>
      </c>
      <c r="C685" s="315">
        <v>3389.86</v>
      </c>
      <c r="D685" s="316" t="s">
        <v>1537</v>
      </c>
    </row>
    <row r="686" spans="1:4" x14ac:dyDescent="0.25">
      <c r="A686" s="314">
        <v>45945</v>
      </c>
      <c r="B686" s="16" t="s">
        <v>1546</v>
      </c>
      <c r="C686" s="315">
        <v>-19938.67</v>
      </c>
      <c r="D686" s="316" t="s">
        <v>1539</v>
      </c>
    </row>
    <row r="687" spans="1:4" x14ac:dyDescent="0.25">
      <c r="A687" s="314">
        <v>45945</v>
      </c>
      <c r="B687" s="16" t="s">
        <v>1543</v>
      </c>
      <c r="C687" s="315">
        <v>5689.08</v>
      </c>
      <c r="D687" s="316" t="s">
        <v>1537</v>
      </c>
    </row>
    <row r="688" spans="1:4" x14ac:dyDescent="0.25">
      <c r="A688" s="314">
        <v>45945</v>
      </c>
      <c r="B688" s="16" t="s">
        <v>1549</v>
      </c>
      <c r="C688" s="315">
        <v>6243.87</v>
      </c>
      <c r="D688" s="316" t="s">
        <v>1550</v>
      </c>
    </row>
    <row r="689" spans="1:4" x14ac:dyDescent="0.25">
      <c r="A689" s="314">
        <v>45945</v>
      </c>
      <c r="B689" s="16" t="s">
        <v>1548</v>
      </c>
      <c r="C689" s="315">
        <v>-18988.87</v>
      </c>
      <c r="D689" s="316" t="s">
        <v>1539</v>
      </c>
    </row>
    <row r="690" spans="1:4" x14ac:dyDescent="0.25">
      <c r="A690" s="314">
        <v>45946</v>
      </c>
      <c r="B690" s="16" t="s">
        <v>1536</v>
      </c>
      <c r="C690" s="315">
        <v>4467.83</v>
      </c>
      <c r="D690" s="316" t="s">
        <v>1537</v>
      </c>
    </row>
    <row r="691" spans="1:4" x14ac:dyDescent="0.25">
      <c r="A691" s="314">
        <v>45946</v>
      </c>
      <c r="B691" s="16" t="s">
        <v>1540</v>
      </c>
      <c r="C691" s="315">
        <v>-22550.65</v>
      </c>
      <c r="D691" s="316" t="s">
        <v>1539</v>
      </c>
    </row>
    <row r="692" spans="1:4" x14ac:dyDescent="0.25">
      <c r="A692" s="314">
        <v>45946</v>
      </c>
      <c r="B692" s="16" t="s">
        <v>1541</v>
      </c>
      <c r="C692" s="315">
        <v>-19785.19</v>
      </c>
      <c r="D692" s="316" t="s">
        <v>1539</v>
      </c>
    </row>
    <row r="693" spans="1:4" x14ac:dyDescent="0.25">
      <c r="A693" s="314">
        <v>45946</v>
      </c>
      <c r="B693" s="16" t="s">
        <v>1543</v>
      </c>
      <c r="C693" s="315">
        <v>2990.11</v>
      </c>
      <c r="D693" s="316" t="s">
        <v>1537</v>
      </c>
    </row>
    <row r="694" spans="1:4" x14ac:dyDescent="0.25">
      <c r="A694" s="314">
        <v>45948</v>
      </c>
      <c r="B694" s="16" t="s">
        <v>1542</v>
      </c>
      <c r="C694" s="315">
        <v>7044.6</v>
      </c>
      <c r="D694" s="316" t="s">
        <v>1537</v>
      </c>
    </row>
    <row r="695" spans="1:4" x14ac:dyDescent="0.25">
      <c r="A695" s="314">
        <v>45948</v>
      </c>
      <c r="B695" s="16" t="s">
        <v>1543</v>
      </c>
      <c r="C695" s="315">
        <v>3309.24</v>
      </c>
      <c r="D695" s="316" t="s">
        <v>1537</v>
      </c>
    </row>
    <row r="696" spans="1:4" x14ac:dyDescent="0.25">
      <c r="A696" s="314">
        <v>45948</v>
      </c>
      <c r="B696" s="16" t="s">
        <v>1544</v>
      </c>
      <c r="C696" s="315">
        <v>1808.75</v>
      </c>
      <c r="D696" s="316" t="s">
        <v>1537</v>
      </c>
    </row>
    <row r="697" spans="1:4" x14ac:dyDescent="0.25">
      <c r="A697" s="314">
        <v>45948</v>
      </c>
      <c r="B697" s="16" t="s">
        <v>1548</v>
      </c>
      <c r="C697" s="315">
        <v>-13205.27</v>
      </c>
      <c r="D697" s="316" t="s">
        <v>1539</v>
      </c>
    </row>
    <row r="698" spans="1:4" x14ac:dyDescent="0.25">
      <c r="A698" s="314">
        <v>45949</v>
      </c>
      <c r="B698" s="16" t="s">
        <v>1536</v>
      </c>
      <c r="C698" s="315">
        <v>4552.86</v>
      </c>
      <c r="D698" s="316" t="s">
        <v>1537</v>
      </c>
    </row>
    <row r="699" spans="1:4" x14ac:dyDescent="0.25">
      <c r="A699" s="314">
        <v>45949</v>
      </c>
      <c r="B699" s="16" t="s">
        <v>1546</v>
      </c>
      <c r="C699" s="315">
        <v>-8371.12</v>
      </c>
      <c r="D699" s="316" t="s">
        <v>1539</v>
      </c>
    </row>
    <row r="700" spans="1:4" x14ac:dyDescent="0.25">
      <c r="A700" s="314">
        <v>45949</v>
      </c>
      <c r="B700" s="16" t="s">
        <v>1543</v>
      </c>
      <c r="C700" s="315">
        <v>5459.72</v>
      </c>
      <c r="D700" s="316" t="s">
        <v>1537</v>
      </c>
    </row>
    <row r="701" spans="1:4" x14ac:dyDescent="0.25">
      <c r="A701" s="314">
        <v>45949</v>
      </c>
      <c r="B701" s="16" t="s">
        <v>1544</v>
      </c>
      <c r="C701" s="315">
        <v>3703.21</v>
      </c>
      <c r="D701" s="316" t="s">
        <v>1537</v>
      </c>
    </row>
    <row r="702" spans="1:4" x14ac:dyDescent="0.25">
      <c r="A702" s="314">
        <v>45949</v>
      </c>
      <c r="B702" s="16" t="s">
        <v>1544</v>
      </c>
      <c r="C702" s="315">
        <v>3970.38</v>
      </c>
      <c r="D702" s="316" t="s">
        <v>1537</v>
      </c>
    </row>
    <row r="703" spans="1:4" x14ac:dyDescent="0.25">
      <c r="A703" s="314">
        <v>45950</v>
      </c>
      <c r="B703" s="16" t="s">
        <v>1543</v>
      </c>
      <c r="C703" s="315">
        <v>4595.47</v>
      </c>
      <c r="D703" s="316" t="s">
        <v>1537</v>
      </c>
    </row>
    <row r="704" spans="1:4" x14ac:dyDescent="0.25">
      <c r="A704" s="314">
        <v>45950</v>
      </c>
      <c r="B704" s="16" t="s">
        <v>1544</v>
      </c>
      <c r="C704" s="315">
        <v>9711.99</v>
      </c>
      <c r="D704" s="316" t="s">
        <v>1537</v>
      </c>
    </row>
    <row r="705" spans="1:4" x14ac:dyDescent="0.25">
      <c r="A705" s="314">
        <v>45950</v>
      </c>
      <c r="B705" s="16" t="s">
        <v>1548</v>
      </c>
      <c r="C705" s="315">
        <v>-24470.03</v>
      </c>
      <c r="D705" s="316" t="s">
        <v>1539</v>
      </c>
    </row>
    <row r="706" spans="1:4" x14ac:dyDescent="0.25">
      <c r="A706" s="314">
        <v>45951</v>
      </c>
      <c r="B706" s="16" t="s">
        <v>1543</v>
      </c>
      <c r="C706" s="315">
        <v>4269.98</v>
      </c>
      <c r="D706" s="316" t="s">
        <v>1537</v>
      </c>
    </row>
    <row r="707" spans="1:4" x14ac:dyDescent="0.25">
      <c r="A707" s="314">
        <v>45951</v>
      </c>
      <c r="B707" s="16" t="s">
        <v>1543</v>
      </c>
      <c r="C707" s="315">
        <v>5048.29</v>
      </c>
      <c r="D707" s="316" t="s">
        <v>1537</v>
      </c>
    </row>
    <row r="708" spans="1:4" x14ac:dyDescent="0.25">
      <c r="A708" s="314">
        <v>45951</v>
      </c>
      <c r="B708" s="16" t="s">
        <v>1547</v>
      </c>
      <c r="C708" s="315">
        <v>-11534.5</v>
      </c>
      <c r="D708" s="316" t="s">
        <v>1539</v>
      </c>
    </row>
    <row r="709" spans="1:4" x14ac:dyDescent="0.25">
      <c r="A709" s="314">
        <v>45951</v>
      </c>
      <c r="B709" s="16" t="s">
        <v>1545</v>
      </c>
      <c r="C709" s="315">
        <v>5610.69</v>
      </c>
      <c r="D709" s="316" t="s">
        <v>1537</v>
      </c>
    </row>
    <row r="710" spans="1:4" x14ac:dyDescent="0.25">
      <c r="A710" s="314">
        <v>45952</v>
      </c>
      <c r="B710" s="16" t="s">
        <v>1536</v>
      </c>
      <c r="C710" s="315">
        <v>2410.81</v>
      </c>
      <c r="D710" s="316" t="s">
        <v>1537</v>
      </c>
    </row>
    <row r="711" spans="1:4" x14ac:dyDescent="0.25">
      <c r="A711" s="314">
        <v>45952</v>
      </c>
      <c r="B711" s="16" t="s">
        <v>1538</v>
      </c>
      <c r="C711" s="315">
        <v>-3372.49</v>
      </c>
      <c r="D711" s="316" t="s">
        <v>1539</v>
      </c>
    </row>
    <row r="712" spans="1:4" x14ac:dyDescent="0.25">
      <c r="A712" s="314">
        <v>45952</v>
      </c>
      <c r="B712" s="16" t="s">
        <v>1546</v>
      </c>
      <c r="C712" s="315">
        <v>-22967.75</v>
      </c>
      <c r="D712" s="316" t="s">
        <v>1539</v>
      </c>
    </row>
    <row r="713" spans="1:4" x14ac:dyDescent="0.25">
      <c r="A713" s="314">
        <v>45952</v>
      </c>
      <c r="B713" s="16" t="s">
        <v>1543</v>
      </c>
      <c r="C713" s="315">
        <v>9832.54</v>
      </c>
      <c r="D713" s="316" t="s">
        <v>1537</v>
      </c>
    </row>
    <row r="714" spans="1:4" x14ac:dyDescent="0.25">
      <c r="A714" s="314">
        <v>45952</v>
      </c>
      <c r="B714" s="16" t="s">
        <v>1545</v>
      </c>
      <c r="C714" s="315">
        <v>8799.07</v>
      </c>
      <c r="D714" s="316" t="s">
        <v>1537</v>
      </c>
    </row>
    <row r="715" spans="1:4" x14ac:dyDescent="0.25">
      <c r="A715" s="314">
        <v>45953</v>
      </c>
      <c r="B715" s="16" t="s">
        <v>1538</v>
      </c>
      <c r="C715" s="315">
        <v>-9302.94</v>
      </c>
      <c r="D715" s="316" t="s">
        <v>1539</v>
      </c>
    </row>
    <row r="716" spans="1:4" x14ac:dyDescent="0.25">
      <c r="A716" s="314">
        <v>45953</v>
      </c>
      <c r="B716" s="16" t="s">
        <v>1548</v>
      </c>
      <c r="C716" s="315">
        <v>-21604.13</v>
      </c>
      <c r="D716" s="316" t="s">
        <v>1539</v>
      </c>
    </row>
    <row r="717" spans="1:4" x14ac:dyDescent="0.25">
      <c r="A717" s="314">
        <v>45954</v>
      </c>
      <c r="B717" s="16" t="s">
        <v>1541</v>
      </c>
      <c r="C717" s="315">
        <v>-12540.35</v>
      </c>
      <c r="D717" s="316" t="s">
        <v>1539</v>
      </c>
    </row>
    <row r="718" spans="1:4" x14ac:dyDescent="0.25">
      <c r="A718" s="314">
        <v>45954</v>
      </c>
      <c r="B718" s="16" t="s">
        <v>1547</v>
      </c>
      <c r="C718" s="315">
        <v>-8388.87</v>
      </c>
      <c r="D718" s="316" t="s">
        <v>1539</v>
      </c>
    </row>
    <row r="719" spans="1:4" x14ac:dyDescent="0.25">
      <c r="A719" s="314">
        <v>45955</v>
      </c>
      <c r="B719" s="16" t="s">
        <v>1536</v>
      </c>
      <c r="C719" s="315">
        <v>4011.36</v>
      </c>
      <c r="D719" s="316" t="s">
        <v>1537</v>
      </c>
    </row>
    <row r="720" spans="1:4" x14ac:dyDescent="0.25">
      <c r="A720" s="314">
        <v>45956</v>
      </c>
      <c r="B720" s="16" t="s">
        <v>1542</v>
      </c>
      <c r="C720" s="315">
        <v>2414.82</v>
      </c>
      <c r="D720" s="316" t="s">
        <v>1537</v>
      </c>
    </row>
    <row r="721" spans="1:4" x14ac:dyDescent="0.25">
      <c r="A721" s="314">
        <v>45956</v>
      </c>
      <c r="B721" s="16" t="s">
        <v>1543</v>
      </c>
      <c r="C721" s="315">
        <v>7346.9</v>
      </c>
      <c r="D721" s="316" t="s">
        <v>1537</v>
      </c>
    </row>
    <row r="722" spans="1:4" x14ac:dyDescent="0.25">
      <c r="A722" s="314">
        <v>45956</v>
      </c>
      <c r="B722" s="16" t="s">
        <v>1544</v>
      </c>
      <c r="C722" s="315">
        <v>6942.08</v>
      </c>
      <c r="D722" s="316" t="s">
        <v>1537</v>
      </c>
    </row>
    <row r="723" spans="1:4" x14ac:dyDescent="0.25">
      <c r="A723" s="314">
        <v>45957</v>
      </c>
      <c r="B723" s="16" t="s">
        <v>1536</v>
      </c>
      <c r="C723" s="315">
        <v>3120.53</v>
      </c>
      <c r="D723" s="316" t="s">
        <v>1537</v>
      </c>
    </row>
    <row r="724" spans="1:4" x14ac:dyDescent="0.25">
      <c r="A724" s="314">
        <v>45957</v>
      </c>
      <c r="B724" s="16" t="s">
        <v>1540</v>
      </c>
      <c r="C724" s="315">
        <v>-15626.73</v>
      </c>
      <c r="D724" s="316" t="s">
        <v>1539</v>
      </c>
    </row>
    <row r="725" spans="1:4" x14ac:dyDescent="0.25">
      <c r="A725" s="314">
        <v>45958</v>
      </c>
      <c r="B725" s="16" t="s">
        <v>1542</v>
      </c>
      <c r="C725" s="315">
        <v>4439.14</v>
      </c>
      <c r="D725" s="316" t="s">
        <v>1537</v>
      </c>
    </row>
    <row r="726" spans="1:4" x14ac:dyDescent="0.25">
      <c r="A726" s="314">
        <v>45958</v>
      </c>
      <c r="B726" s="16" t="s">
        <v>1543</v>
      </c>
      <c r="C726" s="315">
        <v>2825.06</v>
      </c>
      <c r="D726" s="316" t="s">
        <v>1537</v>
      </c>
    </row>
    <row r="727" spans="1:4" x14ac:dyDescent="0.25">
      <c r="A727" s="314">
        <v>45958</v>
      </c>
      <c r="B727" s="16" t="s">
        <v>1547</v>
      </c>
      <c r="C727" s="315">
        <v>-6628.76</v>
      </c>
      <c r="D727" s="316" t="s">
        <v>1539</v>
      </c>
    </row>
    <row r="728" spans="1:4" x14ac:dyDescent="0.25">
      <c r="A728" s="314">
        <v>45962</v>
      </c>
      <c r="B728" s="16" t="s">
        <v>1543</v>
      </c>
      <c r="C728" s="315">
        <v>3876.9</v>
      </c>
      <c r="D728" s="316" t="s">
        <v>1537</v>
      </c>
    </row>
    <row r="729" spans="1:4" x14ac:dyDescent="0.25">
      <c r="A729" s="314">
        <v>45963</v>
      </c>
      <c r="B729" s="16" t="s">
        <v>1538</v>
      </c>
      <c r="C729" s="315">
        <v>-22757.45</v>
      </c>
      <c r="D729" s="316" t="s">
        <v>1539</v>
      </c>
    </row>
    <row r="730" spans="1:4" x14ac:dyDescent="0.25">
      <c r="A730" s="314">
        <v>45963</v>
      </c>
      <c r="B730" s="16" t="s">
        <v>1546</v>
      </c>
      <c r="C730" s="315">
        <v>-23617.43</v>
      </c>
      <c r="D730" s="316" t="s">
        <v>1539</v>
      </c>
    </row>
    <row r="731" spans="1:4" x14ac:dyDescent="0.25">
      <c r="A731" s="314">
        <v>45963</v>
      </c>
      <c r="B731" s="16" t="s">
        <v>1543</v>
      </c>
      <c r="C731" s="315">
        <v>7030.37</v>
      </c>
      <c r="D731" s="316" t="s">
        <v>1537</v>
      </c>
    </row>
    <row r="732" spans="1:4" x14ac:dyDescent="0.25">
      <c r="A732" s="314">
        <v>45963</v>
      </c>
      <c r="B732" s="16" t="s">
        <v>1545</v>
      </c>
      <c r="C732" s="315">
        <v>2020.95</v>
      </c>
      <c r="D732" s="316" t="s">
        <v>1537</v>
      </c>
    </row>
    <row r="733" spans="1:4" x14ac:dyDescent="0.25">
      <c r="A733" s="314">
        <v>45964</v>
      </c>
      <c r="B733" s="16" t="s">
        <v>1543</v>
      </c>
      <c r="C733" s="315">
        <v>6743.03</v>
      </c>
      <c r="D733" s="316" t="s">
        <v>1537</v>
      </c>
    </row>
    <row r="734" spans="1:4" x14ac:dyDescent="0.25">
      <c r="A734" s="314">
        <v>45964</v>
      </c>
      <c r="B734" s="16" t="s">
        <v>1545</v>
      </c>
      <c r="C734" s="315">
        <v>3282.74</v>
      </c>
      <c r="D734" s="316" t="s">
        <v>1537</v>
      </c>
    </row>
    <row r="735" spans="1:4" x14ac:dyDescent="0.25">
      <c r="A735" s="314">
        <v>45965</v>
      </c>
      <c r="B735" s="16" t="s">
        <v>1548</v>
      </c>
      <c r="C735" s="315">
        <v>-24043.47</v>
      </c>
      <c r="D735" s="316" t="s">
        <v>1539</v>
      </c>
    </row>
    <row r="736" spans="1:4" x14ac:dyDescent="0.25">
      <c r="A736" s="314">
        <v>45966</v>
      </c>
      <c r="B736" s="16" t="s">
        <v>1542</v>
      </c>
      <c r="C736" s="315">
        <v>6222.15</v>
      </c>
      <c r="D736" s="316" t="s">
        <v>1537</v>
      </c>
    </row>
    <row r="737" spans="1:4" x14ac:dyDescent="0.25">
      <c r="A737" s="314">
        <v>45966</v>
      </c>
      <c r="B737" s="16" t="s">
        <v>1542</v>
      </c>
      <c r="C737" s="315">
        <v>7452.32</v>
      </c>
      <c r="D737" s="316" t="s">
        <v>1537</v>
      </c>
    </row>
    <row r="738" spans="1:4" x14ac:dyDescent="0.25">
      <c r="A738" s="314">
        <v>45966</v>
      </c>
      <c r="B738" s="16" t="s">
        <v>1541</v>
      </c>
      <c r="C738" s="315">
        <v>-24011.92</v>
      </c>
      <c r="D738" s="316" t="s">
        <v>1539</v>
      </c>
    </row>
    <row r="739" spans="1:4" x14ac:dyDescent="0.25">
      <c r="A739" s="314">
        <v>45966</v>
      </c>
      <c r="B739" s="16" t="s">
        <v>1546</v>
      </c>
      <c r="C739" s="315">
        <v>-19241.34</v>
      </c>
      <c r="D739" s="316" t="s">
        <v>1539</v>
      </c>
    </row>
    <row r="740" spans="1:4" x14ac:dyDescent="0.25">
      <c r="A740" s="314">
        <v>45967</v>
      </c>
      <c r="B740" s="16" t="s">
        <v>1536</v>
      </c>
      <c r="C740" s="315">
        <v>3223.83</v>
      </c>
      <c r="D740" s="316" t="s">
        <v>1537</v>
      </c>
    </row>
    <row r="741" spans="1:4" x14ac:dyDescent="0.25">
      <c r="A741" s="314">
        <v>45968</v>
      </c>
      <c r="B741" s="16" t="s">
        <v>1547</v>
      </c>
      <c r="C741" s="315">
        <v>-5188.47</v>
      </c>
      <c r="D741" s="316" t="s">
        <v>1539</v>
      </c>
    </row>
    <row r="742" spans="1:4" x14ac:dyDescent="0.25">
      <c r="A742" s="314">
        <v>45968</v>
      </c>
      <c r="B742" s="16" t="s">
        <v>1548</v>
      </c>
      <c r="C742" s="315">
        <v>-19083.25</v>
      </c>
      <c r="D742" s="316" t="s">
        <v>1539</v>
      </c>
    </row>
    <row r="743" spans="1:4" x14ac:dyDescent="0.25">
      <c r="A743" s="314">
        <v>45968</v>
      </c>
      <c r="B743" s="16" t="s">
        <v>1545</v>
      </c>
      <c r="C743" s="315">
        <v>1429.84</v>
      </c>
      <c r="D743" s="316" t="s">
        <v>1537</v>
      </c>
    </row>
    <row r="744" spans="1:4" x14ac:dyDescent="0.25">
      <c r="A744" s="314">
        <v>45968</v>
      </c>
      <c r="B744" s="16" t="s">
        <v>1545</v>
      </c>
      <c r="C744" s="315">
        <v>3426.4</v>
      </c>
      <c r="D744" s="316" t="s">
        <v>1537</v>
      </c>
    </row>
    <row r="745" spans="1:4" x14ac:dyDescent="0.25">
      <c r="A745" s="314">
        <v>45969</v>
      </c>
      <c r="B745" s="16" t="s">
        <v>1536</v>
      </c>
      <c r="C745" s="315">
        <v>4088.33</v>
      </c>
      <c r="D745" s="316" t="s">
        <v>1537</v>
      </c>
    </row>
    <row r="746" spans="1:4" x14ac:dyDescent="0.25">
      <c r="A746" s="314">
        <v>45969</v>
      </c>
      <c r="B746" s="16" t="s">
        <v>1541</v>
      </c>
      <c r="C746" s="315">
        <v>-4216.84</v>
      </c>
      <c r="D746" s="316" t="s">
        <v>1539</v>
      </c>
    </row>
    <row r="747" spans="1:4" x14ac:dyDescent="0.25">
      <c r="A747" s="314">
        <v>45969</v>
      </c>
      <c r="B747" s="16" t="s">
        <v>1543</v>
      </c>
      <c r="C747" s="315">
        <v>7325.06</v>
      </c>
      <c r="D747" s="316" t="s">
        <v>1537</v>
      </c>
    </row>
    <row r="748" spans="1:4" x14ac:dyDescent="0.25">
      <c r="A748" s="314">
        <v>45969</v>
      </c>
      <c r="B748" s="16" t="s">
        <v>1548</v>
      </c>
      <c r="C748" s="315">
        <v>-6710.46</v>
      </c>
      <c r="D748" s="316" t="s">
        <v>1539</v>
      </c>
    </row>
    <row r="749" spans="1:4" x14ac:dyDescent="0.25">
      <c r="A749" s="314">
        <v>45970</v>
      </c>
      <c r="B749" s="16" t="s">
        <v>1542</v>
      </c>
      <c r="C749" s="315">
        <v>6736.3</v>
      </c>
      <c r="D749" s="316" t="s">
        <v>1537</v>
      </c>
    </row>
    <row r="750" spans="1:4" x14ac:dyDescent="0.25">
      <c r="A750" s="314">
        <v>45970</v>
      </c>
      <c r="B750" s="16" t="s">
        <v>1546</v>
      </c>
      <c r="C750" s="315">
        <v>-14765.19</v>
      </c>
      <c r="D750" s="316" t="s">
        <v>1539</v>
      </c>
    </row>
    <row r="751" spans="1:4" x14ac:dyDescent="0.25">
      <c r="A751" s="314">
        <v>45970</v>
      </c>
      <c r="B751" s="16" t="s">
        <v>1544</v>
      </c>
      <c r="C751" s="315">
        <v>5684.21</v>
      </c>
      <c r="D751" s="316" t="s">
        <v>1537</v>
      </c>
    </row>
    <row r="752" spans="1:4" x14ac:dyDescent="0.25">
      <c r="A752" s="314">
        <v>45972</v>
      </c>
      <c r="B752" s="16" t="s">
        <v>1536</v>
      </c>
      <c r="C752" s="315">
        <v>7770.88</v>
      </c>
      <c r="D752" s="316" t="s">
        <v>1537</v>
      </c>
    </row>
    <row r="753" spans="1:4" x14ac:dyDescent="0.25">
      <c r="A753" s="314">
        <v>45972</v>
      </c>
      <c r="B753" s="16" t="s">
        <v>1545</v>
      </c>
      <c r="C753" s="315">
        <v>2882.48</v>
      </c>
      <c r="D753" s="316" t="s">
        <v>1537</v>
      </c>
    </row>
    <row r="754" spans="1:4" x14ac:dyDescent="0.25">
      <c r="A754" s="314">
        <v>45973</v>
      </c>
      <c r="B754" s="16" t="s">
        <v>1536</v>
      </c>
      <c r="C754" s="315">
        <v>5472.42</v>
      </c>
      <c r="D754" s="316" t="s">
        <v>1537</v>
      </c>
    </row>
    <row r="755" spans="1:4" x14ac:dyDescent="0.25">
      <c r="A755" s="314">
        <v>45973</v>
      </c>
      <c r="B755" s="16" t="s">
        <v>1542</v>
      </c>
      <c r="C755" s="315">
        <v>6271.62</v>
      </c>
      <c r="D755" s="316" t="s">
        <v>1537</v>
      </c>
    </row>
    <row r="756" spans="1:4" x14ac:dyDescent="0.25">
      <c r="A756" s="314">
        <v>45973</v>
      </c>
      <c r="B756" s="16" t="s">
        <v>1540</v>
      </c>
      <c r="C756" s="315">
        <v>-9301.51</v>
      </c>
      <c r="D756" s="316" t="s">
        <v>1539</v>
      </c>
    </row>
    <row r="757" spans="1:4" x14ac:dyDescent="0.25">
      <c r="A757" s="314">
        <v>45973</v>
      </c>
      <c r="B757" s="16" t="s">
        <v>1541</v>
      </c>
      <c r="C757" s="315">
        <v>-10421.68</v>
      </c>
      <c r="D757" s="316" t="s">
        <v>1539</v>
      </c>
    </row>
    <row r="758" spans="1:4" x14ac:dyDescent="0.25">
      <c r="A758" s="314">
        <v>45973</v>
      </c>
      <c r="B758" s="16" t="s">
        <v>1546</v>
      </c>
      <c r="C758" s="315">
        <v>-10666.13</v>
      </c>
      <c r="D758" s="316" t="s">
        <v>1539</v>
      </c>
    </row>
    <row r="759" spans="1:4" x14ac:dyDescent="0.25">
      <c r="A759" s="314">
        <v>45973</v>
      </c>
      <c r="B759" s="16" t="s">
        <v>1544</v>
      </c>
      <c r="C759" s="315">
        <v>5576.88</v>
      </c>
      <c r="D759" s="316" t="s">
        <v>1537</v>
      </c>
    </row>
    <row r="760" spans="1:4" x14ac:dyDescent="0.25">
      <c r="A760" s="314">
        <v>45974</v>
      </c>
      <c r="B760" s="16" t="s">
        <v>1547</v>
      </c>
      <c r="C760" s="315">
        <v>-16266.71</v>
      </c>
      <c r="D760" s="316" t="s">
        <v>1539</v>
      </c>
    </row>
    <row r="761" spans="1:4" x14ac:dyDescent="0.25">
      <c r="A761" s="314">
        <v>45974</v>
      </c>
      <c r="B761" s="16" t="s">
        <v>1544</v>
      </c>
      <c r="C761" s="315">
        <v>7709.33</v>
      </c>
      <c r="D761" s="316" t="s">
        <v>1537</v>
      </c>
    </row>
    <row r="762" spans="1:4" x14ac:dyDescent="0.25">
      <c r="A762" s="314">
        <v>45975</v>
      </c>
      <c r="B762" s="16" t="s">
        <v>1543</v>
      </c>
      <c r="C762" s="315">
        <v>8023.31</v>
      </c>
      <c r="D762" s="316" t="s">
        <v>1537</v>
      </c>
    </row>
    <row r="763" spans="1:4" x14ac:dyDescent="0.25">
      <c r="A763" s="314">
        <v>45976</v>
      </c>
      <c r="B763" s="16" t="s">
        <v>1538</v>
      </c>
      <c r="C763" s="315">
        <v>-22398.95</v>
      </c>
      <c r="D763" s="316" t="s">
        <v>1539</v>
      </c>
    </row>
    <row r="764" spans="1:4" x14ac:dyDescent="0.25">
      <c r="A764" s="314">
        <v>45976</v>
      </c>
      <c r="B764" s="16" t="s">
        <v>1540</v>
      </c>
      <c r="C764" s="315">
        <v>-20477.52</v>
      </c>
      <c r="D764" s="316" t="s">
        <v>1539</v>
      </c>
    </row>
    <row r="765" spans="1:4" x14ac:dyDescent="0.25">
      <c r="A765" s="314">
        <v>45976</v>
      </c>
      <c r="B765" s="16" t="s">
        <v>1540</v>
      </c>
      <c r="C765" s="315">
        <v>-10216.41</v>
      </c>
      <c r="D765" s="316" t="s">
        <v>1539</v>
      </c>
    </row>
    <row r="766" spans="1:4" x14ac:dyDescent="0.25">
      <c r="A766" s="314">
        <v>45976</v>
      </c>
      <c r="B766" s="16" t="s">
        <v>1540</v>
      </c>
      <c r="C766" s="315">
        <v>-7760.32</v>
      </c>
      <c r="D766" s="316" t="s">
        <v>1539</v>
      </c>
    </row>
    <row r="767" spans="1:4" x14ac:dyDescent="0.25">
      <c r="A767" s="314">
        <v>45976</v>
      </c>
      <c r="B767" s="16" t="s">
        <v>1546</v>
      </c>
      <c r="C767" s="315">
        <v>-9080.29</v>
      </c>
      <c r="D767" s="316" t="s">
        <v>1539</v>
      </c>
    </row>
    <row r="768" spans="1:4" x14ac:dyDescent="0.25">
      <c r="A768" s="314">
        <v>45976</v>
      </c>
      <c r="B768" s="16" t="s">
        <v>1549</v>
      </c>
      <c r="C768" s="315">
        <v>14597.63</v>
      </c>
      <c r="D768" s="316" t="s">
        <v>1550</v>
      </c>
    </row>
    <row r="769" spans="1:4" x14ac:dyDescent="0.25">
      <c r="A769" s="314">
        <v>45976</v>
      </c>
      <c r="B769" s="16" t="s">
        <v>1544</v>
      </c>
      <c r="C769" s="315">
        <v>3077.06</v>
      </c>
      <c r="D769" s="316" t="s">
        <v>1537</v>
      </c>
    </row>
    <row r="770" spans="1:4" x14ac:dyDescent="0.25">
      <c r="A770" s="314">
        <v>45977</v>
      </c>
      <c r="B770" s="16" t="s">
        <v>1542</v>
      </c>
      <c r="C770" s="315">
        <v>7172.78</v>
      </c>
      <c r="D770" s="316" t="s">
        <v>1537</v>
      </c>
    </row>
    <row r="771" spans="1:4" x14ac:dyDescent="0.25">
      <c r="A771" s="314">
        <v>45977</v>
      </c>
      <c r="B771" s="16" t="s">
        <v>1543</v>
      </c>
      <c r="C771" s="315">
        <v>7136.08</v>
      </c>
      <c r="D771" s="316" t="s">
        <v>1537</v>
      </c>
    </row>
    <row r="772" spans="1:4" x14ac:dyDescent="0.25">
      <c r="A772" s="314">
        <v>45977</v>
      </c>
      <c r="B772" s="16" t="s">
        <v>1544</v>
      </c>
      <c r="C772" s="315">
        <v>7070.95</v>
      </c>
      <c r="D772" s="316" t="s">
        <v>1537</v>
      </c>
    </row>
    <row r="773" spans="1:4" x14ac:dyDescent="0.25">
      <c r="A773" s="314">
        <v>45978</v>
      </c>
      <c r="B773" s="16" t="s">
        <v>1544</v>
      </c>
      <c r="C773" s="315">
        <v>7142.51</v>
      </c>
      <c r="D773" s="316" t="s">
        <v>1537</v>
      </c>
    </row>
    <row r="774" spans="1:4" x14ac:dyDescent="0.25">
      <c r="A774" s="314">
        <v>45978</v>
      </c>
      <c r="B774" s="16" t="s">
        <v>1544</v>
      </c>
      <c r="C774" s="315">
        <v>7895.89</v>
      </c>
      <c r="D774" s="316" t="s">
        <v>1537</v>
      </c>
    </row>
    <row r="775" spans="1:4" x14ac:dyDescent="0.25">
      <c r="A775" s="314">
        <v>45978</v>
      </c>
      <c r="B775" s="16" t="s">
        <v>1548</v>
      </c>
      <c r="C775" s="315">
        <v>-18879.91</v>
      </c>
      <c r="D775" s="316" t="s">
        <v>1539</v>
      </c>
    </row>
    <row r="776" spans="1:4" x14ac:dyDescent="0.25">
      <c r="A776" s="314">
        <v>45979</v>
      </c>
      <c r="B776" s="16" t="s">
        <v>1542</v>
      </c>
      <c r="C776" s="315">
        <v>4677.04</v>
      </c>
      <c r="D776" s="316" t="s">
        <v>1537</v>
      </c>
    </row>
    <row r="777" spans="1:4" x14ac:dyDescent="0.25">
      <c r="A777" s="314">
        <v>45980</v>
      </c>
      <c r="B777" s="16" t="s">
        <v>1538</v>
      </c>
      <c r="C777" s="315">
        <v>-11870.08</v>
      </c>
      <c r="D777" s="316" t="s">
        <v>1539</v>
      </c>
    </row>
    <row r="778" spans="1:4" x14ac:dyDescent="0.25">
      <c r="A778" s="314">
        <v>45980</v>
      </c>
      <c r="B778" s="16" t="s">
        <v>1542</v>
      </c>
      <c r="C778" s="315">
        <v>7202.8</v>
      </c>
      <c r="D778" s="316" t="s">
        <v>1537</v>
      </c>
    </row>
    <row r="779" spans="1:4" x14ac:dyDescent="0.25">
      <c r="A779" s="314">
        <v>45980</v>
      </c>
      <c r="B779" s="16" t="s">
        <v>1544</v>
      </c>
      <c r="C779" s="315">
        <v>6272.91</v>
      </c>
      <c r="D779" s="316" t="s">
        <v>1537</v>
      </c>
    </row>
    <row r="780" spans="1:4" x14ac:dyDescent="0.25">
      <c r="A780" s="314">
        <v>45980</v>
      </c>
      <c r="B780" s="16" t="s">
        <v>1545</v>
      </c>
      <c r="C780" s="315">
        <v>2838.84</v>
      </c>
      <c r="D780" s="316" t="s">
        <v>1537</v>
      </c>
    </row>
    <row r="781" spans="1:4" x14ac:dyDescent="0.25">
      <c r="A781" s="314">
        <v>45981</v>
      </c>
      <c r="B781" s="16" t="s">
        <v>1546</v>
      </c>
      <c r="C781" s="315">
        <v>-22384.63</v>
      </c>
      <c r="D781" s="316" t="s">
        <v>1539</v>
      </c>
    </row>
    <row r="782" spans="1:4" x14ac:dyDescent="0.25">
      <c r="A782" s="314">
        <v>45981</v>
      </c>
      <c r="B782" s="16" t="s">
        <v>1543</v>
      </c>
      <c r="C782" s="315">
        <v>7139.33</v>
      </c>
      <c r="D782" s="316" t="s">
        <v>1537</v>
      </c>
    </row>
    <row r="783" spans="1:4" x14ac:dyDescent="0.25">
      <c r="A783" s="314">
        <v>45982</v>
      </c>
      <c r="B783" s="16" t="s">
        <v>1547</v>
      </c>
      <c r="C783" s="315">
        <v>-23975.87</v>
      </c>
      <c r="D783" s="316" t="s">
        <v>1539</v>
      </c>
    </row>
    <row r="784" spans="1:4" x14ac:dyDescent="0.25">
      <c r="A784" s="314">
        <v>45982</v>
      </c>
      <c r="B784" s="16" t="s">
        <v>1547</v>
      </c>
      <c r="C784" s="315">
        <v>-12562.05</v>
      </c>
      <c r="D784" s="316" t="s">
        <v>1539</v>
      </c>
    </row>
    <row r="785" spans="1:4" x14ac:dyDescent="0.25">
      <c r="A785" s="314">
        <v>45983</v>
      </c>
      <c r="B785" s="16" t="s">
        <v>1538</v>
      </c>
      <c r="C785" s="315">
        <v>-10738.28</v>
      </c>
      <c r="D785" s="316" t="s">
        <v>1539</v>
      </c>
    </row>
    <row r="786" spans="1:4" x14ac:dyDescent="0.25">
      <c r="A786" s="314">
        <v>45983</v>
      </c>
      <c r="B786" s="16" t="s">
        <v>1547</v>
      </c>
      <c r="C786" s="315">
        <v>-12495.61</v>
      </c>
      <c r="D786" s="316" t="s">
        <v>1539</v>
      </c>
    </row>
    <row r="787" spans="1:4" x14ac:dyDescent="0.25">
      <c r="A787" s="314">
        <v>45985</v>
      </c>
      <c r="B787" s="16" t="s">
        <v>1547</v>
      </c>
      <c r="C787" s="315">
        <v>-5735.63</v>
      </c>
      <c r="D787" s="316" t="s">
        <v>1539</v>
      </c>
    </row>
    <row r="788" spans="1:4" x14ac:dyDescent="0.25">
      <c r="A788" s="314">
        <v>45986</v>
      </c>
      <c r="B788" s="16" t="s">
        <v>1541</v>
      </c>
      <c r="C788" s="315">
        <v>-2810.54</v>
      </c>
      <c r="D788" s="316" t="s">
        <v>1539</v>
      </c>
    </row>
    <row r="789" spans="1:4" x14ac:dyDescent="0.25">
      <c r="A789" s="314">
        <v>45987</v>
      </c>
      <c r="B789" s="16" t="s">
        <v>1542</v>
      </c>
      <c r="C789" s="315">
        <v>4413.19</v>
      </c>
      <c r="D789" s="316" t="s">
        <v>1537</v>
      </c>
    </row>
    <row r="790" spans="1:4" x14ac:dyDescent="0.25">
      <c r="A790" s="314">
        <v>45987</v>
      </c>
      <c r="B790" s="16" t="s">
        <v>1543</v>
      </c>
      <c r="C790" s="315">
        <v>3359.33</v>
      </c>
      <c r="D790" s="316" t="s">
        <v>1537</v>
      </c>
    </row>
    <row r="791" spans="1:4" x14ac:dyDescent="0.25">
      <c r="A791" s="314">
        <v>45988</v>
      </c>
      <c r="B791" s="16" t="s">
        <v>1540</v>
      </c>
      <c r="C791" s="315">
        <v>-3327.98</v>
      </c>
      <c r="D791" s="316" t="s">
        <v>1539</v>
      </c>
    </row>
    <row r="792" spans="1:4" x14ac:dyDescent="0.25">
      <c r="A792" s="314">
        <v>45988</v>
      </c>
      <c r="B792" s="16" t="s">
        <v>1543</v>
      </c>
      <c r="C792" s="315">
        <v>4716.78</v>
      </c>
      <c r="D792" s="316" t="s">
        <v>1537</v>
      </c>
    </row>
    <row r="793" spans="1:4" x14ac:dyDescent="0.25">
      <c r="A793" s="314">
        <v>45988</v>
      </c>
      <c r="B793" s="16" t="s">
        <v>1547</v>
      </c>
      <c r="C793" s="315">
        <v>-7560.73</v>
      </c>
      <c r="D793" s="316" t="s">
        <v>1539</v>
      </c>
    </row>
    <row r="794" spans="1:4" x14ac:dyDescent="0.25">
      <c r="A794" s="314">
        <v>45988</v>
      </c>
      <c r="B794" s="16" t="s">
        <v>1544</v>
      </c>
      <c r="C794" s="315">
        <v>5720.48</v>
      </c>
      <c r="D794" s="316" t="s">
        <v>1537</v>
      </c>
    </row>
    <row r="795" spans="1:4" x14ac:dyDescent="0.25">
      <c r="A795" s="314">
        <v>45989</v>
      </c>
      <c r="B795" s="16" t="s">
        <v>1536</v>
      </c>
      <c r="C795" s="315">
        <v>2039.65</v>
      </c>
      <c r="D795" s="316" t="s">
        <v>1537</v>
      </c>
    </row>
    <row r="796" spans="1:4" x14ac:dyDescent="0.25">
      <c r="A796" s="314">
        <v>45989</v>
      </c>
      <c r="B796" s="16" t="s">
        <v>1543</v>
      </c>
      <c r="C796" s="315">
        <v>7565.91</v>
      </c>
      <c r="D796" s="316" t="s">
        <v>1537</v>
      </c>
    </row>
    <row r="797" spans="1:4" x14ac:dyDescent="0.25">
      <c r="A797" s="314">
        <v>45989</v>
      </c>
      <c r="B797" s="16" t="s">
        <v>1544</v>
      </c>
      <c r="C797" s="315">
        <v>5343.15</v>
      </c>
      <c r="D797" s="316" t="s">
        <v>1537</v>
      </c>
    </row>
    <row r="798" spans="1:4" x14ac:dyDescent="0.25">
      <c r="A798" s="314">
        <v>45989</v>
      </c>
      <c r="B798" s="16" t="s">
        <v>1544</v>
      </c>
      <c r="C798" s="315">
        <v>6892.14</v>
      </c>
      <c r="D798" s="316" t="s">
        <v>1537</v>
      </c>
    </row>
    <row r="799" spans="1:4" x14ac:dyDescent="0.25">
      <c r="A799" s="314">
        <v>45989</v>
      </c>
      <c r="B799" s="16" t="s">
        <v>1545</v>
      </c>
      <c r="C799" s="315">
        <v>1717.75</v>
      </c>
      <c r="D799" s="316" t="s">
        <v>1537</v>
      </c>
    </row>
    <row r="800" spans="1:4" x14ac:dyDescent="0.25">
      <c r="A800" s="314">
        <v>45992</v>
      </c>
      <c r="B800" s="16" t="s">
        <v>1543</v>
      </c>
      <c r="C800" s="315">
        <v>5259.11</v>
      </c>
      <c r="D800" s="316" t="s">
        <v>1537</v>
      </c>
    </row>
    <row r="801" spans="1:4" x14ac:dyDescent="0.25">
      <c r="A801" s="314">
        <v>45992</v>
      </c>
      <c r="B801" s="16" t="s">
        <v>1544</v>
      </c>
      <c r="C801" s="315">
        <v>7211.55</v>
      </c>
      <c r="D801" s="316" t="s">
        <v>1537</v>
      </c>
    </row>
    <row r="802" spans="1:4" x14ac:dyDescent="0.25">
      <c r="A802" s="314">
        <v>45993</v>
      </c>
      <c r="B802" s="16" t="s">
        <v>1547</v>
      </c>
      <c r="C802" s="315">
        <v>-21841.76</v>
      </c>
      <c r="D802" s="316" t="s">
        <v>1539</v>
      </c>
    </row>
    <row r="803" spans="1:4" x14ac:dyDescent="0.25">
      <c r="A803" s="314">
        <v>45993</v>
      </c>
      <c r="B803" s="16" t="s">
        <v>1545</v>
      </c>
      <c r="C803" s="315">
        <v>3363.39</v>
      </c>
      <c r="D803" s="316" t="s">
        <v>1537</v>
      </c>
    </row>
    <row r="804" spans="1:4" x14ac:dyDescent="0.25">
      <c r="A804" s="314">
        <v>45994</v>
      </c>
      <c r="B804" s="16" t="s">
        <v>1543</v>
      </c>
      <c r="C804" s="315">
        <v>5618.67</v>
      </c>
      <c r="D804" s="316" t="s">
        <v>1537</v>
      </c>
    </row>
    <row r="805" spans="1:4" x14ac:dyDescent="0.25">
      <c r="A805" s="314">
        <v>45994</v>
      </c>
      <c r="B805" s="16" t="s">
        <v>1543</v>
      </c>
      <c r="C805" s="315">
        <v>7523.15</v>
      </c>
      <c r="D805" s="316" t="s">
        <v>1537</v>
      </c>
    </row>
    <row r="806" spans="1:4" x14ac:dyDescent="0.25">
      <c r="A806" s="314">
        <v>45994</v>
      </c>
      <c r="B806" s="16" t="s">
        <v>1543</v>
      </c>
      <c r="C806" s="315">
        <v>7544.72</v>
      </c>
      <c r="D806" s="316" t="s">
        <v>1537</v>
      </c>
    </row>
    <row r="807" spans="1:4" x14ac:dyDescent="0.25">
      <c r="A807" s="314">
        <v>45994</v>
      </c>
      <c r="B807" s="16" t="s">
        <v>1544</v>
      </c>
      <c r="C807" s="315">
        <v>5199.39</v>
      </c>
      <c r="D807" s="316" t="s">
        <v>1537</v>
      </c>
    </row>
    <row r="808" spans="1:4" x14ac:dyDescent="0.25">
      <c r="A808" s="314">
        <v>45995</v>
      </c>
      <c r="B808" s="16" t="s">
        <v>1538</v>
      </c>
      <c r="C808" s="315">
        <v>-5906.15</v>
      </c>
      <c r="D808" s="316" t="s">
        <v>1539</v>
      </c>
    </row>
    <row r="809" spans="1:4" x14ac:dyDescent="0.25">
      <c r="A809" s="314">
        <v>45995</v>
      </c>
      <c r="B809" s="16" t="s">
        <v>1542</v>
      </c>
      <c r="C809" s="315">
        <v>3475.07</v>
      </c>
      <c r="D809" s="316" t="s">
        <v>1537</v>
      </c>
    </row>
    <row r="810" spans="1:4" x14ac:dyDescent="0.25">
      <c r="A810" s="314">
        <v>45995</v>
      </c>
      <c r="B810" s="16" t="s">
        <v>1547</v>
      </c>
      <c r="C810" s="315">
        <v>-4356.26</v>
      </c>
      <c r="D810" s="316" t="s">
        <v>1539</v>
      </c>
    </row>
    <row r="811" spans="1:4" x14ac:dyDescent="0.25">
      <c r="A811" s="314">
        <v>45995</v>
      </c>
      <c r="B811" s="16" t="s">
        <v>1548</v>
      </c>
      <c r="C811" s="315">
        <v>-5705.83</v>
      </c>
      <c r="D811" s="316" t="s">
        <v>1539</v>
      </c>
    </row>
    <row r="812" spans="1:4" x14ac:dyDescent="0.25">
      <c r="A812" s="314">
        <v>45996</v>
      </c>
      <c r="B812" s="16" t="s">
        <v>1538</v>
      </c>
      <c r="C812" s="315">
        <v>-15407.58</v>
      </c>
      <c r="D812" s="316" t="s">
        <v>1539</v>
      </c>
    </row>
    <row r="813" spans="1:4" x14ac:dyDescent="0.25">
      <c r="A813" s="314">
        <v>45996</v>
      </c>
      <c r="B813" s="16" t="s">
        <v>1542</v>
      </c>
      <c r="C813" s="315">
        <v>6958.57</v>
      </c>
      <c r="D813" s="316" t="s">
        <v>1537</v>
      </c>
    </row>
    <row r="814" spans="1:4" x14ac:dyDescent="0.25">
      <c r="A814" s="314">
        <v>45996</v>
      </c>
      <c r="B814" s="16" t="s">
        <v>1543</v>
      </c>
      <c r="C814" s="315">
        <v>3544.65</v>
      </c>
      <c r="D814" s="316" t="s">
        <v>1537</v>
      </c>
    </row>
    <row r="815" spans="1:4" x14ac:dyDescent="0.25">
      <c r="A815" s="314">
        <v>45996</v>
      </c>
      <c r="B815" s="16" t="s">
        <v>1544</v>
      </c>
      <c r="C815" s="315">
        <v>2253.6</v>
      </c>
      <c r="D815" s="316" t="s">
        <v>1537</v>
      </c>
    </row>
    <row r="816" spans="1:4" x14ac:dyDescent="0.25">
      <c r="A816" s="314">
        <v>45997</v>
      </c>
      <c r="B816" s="16" t="s">
        <v>1547</v>
      </c>
      <c r="C816" s="315">
        <v>-23533.15</v>
      </c>
      <c r="D816" s="316" t="s">
        <v>1539</v>
      </c>
    </row>
    <row r="817" spans="1:4" x14ac:dyDescent="0.25">
      <c r="A817" s="314">
        <v>45997</v>
      </c>
      <c r="B817" s="16" t="s">
        <v>1545</v>
      </c>
      <c r="C817" s="315">
        <v>3357.19</v>
      </c>
      <c r="D817" s="316" t="s">
        <v>1537</v>
      </c>
    </row>
    <row r="818" spans="1:4" x14ac:dyDescent="0.25">
      <c r="A818" s="314">
        <v>45997</v>
      </c>
      <c r="B818" s="16" t="s">
        <v>1545</v>
      </c>
      <c r="C818" s="315">
        <v>4437.71</v>
      </c>
      <c r="D818" s="316" t="s">
        <v>1537</v>
      </c>
    </row>
    <row r="819" spans="1:4" x14ac:dyDescent="0.25">
      <c r="A819" s="314">
        <v>45998</v>
      </c>
      <c r="B819" s="16" t="s">
        <v>1543</v>
      </c>
      <c r="C819" s="315">
        <v>2575.21</v>
      </c>
      <c r="D819" s="316" t="s">
        <v>1537</v>
      </c>
    </row>
    <row r="820" spans="1:4" x14ac:dyDescent="0.25">
      <c r="A820" s="314">
        <v>45998</v>
      </c>
      <c r="B820" s="16" t="s">
        <v>1544</v>
      </c>
      <c r="C820" s="315">
        <v>1642.77</v>
      </c>
      <c r="D820" s="316" t="s">
        <v>1537</v>
      </c>
    </row>
    <row r="821" spans="1:4" x14ac:dyDescent="0.25">
      <c r="A821" s="314">
        <v>45999</v>
      </c>
      <c r="B821" s="16" t="s">
        <v>1543</v>
      </c>
      <c r="C821" s="315">
        <v>4081.78</v>
      </c>
      <c r="D821" s="316" t="s">
        <v>1537</v>
      </c>
    </row>
    <row r="822" spans="1:4" x14ac:dyDescent="0.25">
      <c r="A822" s="314">
        <v>45999</v>
      </c>
      <c r="B822" s="16" t="s">
        <v>1544</v>
      </c>
      <c r="C822" s="315">
        <v>1753.02</v>
      </c>
      <c r="D822" s="316" t="s">
        <v>1537</v>
      </c>
    </row>
    <row r="823" spans="1:4" x14ac:dyDescent="0.25">
      <c r="A823" s="314">
        <v>45999</v>
      </c>
      <c r="B823" s="16" t="s">
        <v>1545</v>
      </c>
      <c r="C823" s="315">
        <v>3255.78</v>
      </c>
      <c r="D823" s="316" t="s">
        <v>1537</v>
      </c>
    </row>
    <row r="824" spans="1:4" x14ac:dyDescent="0.25">
      <c r="A824" s="314">
        <v>45999</v>
      </c>
      <c r="B824" s="16" t="s">
        <v>1545</v>
      </c>
      <c r="C824" s="315">
        <v>8531.59</v>
      </c>
      <c r="D824" s="316" t="s">
        <v>1537</v>
      </c>
    </row>
    <row r="825" spans="1:4" x14ac:dyDescent="0.25">
      <c r="A825" s="314">
        <v>46000</v>
      </c>
      <c r="B825" s="16" t="s">
        <v>1547</v>
      </c>
      <c r="C825" s="315">
        <v>-12423.87</v>
      </c>
      <c r="D825" s="316" t="s">
        <v>1539</v>
      </c>
    </row>
    <row r="826" spans="1:4" x14ac:dyDescent="0.25">
      <c r="A826" s="314">
        <v>46000</v>
      </c>
      <c r="B826" s="16" t="s">
        <v>1544</v>
      </c>
      <c r="C826" s="315">
        <v>2774.29</v>
      </c>
      <c r="D826" s="316" t="s">
        <v>1537</v>
      </c>
    </row>
    <row r="827" spans="1:4" x14ac:dyDescent="0.25">
      <c r="A827" s="314">
        <v>46001</v>
      </c>
      <c r="B827" s="16" t="s">
        <v>1543</v>
      </c>
      <c r="C827" s="315">
        <v>5158.11</v>
      </c>
      <c r="D827" s="316" t="s">
        <v>1537</v>
      </c>
    </row>
    <row r="828" spans="1:4" x14ac:dyDescent="0.25">
      <c r="A828" s="314">
        <v>46002</v>
      </c>
      <c r="B828" s="16" t="s">
        <v>1542</v>
      </c>
      <c r="C828" s="315">
        <v>8200.21</v>
      </c>
      <c r="D828" s="316" t="s">
        <v>1537</v>
      </c>
    </row>
    <row r="829" spans="1:4" x14ac:dyDescent="0.25">
      <c r="A829" s="314">
        <v>46002</v>
      </c>
      <c r="B829" s="16" t="s">
        <v>1541</v>
      </c>
      <c r="C829" s="315">
        <v>-7148.86</v>
      </c>
      <c r="D829" s="316" t="s">
        <v>1539</v>
      </c>
    </row>
    <row r="830" spans="1:4" x14ac:dyDescent="0.25">
      <c r="A830" s="314">
        <v>46002</v>
      </c>
      <c r="B830" s="16" t="s">
        <v>1541</v>
      </c>
      <c r="C830" s="315">
        <v>-6218.44</v>
      </c>
      <c r="D830" s="316" t="s">
        <v>1539</v>
      </c>
    </row>
    <row r="831" spans="1:4" x14ac:dyDescent="0.25">
      <c r="A831" s="314">
        <v>46002</v>
      </c>
      <c r="B831" s="16" t="s">
        <v>1548</v>
      </c>
      <c r="C831" s="315">
        <v>-11736.17</v>
      </c>
      <c r="D831" s="316" t="s">
        <v>1539</v>
      </c>
    </row>
    <row r="832" spans="1:4" x14ac:dyDescent="0.25">
      <c r="A832" s="314">
        <v>46003</v>
      </c>
      <c r="B832" s="16" t="s">
        <v>1540</v>
      </c>
      <c r="C832" s="315">
        <v>-21956.67</v>
      </c>
      <c r="D832" s="316" t="s">
        <v>1539</v>
      </c>
    </row>
    <row r="833" spans="1:4" x14ac:dyDescent="0.25">
      <c r="A833" s="314">
        <v>46003</v>
      </c>
      <c r="B833" s="16" t="s">
        <v>1544</v>
      </c>
      <c r="C833" s="315">
        <v>4486.51</v>
      </c>
      <c r="D833" s="316" t="s">
        <v>1537</v>
      </c>
    </row>
    <row r="834" spans="1:4" x14ac:dyDescent="0.25">
      <c r="A834" s="314">
        <v>46003</v>
      </c>
      <c r="B834" s="16" t="s">
        <v>1545</v>
      </c>
      <c r="C834" s="315">
        <v>8588.67</v>
      </c>
      <c r="D834" s="316" t="s">
        <v>1537</v>
      </c>
    </row>
    <row r="835" spans="1:4" x14ac:dyDescent="0.25">
      <c r="A835" s="314">
        <v>46004</v>
      </c>
      <c r="B835" s="16" t="s">
        <v>1547</v>
      </c>
      <c r="C835" s="315">
        <v>-19757.32</v>
      </c>
      <c r="D835" s="316" t="s">
        <v>1539</v>
      </c>
    </row>
    <row r="836" spans="1:4" x14ac:dyDescent="0.25">
      <c r="A836" s="314">
        <v>46004</v>
      </c>
      <c r="B836" s="16" t="s">
        <v>1548</v>
      </c>
      <c r="C836" s="315">
        <v>-11381.38</v>
      </c>
      <c r="D836" s="316" t="s">
        <v>1539</v>
      </c>
    </row>
    <row r="837" spans="1:4" x14ac:dyDescent="0.25">
      <c r="A837" s="314">
        <v>46005</v>
      </c>
      <c r="B837" s="16" t="s">
        <v>1536</v>
      </c>
      <c r="C837" s="315">
        <v>2326.12</v>
      </c>
      <c r="D837" s="316" t="s">
        <v>1537</v>
      </c>
    </row>
    <row r="838" spans="1:4" x14ac:dyDescent="0.25">
      <c r="A838" s="314">
        <v>46005</v>
      </c>
      <c r="B838" s="16" t="s">
        <v>1541</v>
      </c>
      <c r="C838" s="315">
        <v>-19749.62</v>
      </c>
      <c r="D838" s="316" t="s">
        <v>1539</v>
      </c>
    </row>
    <row r="839" spans="1:4" x14ac:dyDescent="0.25">
      <c r="A839" s="314">
        <v>46005</v>
      </c>
      <c r="B839" s="16" t="s">
        <v>1543</v>
      </c>
      <c r="C839" s="315">
        <v>6056</v>
      </c>
      <c r="D839" s="316" t="s">
        <v>1537</v>
      </c>
    </row>
    <row r="840" spans="1:4" x14ac:dyDescent="0.25">
      <c r="A840" s="314">
        <v>46006</v>
      </c>
      <c r="B840" s="16" t="s">
        <v>1538</v>
      </c>
      <c r="C840" s="315">
        <v>-7101.63</v>
      </c>
      <c r="D840" s="316" t="s">
        <v>1539</v>
      </c>
    </row>
    <row r="841" spans="1:4" x14ac:dyDescent="0.25">
      <c r="A841" s="314">
        <v>46006</v>
      </c>
      <c r="B841" s="16" t="s">
        <v>1549</v>
      </c>
      <c r="C841" s="315">
        <v>18894.68</v>
      </c>
      <c r="D841" s="316" t="s">
        <v>1550</v>
      </c>
    </row>
    <row r="842" spans="1:4" x14ac:dyDescent="0.25">
      <c r="A842" s="314">
        <v>46006</v>
      </c>
      <c r="B842" s="16" t="s">
        <v>1547</v>
      </c>
      <c r="C842" s="315">
        <v>-9741.44</v>
      </c>
      <c r="D842" s="316" t="s">
        <v>1539</v>
      </c>
    </row>
    <row r="843" spans="1:4" x14ac:dyDescent="0.25">
      <c r="A843" s="314">
        <v>46006</v>
      </c>
      <c r="B843" s="16" t="s">
        <v>1544</v>
      </c>
      <c r="C843" s="315">
        <v>2639.52</v>
      </c>
      <c r="D843" s="316" t="s">
        <v>1537</v>
      </c>
    </row>
    <row r="844" spans="1:4" x14ac:dyDescent="0.25">
      <c r="A844" s="314">
        <v>46006</v>
      </c>
      <c r="B844" s="16" t="s">
        <v>1544</v>
      </c>
      <c r="C844" s="315">
        <v>4685.98</v>
      </c>
      <c r="D844" s="316" t="s">
        <v>1537</v>
      </c>
    </row>
    <row r="845" spans="1:4" x14ac:dyDescent="0.25">
      <c r="A845" s="314">
        <v>46006</v>
      </c>
      <c r="B845" s="16" t="s">
        <v>1548</v>
      </c>
      <c r="C845" s="315">
        <v>-2598.9</v>
      </c>
      <c r="D845" s="316" t="s">
        <v>1539</v>
      </c>
    </row>
    <row r="846" spans="1:4" x14ac:dyDescent="0.25">
      <c r="A846" s="314">
        <v>46008</v>
      </c>
      <c r="B846" s="16" t="s">
        <v>1542</v>
      </c>
      <c r="C846" s="315">
        <v>7197.26</v>
      </c>
      <c r="D846" s="316" t="s">
        <v>1537</v>
      </c>
    </row>
    <row r="847" spans="1:4" x14ac:dyDescent="0.25">
      <c r="A847" s="314">
        <v>46008</v>
      </c>
      <c r="B847" s="16" t="s">
        <v>1540</v>
      </c>
      <c r="C847" s="315">
        <v>-24009.73</v>
      </c>
      <c r="D847" s="316" t="s">
        <v>1539</v>
      </c>
    </row>
    <row r="848" spans="1:4" x14ac:dyDescent="0.25">
      <c r="A848" s="314">
        <v>46010</v>
      </c>
      <c r="B848" s="16" t="s">
        <v>1538</v>
      </c>
      <c r="C848" s="315">
        <v>-19395.52</v>
      </c>
      <c r="D848" s="316" t="s">
        <v>1539</v>
      </c>
    </row>
    <row r="849" spans="1:4" x14ac:dyDescent="0.25">
      <c r="A849" s="314">
        <v>46010</v>
      </c>
      <c r="B849" s="16" t="s">
        <v>1542</v>
      </c>
      <c r="C849" s="315">
        <v>4606.19</v>
      </c>
      <c r="D849" s="316" t="s">
        <v>1537</v>
      </c>
    </row>
    <row r="850" spans="1:4" x14ac:dyDescent="0.25">
      <c r="A850" s="314">
        <v>46010</v>
      </c>
      <c r="B850" s="16" t="s">
        <v>1542</v>
      </c>
      <c r="C850" s="315">
        <v>4973.32</v>
      </c>
      <c r="D850" s="316" t="s">
        <v>1537</v>
      </c>
    </row>
    <row r="851" spans="1:4" x14ac:dyDescent="0.25">
      <c r="A851" s="314">
        <v>46010</v>
      </c>
      <c r="B851" s="16" t="s">
        <v>1541</v>
      </c>
      <c r="C851" s="315">
        <v>-19044.6</v>
      </c>
      <c r="D851" s="316" t="s">
        <v>1539</v>
      </c>
    </row>
    <row r="852" spans="1:4" x14ac:dyDescent="0.25">
      <c r="A852" s="314">
        <v>46010</v>
      </c>
      <c r="B852" s="16" t="s">
        <v>1546</v>
      </c>
      <c r="C852" s="315">
        <v>-20653.52</v>
      </c>
      <c r="D852" s="316" t="s">
        <v>1539</v>
      </c>
    </row>
    <row r="853" spans="1:4" x14ac:dyDescent="0.25">
      <c r="A853" s="314">
        <v>46010</v>
      </c>
      <c r="B853" s="16" t="s">
        <v>1543</v>
      </c>
      <c r="C853" s="315">
        <v>4679.44</v>
      </c>
      <c r="D853" s="316" t="s">
        <v>1537</v>
      </c>
    </row>
    <row r="854" spans="1:4" x14ac:dyDescent="0.25">
      <c r="A854" s="314">
        <v>46010</v>
      </c>
      <c r="B854" s="16" t="s">
        <v>1544</v>
      </c>
      <c r="C854" s="315">
        <v>3193.05</v>
      </c>
      <c r="D854" s="316" t="s">
        <v>1537</v>
      </c>
    </row>
    <row r="855" spans="1:4" x14ac:dyDescent="0.25">
      <c r="A855" s="314">
        <v>46011</v>
      </c>
      <c r="B855" s="16" t="s">
        <v>1536</v>
      </c>
      <c r="C855" s="315">
        <v>3618.66</v>
      </c>
      <c r="D855" s="316" t="s">
        <v>1537</v>
      </c>
    </row>
    <row r="856" spans="1:4" x14ac:dyDescent="0.25">
      <c r="A856" s="314">
        <v>46011</v>
      </c>
      <c r="B856" s="16" t="s">
        <v>1546</v>
      </c>
      <c r="C856" s="315">
        <v>-23071.34</v>
      </c>
      <c r="D856" s="316" t="s">
        <v>1539</v>
      </c>
    </row>
    <row r="857" spans="1:4" x14ac:dyDescent="0.25">
      <c r="A857" s="314">
        <v>46011</v>
      </c>
      <c r="B857" s="16" t="s">
        <v>1546</v>
      </c>
      <c r="C857" s="315">
        <v>-16263.86</v>
      </c>
      <c r="D857" s="316" t="s">
        <v>1539</v>
      </c>
    </row>
    <row r="858" spans="1:4" x14ac:dyDescent="0.25">
      <c r="A858" s="314">
        <v>46013</v>
      </c>
      <c r="B858" s="16" t="s">
        <v>1547</v>
      </c>
      <c r="C858" s="315">
        <v>-6798.74</v>
      </c>
      <c r="D858" s="316" t="s">
        <v>1539</v>
      </c>
    </row>
    <row r="859" spans="1:4" x14ac:dyDescent="0.25">
      <c r="A859" s="314">
        <v>46013</v>
      </c>
      <c r="B859" s="16" t="s">
        <v>1548</v>
      </c>
      <c r="C859" s="315">
        <v>-1771.53</v>
      </c>
      <c r="D859" s="316" t="s">
        <v>1539</v>
      </c>
    </row>
    <row r="860" spans="1:4" x14ac:dyDescent="0.25">
      <c r="A860" s="314">
        <v>46013</v>
      </c>
      <c r="B860" s="16" t="s">
        <v>1545</v>
      </c>
      <c r="C860" s="315">
        <v>4782.01</v>
      </c>
      <c r="D860" s="316" t="s">
        <v>1537</v>
      </c>
    </row>
    <row r="861" spans="1:4" x14ac:dyDescent="0.25">
      <c r="A861" s="314">
        <v>46014</v>
      </c>
      <c r="B861" s="16" t="s">
        <v>1542</v>
      </c>
      <c r="C861" s="315">
        <v>3196.89</v>
      </c>
      <c r="D861" s="316" t="s">
        <v>1537</v>
      </c>
    </row>
    <row r="862" spans="1:4" x14ac:dyDescent="0.25">
      <c r="A862" s="314">
        <v>46015</v>
      </c>
      <c r="B862" s="16" t="s">
        <v>1536</v>
      </c>
      <c r="C862" s="315">
        <v>5179.91</v>
      </c>
      <c r="D862" s="316" t="s">
        <v>1537</v>
      </c>
    </row>
    <row r="863" spans="1:4" x14ac:dyDescent="0.25">
      <c r="A863" s="314">
        <v>46015</v>
      </c>
      <c r="B863" s="16" t="s">
        <v>1540</v>
      </c>
      <c r="C863" s="315">
        <v>-7643.35</v>
      </c>
      <c r="D863" s="316" t="s">
        <v>1539</v>
      </c>
    </row>
    <row r="864" spans="1:4" x14ac:dyDescent="0.25">
      <c r="A864" s="314">
        <v>46016</v>
      </c>
      <c r="B864" s="16" t="s">
        <v>1536</v>
      </c>
      <c r="C864" s="315">
        <v>6120.19</v>
      </c>
      <c r="D864" s="316" t="s">
        <v>1537</v>
      </c>
    </row>
    <row r="865" spans="1:4" x14ac:dyDescent="0.25">
      <c r="A865" s="314">
        <v>46016</v>
      </c>
      <c r="B865" s="16" t="s">
        <v>1542</v>
      </c>
      <c r="C865" s="315">
        <v>7317.8</v>
      </c>
      <c r="D865" s="316" t="s">
        <v>1537</v>
      </c>
    </row>
    <row r="866" spans="1:4" x14ac:dyDescent="0.25">
      <c r="A866" s="314">
        <v>46017</v>
      </c>
      <c r="B866" s="16" t="s">
        <v>1544</v>
      </c>
      <c r="C866" s="315">
        <v>8334.43</v>
      </c>
      <c r="D866" s="316" t="s">
        <v>1537</v>
      </c>
    </row>
    <row r="867" spans="1:4" x14ac:dyDescent="0.25">
      <c r="A867" s="314">
        <v>46018</v>
      </c>
      <c r="B867" s="16" t="s">
        <v>1536</v>
      </c>
      <c r="C867" s="315">
        <v>5538.15</v>
      </c>
      <c r="D867" s="316" t="s">
        <v>1537</v>
      </c>
    </row>
    <row r="868" spans="1:4" x14ac:dyDescent="0.25">
      <c r="A868" s="314">
        <v>46018</v>
      </c>
      <c r="B868" s="16" t="s">
        <v>1538</v>
      </c>
      <c r="C868" s="315">
        <v>-16465.67</v>
      </c>
      <c r="D868" s="316" t="s">
        <v>1539</v>
      </c>
    </row>
    <row r="869" spans="1:4" x14ac:dyDescent="0.25">
      <c r="A869" s="314">
        <v>46018</v>
      </c>
      <c r="B869" s="16" t="s">
        <v>1538</v>
      </c>
      <c r="C869" s="315">
        <v>-13851.96</v>
      </c>
      <c r="D869" s="316" t="s">
        <v>1539</v>
      </c>
    </row>
    <row r="870" spans="1:4" x14ac:dyDescent="0.25">
      <c r="A870" s="314">
        <v>46018</v>
      </c>
      <c r="B870" s="16" t="s">
        <v>1542</v>
      </c>
      <c r="C870" s="315">
        <v>2509.49</v>
      </c>
      <c r="D870" s="316" t="s">
        <v>1537</v>
      </c>
    </row>
    <row r="871" spans="1:4" x14ac:dyDescent="0.25">
      <c r="A871" s="314">
        <v>46018</v>
      </c>
      <c r="B871" s="16" t="s">
        <v>1543</v>
      </c>
      <c r="C871" s="315">
        <v>7603.67</v>
      </c>
      <c r="D871" s="316" t="s">
        <v>1537</v>
      </c>
    </row>
    <row r="872" spans="1:4" x14ac:dyDescent="0.25">
      <c r="A872" s="314">
        <v>46019</v>
      </c>
      <c r="B872" s="16" t="s">
        <v>1538</v>
      </c>
      <c r="C872" s="315">
        <v>-2758.5</v>
      </c>
      <c r="D872" s="316" t="s">
        <v>1539</v>
      </c>
    </row>
    <row r="873" spans="1:4" x14ac:dyDescent="0.25">
      <c r="A873" s="314">
        <v>46019</v>
      </c>
      <c r="B873" s="16" t="s">
        <v>1540</v>
      </c>
      <c r="C873" s="315">
        <v>-4959.68</v>
      </c>
      <c r="D873" s="316" t="s">
        <v>1539</v>
      </c>
    </row>
    <row r="874" spans="1:4" x14ac:dyDescent="0.25">
      <c r="A874" s="314">
        <v>46019</v>
      </c>
      <c r="B874" s="16" t="s">
        <v>1543</v>
      </c>
      <c r="C874" s="315">
        <v>4300.74</v>
      </c>
      <c r="D874" s="316" t="s">
        <v>1537</v>
      </c>
    </row>
  </sheetData>
  <printOptions horizontalCentered="1"/>
  <pageMargins left="0.5" right="0.5" top="0.6" bottom="0.7" header="0.3" footer="0.3"/>
  <pageSetup paperSize="1" orientation="landscape" fitToWidth="1" fitToHeight="0"/>
  <headerFooter>
    <oddHeader>&amp;RProject Ridgeline | As of 12/31/25</oddHeader>
    <oddFooter>&amp;LAMB Advisory Services | Strictly confidential&amp;C&amp;A&amp;RPage &amp;P of &amp;N</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6A6A6"/>
    <outlinePr summaryBelow="0" summaryRight="0"/>
  </sheetPr>
  <dimension ref="A1:K66"/>
  <sheetViews>
    <sheetView workbookViewId="0" zoomScale="100">
      <pane ySplit="3" topLeftCell="A4" activePane="bottomLeft" state="frozen"/>
      <selection pane="bottomLeft"/>
    </sheetView>
  </sheetViews>
  <sheetFormatPr defaultRowHeight="12.75" outlineLevelRow="0" outlineLevelCol="0" x14ac:dyDescent="55" customHeight="1"/>
  <cols>
    <col min="2" max="2" width="60" customWidth="1"/>
    <col min="3" max="3" width="18" customWidth="1"/>
    <col min="4" max="4" width="14" customWidth="1"/>
    <col min="5" max="6" width="11" customWidth="1"/>
    <col min="7" max="7" width="14" customWidth="1"/>
    <col min="8" max="8" width="20" customWidth="1"/>
    <col min="9" max="11" width="14" customWidth="1"/>
  </cols>
  <sheetData>
    <row r="1" spans="1:1" x14ac:dyDescent="0.25">
      <c r="A1" s="313" t="s">
        <v>1551</v>
      </c>
    </row>
    <row r="2" spans="1:1" x14ac:dyDescent="0.25">
      <c r="A2" s="307" t="s">
        <v>1552</v>
      </c>
    </row>
    <row r="3" spans="1:11" x14ac:dyDescent="0.25">
      <c r="A3" s="13" t="s">
        <v>604</v>
      </c>
      <c r="B3" s="13" t="s">
        <v>1553</v>
      </c>
      <c r="C3" s="12" t="s">
        <v>549</v>
      </c>
      <c r="D3" s="12" t="s">
        <v>1554</v>
      </c>
      <c r="E3" s="12" t="s">
        <v>1555</v>
      </c>
      <c r="F3" s="12" t="s">
        <v>1556</v>
      </c>
      <c r="G3" s="12" t="s">
        <v>1557</v>
      </c>
      <c r="H3" s="12" t="s">
        <v>1558</v>
      </c>
      <c r="I3" s="12" t="s">
        <v>1559</v>
      </c>
      <c r="J3" s="12" t="s">
        <v>1560</v>
      </c>
      <c r="K3" s="12" t="s">
        <v>1561</v>
      </c>
    </row>
    <row r="4" spans="1:11" x14ac:dyDescent="0.25">
      <c r="A4" s="16" t="s">
        <v>635</v>
      </c>
      <c r="B4" s="16" t="s">
        <v>1562</v>
      </c>
      <c r="C4" s="16" t="s">
        <v>554</v>
      </c>
      <c r="D4" s="16" t="s">
        <v>11</v>
      </c>
      <c r="E4" s="76">
        <v>40969</v>
      </c>
      <c r="F4" s="16"/>
      <c r="G4" s="16" t="s">
        <v>11</v>
      </c>
      <c r="H4" s="16" t="s">
        <v>1563</v>
      </c>
      <c r="I4" s="114">
        <v>96400</v>
      </c>
      <c r="J4" s="114">
        <v>108900</v>
      </c>
      <c r="K4" s="114">
        <v>121600</v>
      </c>
    </row>
    <row r="5" spans="1:11" x14ac:dyDescent="0.25">
      <c r="A5" s="16" t="s">
        <v>636</v>
      </c>
      <c r="B5" s="16" t="s">
        <v>1564</v>
      </c>
      <c r="C5" s="16" t="s">
        <v>555</v>
      </c>
      <c r="D5" s="16" t="s">
        <v>11</v>
      </c>
      <c r="E5" s="76">
        <v>42217</v>
      </c>
      <c r="F5" s="16"/>
      <c r="G5" s="16" t="s">
        <v>11</v>
      </c>
      <c r="H5" s="16" t="s">
        <v>1565</v>
      </c>
      <c r="I5" s="114">
        <v>66200</v>
      </c>
      <c r="J5" s="114">
        <v>75800</v>
      </c>
      <c r="K5" s="114">
        <v>84300</v>
      </c>
    </row>
    <row r="6" spans="1:11" x14ac:dyDescent="0.25">
      <c r="A6" s="16" t="s">
        <v>637</v>
      </c>
      <c r="B6" s="16" t="s">
        <v>1566</v>
      </c>
      <c r="C6" s="16" t="s">
        <v>554</v>
      </c>
      <c r="D6" s="16" t="s">
        <v>11</v>
      </c>
      <c r="E6" s="76">
        <v>41640</v>
      </c>
      <c r="F6" s="16"/>
      <c r="G6" s="16" t="s">
        <v>11</v>
      </c>
      <c r="H6" s="16" t="s">
        <v>1563</v>
      </c>
      <c r="I6" s="114">
        <v>58900</v>
      </c>
      <c r="J6" s="114">
        <v>66100</v>
      </c>
      <c r="K6" s="114">
        <v>71200</v>
      </c>
    </row>
    <row r="7" spans="1:11" x14ac:dyDescent="0.25">
      <c r="A7" s="16" t="s">
        <v>638</v>
      </c>
      <c r="B7" s="16" t="s">
        <v>1567</v>
      </c>
      <c r="C7" s="16" t="s">
        <v>556</v>
      </c>
      <c r="D7" s="16" t="s">
        <v>11</v>
      </c>
      <c r="E7" s="76">
        <v>40695</v>
      </c>
      <c r="F7" s="16"/>
      <c r="G7" s="16" t="s">
        <v>11</v>
      </c>
      <c r="H7" s="16" t="s">
        <v>1568</v>
      </c>
      <c r="I7" s="114">
        <v>60100</v>
      </c>
      <c r="J7" s="114">
        <v>68400</v>
      </c>
      <c r="K7" s="114">
        <v>64800</v>
      </c>
    </row>
    <row r="8" spans="1:11" x14ac:dyDescent="0.25">
      <c r="A8" s="16" t="s">
        <v>639</v>
      </c>
      <c r="B8" s="16" t="s">
        <v>1569</v>
      </c>
      <c r="C8" s="16" t="s">
        <v>555</v>
      </c>
      <c r="D8" s="16" t="s">
        <v>11</v>
      </c>
      <c r="E8" s="76">
        <v>43191</v>
      </c>
      <c r="F8" s="16"/>
      <c r="G8" s="16" t="s">
        <v>11</v>
      </c>
      <c r="H8" s="16" t="s">
        <v>1565</v>
      </c>
      <c r="I8" s="114">
        <v>40300</v>
      </c>
      <c r="J8" s="114">
        <v>49600</v>
      </c>
      <c r="K8" s="114">
        <v>58900</v>
      </c>
    </row>
    <row r="9" spans="1:11" x14ac:dyDescent="0.25">
      <c r="A9" s="16" t="s">
        <v>640</v>
      </c>
      <c r="B9" s="16" t="s">
        <v>1570</v>
      </c>
      <c r="C9" s="16" t="s">
        <v>554</v>
      </c>
      <c r="D9" s="16" t="s">
        <v>11</v>
      </c>
      <c r="E9" s="76">
        <v>42644</v>
      </c>
      <c r="F9" s="16"/>
      <c r="G9" s="16" t="s">
        <v>11</v>
      </c>
      <c r="H9" s="16" t="s">
        <v>1563</v>
      </c>
      <c r="I9" s="114">
        <v>44700</v>
      </c>
      <c r="J9" s="114">
        <v>48200</v>
      </c>
      <c r="K9" s="114">
        <v>52400</v>
      </c>
    </row>
    <row r="10" spans="1:11" x14ac:dyDescent="0.25">
      <c r="A10" s="16" t="s">
        <v>641</v>
      </c>
      <c r="B10" s="16" t="s">
        <v>1571</v>
      </c>
      <c r="C10" s="16" t="s">
        <v>558</v>
      </c>
      <c r="D10" s="16" t="s">
        <v>11</v>
      </c>
      <c r="E10" s="76">
        <v>41395</v>
      </c>
      <c r="F10" s="16"/>
      <c r="G10" s="16" t="s">
        <v>11</v>
      </c>
      <c r="H10" s="16" t="s">
        <v>1565</v>
      </c>
      <c r="I10" s="114">
        <v>31800</v>
      </c>
      <c r="J10" s="114">
        <v>36900</v>
      </c>
      <c r="K10" s="114">
        <v>41700</v>
      </c>
    </row>
    <row r="11" spans="1:11" x14ac:dyDescent="0.25">
      <c r="A11" s="16" t="s">
        <v>642</v>
      </c>
      <c r="B11" s="16" t="s">
        <v>1572</v>
      </c>
      <c r="C11" s="16" t="s">
        <v>554</v>
      </c>
      <c r="D11" s="16" t="s">
        <v>11</v>
      </c>
      <c r="E11" s="76">
        <v>43497</v>
      </c>
      <c r="F11" s="16"/>
      <c r="G11" s="16" t="s">
        <v>11</v>
      </c>
      <c r="H11" s="16" t="s">
        <v>1563</v>
      </c>
      <c r="I11" s="114">
        <v>30100</v>
      </c>
      <c r="J11" s="114">
        <v>32400</v>
      </c>
      <c r="K11" s="114">
        <v>34600</v>
      </c>
    </row>
    <row r="12" spans="1:11" x14ac:dyDescent="0.25">
      <c r="A12" s="16" t="s">
        <v>643</v>
      </c>
      <c r="B12" s="16" t="s">
        <v>1573</v>
      </c>
      <c r="C12" s="16" t="s">
        <v>555</v>
      </c>
      <c r="D12" s="16" t="s">
        <v>11</v>
      </c>
      <c r="E12" s="76">
        <v>44440</v>
      </c>
      <c r="F12" s="16"/>
      <c r="G12" s="16" t="s">
        <v>11</v>
      </c>
      <c r="H12" s="16" t="s">
        <v>1565</v>
      </c>
      <c r="I12" s="114">
        <v>15600</v>
      </c>
      <c r="J12" s="114">
        <v>22800</v>
      </c>
      <c r="K12" s="114">
        <v>30200</v>
      </c>
    </row>
    <row r="13" spans="1:11" x14ac:dyDescent="0.25">
      <c r="A13" s="16" t="s">
        <v>644</v>
      </c>
      <c r="B13" s="16" t="s">
        <v>1574</v>
      </c>
      <c r="C13" s="16" t="s">
        <v>557</v>
      </c>
      <c r="D13" s="16" t="s">
        <v>11</v>
      </c>
      <c r="E13" s="76">
        <v>40483</v>
      </c>
      <c r="F13" s="16"/>
      <c r="G13" s="16" t="s">
        <v>11</v>
      </c>
      <c r="H13" s="16" t="s">
        <v>1568</v>
      </c>
      <c r="I13" s="114">
        <v>22300</v>
      </c>
      <c r="J13" s="114">
        <v>25100</v>
      </c>
      <c r="K13" s="114">
        <v>27100</v>
      </c>
    </row>
    <row r="14" spans="1:11" x14ac:dyDescent="0.25">
      <c r="A14" s="16" t="s">
        <v>645</v>
      </c>
      <c r="B14" s="16" t="s">
        <v>1575</v>
      </c>
      <c r="C14" s="16" t="s">
        <v>557</v>
      </c>
      <c r="D14" s="16" t="s">
        <v>11</v>
      </c>
      <c r="E14" s="76">
        <v>41183</v>
      </c>
      <c r="F14" s="16"/>
      <c r="G14" s="16" t="s">
        <v>11</v>
      </c>
      <c r="H14" s="16" t="s">
        <v>1568</v>
      </c>
      <c r="I14" s="114">
        <v>5771</v>
      </c>
      <c r="J14" s="114">
        <v>7175</v>
      </c>
      <c r="K14" s="114">
        <v>9607</v>
      </c>
    </row>
    <row r="15" spans="1:11" x14ac:dyDescent="0.25">
      <c r="A15" s="16" t="s">
        <v>646</v>
      </c>
      <c r="B15" s="16" t="s">
        <v>1576</v>
      </c>
      <c r="C15" s="16" t="s">
        <v>559</v>
      </c>
      <c r="D15" s="16" t="s">
        <v>11</v>
      </c>
      <c r="E15" s="76">
        <v>44774</v>
      </c>
      <c r="F15" s="16"/>
      <c r="G15" s="16" t="s">
        <v>11</v>
      </c>
      <c r="H15" s="16" t="s">
        <v>1568</v>
      </c>
      <c r="I15" s="114">
        <v>5917</v>
      </c>
      <c r="J15" s="114">
        <v>6362</v>
      </c>
      <c r="K15" s="114">
        <v>8942</v>
      </c>
    </row>
    <row r="16" spans="1:11" x14ac:dyDescent="0.25">
      <c r="A16" s="16" t="s">
        <v>647</v>
      </c>
      <c r="B16" s="16" t="s">
        <v>1577</v>
      </c>
      <c r="C16" s="16" t="s">
        <v>554</v>
      </c>
      <c r="D16" s="16" t="s">
        <v>11</v>
      </c>
      <c r="E16" s="76">
        <v>42767</v>
      </c>
      <c r="F16" s="16"/>
      <c r="G16" s="16" t="s">
        <v>11</v>
      </c>
      <c r="H16" s="16" t="s">
        <v>1563</v>
      </c>
      <c r="I16" s="114">
        <v>5494</v>
      </c>
      <c r="J16" s="114">
        <v>6086</v>
      </c>
      <c r="K16" s="114">
        <v>8472</v>
      </c>
    </row>
    <row r="17" spans="1:11" x14ac:dyDescent="0.25">
      <c r="A17" s="16" t="s">
        <v>648</v>
      </c>
      <c r="B17" s="16" t="s">
        <v>1578</v>
      </c>
      <c r="C17" s="16" t="s">
        <v>556</v>
      </c>
      <c r="D17" s="16" t="s">
        <v>11</v>
      </c>
      <c r="E17" s="76">
        <v>45627</v>
      </c>
      <c r="F17" s="16"/>
      <c r="G17" s="16" t="s">
        <v>11</v>
      </c>
      <c r="H17" s="16" t="s">
        <v>1568</v>
      </c>
      <c r="I17" s="114">
        <v>0</v>
      </c>
      <c r="J17" s="114">
        <v>631</v>
      </c>
      <c r="K17" s="114">
        <v>8247</v>
      </c>
    </row>
    <row r="18" spans="1:11" x14ac:dyDescent="0.25">
      <c r="A18" s="16" t="s">
        <v>649</v>
      </c>
      <c r="B18" s="16" t="s">
        <v>1579</v>
      </c>
      <c r="C18" s="16" t="s">
        <v>556</v>
      </c>
      <c r="D18" s="16" t="s">
        <v>11</v>
      </c>
      <c r="E18" s="76">
        <v>43191</v>
      </c>
      <c r="F18" s="16"/>
      <c r="G18" s="16" t="s">
        <v>11</v>
      </c>
      <c r="H18" s="16" t="s">
        <v>1568</v>
      </c>
      <c r="I18" s="114">
        <v>6351</v>
      </c>
      <c r="J18" s="114">
        <v>7692</v>
      </c>
      <c r="K18" s="114">
        <v>8153</v>
      </c>
    </row>
    <row r="19" spans="1:11" x14ac:dyDescent="0.25">
      <c r="A19" s="16" t="s">
        <v>650</v>
      </c>
      <c r="B19" s="16" t="s">
        <v>1580</v>
      </c>
      <c r="C19" s="16" t="s">
        <v>560</v>
      </c>
      <c r="D19" s="16" t="s">
        <v>11</v>
      </c>
      <c r="E19" s="76">
        <v>45383</v>
      </c>
      <c r="F19" s="16"/>
      <c r="G19" s="16" t="s">
        <v>11</v>
      </c>
      <c r="H19" s="16" t="s">
        <v>1568</v>
      </c>
      <c r="I19" s="114">
        <v>0</v>
      </c>
      <c r="J19" s="114">
        <v>5284</v>
      </c>
      <c r="K19" s="114">
        <v>7820</v>
      </c>
    </row>
    <row r="20" spans="1:11" x14ac:dyDescent="0.25">
      <c r="A20" s="16" t="s">
        <v>651</v>
      </c>
      <c r="B20" s="16" t="s">
        <v>1581</v>
      </c>
      <c r="C20" s="16" t="s">
        <v>557</v>
      </c>
      <c r="D20" s="16" t="s">
        <v>11</v>
      </c>
      <c r="E20" s="76">
        <v>45689</v>
      </c>
      <c r="F20" s="16"/>
      <c r="G20" s="16" t="s">
        <v>11</v>
      </c>
      <c r="H20" s="16" t="s">
        <v>1568</v>
      </c>
      <c r="I20" s="114">
        <v>0</v>
      </c>
      <c r="J20" s="114">
        <v>0</v>
      </c>
      <c r="K20" s="114">
        <v>7479</v>
      </c>
    </row>
    <row r="21" spans="1:11" x14ac:dyDescent="0.25">
      <c r="A21" s="16" t="s">
        <v>652</v>
      </c>
      <c r="B21" s="16" t="s">
        <v>1582</v>
      </c>
      <c r="C21" s="16" t="s">
        <v>555</v>
      </c>
      <c r="D21" s="16" t="s">
        <v>11</v>
      </c>
      <c r="E21" s="76">
        <v>45047</v>
      </c>
      <c r="F21" s="16"/>
      <c r="G21" s="16" t="s">
        <v>11</v>
      </c>
      <c r="H21" s="16" t="s">
        <v>1565</v>
      </c>
      <c r="I21" s="114">
        <v>4081</v>
      </c>
      <c r="J21" s="114">
        <v>6991</v>
      </c>
      <c r="K21" s="114">
        <v>7295</v>
      </c>
    </row>
    <row r="22" spans="1:11" x14ac:dyDescent="0.25">
      <c r="A22" s="16" t="s">
        <v>653</v>
      </c>
      <c r="B22" s="16" t="s">
        <v>1583</v>
      </c>
      <c r="C22" s="16" t="s">
        <v>557</v>
      </c>
      <c r="D22" s="16" t="s">
        <v>11</v>
      </c>
      <c r="E22" s="76">
        <v>42186</v>
      </c>
      <c r="F22" s="16"/>
      <c r="G22" s="16" t="s">
        <v>11</v>
      </c>
      <c r="H22" s="16" t="s">
        <v>1568</v>
      </c>
      <c r="I22" s="114">
        <v>4172</v>
      </c>
      <c r="J22" s="114">
        <v>5985</v>
      </c>
      <c r="K22" s="114">
        <v>7040</v>
      </c>
    </row>
    <row r="23" spans="1:11" x14ac:dyDescent="0.25">
      <c r="A23" s="16" t="s">
        <v>654</v>
      </c>
      <c r="B23" s="16" t="s">
        <v>1584</v>
      </c>
      <c r="C23" s="16" t="s">
        <v>558</v>
      </c>
      <c r="D23" s="16" t="s">
        <v>11</v>
      </c>
      <c r="E23" s="76">
        <v>40817</v>
      </c>
      <c r="F23" s="76">
        <v>45991</v>
      </c>
      <c r="G23" s="16" t="s">
        <v>1585</v>
      </c>
      <c r="H23" s="16" t="s">
        <v>1565</v>
      </c>
      <c r="I23" s="114">
        <v>5719</v>
      </c>
      <c r="J23" s="114">
        <v>5951</v>
      </c>
      <c r="K23" s="114">
        <v>6826</v>
      </c>
    </row>
    <row r="24" spans="1:11" x14ac:dyDescent="0.25">
      <c r="A24" s="16" t="s">
        <v>655</v>
      </c>
      <c r="B24" s="16" t="s">
        <v>1586</v>
      </c>
      <c r="C24" s="16" t="s">
        <v>561</v>
      </c>
      <c r="D24" s="16" t="s">
        <v>11</v>
      </c>
      <c r="E24" s="76">
        <v>41609</v>
      </c>
      <c r="F24" s="16"/>
      <c r="G24" s="16" t="s">
        <v>11</v>
      </c>
      <c r="H24" s="16" t="s">
        <v>1568</v>
      </c>
      <c r="I24" s="114">
        <v>5619</v>
      </c>
      <c r="J24" s="114">
        <v>6004</v>
      </c>
      <c r="K24" s="114">
        <v>6446</v>
      </c>
    </row>
    <row r="25" spans="1:11" x14ac:dyDescent="0.25">
      <c r="A25" s="16" t="s">
        <v>656</v>
      </c>
      <c r="B25" s="16" t="s">
        <v>1587</v>
      </c>
      <c r="C25" s="16" t="s">
        <v>558</v>
      </c>
      <c r="D25" s="16" t="s">
        <v>11</v>
      </c>
      <c r="E25" s="76">
        <v>45139</v>
      </c>
      <c r="F25" s="16"/>
      <c r="G25" s="16" t="s">
        <v>11</v>
      </c>
      <c r="H25" s="16" t="s">
        <v>1565</v>
      </c>
      <c r="I25" s="114">
        <v>2204</v>
      </c>
      <c r="J25" s="114">
        <v>5909</v>
      </c>
      <c r="K25" s="114">
        <v>6411</v>
      </c>
    </row>
    <row r="26" spans="1:11" x14ac:dyDescent="0.25">
      <c r="A26" s="16" t="s">
        <v>657</v>
      </c>
      <c r="B26" s="16" t="s">
        <v>1588</v>
      </c>
      <c r="C26" s="16" t="s">
        <v>554</v>
      </c>
      <c r="D26" s="16" t="s">
        <v>11</v>
      </c>
      <c r="E26" s="76">
        <v>44986</v>
      </c>
      <c r="F26" s="16"/>
      <c r="G26" s="16" t="s">
        <v>11</v>
      </c>
      <c r="H26" s="16" t="s">
        <v>1563</v>
      </c>
      <c r="I26" s="114">
        <v>3882</v>
      </c>
      <c r="J26" s="114">
        <v>6080</v>
      </c>
      <c r="K26" s="114">
        <v>6222</v>
      </c>
    </row>
    <row r="27" spans="1:11" x14ac:dyDescent="0.25">
      <c r="A27" s="16" t="s">
        <v>658</v>
      </c>
      <c r="B27" s="16" t="s">
        <v>1589</v>
      </c>
      <c r="C27" s="16" t="s">
        <v>559</v>
      </c>
      <c r="D27" s="16" t="s">
        <v>11</v>
      </c>
      <c r="E27" s="76">
        <v>40238</v>
      </c>
      <c r="F27" s="16"/>
      <c r="G27" s="16" t="s">
        <v>11</v>
      </c>
      <c r="H27" s="16" t="s">
        <v>1568</v>
      </c>
      <c r="I27" s="114">
        <v>4559</v>
      </c>
      <c r="J27" s="114">
        <v>5344</v>
      </c>
      <c r="K27" s="114">
        <v>6222</v>
      </c>
    </row>
    <row r="28" spans="1:11" x14ac:dyDescent="0.25">
      <c r="A28" s="16" t="s">
        <v>659</v>
      </c>
      <c r="B28" s="16" t="s">
        <v>1590</v>
      </c>
      <c r="C28" s="16" t="s">
        <v>556</v>
      </c>
      <c r="D28" s="16" t="s">
        <v>11</v>
      </c>
      <c r="E28" s="76">
        <v>45717</v>
      </c>
      <c r="F28" s="16"/>
      <c r="G28" s="16" t="s">
        <v>11</v>
      </c>
      <c r="H28" s="16" t="s">
        <v>1568</v>
      </c>
      <c r="I28" s="114">
        <v>0</v>
      </c>
      <c r="J28" s="114">
        <v>0</v>
      </c>
      <c r="K28" s="114">
        <v>6187</v>
      </c>
    </row>
    <row r="29" spans="1:11" x14ac:dyDescent="0.25">
      <c r="A29" s="16" t="s">
        <v>660</v>
      </c>
      <c r="B29" s="16" t="s">
        <v>1591</v>
      </c>
      <c r="C29" s="16" t="s">
        <v>557</v>
      </c>
      <c r="D29" s="16" t="s">
        <v>11</v>
      </c>
      <c r="E29" s="76">
        <v>40179</v>
      </c>
      <c r="F29" s="16"/>
      <c r="G29" s="16" t="s">
        <v>11</v>
      </c>
      <c r="H29" s="16" t="s">
        <v>1568</v>
      </c>
      <c r="I29" s="114">
        <v>3621</v>
      </c>
      <c r="J29" s="114">
        <v>4476</v>
      </c>
      <c r="K29" s="114">
        <v>6178</v>
      </c>
    </row>
    <row r="30" spans="1:11" x14ac:dyDescent="0.25">
      <c r="A30" s="16" t="s">
        <v>661</v>
      </c>
      <c r="B30" s="16" t="s">
        <v>1592</v>
      </c>
      <c r="C30" s="16" t="s">
        <v>554</v>
      </c>
      <c r="D30" s="16" t="s">
        <v>11</v>
      </c>
      <c r="E30" s="76">
        <v>45778</v>
      </c>
      <c r="F30" s="16"/>
      <c r="G30" s="16" t="s">
        <v>11</v>
      </c>
      <c r="H30" s="16" t="s">
        <v>1563</v>
      </c>
      <c r="I30" s="114">
        <v>0</v>
      </c>
      <c r="J30" s="114">
        <v>0</v>
      </c>
      <c r="K30" s="114">
        <v>6136</v>
      </c>
    </row>
    <row r="31" spans="1:11" x14ac:dyDescent="0.25">
      <c r="A31" s="16" t="s">
        <v>662</v>
      </c>
      <c r="B31" s="16" t="s">
        <v>1593</v>
      </c>
      <c r="C31" s="16" t="s">
        <v>556</v>
      </c>
      <c r="D31" s="16" t="s">
        <v>11</v>
      </c>
      <c r="E31" s="76">
        <v>45231</v>
      </c>
      <c r="F31" s="16"/>
      <c r="G31" s="16" t="s">
        <v>11</v>
      </c>
      <c r="H31" s="16" t="s">
        <v>1568</v>
      </c>
      <c r="I31" s="114">
        <v>878</v>
      </c>
      <c r="J31" s="114">
        <v>6083</v>
      </c>
      <c r="K31" s="114">
        <v>5898</v>
      </c>
    </row>
    <row r="32" spans="1:11" x14ac:dyDescent="0.25">
      <c r="A32" s="16" t="s">
        <v>663</v>
      </c>
      <c r="B32" s="16" t="s">
        <v>1594</v>
      </c>
      <c r="C32" s="16" t="s">
        <v>560</v>
      </c>
      <c r="D32" s="16" t="s">
        <v>11</v>
      </c>
      <c r="E32" s="76">
        <v>45474</v>
      </c>
      <c r="F32" s="16"/>
      <c r="G32" s="16" t="s">
        <v>11</v>
      </c>
      <c r="H32" s="16" t="s">
        <v>1568</v>
      </c>
      <c r="I32" s="114">
        <v>0</v>
      </c>
      <c r="J32" s="114">
        <v>2203</v>
      </c>
      <c r="K32" s="114">
        <v>5880</v>
      </c>
    </row>
    <row r="33" spans="1:11" x14ac:dyDescent="0.25">
      <c r="A33" s="16" t="s">
        <v>664</v>
      </c>
      <c r="B33" s="16" t="s">
        <v>1595</v>
      </c>
      <c r="C33" s="16" t="s">
        <v>560</v>
      </c>
      <c r="D33" s="16" t="s">
        <v>11</v>
      </c>
      <c r="E33" s="76">
        <v>44562</v>
      </c>
      <c r="F33" s="16"/>
      <c r="G33" s="16" t="s">
        <v>11</v>
      </c>
      <c r="H33" s="16" t="s">
        <v>1568</v>
      </c>
      <c r="I33" s="114">
        <v>3979</v>
      </c>
      <c r="J33" s="114">
        <v>4566</v>
      </c>
      <c r="K33" s="114">
        <v>5695</v>
      </c>
    </row>
    <row r="34" spans="1:11" x14ac:dyDescent="0.25">
      <c r="A34" s="16" t="s">
        <v>665</v>
      </c>
      <c r="B34" s="16" t="s">
        <v>1596</v>
      </c>
      <c r="C34" s="16" t="s">
        <v>556</v>
      </c>
      <c r="D34" s="16" t="s">
        <v>11</v>
      </c>
      <c r="E34" s="76">
        <v>40603</v>
      </c>
      <c r="F34" s="16"/>
      <c r="G34" s="16" t="s">
        <v>11</v>
      </c>
      <c r="H34" s="16" t="s">
        <v>1568</v>
      </c>
      <c r="I34" s="114">
        <v>3306</v>
      </c>
      <c r="J34" s="114">
        <v>3808</v>
      </c>
      <c r="K34" s="114">
        <v>5308</v>
      </c>
    </row>
    <row r="35" spans="1:11" x14ac:dyDescent="0.25">
      <c r="A35" s="16" t="s">
        <v>666</v>
      </c>
      <c r="B35" s="16" t="s">
        <v>1597</v>
      </c>
      <c r="C35" s="16" t="s">
        <v>556</v>
      </c>
      <c r="D35" s="16" t="s">
        <v>11</v>
      </c>
      <c r="E35" s="76">
        <v>45809</v>
      </c>
      <c r="F35" s="16"/>
      <c r="G35" s="16" t="s">
        <v>11</v>
      </c>
      <c r="H35" s="16" t="s">
        <v>1568</v>
      </c>
      <c r="I35" s="114">
        <v>0</v>
      </c>
      <c r="J35" s="114">
        <v>0</v>
      </c>
      <c r="K35" s="114">
        <v>5057</v>
      </c>
    </row>
    <row r="36" spans="1:11" x14ac:dyDescent="0.25">
      <c r="A36" s="16" t="s">
        <v>667</v>
      </c>
      <c r="B36" s="16" t="s">
        <v>1598</v>
      </c>
      <c r="C36" s="16" t="s">
        <v>558</v>
      </c>
      <c r="D36" s="16" t="s">
        <v>11</v>
      </c>
      <c r="E36" s="76">
        <v>45444</v>
      </c>
      <c r="F36" s="16"/>
      <c r="G36" s="16" t="s">
        <v>11</v>
      </c>
      <c r="H36" s="16" t="s">
        <v>1565</v>
      </c>
      <c r="I36" s="114">
        <v>0</v>
      </c>
      <c r="J36" s="114">
        <v>2289</v>
      </c>
      <c r="K36" s="114">
        <v>4890</v>
      </c>
    </row>
    <row r="37" spans="1:11" x14ac:dyDescent="0.25">
      <c r="A37" s="16" t="s">
        <v>668</v>
      </c>
      <c r="B37" s="16" t="s">
        <v>1599</v>
      </c>
      <c r="C37" s="16" t="s">
        <v>556</v>
      </c>
      <c r="D37" s="16" t="s">
        <v>11</v>
      </c>
      <c r="E37" s="76">
        <v>43344</v>
      </c>
      <c r="F37" s="16"/>
      <c r="G37" s="16" t="s">
        <v>11</v>
      </c>
      <c r="H37" s="16" t="s">
        <v>1568</v>
      </c>
      <c r="I37" s="114">
        <v>3899</v>
      </c>
      <c r="J37" s="114">
        <v>4793</v>
      </c>
      <c r="K37" s="114">
        <v>4805</v>
      </c>
    </row>
    <row r="38" spans="1:11" x14ac:dyDescent="0.25">
      <c r="A38" s="16" t="s">
        <v>669</v>
      </c>
      <c r="B38" s="16" t="s">
        <v>1600</v>
      </c>
      <c r="C38" s="16" t="s">
        <v>559</v>
      </c>
      <c r="D38" s="16" t="s">
        <v>11</v>
      </c>
      <c r="E38" s="76">
        <v>42552</v>
      </c>
      <c r="F38" s="16"/>
      <c r="G38" s="16" t="s">
        <v>11</v>
      </c>
      <c r="H38" s="16" t="s">
        <v>1568</v>
      </c>
      <c r="I38" s="114">
        <v>3399</v>
      </c>
      <c r="J38" s="114">
        <v>3865</v>
      </c>
      <c r="K38" s="114">
        <v>4796</v>
      </c>
    </row>
    <row r="39" spans="1:11" x14ac:dyDescent="0.25">
      <c r="A39" s="16" t="s">
        <v>670</v>
      </c>
      <c r="B39" s="16" t="s">
        <v>1601</v>
      </c>
      <c r="C39" s="16" t="s">
        <v>560</v>
      </c>
      <c r="D39" s="16" t="s">
        <v>11</v>
      </c>
      <c r="E39" s="76">
        <v>45170</v>
      </c>
      <c r="F39" s="16"/>
      <c r="G39" s="16" t="s">
        <v>11</v>
      </c>
      <c r="H39" s="16" t="s">
        <v>1568</v>
      </c>
      <c r="I39" s="114">
        <v>1346</v>
      </c>
      <c r="J39" s="114">
        <v>4424</v>
      </c>
      <c r="K39" s="114">
        <v>4284</v>
      </c>
    </row>
    <row r="40" spans="1:11" x14ac:dyDescent="0.25">
      <c r="A40" s="16" t="s">
        <v>671</v>
      </c>
      <c r="B40" s="16" t="s">
        <v>1602</v>
      </c>
      <c r="C40" s="16" t="s">
        <v>559</v>
      </c>
      <c r="D40" s="16" t="s">
        <v>11</v>
      </c>
      <c r="E40" s="76">
        <v>41030</v>
      </c>
      <c r="F40" s="16"/>
      <c r="G40" s="16" t="s">
        <v>11</v>
      </c>
      <c r="H40" s="16" t="s">
        <v>1568</v>
      </c>
      <c r="I40" s="114">
        <v>2819</v>
      </c>
      <c r="J40" s="114">
        <v>4082</v>
      </c>
      <c r="K40" s="114">
        <v>4072</v>
      </c>
    </row>
    <row r="41" spans="1:11" x14ac:dyDescent="0.25">
      <c r="A41" s="16" t="s">
        <v>672</v>
      </c>
      <c r="B41" s="16" t="s">
        <v>1603</v>
      </c>
      <c r="C41" s="16" t="s">
        <v>556</v>
      </c>
      <c r="D41" s="16" t="s">
        <v>11</v>
      </c>
      <c r="E41" s="76">
        <v>45352</v>
      </c>
      <c r="F41" s="16"/>
      <c r="G41" s="16" t="s">
        <v>11</v>
      </c>
      <c r="H41" s="16" t="s">
        <v>1568</v>
      </c>
      <c r="I41" s="114">
        <v>0</v>
      </c>
      <c r="J41" s="114">
        <v>2350</v>
      </c>
      <c r="K41" s="114">
        <v>4029</v>
      </c>
    </row>
    <row r="42" spans="1:11" x14ac:dyDescent="0.25">
      <c r="A42" s="16" t="s">
        <v>673</v>
      </c>
      <c r="B42" s="16" t="s">
        <v>1604</v>
      </c>
      <c r="C42" s="16" t="s">
        <v>556</v>
      </c>
      <c r="D42" s="16" t="s">
        <v>11</v>
      </c>
      <c r="E42" s="76">
        <v>41760</v>
      </c>
      <c r="F42" s="16"/>
      <c r="G42" s="16" t="s">
        <v>11</v>
      </c>
      <c r="H42" s="16" t="s">
        <v>1568</v>
      </c>
      <c r="I42" s="114">
        <v>3253</v>
      </c>
      <c r="J42" s="114">
        <v>3469</v>
      </c>
      <c r="K42" s="114">
        <v>4017</v>
      </c>
    </row>
    <row r="43" spans="1:11" x14ac:dyDescent="0.25">
      <c r="A43" s="16" t="s">
        <v>674</v>
      </c>
      <c r="B43" s="16" t="s">
        <v>1605</v>
      </c>
      <c r="C43" s="16" t="s">
        <v>554</v>
      </c>
      <c r="D43" s="16" t="s">
        <v>11</v>
      </c>
      <c r="E43" s="76">
        <v>41395</v>
      </c>
      <c r="F43" s="16"/>
      <c r="G43" s="16" t="s">
        <v>11</v>
      </c>
      <c r="H43" s="16" t="s">
        <v>1563</v>
      </c>
      <c r="I43" s="114">
        <v>2558</v>
      </c>
      <c r="J43" s="114">
        <v>3371</v>
      </c>
      <c r="K43" s="114">
        <v>3925</v>
      </c>
    </row>
    <row r="44" spans="1:11" x14ac:dyDescent="0.25">
      <c r="A44" s="16" t="s">
        <v>675</v>
      </c>
      <c r="B44" s="16" t="s">
        <v>1606</v>
      </c>
      <c r="C44" s="16" t="s">
        <v>561</v>
      </c>
      <c r="D44" s="16" t="s">
        <v>11</v>
      </c>
      <c r="E44" s="76">
        <v>43770</v>
      </c>
      <c r="F44" s="16"/>
      <c r="G44" s="16" t="s">
        <v>11</v>
      </c>
      <c r="H44" s="16" t="s">
        <v>1568</v>
      </c>
      <c r="I44" s="114">
        <v>2291</v>
      </c>
      <c r="J44" s="114">
        <v>3407</v>
      </c>
      <c r="K44" s="114">
        <v>3831</v>
      </c>
    </row>
    <row r="45" spans="1:11" x14ac:dyDescent="0.25">
      <c r="A45" s="16" t="s">
        <v>676</v>
      </c>
      <c r="B45" s="16" t="s">
        <v>1607</v>
      </c>
      <c r="C45" s="16" t="s">
        <v>556</v>
      </c>
      <c r="D45" s="16" t="s">
        <v>11</v>
      </c>
      <c r="E45" s="76">
        <v>44348</v>
      </c>
      <c r="F45" s="16"/>
      <c r="G45" s="16" t="s">
        <v>11</v>
      </c>
      <c r="H45" s="16" t="s">
        <v>1568</v>
      </c>
      <c r="I45" s="114">
        <v>2083</v>
      </c>
      <c r="J45" s="114">
        <v>3018</v>
      </c>
      <c r="K45" s="114">
        <v>3542</v>
      </c>
    </row>
    <row r="46" spans="1:11" x14ac:dyDescent="0.25">
      <c r="A46" s="16" t="s">
        <v>677</v>
      </c>
      <c r="B46" s="16" t="s">
        <v>1608</v>
      </c>
      <c r="C46" s="16" t="s">
        <v>556</v>
      </c>
      <c r="D46" s="16" t="s">
        <v>11</v>
      </c>
      <c r="E46" s="76">
        <v>42979</v>
      </c>
      <c r="F46" s="16"/>
      <c r="G46" s="16" t="s">
        <v>11</v>
      </c>
      <c r="H46" s="16" t="s">
        <v>1568</v>
      </c>
      <c r="I46" s="114">
        <v>2520</v>
      </c>
      <c r="J46" s="114">
        <v>3318</v>
      </c>
      <c r="K46" s="114">
        <v>3492</v>
      </c>
    </row>
    <row r="47" spans="1:11" x14ac:dyDescent="0.25">
      <c r="A47" s="16" t="s">
        <v>678</v>
      </c>
      <c r="B47" s="16" t="s">
        <v>1609</v>
      </c>
      <c r="C47" s="16" t="s">
        <v>554</v>
      </c>
      <c r="D47" s="16" t="s">
        <v>11</v>
      </c>
      <c r="E47" s="76">
        <v>42401</v>
      </c>
      <c r="F47" s="76">
        <v>45900</v>
      </c>
      <c r="G47" s="16" t="s">
        <v>1610</v>
      </c>
      <c r="H47" s="16" t="s">
        <v>1563</v>
      </c>
      <c r="I47" s="114">
        <v>4157</v>
      </c>
      <c r="J47" s="114">
        <v>4739</v>
      </c>
      <c r="K47" s="114">
        <v>3367</v>
      </c>
    </row>
    <row r="48" spans="1:11" x14ac:dyDescent="0.25">
      <c r="A48" s="16" t="s">
        <v>679</v>
      </c>
      <c r="B48" s="16" t="s">
        <v>1611</v>
      </c>
      <c r="C48" s="16" t="s">
        <v>554</v>
      </c>
      <c r="D48" s="16" t="s">
        <v>11</v>
      </c>
      <c r="E48" s="76">
        <v>45566</v>
      </c>
      <c r="F48" s="16"/>
      <c r="G48" s="16" t="s">
        <v>11</v>
      </c>
      <c r="H48" s="16" t="s">
        <v>1563</v>
      </c>
      <c r="I48" s="114">
        <v>0</v>
      </c>
      <c r="J48" s="114">
        <v>723</v>
      </c>
      <c r="K48" s="114">
        <v>3313</v>
      </c>
    </row>
    <row r="49" spans="1:11" x14ac:dyDescent="0.25">
      <c r="A49" s="16" t="s">
        <v>680</v>
      </c>
      <c r="B49" s="16" t="s">
        <v>1612</v>
      </c>
      <c r="C49" s="16" t="s">
        <v>556</v>
      </c>
      <c r="D49" s="16" t="s">
        <v>11</v>
      </c>
      <c r="E49" s="76">
        <v>44958</v>
      </c>
      <c r="F49" s="16"/>
      <c r="G49" s="16" t="s">
        <v>11</v>
      </c>
      <c r="H49" s="16" t="s">
        <v>1568</v>
      </c>
      <c r="I49" s="114">
        <v>2023</v>
      </c>
      <c r="J49" s="114">
        <v>2767</v>
      </c>
      <c r="K49" s="114">
        <v>2971</v>
      </c>
    </row>
    <row r="50" spans="1:11" x14ac:dyDescent="0.25">
      <c r="A50" s="16" t="s">
        <v>681</v>
      </c>
      <c r="B50" s="16" t="s">
        <v>1613</v>
      </c>
      <c r="C50" s="16" t="s">
        <v>558</v>
      </c>
      <c r="D50" s="16" t="s">
        <v>11</v>
      </c>
      <c r="E50" s="76">
        <v>45292</v>
      </c>
      <c r="F50" s="16"/>
      <c r="G50" s="16" t="s">
        <v>11</v>
      </c>
      <c r="H50" s="16" t="s">
        <v>1565</v>
      </c>
      <c r="I50" s="114">
        <v>0</v>
      </c>
      <c r="J50" s="114">
        <v>2185</v>
      </c>
      <c r="K50" s="114">
        <v>2820</v>
      </c>
    </row>
    <row r="51" spans="1:11" x14ac:dyDescent="0.25">
      <c r="A51" s="16" t="s">
        <v>682</v>
      </c>
      <c r="B51" s="16" t="s">
        <v>1614</v>
      </c>
      <c r="C51" s="16" t="s">
        <v>557</v>
      </c>
      <c r="D51" s="16" t="s">
        <v>11</v>
      </c>
      <c r="E51" s="76">
        <v>45870</v>
      </c>
      <c r="F51" s="16"/>
      <c r="G51" s="16" t="s">
        <v>11</v>
      </c>
      <c r="H51" s="16" t="s">
        <v>1568</v>
      </c>
      <c r="I51" s="114">
        <v>0</v>
      </c>
      <c r="J51" s="114">
        <v>0</v>
      </c>
      <c r="K51" s="114">
        <v>2811</v>
      </c>
    </row>
    <row r="52" spans="1:11" x14ac:dyDescent="0.25">
      <c r="A52" s="16" t="s">
        <v>683</v>
      </c>
      <c r="B52" s="16" t="s">
        <v>1615</v>
      </c>
      <c r="C52" s="16" t="s">
        <v>557</v>
      </c>
      <c r="D52" s="16" t="s">
        <v>11</v>
      </c>
      <c r="E52" s="76">
        <v>44197</v>
      </c>
      <c r="F52" s="16"/>
      <c r="G52" s="16" t="s">
        <v>11</v>
      </c>
      <c r="H52" s="16" t="s">
        <v>1568</v>
      </c>
      <c r="I52" s="114">
        <v>1720</v>
      </c>
      <c r="J52" s="114">
        <v>2488</v>
      </c>
      <c r="K52" s="114">
        <v>2426</v>
      </c>
    </row>
    <row r="53" spans="1:11" x14ac:dyDescent="0.25">
      <c r="A53" s="16" t="s">
        <v>684</v>
      </c>
      <c r="B53" s="16" t="s">
        <v>1616</v>
      </c>
      <c r="C53" s="16" t="s">
        <v>556</v>
      </c>
      <c r="D53" s="16" t="s">
        <v>11</v>
      </c>
      <c r="E53" s="76">
        <v>45078</v>
      </c>
      <c r="F53" s="16"/>
      <c r="G53" s="16" t="s">
        <v>11</v>
      </c>
      <c r="H53" s="16" t="s">
        <v>1568</v>
      </c>
      <c r="I53" s="114">
        <v>1276</v>
      </c>
      <c r="J53" s="114">
        <v>2491</v>
      </c>
      <c r="K53" s="114">
        <v>2276</v>
      </c>
    </row>
    <row r="54" spans="1:11" x14ac:dyDescent="0.25">
      <c r="A54" s="16" t="s">
        <v>685</v>
      </c>
      <c r="B54" s="16" t="s">
        <v>1617</v>
      </c>
      <c r="C54" s="16" t="s">
        <v>556</v>
      </c>
      <c r="D54" s="16" t="s">
        <v>11</v>
      </c>
      <c r="E54" s="76">
        <v>45931</v>
      </c>
      <c r="F54" s="16"/>
      <c r="G54" s="16" t="s">
        <v>11</v>
      </c>
      <c r="H54" s="16" t="s">
        <v>1568</v>
      </c>
      <c r="I54" s="114">
        <v>0</v>
      </c>
      <c r="J54" s="114">
        <v>0</v>
      </c>
      <c r="K54" s="114">
        <v>2070</v>
      </c>
    </row>
    <row r="55" spans="1:11" x14ac:dyDescent="0.25">
      <c r="A55" s="16" t="s">
        <v>686</v>
      </c>
      <c r="B55" s="16" t="s">
        <v>1618</v>
      </c>
      <c r="C55" s="16" t="s">
        <v>556</v>
      </c>
      <c r="D55" s="16" t="s">
        <v>11</v>
      </c>
      <c r="E55" s="76">
        <v>44136</v>
      </c>
      <c r="F55" s="76">
        <v>45808</v>
      </c>
      <c r="G55" s="16" t="s">
        <v>1610</v>
      </c>
      <c r="H55" s="16" t="s">
        <v>1568</v>
      </c>
      <c r="I55" s="114">
        <v>3372</v>
      </c>
      <c r="J55" s="114">
        <v>4364</v>
      </c>
      <c r="K55" s="114">
        <v>1928</v>
      </c>
    </row>
    <row r="56" spans="1:11" x14ac:dyDescent="0.25">
      <c r="A56" s="16" t="s">
        <v>687</v>
      </c>
      <c r="B56" s="16" t="s">
        <v>1619</v>
      </c>
      <c r="C56" s="16" t="s">
        <v>556</v>
      </c>
      <c r="D56" s="16" t="s">
        <v>11</v>
      </c>
      <c r="E56" s="76">
        <v>45536</v>
      </c>
      <c r="F56" s="16"/>
      <c r="G56" s="16" t="s">
        <v>11</v>
      </c>
      <c r="H56" s="16" t="s">
        <v>1568</v>
      </c>
      <c r="I56" s="114">
        <v>0</v>
      </c>
      <c r="J56" s="114">
        <v>542</v>
      </c>
      <c r="K56" s="114">
        <v>1689</v>
      </c>
    </row>
    <row r="57" spans="1:11" x14ac:dyDescent="0.25">
      <c r="A57" s="16" t="s">
        <v>688</v>
      </c>
      <c r="B57" s="16" t="s">
        <v>1620</v>
      </c>
      <c r="C57" s="16" t="s">
        <v>557</v>
      </c>
      <c r="D57" s="16" t="s">
        <v>11</v>
      </c>
      <c r="E57" s="76">
        <v>41548</v>
      </c>
      <c r="F57" s="16"/>
      <c r="G57" s="16" t="s">
        <v>11</v>
      </c>
      <c r="H57" s="16" t="s">
        <v>1568</v>
      </c>
      <c r="I57" s="114">
        <v>803</v>
      </c>
      <c r="J57" s="114">
        <v>849</v>
      </c>
      <c r="K57" s="114">
        <v>1160</v>
      </c>
    </row>
    <row r="58" spans="1:11" x14ac:dyDescent="0.25">
      <c r="A58" s="16" t="s">
        <v>689</v>
      </c>
      <c r="B58" s="16" t="s">
        <v>1621</v>
      </c>
      <c r="C58" s="16" t="s">
        <v>556</v>
      </c>
      <c r="D58" s="16" t="s">
        <v>11</v>
      </c>
      <c r="E58" s="76">
        <v>45962</v>
      </c>
      <c r="F58" s="16"/>
      <c r="G58" s="16" t="s">
        <v>11</v>
      </c>
      <c r="H58" s="16" t="s">
        <v>1568</v>
      </c>
      <c r="I58" s="114">
        <v>0</v>
      </c>
      <c r="J58" s="114">
        <v>0</v>
      </c>
      <c r="K58" s="114">
        <v>731</v>
      </c>
    </row>
    <row r="59" spans="1:11" x14ac:dyDescent="0.25">
      <c r="A59" s="16" t="s">
        <v>690</v>
      </c>
      <c r="B59" s="16" t="s">
        <v>1622</v>
      </c>
      <c r="C59" s="16" t="s">
        <v>556</v>
      </c>
      <c r="D59" s="16" t="s">
        <v>11</v>
      </c>
      <c r="E59" s="76">
        <v>40756</v>
      </c>
      <c r="F59" s="76">
        <v>45688</v>
      </c>
      <c r="G59" s="16" t="s">
        <v>1585</v>
      </c>
      <c r="H59" s="16" t="s">
        <v>1568</v>
      </c>
      <c r="I59" s="114">
        <v>921</v>
      </c>
      <c r="J59" s="114">
        <v>1117</v>
      </c>
      <c r="K59" s="114">
        <v>134</v>
      </c>
    </row>
    <row r="60" spans="1:11" x14ac:dyDescent="0.25">
      <c r="A60" s="16" t="s">
        <v>691</v>
      </c>
      <c r="B60" s="16" t="s">
        <v>1623</v>
      </c>
      <c r="C60" s="16" t="s">
        <v>559</v>
      </c>
      <c r="D60" s="16" t="s">
        <v>11</v>
      </c>
      <c r="E60" s="76">
        <v>43983</v>
      </c>
      <c r="F60" s="76">
        <v>45596</v>
      </c>
      <c r="G60" s="16" t="s">
        <v>1624</v>
      </c>
      <c r="H60" s="16" t="s">
        <v>1568</v>
      </c>
      <c r="I60" s="114">
        <v>5638</v>
      </c>
      <c r="J60" s="114">
        <v>6316</v>
      </c>
      <c r="K60" s="114">
        <v>0</v>
      </c>
    </row>
    <row r="61" spans="1:11" x14ac:dyDescent="0.25">
      <c r="A61" s="16" t="s">
        <v>692</v>
      </c>
      <c r="B61" s="16" t="s">
        <v>1625</v>
      </c>
      <c r="C61" s="16" t="s">
        <v>556</v>
      </c>
      <c r="D61" s="16" t="s">
        <v>11</v>
      </c>
      <c r="E61" s="76">
        <v>40391</v>
      </c>
      <c r="F61" s="76">
        <v>45473</v>
      </c>
      <c r="G61" s="16" t="s">
        <v>1624</v>
      </c>
      <c r="H61" s="16" t="s">
        <v>1568</v>
      </c>
      <c r="I61" s="114">
        <v>5332</v>
      </c>
      <c r="J61" s="114">
        <v>3533</v>
      </c>
      <c r="K61" s="114">
        <v>0</v>
      </c>
    </row>
    <row r="62" spans="1:11" x14ac:dyDescent="0.25">
      <c r="A62" s="16" t="s">
        <v>693</v>
      </c>
      <c r="B62" s="16" t="s">
        <v>1626</v>
      </c>
      <c r="C62" s="16" t="s">
        <v>554</v>
      </c>
      <c r="D62" s="16" t="s">
        <v>11</v>
      </c>
      <c r="E62" s="76">
        <v>42339</v>
      </c>
      <c r="F62" s="76">
        <v>45351</v>
      </c>
      <c r="G62" s="16" t="s">
        <v>1624</v>
      </c>
      <c r="H62" s="16" t="s">
        <v>1563</v>
      </c>
      <c r="I62" s="114">
        <v>5545</v>
      </c>
      <c r="J62" s="114">
        <v>1170</v>
      </c>
      <c r="K62" s="114">
        <v>0</v>
      </c>
    </row>
    <row r="63" spans="1:11" x14ac:dyDescent="0.25">
      <c r="A63" s="16" t="s">
        <v>694</v>
      </c>
      <c r="B63" s="16" t="s">
        <v>1627</v>
      </c>
      <c r="C63" s="16" t="s">
        <v>558</v>
      </c>
      <c r="D63" s="16" t="s">
        <v>11</v>
      </c>
      <c r="E63" s="76">
        <v>41974</v>
      </c>
      <c r="F63" s="76">
        <v>45260</v>
      </c>
      <c r="G63" s="16" t="s">
        <v>1585</v>
      </c>
      <c r="H63" s="16" t="s">
        <v>1565</v>
      </c>
      <c r="I63" s="114">
        <v>5005</v>
      </c>
      <c r="J63" s="114">
        <v>0</v>
      </c>
      <c r="K63" s="114">
        <v>0</v>
      </c>
    </row>
    <row r="64" spans="1:11" x14ac:dyDescent="0.25">
      <c r="A64" s="16" t="s">
        <v>695</v>
      </c>
      <c r="B64" s="16" t="s">
        <v>1628</v>
      </c>
      <c r="C64" s="16" t="s">
        <v>554</v>
      </c>
      <c r="D64" s="16" t="s">
        <v>11</v>
      </c>
      <c r="E64" s="76">
        <v>43556</v>
      </c>
      <c r="F64" s="76">
        <v>45169</v>
      </c>
      <c r="G64" s="16" t="s">
        <v>1585</v>
      </c>
      <c r="H64" s="16" t="s">
        <v>1563</v>
      </c>
      <c r="I64" s="114">
        <v>4247</v>
      </c>
      <c r="J64" s="114">
        <v>0</v>
      </c>
      <c r="K64" s="114">
        <v>0</v>
      </c>
    </row>
    <row r="65" spans="1:11" x14ac:dyDescent="0.25">
      <c r="A65" s="16" t="s">
        <v>696</v>
      </c>
      <c r="B65" s="16" t="s">
        <v>1629</v>
      </c>
      <c r="C65" s="16" t="s">
        <v>561</v>
      </c>
      <c r="D65" s="16" t="s">
        <v>11</v>
      </c>
      <c r="E65" s="76">
        <v>40969</v>
      </c>
      <c r="F65" s="76">
        <v>45046</v>
      </c>
      <c r="G65" s="16" t="s">
        <v>1610</v>
      </c>
      <c r="H65" s="16" t="s">
        <v>1568</v>
      </c>
      <c r="I65" s="114">
        <v>2040</v>
      </c>
      <c r="J65" s="114">
        <v>0</v>
      </c>
      <c r="K65" s="114">
        <v>0</v>
      </c>
    </row>
    <row r="66" spans="1:11" x14ac:dyDescent="0.25">
      <c r="A66" s="29" t="s">
        <v>1630</v>
      </c>
      <c r="B66" s="24" t="s">
        <v>562</v>
      </c>
      <c r="I66" s="90">
        <v>1808600</v>
      </c>
      <c r="J66" s="90">
        <v>2016100</v>
      </c>
      <c r="K66" s="90">
        <v>2229100</v>
      </c>
    </row>
  </sheetData>
  <printOptions horizontalCentered="1"/>
  <pageMargins left="0.5" right="0.5" top="0.6" bottom="0.7" header="0.3" footer="0.3"/>
  <pageSetup paperSize="1" orientation="landscape" scale="82"/>
  <headerFooter>
    <oddHeader>&amp;RProject Ridgeline | As of 12/31/25</oddHeader>
    <oddFooter>&amp;LAMB Advisory Services | Strictly confidential&amp;C&amp;A&amp;RPage &amp;P of &amp;N</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6A6A6"/>
    <outlinePr summaryBelow="0" summaryRight="0"/>
  </sheetPr>
  <dimension ref="A1:Q32"/>
  <sheetViews>
    <sheetView workbookViewId="0" zoomScale="100">
      <pane ySplit="3" topLeftCell="A4" activePane="bottomLeft" state="frozen"/>
      <selection pane="bottomLeft"/>
    </sheetView>
  </sheetViews>
  <sheetFormatPr defaultRowHeight="12.75" outlineLevelRow="0" outlineLevelCol="0" x14ac:dyDescent="55" customHeight="1"/>
  <cols>
    <col min="1" max="1" width="22" customWidth="1"/>
    <col min="2" max="2" width="24" customWidth="1"/>
    <col min="3" max="3" width="16" customWidth="1"/>
    <col min="4" max="4" width="11" customWidth="1"/>
    <col min="5" max="6" width="15" customWidth="1"/>
    <col min="7" max="7" width="20" customWidth="1"/>
    <col min="8" max="8" width="8" customWidth="1"/>
    <col min="9" max="9" width="12" customWidth="1"/>
    <col min="10" max="12" width="13" customWidth="1"/>
    <col min="13" max="13" width="2" customWidth="1"/>
    <col min="14" max="14" width="10" customWidth="1"/>
    <col min="15" max="15" width="14" customWidth="1"/>
    <col min="16" max="16" width="20" customWidth="1"/>
    <col min="17" max="17" width="11" customWidth="1"/>
  </cols>
  <sheetData>
    <row r="1" spans="1:1" x14ac:dyDescent="0.25">
      <c r="A1" s="313" t="s">
        <v>1631</v>
      </c>
    </row>
    <row r="2" spans="1:1" x14ac:dyDescent="0.25">
      <c r="A2" s="307" t="s">
        <v>1632</v>
      </c>
    </row>
    <row r="3" spans="1:17" x14ac:dyDescent="0.25">
      <c r="A3" s="13" t="s">
        <v>1633</v>
      </c>
      <c r="B3" s="13" t="s">
        <v>1634</v>
      </c>
      <c r="C3" s="12" t="s">
        <v>734</v>
      </c>
      <c r="D3" s="12" t="s">
        <v>774</v>
      </c>
      <c r="E3" s="12" t="s">
        <v>775</v>
      </c>
      <c r="F3" s="12" t="s">
        <v>1635</v>
      </c>
      <c r="G3" s="12" t="s">
        <v>1636</v>
      </c>
      <c r="H3" s="12" t="s">
        <v>1637</v>
      </c>
      <c r="I3" s="12" t="s">
        <v>745</v>
      </c>
      <c r="J3" s="12" t="s">
        <v>1638</v>
      </c>
      <c r="K3" s="12" t="s">
        <v>1639</v>
      </c>
      <c r="L3" s="12" t="s">
        <v>1640</v>
      </c>
      <c r="M3" s="12"/>
      <c r="N3" s="12" t="s">
        <v>1641</v>
      </c>
      <c r="O3" s="12" t="s">
        <v>1642</v>
      </c>
      <c r="P3" s="12" t="s">
        <v>1643</v>
      </c>
      <c r="Q3" s="12" t="s">
        <v>1644</v>
      </c>
    </row>
    <row r="4" spans="1:17" x14ac:dyDescent="0.25">
      <c r="A4" s="16" t="s">
        <v>1645</v>
      </c>
      <c r="B4" s="16" t="s">
        <v>1646</v>
      </c>
      <c r="C4" s="16" t="s">
        <v>1637</v>
      </c>
      <c r="D4" s="76">
        <v>39874</v>
      </c>
      <c r="E4" s="16"/>
      <c r="F4" s="16" t="s">
        <v>11</v>
      </c>
      <c r="G4" s="16" t="s">
        <v>1647</v>
      </c>
      <c r="H4" s="16" t="s">
        <v>1648</v>
      </c>
      <c r="I4" s="16" t="s">
        <v>1648</v>
      </c>
      <c r="J4" s="317">
        <v>180000</v>
      </c>
      <c r="K4" s="317">
        <v>190000</v>
      </c>
      <c r="L4" s="317">
        <v>200000</v>
      </c>
      <c r="N4" s="316" t="s">
        <v>780</v>
      </c>
      <c r="O4" s="227" t="s">
        <v>741</v>
      </c>
      <c r="P4" s="316" t="s">
        <v>11</v>
      </c>
      <c r="Q4" s="113">
        <v>1</v>
      </c>
    </row>
    <row r="5" spans="1:17" x14ac:dyDescent="0.25">
      <c r="A5" s="16" t="s">
        <v>1649</v>
      </c>
      <c r="B5" s="16" t="s">
        <v>1650</v>
      </c>
      <c r="C5" s="16" t="s">
        <v>740</v>
      </c>
      <c r="D5" s="76">
        <v>41043</v>
      </c>
      <c r="E5" s="16"/>
      <c r="F5" s="16" t="s">
        <v>11</v>
      </c>
      <c r="G5" s="16" t="s">
        <v>1651</v>
      </c>
      <c r="H5" s="16" t="s">
        <v>11</v>
      </c>
      <c r="I5" s="16" t="s">
        <v>11</v>
      </c>
      <c r="J5" s="317">
        <v>36439</v>
      </c>
      <c r="K5" s="317">
        <v>39522</v>
      </c>
      <c r="L5" s="317">
        <v>42727</v>
      </c>
      <c r="N5" s="316" t="s">
        <v>781</v>
      </c>
      <c r="O5" s="227" t="s">
        <v>744</v>
      </c>
      <c r="P5" s="316" t="s">
        <v>11</v>
      </c>
      <c r="Q5" s="113">
        <v>1</v>
      </c>
    </row>
    <row r="6" spans="1:17" x14ac:dyDescent="0.25">
      <c r="A6" s="16" t="s">
        <v>1652</v>
      </c>
      <c r="B6" s="16" t="s">
        <v>1650</v>
      </c>
      <c r="C6" s="16" t="s">
        <v>740</v>
      </c>
      <c r="D6" s="76">
        <v>41491</v>
      </c>
      <c r="E6" s="16"/>
      <c r="F6" s="16" t="s">
        <v>11</v>
      </c>
      <c r="G6" s="16" t="s">
        <v>1651</v>
      </c>
      <c r="H6" s="16" t="s">
        <v>11</v>
      </c>
      <c r="I6" s="16" t="s">
        <v>11</v>
      </c>
      <c r="J6" s="317">
        <v>35648</v>
      </c>
      <c r="K6" s="317">
        <v>38663</v>
      </c>
      <c r="L6" s="317">
        <v>41800</v>
      </c>
      <c r="N6" s="316" t="s">
        <v>782</v>
      </c>
      <c r="O6" s="227" t="s">
        <v>744</v>
      </c>
      <c r="P6" s="316" t="s">
        <v>11</v>
      </c>
      <c r="Q6" s="113">
        <v>1</v>
      </c>
    </row>
    <row r="7" spans="1:17" x14ac:dyDescent="0.25">
      <c r="A7" s="16" t="s">
        <v>1653</v>
      </c>
      <c r="B7" s="16" t="s">
        <v>1650</v>
      </c>
      <c r="C7" s="16" t="s">
        <v>740</v>
      </c>
      <c r="D7" s="76">
        <v>41708</v>
      </c>
      <c r="E7" s="16"/>
      <c r="F7" s="16" t="s">
        <v>11</v>
      </c>
      <c r="G7" s="16" t="s">
        <v>1651</v>
      </c>
      <c r="H7" s="16" t="s">
        <v>11</v>
      </c>
      <c r="I7" s="16" t="s">
        <v>11</v>
      </c>
      <c r="J7" s="317">
        <v>34855</v>
      </c>
      <c r="K7" s="317">
        <v>37803</v>
      </c>
      <c r="L7" s="317">
        <v>40871</v>
      </c>
      <c r="N7" s="316" t="s">
        <v>783</v>
      </c>
      <c r="O7" s="227" t="s">
        <v>744</v>
      </c>
      <c r="P7" s="316" t="s">
        <v>11</v>
      </c>
      <c r="Q7" s="113">
        <v>1</v>
      </c>
    </row>
    <row r="8" spans="1:17" x14ac:dyDescent="0.25">
      <c r="A8" s="16" t="s">
        <v>1654</v>
      </c>
      <c r="B8" s="16" t="s">
        <v>1650</v>
      </c>
      <c r="C8" s="16" t="s">
        <v>740</v>
      </c>
      <c r="D8" s="76">
        <v>42296</v>
      </c>
      <c r="E8" s="16"/>
      <c r="F8" s="16" t="s">
        <v>11</v>
      </c>
      <c r="G8" s="16" t="s">
        <v>1651</v>
      </c>
      <c r="H8" s="16" t="s">
        <v>11</v>
      </c>
      <c r="I8" s="16" t="s">
        <v>11</v>
      </c>
      <c r="J8" s="317">
        <v>34063</v>
      </c>
      <c r="K8" s="317">
        <v>36944</v>
      </c>
      <c r="L8" s="317">
        <v>39942</v>
      </c>
      <c r="N8" s="316" t="s">
        <v>784</v>
      </c>
      <c r="O8" s="227" t="s">
        <v>744</v>
      </c>
      <c r="P8" s="316" t="s">
        <v>11</v>
      </c>
      <c r="Q8" s="113">
        <v>1</v>
      </c>
    </row>
    <row r="9" spans="1:17" x14ac:dyDescent="0.25">
      <c r="A9" s="16" t="s">
        <v>1655</v>
      </c>
      <c r="B9" s="16" t="s">
        <v>1650</v>
      </c>
      <c r="C9" s="16" t="s">
        <v>740</v>
      </c>
      <c r="D9" s="76">
        <v>42527</v>
      </c>
      <c r="E9" s="16"/>
      <c r="F9" s="16" t="s">
        <v>11</v>
      </c>
      <c r="G9" s="16" t="s">
        <v>1651</v>
      </c>
      <c r="H9" s="16" t="s">
        <v>11</v>
      </c>
      <c r="I9" s="16" t="s">
        <v>11</v>
      </c>
      <c r="J9" s="317">
        <v>33271</v>
      </c>
      <c r="K9" s="317">
        <v>36085</v>
      </c>
      <c r="L9" s="317">
        <v>39013</v>
      </c>
      <c r="N9" s="316" t="s">
        <v>785</v>
      </c>
      <c r="O9" s="227" t="s">
        <v>744</v>
      </c>
      <c r="P9" s="316" t="s">
        <v>11</v>
      </c>
      <c r="Q9" s="113">
        <v>1</v>
      </c>
    </row>
    <row r="10" spans="1:17" x14ac:dyDescent="0.25">
      <c r="A10" s="16" t="s">
        <v>1656</v>
      </c>
      <c r="B10" s="16" t="s">
        <v>1650</v>
      </c>
      <c r="C10" s="16" t="s">
        <v>740</v>
      </c>
      <c r="D10" s="76">
        <v>42786</v>
      </c>
      <c r="E10" s="16"/>
      <c r="F10" s="16" t="s">
        <v>11</v>
      </c>
      <c r="G10" s="16" t="s">
        <v>1651</v>
      </c>
      <c r="H10" s="16" t="s">
        <v>11</v>
      </c>
      <c r="I10" s="16" t="s">
        <v>11</v>
      </c>
      <c r="J10" s="317">
        <v>32479</v>
      </c>
      <c r="K10" s="317">
        <v>35226</v>
      </c>
      <c r="L10" s="317">
        <v>38084</v>
      </c>
      <c r="N10" s="316" t="s">
        <v>786</v>
      </c>
      <c r="O10" s="227" t="s">
        <v>744</v>
      </c>
      <c r="P10" s="316" t="s">
        <v>11</v>
      </c>
      <c r="Q10" s="113">
        <v>1</v>
      </c>
    </row>
    <row r="11" spans="1:17" x14ac:dyDescent="0.25">
      <c r="A11" s="16" t="s">
        <v>1657</v>
      </c>
      <c r="B11" s="16" t="s">
        <v>1650</v>
      </c>
      <c r="C11" s="16" t="s">
        <v>740</v>
      </c>
      <c r="D11" s="76">
        <v>43346</v>
      </c>
      <c r="E11" s="16"/>
      <c r="F11" s="16" t="s">
        <v>11</v>
      </c>
      <c r="G11" s="16" t="s">
        <v>1651</v>
      </c>
      <c r="H11" s="16" t="s">
        <v>11</v>
      </c>
      <c r="I11" s="16" t="s">
        <v>11</v>
      </c>
      <c r="J11" s="317">
        <v>31687</v>
      </c>
      <c r="K11" s="317">
        <v>34367</v>
      </c>
      <c r="L11" s="317">
        <v>37155</v>
      </c>
      <c r="N11" s="316" t="s">
        <v>787</v>
      </c>
      <c r="O11" s="227" t="s">
        <v>744</v>
      </c>
      <c r="P11" s="316" t="s">
        <v>11</v>
      </c>
      <c r="Q11" s="113">
        <v>1</v>
      </c>
    </row>
    <row r="12" spans="1:17" x14ac:dyDescent="0.25">
      <c r="A12" s="16" t="s">
        <v>1658</v>
      </c>
      <c r="B12" s="16" t="s">
        <v>1650</v>
      </c>
      <c r="C12" s="16" t="s">
        <v>740</v>
      </c>
      <c r="D12" s="76">
        <v>43570</v>
      </c>
      <c r="E12" s="76">
        <v>45382</v>
      </c>
      <c r="F12" s="16" t="s">
        <v>1659</v>
      </c>
      <c r="G12" s="16" t="s">
        <v>1651</v>
      </c>
      <c r="H12" s="16" t="s">
        <v>11</v>
      </c>
      <c r="I12" s="16" t="s">
        <v>11</v>
      </c>
      <c r="J12" s="317">
        <v>30895</v>
      </c>
      <c r="K12" s="317">
        <v>8377</v>
      </c>
      <c r="L12" s="317">
        <v>0</v>
      </c>
      <c r="N12" s="316" t="s">
        <v>788</v>
      </c>
      <c r="O12" s="227" t="s">
        <v>744</v>
      </c>
      <c r="P12" s="316" t="s">
        <v>1660</v>
      </c>
      <c r="Q12" s="113">
        <v>1</v>
      </c>
    </row>
    <row r="13" spans="1:17" x14ac:dyDescent="0.25">
      <c r="A13" s="16" t="s">
        <v>1661</v>
      </c>
      <c r="B13" s="16" t="s">
        <v>1650</v>
      </c>
      <c r="C13" s="16" t="s">
        <v>740</v>
      </c>
      <c r="D13" s="76">
        <v>43843</v>
      </c>
      <c r="E13" s="16"/>
      <c r="F13" s="16" t="s">
        <v>11</v>
      </c>
      <c r="G13" s="16" t="s">
        <v>1651</v>
      </c>
      <c r="H13" s="16" t="s">
        <v>11</v>
      </c>
      <c r="I13" s="16" t="s">
        <v>11</v>
      </c>
      <c r="J13" s="317">
        <v>30102</v>
      </c>
      <c r="K13" s="317">
        <v>32648</v>
      </c>
      <c r="L13" s="317">
        <v>35297</v>
      </c>
      <c r="N13" s="316" t="s">
        <v>789</v>
      </c>
      <c r="O13" s="227" t="s">
        <v>744</v>
      </c>
      <c r="P13" s="316" t="s">
        <v>11</v>
      </c>
      <c r="Q13" s="113">
        <v>1</v>
      </c>
    </row>
    <row r="14" spans="1:17" x14ac:dyDescent="0.25">
      <c r="A14" s="16" t="s">
        <v>1662</v>
      </c>
      <c r="B14" s="16" t="s">
        <v>1650</v>
      </c>
      <c r="C14" s="16" t="s">
        <v>740</v>
      </c>
      <c r="D14" s="76">
        <v>44137</v>
      </c>
      <c r="E14" s="76">
        <v>45184</v>
      </c>
      <c r="F14" s="16" t="s">
        <v>1659</v>
      </c>
      <c r="G14" s="16" t="s">
        <v>1651</v>
      </c>
      <c r="H14" s="16" t="s">
        <v>11</v>
      </c>
      <c r="I14" s="16" t="s">
        <v>11</v>
      </c>
      <c r="J14" s="317">
        <v>21983</v>
      </c>
      <c r="K14" s="317">
        <v>0</v>
      </c>
      <c r="L14" s="317">
        <v>0</v>
      </c>
      <c r="N14" s="316" t="s">
        <v>790</v>
      </c>
      <c r="O14" s="227" t="s">
        <v>744</v>
      </c>
      <c r="P14" s="316" t="s">
        <v>1660</v>
      </c>
      <c r="Q14" s="113">
        <v>1</v>
      </c>
    </row>
    <row r="15" spans="1:17" x14ac:dyDescent="0.25">
      <c r="A15" s="16" t="s">
        <v>1663</v>
      </c>
      <c r="B15" s="16" t="s">
        <v>1650</v>
      </c>
      <c r="C15" s="16" t="s">
        <v>740</v>
      </c>
      <c r="D15" s="76">
        <v>44389</v>
      </c>
      <c r="E15" s="16"/>
      <c r="F15" s="16" t="s">
        <v>11</v>
      </c>
      <c r="G15" s="16" t="s">
        <v>1651</v>
      </c>
      <c r="H15" s="16" t="s">
        <v>11</v>
      </c>
      <c r="I15" s="16" t="s">
        <v>11</v>
      </c>
      <c r="J15" s="317">
        <v>28518</v>
      </c>
      <c r="K15" s="317">
        <v>30930</v>
      </c>
      <c r="L15" s="317">
        <v>33440</v>
      </c>
      <c r="N15" s="316" t="s">
        <v>791</v>
      </c>
      <c r="O15" s="227" t="s">
        <v>744</v>
      </c>
      <c r="P15" s="316" t="s">
        <v>11</v>
      </c>
      <c r="Q15" s="113">
        <v>1</v>
      </c>
    </row>
    <row r="16" spans="1:17" x14ac:dyDescent="0.25">
      <c r="A16" s="16" t="s">
        <v>1664</v>
      </c>
      <c r="B16" s="16" t="s">
        <v>1650</v>
      </c>
      <c r="C16" s="16" t="s">
        <v>740</v>
      </c>
      <c r="D16" s="76">
        <v>44627</v>
      </c>
      <c r="E16" s="76">
        <v>45702</v>
      </c>
      <c r="F16" s="16" t="s">
        <v>1665</v>
      </c>
      <c r="G16" s="16" t="s">
        <v>1651</v>
      </c>
      <c r="H16" s="16" t="s">
        <v>11</v>
      </c>
      <c r="I16" s="16" t="s">
        <v>11</v>
      </c>
      <c r="J16" s="317">
        <v>26934</v>
      </c>
      <c r="K16" s="317">
        <v>29212</v>
      </c>
      <c r="L16" s="317">
        <v>5264</v>
      </c>
      <c r="N16" s="316" t="s">
        <v>792</v>
      </c>
      <c r="O16" s="227" t="s">
        <v>744</v>
      </c>
      <c r="P16" s="316" t="s">
        <v>1666</v>
      </c>
      <c r="Q16" s="113">
        <v>1</v>
      </c>
    </row>
    <row r="17" spans="1:17" x14ac:dyDescent="0.25">
      <c r="A17" s="16" t="s">
        <v>1667</v>
      </c>
      <c r="B17" s="16" t="s">
        <v>1668</v>
      </c>
      <c r="C17" s="16" t="s">
        <v>742</v>
      </c>
      <c r="D17" s="76">
        <v>42625</v>
      </c>
      <c r="E17" s="16"/>
      <c r="F17" s="16" t="s">
        <v>11</v>
      </c>
      <c r="G17" s="16" t="s">
        <v>1669</v>
      </c>
      <c r="H17" s="16" t="s">
        <v>11</v>
      </c>
      <c r="I17" s="16" t="s">
        <v>11</v>
      </c>
      <c r="J17" s="317">
        <v>31687</v>
      </c>
      <c r="K17" s="317">
        <v>34367</v>
      </c>
      <c r="L17" s="317">
        <v>37155</v>
      </c>
      <c r="N17" s="316" t="s">
        <v>793</v>
      </c>
      <c r="O17" s="227" t="s">
        <v>744</v>
      </c>
      <c r="P17" s="316" t="s">
        <v>11</v>
      </c>
      <c r="Q17" s="113">
        <v>1</v>
      </c>
    </row>
    <row r="18" spans="1:17" x14ac:dyDescent="0.25">
      <c r="A18" s="16" t="s">
        <v>1670</v>
      </c>
      <c r="B18" s="16" t="s">
        <v>1668</v>
      </c>
      <c r="C18" s="16" t="s">
        <v>742</v>
      </c>
      <c r="D18" s="76">
        <v>43696</v>
      </c>
      <c r="E18" s="16"/>
      <c r="F18" s="16" t="s">
        <v>11</v>
      </c>
      <c r="G18" s="16" t="s">
        <v>1669</v>
      </c>
      <c r="H18" s="16" t="s">
        <v>11</v>
      </c>
      <c r="I18" s="16" t="s">
        <v>11</v>
      </c>
      <c r="J18" s="317">
        <v>29310</v>
      </c>
      <c r="K18" s="317">
        <v>31789</v>
      </c>
      <c r="L18" s="317">
        <v>34369</v>
      </c>
      <c r="N18" s="316" t="s">
        <v>794</v>
      </c>
      <c r="O18" s="227" t="s">
        <v>744</v>
      </c>
      <c r="P18" s="316" t="s">
        <v>11</v>
      </c>
      <c r="Q18" s="113">
        <v>1</v>
      </c>
    </row>
    <row r="19" spans="1:17" x14ac:dyDescent="0.25">
      <c r="A19" s="16" t="s">
        <v>1671</v>
      </c>
      <c r="B19" s="16" t="s">
        <v>1668</v>
      </c>
      <c r="C19" s="16" t="s">
        <v>742</v>
      </c>
      <c r="D19" s="76">
        <v>44319</v>
      </c>
      <c r="E19" s="16"/>
      <c r="F19" s="16" t="s">
        <v>11</v>
      </c>
      <c r="G19" s="16" t="s">
        <v>1669</v>
      </c>
      <c r="H19" s="16" t="s">
        <v>11</v>
      </c>
      <c r="I19" s="16" t="s">
        <v>11</v>
      </c>
      <c r="J19" s="317">
        <v>27726</v>
      </c>
      <c r="K19" s="317">
        <v>30071</v>
      </c>
      <c r="L19" s="317">
        <v>32511</v>
      </c>
      <c r="N19" s="316" t="s">
        <v>795</v>
      </c>
      <c r="O19" s="227" t="s">
        <v>744</v>
      </c>
      <c r="P19" s="316" t="s">
        <v>11</v>
      </c>
      <c r="Q19" s="113">
        <v>1</v>
      </c>
    </row>
    <row r="20" spans="1:17" x14ac:dyDescent="0.25">
      <c r="A20" s="16" t="s">
        <v>1672</v>
      </c>
      <c r="B20" s="16" t="s">
        <v>1673</v>
      </c>
      <c r="C20" s="16" t="s">
        <v>743</v>
      </c>
      <c r="D20" s="76">
        <v>43045</v>
      </c>
      <c r="E20" s="16"/>
      <c r="F20" s="16" t="s">
        <v>11</v>
      </c>
      <c r="G20" s="16" t="s">
        <v>1669</v>
      </c>
      <c r="H20" s="16" t="s">
        <v>11</v>
      </c>
      <c r="I20" s="16" t="s">
        <v>11</v>
      </c>
      <c r="J20" s="317">
        <v>23640</v>
      </c>
      <c r="K20" s="317">
        <v>23526</v>
      </c>
      <c r="L20" s="317">
        <v>22975</v>
      </c>
      <c r="N20" s="316" t="s">
        <v>796</v>
      </c>
      <c r="O20" s="227" t="s">
        <v>744</v>
      </c>
      <c r="P20" s="316" t="s">
        <v>11</v>
      </c>
      <c r="Q20" s="113">
        <v>1</v>
      </c>
    </row>
    <row r="21" spans="1:17" x14ac:dyDescent="0.25">
      <c r="A21" s="16" t="s">
        <v>1674</v>
      </c>
      <c r="B21" s="16" t="s">
        <v>1673</v>
      </c>
      <c r="C21" s="16" t="s">
        <v>743</v>
      </c>
      <c r="D21" s="76">
        <v>44067</v>
      </c>
      <c r="E21" s="76">
        <v>45807</v>
      </c>
      <c r="F21" s="16" t="s">
        <v>1659</v>
      </c>
      <c r="G21" s="16" t="s">
        <v>1669</v>
      </c>
      <c r="H21" s="16" t="s">
        <v>11</v>
      </c>
      <c r="I21" s="16" t="s">
        <v>11</v>
      </c>
      <c r="J21" s="317">
        <v>21889</v>
      </c>
      <c r="K21" s="317">
        <v>21783</v>
      </c>
      <c r="L21" s="317">
        <v>8864</v>
      </c>
      <c r="N21" s="316" t="s">
        <v>797</v>
      </c>
      <c r="O21" s="227" t="s">
        <v>744</v>
      </c>
      <c r="P21" s="316" t="s">
        <v>1660</v>
      </c>
      <c r="Q21" s="113">
        <v>1</v>
      </c>
    </row>
    <row r="22" spans="1:17" x14ac:dyDescent="0.25">
      <c r="A22" s="16" t="s">
        <v>1675</v>
      </c>
      <c r="B22" s="16" t="s">
        <v>1676</v>
      </c>
      <c r="C22" s="16" t="s">
        <v>743</v>
      </c>
      <c r="D22" s="76">
        <v>42044</v>
      </c>
      <c r="E22" s="16"/>
      <c r="F22" s="16" t="s">
        <v>11</v>
      </c>
      <c r="G22" s="16" t="s">
        <v>1647</v>
      </c>
      <c r="H22" s="16" t="s">
        <v>11</v>
      </c>
      <c r="I22" s="16" t="s">
        <v>11</v>
      </c>
      <c r="J22" s="317">
        <v>27142</v>
      </c>
      <c r="K22" s="317">
        <v>27011</v>
      </c>
      <c r="L22" s="317">
        <v>26379</v>
      </c>
      <c r="N22" s="316" t="s">
        <v>798</v>
      </c>
      <c r="O22" s="227" t="s">
        <v>744</v>
      </c>
      <c r="P22" s="316" t="s">
        <v>11</v>
      </c>
      <c r="Q22" s="113">
        <v>1</v>
      </c>
    </row>
    <row r="23" spans="1:17" x14ac:dyDescent="0.25">
      <c r="A23" s="16" t="s">
        <v>1677</v>
      </c>
      <c r="B23" s="16" t="s">
        <v>1678</v>
      </c>
      <c r="C23" s="16" t="s">
        <v>745</v>
      </c>
      <c r="D23" s="76">
        <v>41890</v>
      </c>
      <c r="E23" s="16"/>
      <c r="F23" s="16" t="s">
        <v>11</v>
      </c>
      <c r="G23" s="16" t="s">
        <v>1647</v>
      </c>
      <c r="H23" s="16" t="s">
        <v>11</v>
      </c>
      <c r="I23" s="16" t="s">
        <v>1648</v>
      </c>
      <c r="J23" s="317">
        <v>45529</v>
      </c>
      <c r="K23" s="317">
        <v>45309</v>
      </c>
      <c r="L23" s="317">
        <v>44250</v>
      </c>
      <c r="N23" s="316" t="s">
        <v>799</v>
      </c>
      <c r="O23" s="227" t="s">
        <v>744</v>
      </c>
      <c r="P23" s="316" t="s">
        <v>11</v>
      </c>
      <c r="Q23" s="113">
        <v>1</v>
      </c>
    </row>
    <row r="24" spans="1:17" x14ac:dyDescent="0.25">
      <c r="A24" s="16" t="s">
        <v>1679</v>
      </c>
      <c r="B24" s="16" t="s">
        <v>1650</v>
      </c>
      <c r="C24" s="16" t="s">
        <v>740</v>
      </c>
      <c r="D24" s="76">
        <v>45019</v>
      </c>
      <c r="E24" s="16"/>
      <c r="F24" s="16" t="s">
        <v>11</v>
      </c>
      <c r="G24" s="16" t="s">
        <v>1651</v>
      </c>
      <c r="H24" s="16" t="s">
        <v>11</v>
      </c>
      <c r="I24" s="16" t="s">
        <v>11</v>
      </c>
      <c r="J24" s="317">
        <v>20200</v>
      </c>
      <c r="K24" s="317">
        <v>29212</v>
      </c>
      <c r="L24" s="317">
        <v>31582</v>
      </c>
      <c r="N24" s="316" t="s">
        <v>800</v>
      </c>
      <c r="O24" s="227" t="s">
        <v>744</v>
      </c>
      <c r="P24" s="316" t="s">
        <v>11</v>
      </c>
      <c r="Q24" s="113">
        <v>1</v>
      </c>
    </row>
    <row r="25" spans="1:17" x14ac:dyDescent="0.25">
      <c r="A25" s="16" t="s">
        <v>1680</v>
      </c>
      <c r="B25" s="16" t="s">
        <v>1650</v>
      </c>
      <c r="C25" s="16" t="s">
        <v>740</v>
      </c>
      <c r="D25" s="76">
        <v>45139</v>
      </c>
      <c r="E25" s="76">
        <v>45856</v>
      </c>
      <c r="F25" s="16" t="s">
        <v>1659</v>
      </c>
      <c r="G25" s="16" t="s">
        <v>1651</v>
      </c>
      <c r="H25" s="16" t="s">
        <v>11</v>
      </c>
      <c r="I25" s="16" t="s">
        <v>11</v>
      </c>
      <c r="J25" s="317">
        <v>10892</v>
      </c>
      <c r="K25" s="317">
        <v>28353</v>
      </c>
      <c r="L25" s="317">
        <v>17881</v>
      </c>
      <c r="N25" s="316" t="s">
        <v>801</v>
      </c>
      <c r="O25" s="227" t="s">
        <v>744</v>
      </c>
      <c r="P25" s="316" t="s">
        <v>1660</v>
      </c>
      <c r="Q25" s="113">
        <v>1</v>
      </c>
    </row>
    <row r="26" spans="1:17" x14ac:dyDescent="0.25">
      <c r="A26" s="16" t="s">
        <v>1681</v>
      </c>
      <c r="B26" s="16" t="s">
        <v>1668</v>
      </c>
      <c r="C26" s="16" t="s">
        <v>742</v>
      </c>
      <c r="D26" s="76">
        <v>45089</v>
      </c>
      <c r="E26" s="16"/>
      <c r="F26" s="16" t="s">
        <v>11</v>
      </c>
      <c r="G26" s="16" t="s">
        <v>1669</v>
      </c>
      <c r="H26" s="16" t="s">
        <v>11</v>
      </c>
      <c r="I26" s="16" t="s">
        <v>11</v>
      </c>
      <c r="J26" s="317">
        <v>15711</v>
      </c>
      <c r="K26" s="317">
        <v>29212</v>
      </c>
      <c r="L26" s="317">
        <v>31582</v>
      </c>
      <c r="N26" s="316" t="s">
        <v>802</v>
      </c>
      <c r="O26" s="227" t="s">
        <v>744</v>
      </c>
      <c r="P26" s="316" t="s">
        <v>11</v>
      </c>
      <c r="Q26" s="113">
        <v>1</v>
      </c>
    </row>
    <row r="27" spans="1:17" x14ac:dyDescent="0.25">
      <c r="A27" s="16" t="s">
        <v>1682</v>
      </c>
      <c r="B27" s="16" t="s">
        <v>1650</v>
      </c>
      <c r="C27" s="16" t="s">
        <v>740</v>
      </c>
      <c r="D27" s="76">
        <v>45355</v>
      </c>
      <c r="E27" s="16"/>
      <c r="F27" s="16" t="s">
        <v>11</v>
      </c>
      <c r="G27" s="16" t="s">
        <v>1651</v>
      </c>
      <c r="H27" s="16" t="s">
        <v>11</v>
      </c>
      <c r="I27" s="16" t="s">
        <v>11</v>
      </c>
      <c r="J27" s="317">
        <v>0</v>
      </c>
      <c r="K27" s="317">
        <v>24343</v>
      </c>
      <c r="L27" s="317">
        <v>31582</v>
      </c>
      <c r="N27" s="316" t="s">
        <v>803</v>
      </c>
      <c r="O27" s="227" t="s">
        <v>744</v>
      </c>
      <c r="P27" s="316" t="s">
        <v>11</v>
      </c>
      <c r="Q27" s="113">
        <v>1</v>
      </c>
    </row>
    <row r="28" spans="1:17" x14ac:dyDescent="0.25">
      <c r="A28" s="16" t="s">
        <v>1683</v>
      </c>
      <c r="B28" s="16" t="s">
        <v>1650</v>
      </c>
      <c r="C28" s="16" t="s">
        <v>740</v>
      </c>
      <c r="D28" s="76">
        <v>45481</v>
      </c>
      <c r="E28" s="16"/>
      <c r="F28" s="16" t="s">
        <v>11</v>
      </c>
      <c r="G28" s="16" t="s">
        <v>1651</v>
      </c>
      <c r="H28" s="16" t="s">
        <v>11</v>
      </c>
      <c r="I28" s="16" t="s">
        <v>11</v>
      </c>
      <c r="J28" s="317">
        <v>0</v>
      </c>
      <c r="K28" s="317">
        <v>14176</v>
      </c>
      <c r="L28" s="317">
        <v>30653</v>
      </c>
      <c r="N28" s="316" t="s">
        <v>804</v>
      </c>
      <c r="O28" s="227" t="s">
        <v>744</v>
      </c>
      <c r="P28" s="316" t="s">
        <v>11</v>
      </c>
      <c r="Q28" s="113">
        <v>1</v>
      </c>
    </row>
    <row r="29" spans="1:17" x14ac:dyDescent="0.25">
      <c r="A29" s="16" t="s">
        <v>1684</v>
      </c>
      <c r="B29" s="16" t="s">
        <v>1673</v>
      </c>
      <c r="C29" s="16" t="s">
        <v>743</v>
      </c>
      <c r="D29" s="76">
        <v>45551</v>
      </c>
      <c r="E29" s="16"/>
      <c r="F29" s="16" t="s">
        <v>11</v>
      </c>
      <c r="G29" s="16" t="s">
        <v>1669</v>
      </c>
      <c r="H29" s="16" t="s">
        <v>11</v>
      </c>
      <c r="I29" s="16" t="s">
        <v>11</v>
      </c>
      <c r="J29" s="317">
        <v>0</v>
      </c>
      <c r="K29" s="317">
        <v>6971</v>
      </c>
      <c r="L29" s="317">
        <v>20423</v>
      </c>
      <c r="N29" s="316" t="s">
        <v>805</v>
      </c>
      <c r="O29" s="227" t="s">
        <v>744</v>
      </c>
      <c r="P29" s="316" t="s">
        <v>11</v>
      </c>
      <c r="Q29" s="113">
        <v>1</v>
      </c>
    </row>
    <row r="30" spans="1:17" x14ac:dyDescent="0.25">
      <c r="A30" s="16" t="s">
        <v>1685</v>
      </c>
      <c r="B30" s="16" t="s">
        <v>1650</v>
      </c>
      <c r="C30" s="16" t="s">
        <v>740</v>
      </c>
      <c r="D30" s="76">
        <v>45663</v>
      </c>
      <c r="E30" s="16"/>
      <c r="F30" s="16" t="s">
        <v>11</v>
      </c>
      <c r="G30" s="16" t="s">
        <v>1651</v>
      </c>
      <c r="H30" s="16" t="s">
        <v>11</v>
      </c>
      <c r="I30" s="16" t="s">
        <v>11</v>
      </c>
      <c r="J30" s="317">
        <v>0</v>
      </c>
      <c r="K30" s="317">
        <v>0</v>
      </c>
      <c r="L30" s="317">
        <v>30653</v>
      </c>
      <c r="N30" s="316" t="s">
        <v>806</v>
      </c>
      <c r="O30" s="227" t="s">
        <v>744</v>
      </c>
      <c r="P30" s="316" t="s">
        <v>11</v>
      </c>
      <c r="Q30" s="113">
        <v>1</v>
      </c>
    </row>
    <row r="31" spans="1:17" x14ac:dyDescent="0.25">
      <c r="A31" s="16" t="s">
        <v>1686</v>
      </c>
      <c r="B31" s="16" t="s">
        <v>1650</v>
      </c>
      <c r="C31" s="16" t="s">
        <v>740</v>
      </c>
      <c r="D31" s="76">
        <v>45810</v>
      </c>
      <c r="E31" s="16"/>
      <c r="F31" s="16" t="s">
        <v>11</v>
      </c>
      <c r="G31" s="16" t="s">
        <v>1651</v>
      </c>
      <c r="H31" s="16" t="s">
        <v>11</v>
      </c>
      <c r="I31" s="16" t="s">
        <v>11</v>
      </c>
      <c r="J31" s="317">
        <v>0</v>
      </c>
      <c r="K31" s="317">
        <v>0</v>
      </c>
      <c r="L31" s="317">
        <v>17339</v>
      </c>
      <c r="N31" s="316" t="s">
        <v>807</v>
      </c>
      <c r="O31" s="227" t="s">
        <v>744</v>
      </c>
      <c r="P31" s="316" t="s">
        <v>11</v>
      </c>
      <c r="Q31" s="113">
        <v>1</v>
      </c>
    </row>
    <row r="32" spans="1:17" x14ac:dyDescent="0.25">
      <c r="A32" s="16" t="s">
        <v>1687</v>
      </c>
      <c r="B32" s="16" t="s">
        <v>1673</v>
      </c>
      <c r="C32" s="16" t="s">
        <v>743</v>
      </c>
      <c r="D32" s="76">
        <v>45880</v>
      </c>
      <c r="E32" s="16"/>
      <c r="F32" s="16" t="s">
        <v>11</v>
      </c>
      <c r="G32" s="16" t="s">
        <v>1669</v>
      </c>
      <c r="H32" s="16" t="s">
        <v>11</v>
      </c>
      <c r="I32" s="16" t="s">
        <v>11</v>
      </c>
      <c r="J32" s="317">
        <v>0</v>
      </c>
      <c r="K32" s="317">
        <v>0</v>
      </c>
      <c r="L32" s="317">
        <v>8509</v>
      </c>
      <c r="N32" s="316" t="s">
        <v>808</v>
      </c>
      <c r="O32" s="227" t="s">
        <v>744</v>
      </c>
      <c r="P32" s="316" t="s">
        <v>11</v>
      </c>
      <c r="Q32" s="113">
        <v>1</v>
      </c>
    </row>
  </sheetData>
  <printOptions horizontalCentered="1"/>
  <pageMargins left="0.5" right="0.5" top="0.6" bottom="0.7" header="0.3" footer="0.3"/>
  <pageSetup paperSize="1" orientation="landscape" scale="82"/>
  <headerFooter>
    <oddHeader>&amp;RProject Ridgeline | As of 12/31/25</oddHeader>
    <oddFooter>&amp;LAMB Advisory Services | Strictly confidential&amp;C&amp;A&amp;RPage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Cover</vt:lpstr>
      <vt:lpstr>Contents</vt:lpstr>
      <vt:lpstr>Summary</vt:lpstr>
      <vt:lpstr>Assumptions</vt:lpstr>
      <vt:lpstr>P&amp;L Summary</vt:lpstr>
      <vt:lpstr>Adj. EBITDA</vt:lpstr>
      <vt:lpstr>Adjustments</vt:lpstr>
      <vt:lpstr>Revenue Detail</vt:lpstr>
      <vt:lpstr>Revenue Charts</vt:lpstr>
      <vt:lpstr>Expense Detail</vt:lpstr>
      <vt:lpstr>Expense Charts</vt:lpstr>
      <vt:lpstr>Customer Overview</vt:lpstr>
      <vt:lpstr>Customer Retention</vt:lpstr>
      <vt:lpstr>Retention Charts</vt:lpstr>
      <vt:lpstr>Concentration</vt:lpstr>
      <vt:lpstr>Cohorts</vt:lpstr>
      <vt:lpstr>Headcount</vt:lpstr>
      <vt:lpstr>Headcount Charts</vt:lpstr>
      <vt:lpstr>Balance Sheet</vt:lpstr>
      <vt:lpstr>NWC</vt:lpstr>
      <vt:lpstr>Debt-Like Items</vt:lpstr>
      <vt:lpstr>Cash Flow</vt:lpstr>
      <vt:lpstr>Proof of Cash</vt:lpstr>
      <vt:lpstr>Projections</vt:lpstr>
      <vt:lpstr>Opportunities</vt:lpstr>
      <vt:lpstr>Valuation</vt:lpstr>
      <vt:lpstr>Deal Structure</vt:lpstr>
      <vt:lpstr>Sensitivities</vt:lpstr>
      <vt:lpstr>Checks</vt:lpstr>
      <vt:lpstr>Data --&gt;</vt:lpstr>
      <vt:lpstr>Monthly P&amp;L</vt:lpstr>
      <vt:lpstr>Databook</vt:lpstr>
      <vt:lpstr>Mapping</vt:lpstr>
      <vt:lpstr>Raw - P&amp;L</vt:lpstr>
      <vt:lpstr>Raw - BS</vt:lpstr>
      <vt:lpstr>Raw - Bank</vt:lpstr>
      <vt:lpstr>Raw - Customers</vt:lpstr>
      <vt:lpstr>Raw - Payroll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 Advisory Services</dc:creator>
  <dc:title/>
  <dc:subject/>
  <dc:description/>
  <cp:keywords/>
  <cp:category/>
  <cp:lastModifiedBy>Unknown</cp:lastModifiedBy>
  <dcterms:created xsi:type="dcterms:W3CDTF">2026-09-29T18:34:40Z</dcterms:created>
  <dcterms:modified xsi:type="dcterms:W3CDTF">2026-09-29T18:34:40Z</dcterms:modified>
</cp:coreProperties>
</file>